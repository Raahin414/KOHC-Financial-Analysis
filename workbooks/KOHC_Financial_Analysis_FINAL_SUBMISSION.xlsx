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5d036fe50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dc02cb5cc364017"/>
    <x:sheet xmlns:r="http://schemas.openxmlformats.org/officeDocument/2006/relationships" name="KOHC" sheetId="2" r:id="R14d1e51eaa884eb2"/>
    <x:sheet xmlns:r="http://schemas.openxmlformats.org/officeDocument/2006/relationships" name="LUCK" sheetId="3" r:id="R92f07051470d4269"/>
    <x:sheet xmlns:r="http://schemas.openxmlformats.org/officeDocument/2006/relationships" name="DGKC" sheetId="4" r:id="R1f047d8f724d41e1"/>
    <x:sheet xmlns:r="http://schemas.openxmlformats.org/officeDocument/2006/relationships" name="MLCF" sheetId="5" r:id="R43ab407e80a54745"/>
    <x:sheet xmlns:r="http://schemas.openxmlformats.org/officeDocument/2006/relationships" name="FCCL" sheetId="6" r:id="Re9f28fed9fed407b"/>
    <x:sheet xmlns:r="http://schemas.openxmlformats.org/officeDocument/2006/relationships" name="Industry Averages" sheetId="7" r:id="Re7ec9e23b815417e"/>
    <x:sheet xmlns:r="http://schemas.openxmlformats.org/officeDocument/2006/relationships" name="Charts" sheetId="8" r:id="R23e10d14cd884528"/>
  </x:sheets>
</x:workbook>
</file>

<file path=xl/sharedStrings.xml><?xml version="1.0" encoding="utf-8"?>
<x:sst xmlns:x="http://schemas.openxmlformats.org/spreadsheetml/2006/main">
  <x:si>
    <x:t xml:space="preserve">Financial Ratio Analysis of Kohat Cement Company Limited and Its Competitors</x:t>
  </x:si>
  <x:si>
    <x:t xml:space="preserve">Course</x:t>
  </x:si>
  <x:si>
    <x:t xml:space="preserve">Introduction to Business Finance</x:t>
  </x:si>
  <x:si>
    <x:t xml:space="preserve">Institution</x:t>
  </x:si>
  <x:si>
    <x:t xml:space="preserve">IBA Karachi</x:t>
  </x:si>
  <x:si>
    <x:t xml:space="preserve">Instructor</x:t>
  </x:si>
  <x:si>
    <x:t xml:space="preserve">Dr. Noureen Ayaz</x:t>
  </x:si>
  <x:si>
    <x:t xml:space="preserve">Group members</x:t>
  </x:si>
  <x:si>
    <x:t xml:space="preserve">Companies analysed</x:t>
  </x:si>
  <x:si>
    <x:t xml:space="preserve">Symbol</x:t>
  </x:si>
  <x:si>
    <x:t xml:space="preserve">Company</x:t>
  </x:si>
  <x:si>
    <x:t xml:space="preserve">Role</x:t>
  </x:si>
  <x:si>
    <x:t xml:space="preserve">Statements used</x:t>
  </x:si>
  <x:si>
    <x:t xml:space="preserve">Sheet</x:t>
  </x:si>
  <x:si>
    <x:t xml:space="preserve">KOHC</x:t>
  </x:si>
  <x:si>
    <x:t xml:space="preserve">Kohat Cement Company Limited</x:t>
  </x:si>
  <x:si>
    <x:t xml:space="preserve">Main company</x:t>
  </x:si>
  <x:si>
    <x:t xml:space="preserve">Standalone</x:t>
  </x:si>
  <x:si>
    <x:t xml:space="preserve">Open KOHC</x:t>
  </x:si>
  <x:si>
    <x:t xml:space="preserve">LUCK</x:t>
  </x:si>
  <x:si>
    <x:t xml:space="preserve">Lucky Cement Limited</x:t>
  </x:si>
  <x:si>
    <x:t xml:space="preserve">Competitor 1</x:t>
  </x:si>
  <x:si>
    <x:t xml:space="preserve">Unconsolidated</x:t>
  </x:si>
  <x:si>
    <x:t xml:space="preserve">Open LUCK</x:t>
  </x:si>
  <x:si>
    <x:t xml:space="preserve">DGKC</x:t>
  </x:si>
  <x:si>
    <x:t xml:space="preserve">D.G. Khan Cement Company Limited</x:t>
  </x:si>
  <x:si>
    <x:t xml:space="preserve">Competitor 2</x:t>
  </x:si>
  <x:si>
    <x:t xml:space="preserve">Open DGKC</x:t>
  </x:si>
  <x:si>
    <x:t xml:space="preserve">MLCF</x:t>
  </x:si>
  <x:si>
    <x:t xml:space="preserve">Maple Leaf Cement Factory Limited</x:t>
  </x:si>
  <x:si>
    <x:t xml:space="preserve">Competitor 3</x:t>
  </x:si>
  <x:si>
    <x:t xml:space="preserve">Open MLCF</x:t>
  </x:si>
  <x:si>
    <x:t xml:space="preserve">FCCL</x:t>
  </x:si>
  <x:si>
    <x:t xml:space="preserve">Fauji Cement Company Limited</x:t>
  </x:si>
  <x:si>
    <x:t xml:space="preserve">Competitor 4</x:t>
  </x:si>
  <x:si>
    <x:t xml:space="preserve">Open FCCL</x:t>
  </x:si>
  <x:si>
    <x:t xml:space="preserve">Open Industry Averages</x:t>
  </x:si>
  <x:si>
    <x:t xml:space="preserve">Open Charts</x:t>
  </x:si>
  <x:si>
    <x:t xml:space="preserve">Methodology</x:t>
  </x:si>
  <x:si>
    <x:t xml:space="preserve">- Ratios comparing an annual flow with a balance use average balances: (opening + closing) / 2. FY2020 closing balances come from the FY2021 annual reports.</x:t>
  </x:si>
  <x:si>
    <x:t xml:space="preserve">- Liquidity and leverage ratios use year-end balances. Inventories = stores, spares and loose tools + stock-in-trade.</x:t>
  </x:si>
  <x:si>
    <x:t xml:space="preserve">- Each year is taken from the latest audited presentation (restated comparatives where restated).</x:t>
  </x:si>
  <x:si>
    <x:t xml:space="preserve">References</x:t>
  </x:si>
  <x:si>
    <x:t xml:space="preserve">Audited annual reports FY2021-FY2025 of Kohat Cement, Lucky Cement, D.G. Khan Cement, Maple Leaf Cement and Fauji Cement (as supplied).</x:t>
  </x:si>
  <x:si>
    <x:t xml:space="preserve">Kohat Cement Company Limited (KOHC)</x:t>
  </x:si>
  <x:si>
    <x:t xml:space="preserve">Main company  |  Standalone audited financial statements  |  Years ended 30 June  |  PKR million unless stated</x:t>
  </x:si>
  <x:si>
    <x:t xml:space="preserve">*FY2020 = opening balances / comparative figures from the FY2021 annual report (used for FY2021 averages and growth rates).</x:t>
  </x:si>
  <x:si>
    <x:t xml:space="preserve">1. Balance Sheet (PKR million)</x:t>
  </x:si>
  <x:si>
    <x:t xml:space="preserve">Particulars</x:t>
  </x:si>
  <x:si>
    <x:t xml:space="preserve">FY2021</x:t>
  </x:si>
  <x:si>
    <x:t xml:space="preserve">FY2022</x:t>
  </x:si>
  <x:si>
    <x:t xml:space="preserve">FY2023</x:t>
  </x:si>
  <x:si>
    <x:t xml:space="preserve">FY2024</x:t>
  </x:si>
  <x:si>
    <x:t xml:space="preserve">FY2025</x:t>
  </x:si>
  <x:si>
    <x:t xml:space="preserve">FY2020*</x:t>
  </x:si>
  <x:si>
    <x:t xml:space="preserve">Non-current assets</x:t>
  </x:si>
  <x:si>
    <x:t xml:space="preserve">Property, plant and equipment</x:t>
  </x:si>
  <x:si>
    <x:t xml:space="preserve">   of which: capital work-in-progress</x:t>
  </x:si>
  <x:si>
    <x:t xml:space="preserve">Right-of-use assets</x:t>
  </x:si>
  <x:si>
    <x:t xml:space="preserve">Intangible assets</x:t>
  </x:si>
  <x:si>
    <x:t xml:space="preserve">Investment property</x:t>
  </x:si>
  <x:si>
    <x:t xml:space="preserve">Long-term investments</x:t>
  </x:si>
  <x:si>
    <x:t xml:space="preserve">Other non-current assets</x:t>
  </x:si>
  <x:si>
    <x:t xml:space="preserve">Total non-current assets</x:t>
  </x:si>
  <x:si>
    <x:t xml:space="preserve">Current assets</x:t>
  </x:si>
  <x:si>
    <x:t xml:space="preserve">Stores, spares and loose tools</x:t>
  </x:si>
  <x:si>
    <x:t xml:space="preserve">Stock-in-trade</x:t>
  </x:si>
  <x:si>
    <x:t xml:space="preserve">Trade debts</x:t>
  </x:si>
  <x:si>
    <x:t xml:space="preserve">Short-term investments</x:t>
  </x:si>
  <x:si>
    <x:t xml:space="preserve">Cash and bank balances</x:t>
  </x:si>
  <x:si>
    <x:t xml:space="preserve">Other current assets</x:t>
  </x:si>
  <x:si>
    <x:t xml:space="preserve">Total current assets</x:t>
  </x:si>
  <x:si>
    <x:t xml:space="preserve">TOTAL ASSETS</x:t>
  </x:si>
  <x:si>
    <x:t xml:space="preserve">Equity</x:t>
  </x:si>
  <x:si>
    <x:t xml:space="preserve">Share capital</x:t>
  </x:si>
  <x:si>
    <x:t xml:space="preserve">Reserves and retained earnings</x:t>
  </x:si>
  <x:si>
    <x:t xml:space="preserve">Total equity</x:t>
  </x:si>
  <x:si>
    <x:t xml:space="preserve">Non-current liabilities</x:t>
  </x:si>
  <x:si>
    <x:t xml:space="preserve">Long-term financing</x:t>
  </x:si>
  <x:si>
    <x:t xml:space="preserve">Lease liabilities</x:t>
  </x:si>
  <x:si>
    <x:t xml:space="preserve">Deferred government grant</x:t>
  </x:si>
  <x:si>
    <x:t xml:space="preserve">Deferred taxation</x:t>
  </x:si>
  <x:si>
    <x:t xml:space="preserve">Other non-current liabilities</x:t>
  </x:si>
  <x:si>
    <x:t xml:space="preserve">Total non-current liabilities</x:t>
  </x:si>
  <x:si>
    <x:t xml:space="preserve">Current liabilities</x:t>
  </x:si>
  <x:si>
    <x:t xml:space="preserve">Trade and other payables</x:t>
  </x:si>
  <x:si>
    <x:t xml:space="preserve">Contract liabilities</x:t>
  </x:si>
  <x:si>
    <x:t xml:space="preserve">Accrued mark-up</x:t>
  </x:si>
  <x:si>
    <x:t xml:space="preserve">Short-term borrowings</x:t>
  </x:si>
  <x:si>
    <x:t xml:space="preserve">Current portion of long-term financing</x:t>
  </x:si>
  <x:si>
    <x:t xml:space="preserve">Current portion of lease liabilities</x:t>
  </x:si>
  <x:si>
    <x:t xml:space="preserve">Current portion of deferred grant</x:t>
  </x:si>
  <x:si>
    <x:t xml:space="preserve">Unclaimed / unpaid dividends</x:t>
  </x:si>
  <x:si>
    <x:t xml:space="preserve">Taxation - net</x:t>
  </x:si>
  <x:si>
    <x:t xml:space="preserve">Other current liabilities</x:t>
  </x:si>
  <x:si>
    <x:t xml:space="preserve">Total current liabilities</x:t>
  </x:si>
  <x:si>
    <x:t xml:space="preserve">Total liabilities</x:t>
  </x:si>
  <x:si>
    <x:t xml:space="preserve">TOTAL EQUITY AND LIABILITIES</x:t>
  </x:si>
  <x:si>
    <x:t xml:space="preserve">Supporting balances</x:t>
  </x:si>
  <x:si>
    <x:t xml:space="preserve">Trade creditors (payables note)</x:t>
  </x:si>
  <x:si>
    <x:t xml:space="preserve">Operating fixed assets (PPE - CWIP)</x:t>
  </x:si>
  <x:si>
    <x:t xml:space="preserve">Inventories (stores + stock-in-trade)</x:t>
  </x:si>
  <x:si>
    <x:t xml:space="preserve">Interest-bearing debt</x:t>
  </x:si>
  <x:si>
    <x:t xml:space="preserve">Long-term interest-bearing debt</x:t>
  </x:si>
  <x:si>
    <x:t xml:space="preserve">Invested capital (IBD + equity)</x:t>
  </x:si>
  <x:si>
    <x:t xml:space="preserve">Operating current assets</x:t>
  </x:si>
  <x:si>
    <x:t xml:space="preserve">Operating current liabilities</x:t>
  </x:si>
  <x:si>
    <x:t xml:space="preserve">2. Income Statement (PKR million)</x:t>
  </x:si>
  <x:si>
    <x:t xml:space="preserve">Net sales</x:t>
  </x:si>
  <x:si>
    <x:t xml:space="preserve">Cost of sales</x:t>
  </x:si>
  <x:si>
    <x:t xml:space="preserve">Gross profit</x:t>
  </x:si>
  <x:si>
    <x:t xml:space="preserve">Selling and distribution expenses</x:t>
  </x:si>
  <x:si>
    <x:t xml:space="preserve">Administrative expenses</x:t>
  </x:si>
  <x:si>
    <x:t xml:space="preserve">Impairment loss on financial assets</x:t>
  </x:si>
  <x:si>
    <x:t xml:space="preserve">Other operating expenses</x:t>
  </x:si>
  <x:si>
    <x:t xml:space="preserve">Operating profit</x:t>
  </x:si>
  <x:si>
    <x:t xml:space="preserve">Other income</x:t>
  </x:si>
  <x:si>
    <x:t xml:space="preserve">Finance income</x:t>
  </x:si>
  <x:si>
    <x:t xml:space="preserve">Share of profit of associate</x:t>
  </x:si>
  <x:si>
    <x:t xml:space="preserve">Finance cost</x:t>
  </x:si>
  <x:si>
    <x:t xml:space="preserve">Profit before levies and taxation</x:t>
  </x:si>
  <x:si>
    <x:t xml:space="preserve">Levies (final / minimum tax)</x:t>
  </x:si>
  <x:si>
    <x:t xml:space="preserve">Income tax</x:t>
  </x:si>
  <x:si>
    <x:t xml:space="preserve">Net profit after tax</x:t>
  </x:si>
  <x:si>
    <x:t xml:space="preserve">Supporting figures</x:t>
  </x:si>
  <x:si>
    <x:t xml:space="preserve">EBIT</x:t>
  </x:si>
  <x:si>
    <x:t xml:space="preserve">Bank charges and other non-interest finance cost</x:t>
  </x:si>
  <x:si>
    <x:t xml:space="preserve">Interest expense</x:t>
  </x:si>
  <x:si>
    <x:t xml:space="preserve">Effective tax rate</x:t>
  </x:si>
  <x:si>
    <x:t xml:space="preserve">NOPAT = EBIT x (1 - tax rate)</x:t>
  </x:si>
  <x:si>
    <x:t xml:space="preserve">3. Cash Flow Statement (PKR million)</x:t>
  </x:si>
  <x:si>
    <x:t xml:space="preserve">Cash generated from operations</x:t>
  </x:si>
  <x:si>
    <x:t xml:space="preserve">Net cash from operating activities</x:t>
  </x:si>
  <x:si>
    <x:t xml:space="preserve">Net cash from investing activities</x:t>
  </x:si>
  <x:si>
    <x:t xml:space="preserve">Net cash from financing activities</x:t>
  </x:si>
  <x:si>
    <x:t xml:space="preserve">Purchase of property, plant and equipment</x:t>
  </x:si>
  <x:si>
    <x:t xml:space="preserve">Finance cost paid</x:t>
  </x:si>
  <x:si>
    <x:t xml:space="preserve">Dividends paid</x:t>
  </x:si>
  <x:si>
    <x:t xml:space="preserve">4. Market Data</x:t>
  </x:si>
  <x:si>
    <x:t xml:space="preserve">Par value per share (Rs)</x:t>
  </x:si>
  <x:si>
    <x:t xml:space="preserve">Shares outstanding at year-end (million)</x:t>
  </x:si>
  <x:si>
    <x:t xml:space="preserve">Weighted average shares (million)</x:t>
  </x:si>
  <x:si>
    <x:t xml:space="preserve">Cash dividend per share for the year (Rs)</x:t>
  </x:si>
  <x:si>
    <x:t xml:space="preserve">5. Ratio Analysis</x:t>
  </x:si>
  <x:si>
    <x:t xml:space="preserve">Ratio</x:t>
  </x:si>
  <x:si>
    <x:t xml:space="preserve">Formula</x:t>
  </x:si>
  <x:si>
    <x:t xml:space="preserve">(IBD - Cash and Bank) / EBITDA</x:t>
  </x:si>
  <x:si>
    <x:t xml:space="preserve">EBIT / Average Total Assets</x:t>
  </x:si>
  <x:si>
    <x:t xml:space="preserve">6. Vertical Analysis (common-size)</x:t>
  </x:si>
  <x:si>
    <x:t xml:space="preserve">Balance sheet - % of total assets</x:t>
  </x:si>
  <x:si>
    <x:t xml:space="preserve">Inventories</x:t>
  </x:si>
  <x:si>
    <x:t xml:space="preserve">Income statement - % of net sales</x:t>
  </x:si>
  <x:si>
    <x:t xml:space="preserve">Operating expenses</x:t>
  </x:si>
  <x:si>
    <x:t xml:space="preserve">Levies and income tax</x:t>
  </x:si>
  <x:si>
    <x:t xml:space="preserve">7. Horizontal Analysis (year-on-year change)</x:t>
  </x:si>
  <x:si>
    <x:t xml:space="preserve">Growth over previous year (%)</x:t>
  </x:si>
  <x:si>
    <x:t xml:space="preserve">Total assets</x:t>
  </x:si>
  <x:si>
    <x:t xml:space="preserve">Lucky Cement Limited (LUCK)</x:t>
  </x:si>
  <x:si>
    <x:t xml:space="preserve">Competitor 1  |  Unconsolidated audited financial statements  |  Years ended 30 June  |  PKR million unless stated</x:t>
  </x:si>
  <x:si>
    <x:t xml:space="preserve">D.G. Khan Cement Company Limited (DGKC)</x:t>
  </x:si>
  <x:si>
    <x:t xml:space="preserve">Competitor 2  |  Unconsolidated audited financial statements  |  Years ended 30 June  |  PKR million unless stated</x:t>
  </x:si>
  <x:si>
    <x:t xml:space="preserve">Maple Leaf Cement Factory Limited (MLCF)</x:t>
  </x:si>
  <x:si>
    <x:t xml:space="preserve">Competitor 3  |  Unconsolidated audited financial statements  |  Years ended 30 June  |  PKR million unless stated</x:t>
  </x:si>
  <x:si>
    <x:t xml:space="preserve">Fauji Cement Company Limited (FCCL)</x:t>
  </x:si>
  <x:si>
    <x:t xml:space="preserve">Competitor 4  |  Standalone audited financial statements  |  Years ended 30 June  |  PKR million unless stated</x:t>
  </x:si>
  <x:si>
    <x:t xml:space="preserve">Industry Averages - five-company comparison</x:t>
  </x:si>
  <x:si>
    <x:t xml:space="preserve">Five-company average = arithmetic mean of KOHC, LUCK, DGKC, MLCF and FCCL. All values link to the company sheets.</x:t>
  </x:si>
  <x:si>
    <x:t xml:space="preserve">Charts - KOHC against competitors and the five-company average, FY2021-FY2025</x:t>
  </x:si>
  <x:si>
    <x:t xml:space="preserve">Kohat Cement in dark green; five-company average as a dashed charcoal line. All series are linked to the Industry Averages sheet.</x:t>
  </x:si>
  <x:si>
    <x:t xml:space="preserve">Liquidity</x:t>
  </x:si>
  <x:si>
    <x:t xml:space="preserve">Asset Management</x:t>
  </x:si>
  <x:si>
    <x:t xml:space="preserve">Debt Management</x:t>
  </x:si>
  <x:si>
    <x:t xml:space="preserve">Profitability</x:t>
  </x:si>
  <x:si>
    <x:t xml:space="preserve">Market Value</x:t>
  </x:si>
</x:sst>
</file>

<file path=xl/styles.xml><?xml version="1.0" encoding="utf-8"?>
<x:styleSheet xmlns:x="http://schemas.openxmlformats.org/spreadsheetml/2006/main">
  <x:numFmts count="18">
    <x:numFmt numFmtId="164" formatCode="General"/>
    <x:numFmt numFmtId="165" formatCode="0%"/>
    <x:numFmt numFmtId="166" formatCode="#,##0;\(#,##0\);\-"/>
    <x:numFmt numFmtId="167" formatCode="0.0%;\(0.0%\)"/>
    <x:numFmt numFmtId="168" formatCode="#,##0.00;\(#,##0.00\)"/>
    <x:numFmt numFmtId="169" formatCode="#,##0.0"/>
    <x:numFmt numFmtId="170" formatCode="0.00\x;\(0.00&quot;x)&quot;"/>
    <x:numFmt numFmtId="171" formatCode="0;\(0\)"/>
    <x:numFmt numFmtId="172" formatCode="0.0"/>
    <x:numFmt numFmtId="173" formatCode="0"/>
    <x:numFmt numFmtId="174" formatCode="0.00"/>
    <x:numFmt numFmtId="200" formatCode="0.00&quot;x&quot;;(0.00)&quot;x&quot;;&quot;-&quot;"/>
    <x:numFmt numFmtId="201" formatCode="#,##0.00;(#,##0.00);&quot;-&quot;"/>
    <x:numFmt numFmtId="202" formatCode="0;[Red](0);&quot;-&quot;"/>
    <x:numFmt numFmtId="203" formatCode="0.00%;(0.00%);&quot;-&quot;"/>
    <x:numFmt numFmtId="204" formatCode="0.00;(0.00);&quot;-&quot;"/>
    <x:numFmt numFmtId="205" formatCode="#,##0.000;(#,##0.000);&quot;-&quot;"/>
    <x:numFmt numFmtId="206" formatCode="@"/>
  </x:numFmts>
  <x:fonts count="23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E4D3A"/>
      <x:name val="Cambria"/>
    </x:font>
    <x:font>
      <x:sz val="12"/>
      <x:color rgb="FF595959"/>
      <x:name val="Cambria"/>
    </x:font>
    <x:font>
      <x:b/>
      <x:sz val="10"/>
      <x:color rgb="FF262626"/>
      <x:name val="Calibri"/>
    </x:font>
    <x:font>
      <x:b/>
      <x:sz val="12"/>
      <x:color rgb="FFFFFFFF"/>
      <x:name val="Cambria"/>
    </x:font>
    <x:font>
      <x:u val="single"/>
      <x:sz val="10"/>
      <x:color rgb="FF1F5C99"/>
      <x:name val="Calibri"/>
    </x:font>
    <x:font>
      <x:sz val="10"/>
      <x:color rgb="FF262626"/>
      <x:name val="Calibri"/>
    </x:font>
    <x:font>
      <x:i/>
      <x:sz val="9"/>
      <x:color rgb="FF595959"/>
      <x:name val="Calibri"/>
    </x:font>
    <x:font>
      <x:i/>
      <x:sz val="10"/>
      <x:color rgb="FF595959"/>
      <x:name val="Calibri"/>
    </x:font>
    <x:font>
      <x:b/>
      <x:sz val="10"/>
      <x:color rgb="FF1E4D3A"/>
      <x:name val="Calibri"/>
    </x:font>
    <x:font>
      <x:sz val="9"/>
      <x:color rgb="FF595959"/>
      <x:name val="Calibri"/>
    </x:font>
    <x:font>
      <x:b/>
      <x:sz val="12"/>
      <x:color rgb="FF1E4D3A"/>
      <x:name val="Cambria"/>
    </x:font>
    <x:font>
      <x:b/>
      <x:sz val="18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rgb="FF204F3D"/>
      <x:name val="Calibri"/>
    </x:font>
    <x:font>
      <x:b/>
      <x:sz val="11"/>
      <x:color rgb="FF204F3D"/>
      <x:name val="Calibri"/>
      <x:family val="2"/>
    </x:font>
    <x:font>
      <x:i/>
      <x:sz val="9"/>
      <x:color rgb="FF58675E"/>
      <x:name val="Calibri"/>
      <x:family val="2"/>
    </x:font>
    <x:font>
      <x:sz val="10"/>
      <x:color rgb="FF172C25"/>
      <x:name val="Calibri"/>
      <x:family val="2"/>
    </x:font>
    <x:font>
      <x:sz val="11"/>
      <x:color rgb="FF172C25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E4D3A"/>
      </x:patternFill>
    </x:fill>
    <x:fill>
      <x:patternFill patternType="solid">
        <x:fgColor rgb="FFDCE6D7"/>
      </x:patternFill>
    </x:fill>
    <x:fill>
      <x:patternFill patternType="solid">
        <x:fgColor rgb="FFEEF3EC"/>
      </x:patternFill>
    </x:fill>
    <x:fill>
      <x:patternFill patternType="solid">
        <x:fgColor rgb="FFF2F2F2"/>
      </x:patternFill>
    </x:fill>
    <x:fill>
      <x:patternFill patternType="solid">
        <x:fgColor rgb="FFEDF3EC"/>
      </x:patternFill>
    </x:fill>
  </x:fills>
  <x:borders count="8">
    <x:border diagonalUp="0" diagonalDown="0">
      <x:left/>
      <x:right/>
      <x:top/>
      <x:bottom/>
      <x:diagonal/>
    </x:border>
    <x:border diagonalUp="0" diagonalDown="0">
      <x:left style="thin">
        <x:color rgb="FFC9CFC6"/>
      </x:left>
      <x:right style="thin">
        <x:color rgb="FFC9CFC6"/>
      </x:right>
      <x:top style="thin">
        <x:color rgb="FFC9CFC6"/>
      </x:top>
      <x:bottom style="thin">
        <x:color rgb="FFC9CFC6"/>
      </x:bottom>
      <x:diagonal/>
    </x:border>
    <x:border diagonalUp="0" diagonalDown="0">
      <x:left style="thin">
        <x:color rgb="FFC9CFC6"/>
      </x:left>
      <x:right style="thin">
        <x:color rgb="FFC9CFC6"/>
      </x:right>
      <x:top style="hair">
        <x:color rgb="FFC9CFC6"/>
      </x:top>
      <x:bottom style="hair">
        <x:color rgb="FFC9CFC6"/>
      </x:bottom>
      <x:diagonal/>
    </x:border>
    <x:border diagonalUp="0" diagonalDown="0">
      <x:left style="thin">
        <x:color rgb="FFC9CFC6"/>
      </x:left>
      <x:right/>
      <x:top style="thin">
        <x:color rgb="FFC9CFC6"/>
      </x:top>
      <x:bottom style="thin">
        <x:color rgb="FFC9CFC6"/>
      </x:bottom>
      <x:diagonal/>
    </x:border>
    <x:border diagonalUp="0" diagonalDown="0">
      <x:left/>
      <x:right style="thin">
        <x:color rgb="FFC9CFC6"/>
      </x:right>
      <x:top style="thin">
        <x:color rgb="FFC9CFC6"/>
      </x:top>
      <x:bottom style="thin">
        <x:color rgb="FFC9CFC6"/>
      </x:bottom>
      <x:diagonal/>
    </x:border>
    <x:border diagonalUp="0" diagonalDown="0">
      <x:left style="thin">
        <x:color rgb="FFC9CFC6"/>
      </x:left>
      <x:right/>
      <x:top style="hair">
        <x:color rgb="FFC9CFC6"/>
      </x:top>
      <x:bottom style="hair">
        <x:color rgb="FFC9CFC6"/>
      </x:bottom>
      <x:diagonal/>
    </x:border>
    <x:border diagonalUp="0" diagonalDown="0">
      <x:left/>
      <x:right style="thin">
        <x:color rgb="FFC9CFC6"/>
      </x:right>
      <x:top style="hair">
        <x:color rgb="FFC9CFC6"/>
      </x:top>
      <x:bottom style="hair">
        <x:color rgb="FFC9CFC6"/>
      </x:bottom>
      <x:diagonal/>
    </x:border>
    <x:border diagonalUp="0" diagonalDown="0">
      <x:left/>
      <x:right/>
      <x:top style="thin">
        <x:color rgb="FFC9CFC6"/>
      </x:top>
      <x:bottom style="thin">
        <x:color rgb="FFC9CFC6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5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7" fillId="2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2" borderId="0" xfId="0" applyFont="0" applyBorder="0" applyAlignment="0" applyProtection="0">
      <x:alignment horizontal="general" vertical="bottom" wrapText="0" shrinkToFit="0"/>
      <x:protection locked="1" hidden="0"/>
    </x:xf>
    <x:xf numFmtId="164" fontId="6" fillId="3" borderId="1" xfId="0" applyFont="1" applyBorder="1" applyAlignment="0" applyProtection="0">
      <x:alignment horizontal="general" vertical="bottom" wrapText="0" shrinkToFit="0"/>
      <x:protection locked="1" hidden="0"/>
    </x:xf>
    <x:xf numFmtId="164" fontId="6" fillId="0" borderId="2" xfId="0" applyFont="1" applyBorder="1" applyAlignment="0" applyProtection="0">
      <x:alignment horizontal="general" vertical="bottom" wrapText="0" shrinkToFit="0"/>
      <x:protection locked="1" hidden="0"/>
    </x:xf>
    <x:xf numFmtId="164" fontId="8" fillId="0" borderId="2" xfId="0" applyFont="1" applyBorder="1" applyAlignment="0" applyProtection="0">
      <x:alignment horizontal="general" vertical="bottom" wrapText="0" shrinkToFit="0"/>
      <x:protection locked="1" hidden="0"/>
    </x:xf>
    <x:xf numFmtId="164" fontId="9" fillId="0" borderId="2" xfId="0" applyFont="1" applyBorder="1" applyAlignment="0" applyProtection="0">
      <x:alignment horizontal="general" vertical="bottom" wrapText="0" shrinkToFit="0"/>
      <x:protection locked="1" hidden="0"/>
    </x:xf>
    <x:xf numFmtId="164" fontId="8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1" applyBorder="1" applyAlignment="1" applyProtection="0">
      <x:alignment horizontal="general" vertical="top" wrapText="1" shrinkToFit="0"/>
      <x:protection locked="1" hidden="0"/>
    </x:xf>
    <x:xf numFmtId="164" fontId="6" fillId="3" borderId="0" xfId="0" applyFont="1" applyBorder="0" applyAlignment="1" applyProtection="0">
      <x:alignment horizontal="center" vertical="bottom" wrapText="0" shrinkToFit="0"/>
      <x:protection locked="1" hidden="0"/>
    </x:xf>
    <x:xf numFmtId="165" fontId="0" fillId="0" borderId="0" xfId="0" applyFont="0" applyBorder="0" applyAlignment="1" applyProtection="0">
      <x:alignment horizontal="center" vertical="bottom" wrapText="0" shrinkToFit="0"/>
      <x:protection locked="1" hidden="0"/>
    </x:xf>
    <x:xf numFmtId="164" fontId="10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1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3" borderId="3" xfId="0" applyFont="1" applyBorder="1" applyAlignment="1" applyProtection="0">
      <x:alignment horizontal="left" vertical="center" wrapText="0" shrinkToFit="0"/>
      <x:protection locked="1" hidden="0"/>
    </x:xf>
    <x:xf numFmtId="164" fontId="6" fillId="3" borderId="4" xfId="0" applyFont="1" applyBorder="1" applyAlignment="1" applyProtection="0">
      <x:alignment horizontal="left" vertical="center" wrapText="0" shrinkToFit="0"/>
      <x:protection locked="1" hidden="0"/>
    </x:xf>
    <x:xf numFmtId="164" fontId="6" fillId="3" borderId="1" xfId="0" applyFont="1" applyBorder="1" applyAlignment="1" applyProtection="0">
      <x:alignment horizontal="center" vertical="center" wrapText="0" shrinkToFit="0"/>
      <x:protection locked="1" hidden="0"/>
    </x:xf>
    <x:xf numFmtId="164" fontId="12" fillId="4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4" borderId="0" xfId="0" applyFont="0" applyBorder="0" applyAlignment="0" applyProtection="0">
      <x:alignment horizontal="general" vertical="bottom" wrapText="0" shrinkToFit="0"/>
      <x:protection locked="1" hidden="0"/>
    </x:xf>
    <x:xf numFmtId="164" fontId="9" fillId="0" borderId="5" xfId="0" applyFont="1" applyBorder="1" applyAlignment="0" applyProtection="0">
      <x:alignment horizontal="general" vertical="bottom" wrapText="0" shrinkToFit="0"/>
      <x:protection locked="1" hidden="0"/>
    </x:xf>
    <x:xf numFmtId="164" fontId="0" fillId="0" borderId="6" xfId="0" applyFont="0" applyBorder="1" applyAlignment="0" applyProtection="0">
      <x:alignment horizontal="general" vertical="bottom" wrapText="0" shrinkToFit="0"/>
      <x:protection locked="1" hidden="0"/>
    </x:xf>
    <x:xf numFmtId="166" fontId="9" fillId="0" borderId="2" xfId="0" applyFont="1" applyBorder="1" applyAlignment="0" applyProtection="0">
      <x:alignment horizontal="general" vertical="bottom" wrapText="0" shrinkToFit="0"/>
      <x:protection locked="1" hidden="0"/>
    </x:xf>
    <x:xf numFmtId="164" fontId="6" fillId="5" borderId="5" xfId="0" applyFont="1" applyBorder="1" applyAlignment="0" applyProtection="0">
      <x:alignment horizontal="general" vertical="bottom" wrapText="0" shrinkToFit="0"/>
      <x:protection locked="1" hidden="0"/>
    </x:xf>
    <x:xf numFmtId="164" fontId="0" fillId="5" borderId="6" xfId="0" applyFont="0" applyBorder="1" applyAlignment="0" applyProtection="0">
      <x:alignment horizontal="general" vertical="bottom" wrapText="0" shrinkToFit="0"/>
      <x:protection locked="1" hidden="0"/>
    </x:xf>
    <x:xf numFmtId="166" fontId="6" fillId="5" borderId="2" xfId="0" applyFont="1" applyBorder="1" applyAlignment="0" applyProtection="0">
      <x:alignment horizontal="general" vertical="bottom" wrapText="0" shrinkToFit="0"/>
      <x:protection locked="1" hidden="0"/>
    </x:xf>
    <x:xf numFmtId="164" fontId="0" fillId="5" borderId="2" xfId="0" applyFont="0" applyBorder="1" applyAlignment="0" applyProtection="0">
      <x:alignment horizontal="general" vertical="bottom" wrapText="0" shrinkToFit="0"/>
      <x:protection locked="1" hidden="0"/>
    </x:xf>
    <x:xf numFmtId="167" fontId="9" fillId="0" borderId="2" xfId="0" applyFont="1" applyBorder="1" applyAlignment="0" applyProtection="0">
      <x:alignment horizontal="general" vertical="bottom" wrapText="0" shrinkToFit="0"/>
      <x:protection locked="1" hidden="0"/>
    </x:xf>
    <x:xf numFmtId="168" fontId="9" fillId="0" borderId="2" xfId="0" applyFont="1" applyBorder="1" applyAlignment="0" applyProtection="0">
      <x:alignment horizontal="general" vertical="bottom" wrapText="0" shrinkToFit="0"/>
      <x:protection locked="1" hidden="0"/>
    </x:xf>
    <x:xf numFmtId="169" fontId="9" fillId="0" borderId="2" xfId="0" applyFont="1" applyBorder="1" applyAlignment="0" applyProtection="0">
      <x:alignment horizontal="general" vertical="bottom" wrapText="0" shrinkToFit="0"/>
      <x:protection locked="1" hidden="0"/>
    </x:xf>
    <x:xf numFmtId="164" fontId="6" fillId="3" borderId="1" xfId="0" applyFont="1" applyBorder="1" applyAlignment="1" applyProtection="0">
      <x:alignment horizontal="left" vertical="center" wrapText="0" shrinkToFit="0"/>
      <x:protection locked="1" hidden="0"/>
    </x:xf>
    <x:xf numFmtId="164" fontId="0" fillId="0" borderId="2" xfId="0" applyFont="1" applyBorder="1" applyAlignment="0" applyProtection="0">
      <x:alignment horizontal="general" vertical="bottom" wrapText="0" shrinkToFit="0"/>
      <x:protection locked="1" hidden="0"/>
    </x:xf>
    <x:xf numFmtId="164" fontId="13" fillId="0" borderId="2" xfId="0" applyFont="1" applyBorder="1" applyAlignment="0" applyProtection="0">
      <x:alignment horizontal="general" vertical="bottom" wrapText="0" shrinkToFit="0"/>
      <x:protection locked="1" hidden="0"/>
    </x:xf>
    <x:xf numFmtId="170" fontId="0" fillId="0" borderId="2" xfId="0" applyFont="0" applyBorder="1" applyAlignment="1" applyProtection="0">
      <x:alignment horizontal="right" vertical="bottom" wrapText="0" shrinkToFit="0"/>
      <x:protection locked="1" hidden="0"/>
    </x:xf>
    <x:xf numFmtId="166" fontId="0" fillId="0" borderId="2" xfId="0" applyFont="0" applyBorder="1" applyAlignment="1" applyProtection="0">
      <x:alignment horizontal="right" vertical="bottom" wrapText="0" shrinkToFit="0"/>
      <x:protection locked="1" hidden="0"/>
    </x:xf>
    <x:xf numFmtId="171" fontId="0" fillId="0" borderId="2" xfId="0" applyFont="0" applyBorder="1" applyAlignment="1" applyProtection="0">
      <x:alignment horizontal="right" vertical="bottom" wrapText="0" shrinkToFit="0"/>
      <x:protection locked="1" hidden="0"/>
    </x:xf>
    <x:xf numFmtId="167" fontId="0" fillId="0" borderId="2" xfId="0" applyFont="0" applyBorder="1" applyAlignment="1" applyProtection="0">
      <x:alignment horizontal="right" vertical="bottom" wrapText="0" shrinkToFit="0"/>
      <x:protection locked="1" hidden="0"/>
    </x:xf>
    <x:xf numFmtId="168" fontId="0" fillId="0" borderId="2" xfId="0" applyFont="0" applyBorder="1" applyAlignment="1" applyProtection="0">
      <x:alignment horizontal="right" vertical="bottom" wrapText="0" shrinkToFit="0"/>
      <x:protection locked="1" hidden="0"/>
    </x:xf>
    <x:xf numFmtId="164" fontId="6" fillId="3" borderId="1" xfId="0" applyFont="1" applyBorder="1" applyAlignment="1" applyProtection="0">
      <x:alignment horizontal="left" vertical="bottom" wrapText="0" shrinkToFit="0"/>
      <x:protection locked="1" hidden="0"/>
    </x:xf>
    <x:xf numFmtId="164" fontId="6" fillId="3" borderId="1" xfId="0" applyFont="1" applyBorder="1" applyAlignment="1" applyProtection="0">
      <x:alignment horizontal="center" vertical="bottom" wrapText="0" shrinkToFit="0"/>
      <x:protection locked="1" hidden="0"/>
    </x:xf>
    <x:xf numFmtId="167" fontId="0" fillId="0" borderId="2" xfId="0" applyFont="0" applyBorder="1" applyAlignment="0" applyProtection="0">
      <x:alignment horizontal="general" vertical="bottom" wrapText="0" shrinkToFit="0"/>
      <x:protection locked="1" hidden="0"/>
    </x:xf>
    <x:xf numFmtId="164" fontId="13" fillId="4" borderId="0" xfId="0" applyFont="1" applyBorder="0" applyAlignment="0" applyProtection="0">
      <x:alignment horizontal="general" vertical="bottom" wrapText="0" shrinkToFit="0"/>
      <x:protection locked="1" hidden="0"/>
    </x:xf>
    <x:xf numFmtId="170" fontId="6" fillId="0" borderId="2" xfId="0" applyFont="1" applyBorder="1" applyAlignment="1" applyProtection="0">
      <x:alignment horizontal="right" vertical="bottom" wrapText="0" shrinkToFit="0"/>
      <x:protection locked="1" hidden="0"/>
    </x:xf>
    <x:xf numFmtId="170" fontId="9" fillId="0" borderId="2" xfId="0" applyFont="1" applyBorder="1" applyAlignment="1" applyProtection="0">
      <x:alignment horizontal="right" vertical="bottom" wrapText="0" shrinkToFit="0"/>
      <x:protection locked="1" hidden="0"/>
    </x:xf>
    <x:xf numFmtId="164" fontId="6" fillId="5" borderId="7" xfId="0" applyFont="1" applyBorder="1" applyAlignment="0" applyProtection="0">
      <x:alignment horizontal="general" vertical="bottom" wrapText="0" shrinkToFit="0"/>
      <x:protection locked="1" hidden="0"/>
    </x:xf>
    <x:xf numFmtId="164" fontId="0" fillId="5" borderId="7" xfId="0" applyFont="0" applyBorder="1" applyAlignment="0" applyProtection="0">
      <x:alignment horizontal="general" vertical="bottom" wrapText="0" shrinkToFit="0"/>
      <x:protection locked="1" hidden="0"/>
    </x:xf>
    <x:xf numFmtId="170" fontId="6" fillId="5" borderId="7" xfId="0" applyFont="1" applyBorder="1" applyAlignment="1" applyProtection="0">
      <x:alignment horizontal="right" vertical="bottom" wrapText="0" shrinkToFit="0"/>
      <x:protection locked="1" hidden="0"/>
    </x:xf>
    <x:xf numFmtId="166" fontId="6" fillId="0" borderId="2" xfId="0" applyFont="1" applyBorder="1" applyAlignment="1" applyProtection="0">
      <x:alignment horizontal="right" vertical="bottom" wrapText="0" shrinkToFit="0"/>
      <x:protection locked="1" hidden="0"/>
    </x:xf>
    <x:xf numFmtId="166" fontId="9" fillId="0" borderId="2" xfId="0" applyFont="1" applyBorder="1" applyAlignment="1" applyProtection="0">
      <x:alignment horizontal="right" vertical="bottom" wrapText="0" shrinkToFit="0"/>
      <x:protection locked="1" hidden="0"/>
    </x:xf>
    <x:xf numFmtId="166" fontId="6" fillId="5" borderId="7" xfId="0" applyFont="1" applyBorder="1" applyAlignment="1" applyProtection="0">
      <x:alignment horizontal="right" vertical="bottom" wrapText="0" shrinkToFit="0"/>
      <x:protection locked="1" hidden="0"/>
    </x:xf>
    <x:xf numFmtId="171" fontId="6" fillId="0" borderId="2" xfId="0" applyFont="1" applyBorder="1" applyAlignment="1" applyProtection="0">
      <x:alignment horizontal="right" vertical="bottom" wrapText="0" shrinkToFit="0"/>
      <x:protection locked="1" hidden="0"/>
    </x:xf>
    <x:xf numFmtId="171" fontId="9" fillId="0" borderId="2" xfId="0" applyFont="1" applyBorder="1" applyAlignment="1" applyProtection="0">
      <x:alignment horizontal="right" vertical="bottom" wrapText="0" shrinkToFit="0"/>
      <x:protection locked="1" hidden="0"/>
    </x:xf>
    <x:xf numFmtId="171" fontId="6" fillId="5" borderId="7" xfId="0" applyFont="1" applyBorder="1" applyAlignment="1" applyProtection="0">
      <x:alignment horizontal="right" vertical="bottom" wrapText="0" shrinkToFit="0"/>
      <x:protection locked="1" hidden="0"/>
    </x:xf>
    <x:xf numFmtId="167" fontId="6" fillId="0" borderId="2" xfId="0" applyFont="1" applyBorder="1" applyAlignment="1" applyProtection="0">
      <x:alignment horizontal="right" vertical="bottom" wrapText="0" shrinkToFit="0"/>
      <x:protection locked="1" hidden="0"/>
    </x:xf>
    <x:xf numFmtId="167" fontId="9" fillId="0" borderId="2" xfId="0" applyFont="1" applyBorder="1" applyAlignment="1" applyProtection="0">
      <x:alignment horizontal="right" vertical="bottom" wrapText="0" shrinkToFit="0"/>
      <x:protection locked="1" hidden="0"/>
    </x:xf>
    <x:xf numFmtId="167" fontId="6" fillId="5" borderId="7" xfId="0" applyFont="1" applyBorder="1" applyAlignment="1" applyProtection="0">
      <x:alignment horizontal="right" vertical="bottom" wrapText="0" shrinkToFit="0"/>
      <x:protection locked="1" hidden="0"/>
    </x:xf>
    <x:xf numFmtId="168" fontId="6" fillId="0" borderId="2" xfId="0" applyFont="1" applyBorder="1" applyAlignment="1" applyProtection="0">
      <x:alignment horizontal="right" vertical="bottom" wrapText="0" shrinkToFit="0"/>
      <x:protection locked="1" hidden="0"/>
    </x:xf>
    <x:xf numFmtId="168" fontId="9" fillId="0" borderId="2" xfId="0" applyFont="1" applyBorder="1" applyAlignment="1" applyProtection="0">
      <x:alignment horizontal="right" vertical="bottom" wrapText="0" shrinkToFit="0"/>
      <x:protection locked="1" hidden="0"/>
    </x:xf>
    <x:xf numFmtId="168" fontId="6" fillId="5" borderId="7" xfId="0" applyFont="1" applyBorder="1" applyAlignment="1" applyProtection="0">
      <x:alignment horizontal="right" vertical="bottom" wrapText="0" shrinkToFit="0"/>
      <x:protection locked="1" hidden="0"/>
    </x:xf>
    <x:xf numFmtId="164" fontId="1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3" fillId="0" borderId="2" xfId="0" applyNumberFormat="1" applyFont="1" applyFill="1" applyBorder="1" applyAlignment="1">
      <x:alignment horizontal="general" vertical="bottom" wrapText="0"/>
    </x:xf>
    <x:xf numFmtId="200" fontId="0" fillId="0" borderId="2" xfId="0" applyNumberFormat="1" applyFont="1" applyFill="1" applyBorder="1" applyAlignment="1">
      <x:alignment horizontal="right" vertical="bottom" wrapText="0"/>
    </x:xf>
    <x:xf numFmtId="201" fontId="0" fillId="0" borderId="2" xfId="0" applyNumberFormat="1" applyFont="1" applyFill="1" applyBorder="1" applyAlignment="1">
      <x:alignment horizontal="right" vertical="bottom" wrapText="0"/>
    </x:xf>
    <x:xf numFmtId="202" fontId="0" fillId="0" borderId="2" xfId="0" applyNumberFormat="1" applyFont="1" applyFill="1" applyBorder="1" applyAlignment="1">
      <x:alignment horizontal="right" vertical="bottom" wrapText="0"/>
    </x:xf>
    <x:xf numFmtId="203" fontId="0" fillId="0" borderId="2" xfId="0" applyNumberFormat="1" applyFont="1" applyFill="1" applyBorder="1" applyAlignment="1">
      <x:alignment horizontal="right" vertical="bottom" wrapText="0"/>
    </x:xf>
    <x:xf numFmtId="204" fontId="0" fillId="0" borderId="2" xfId="0" applyNumberFormat="1" applyFont="1" applyFill="1" applyBorder="1" applyAlignment="1">
      <x:alignment horizontal="right" vertical="bottom" wrapText="0"/>
    </x:xf>
    <x:xf numFmtId="164" fontId="12" fillId="6" borderId="0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8" fillId="6" borderId="0" xfId="0" applyNumberFormat="1" applyFont="1" applyFill="1" applyBorder="1" applyAlignment="1">
      <x:alignment horizontal="general" vertical="bottom" wrapText="0"/>
    </x:xf>
    <x:xf numFmtId="164" fontId="19" fillId="6" borderId="0" xfId="0" applyNumberFormat="1" applyFont="1" applyFill="1" applyBorder="1" applyAlignment="1">
      <x:alignment horizontal="general" vertical="bottom" wrapText="0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13" fillId="6" borderId="2" xfId="0" applyNumberFormat="1" applyFont="1" applyFill="1" applyBorder="1" applyAlignment="1">
      <x:alignment horizontal="general" vertical="bottom" wrapText="0"/>
    </x:xf>
    <x:xf numFmtId="170" fontId="0" fillId="6" borderId="2" xfId="0" applyNumberFormat="1" applyFont="1" applyFill="1" applyBorder="1" applyAlignment="1">
      <x:alignment horizontal="right" vertical="bottom" wrapText="0"/>
    </x:xf>
    <x:xf numFmtId="164" fontId="19" fillId="6" borderId="2" xfId="0" applyNumberFormat="1" applyFont="1" applyFill="1" applyBorder="1" applyAlignment="1">
      <x:alignment horizontal="general" vertical="bottom" wrapText="0"/>
    </x:xf>
    <x:xf numFmtId="164" fontId="18" fillId="6" borderId="2" xfId="0" applyNumberFormat="1" applyFont="1" applyFill="1" applyBorder="1" applyAlignment="1">
      <x:alignment horizontal="general" vertical="bottom" wrapText="0"/>
    </x:xf>
    <x:xf numFmtId="170" fontId="19" fillId="6" borderId="2" xfId="0" applyNumberFormat="1" applyFont="1" applyFill="1" applyBorder="1" applyAlignment="1">
      <x:alignment horizontal="right" vertical="bottom" wrapText="0"/>
    </x:xf>
    <x:xf numFmtId="167" fontId="0" fillId="6" borderId="2" xfId="0" applyNumberFormat="1" applyFont="1" applyFill="1" applyBorder="1" applyAlignment="1">
      <x:alignment horizontal="right" vertical="bottom" wrapText="0"/>
    </x:xf>
    <x:xf numFmtId="167" fontId="19" fillId="6" borderId="2" xfId="0" applyNumberFormat="1" applyFont="1" applyFill="1" applyBorder="1" applyAlignment="1">
      <x:alignment horizontal="right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205" fontId="0" fillId="0" borderId="0" xfId="0" applyNumberFormat="1" applyFont="1" applyFill="1" applyBorder="1" applyAlignment="1">
      <x:alignment horizontal="general" vertical="bottom" wrapText="0"/>
    </x:xf>
    <x:xf numFmtId="205" fontId="20" fillId="0" borderId="0" xfId="0" applyNumberFormat="1" applyFont="1" applyFill="1" applyBorder="1" applyAlignment="1">
      <x:alignment horizontal="general" vertical="bottom" wrapText="0"/>
    </x:xf>
    <x:xf numFmtId="164" fontId="7" fillId="6" borderId="0" xfId="0" applyNumberFormat="1" applyFont="1" applyFill="1" applyBorder="1" applyAlignment="1">
      <x:alignment horizontal="general" vertical="bottom" wrapText="0"/>
    </x:xf>
    <x:xf numFmtId="200" fontId="6" fillId="0" borderId="2" xfId="0" applyNumberFormat="1" applyFont="1" applyFill="1" applyBorder="1" applyAlignment="1">
      <x:alignment horizontal="right" vertical="bottom" wrapText="0"/>
    </x:xf>
    <x:xf numFmtId="200" fontId="9" fillId="0" borderId="2" xfId="0" applyNumberFormat="1" applyFont="1" applyFill="1" applyBorder="1" applyAlignment="1">
      <x:alignment horizontal="right" vertical="bottom" wrapText="0"/>
    </x:xf>
    <x:xf numFmtId="200" fontId="6" fillId="5" borderId="7" xfId="0" applyNumberFormat="1" applyFont="1" applyFill="1" applyBorder="1" applyAlignment="1">
      <x:alignment horizontal="right" vertical="bottom" wrapText="0"/>
    </x:xf>
    <x:xf numFmtId="201" fontId="6" fillId="0" borderId="2" xfId="0" applyNumberFormat="1" applyFont="1" applyFill="1" applyBorder="1" applyAlignment="1">
      <x:alignment horizontal="right" vertical="bottom" wrapText="0"/>
    </x:xf>
    <x:xf numFmtId="201" fontId="9" fillId="0" borderId="2" xfId="0" applyNumberFormat="1" applyFont="1" applyFill="1" applyBorder="1" applyAlignment="1">
      <x:alignment horizontal="right" vertical="bottom" wrapText="0"/>
    </x:xf>
    <x:xf numFmtId="201" fontId="6" fillId="5" borderId="7" xfId="0" applyNumberFormat="1" applyFont="1" applyFill="1" applyBorder="1" applyAlignment="1">
      <x:alignment horizontal="right" vertical="bottom" wrapText="0"/>
    </x:xf>
    <x:xf numFmtId="202" fontId="6" fillId="0" borderId="2" xfId="0" applyNumberFormat="1" applyFont="1" applyFill="1" applyBorder="1" applyAlignment="1">
      <x:alignment horizontal="right" vertical="bottom" wrapText="0"/>
    </x:xf>
    <x:xf numFmtId="202" fontId="9" fillId="0" borderId="2" xfId="0" applyNumberFormat="1" applyFont="1" applyFill="1" applyBorder="1" applyAlignment="1">
      <x:alignment horizontal="right" vertical="bottom" wrapText="0"/>
    </x:xf>
    <x:xf numFmtId="202" fontId="6" fillId="5" borderId="7" xfId="0" applyNumberFormat="1" applyFont="1" applyFill="1" applyBorder="1" applyAlignment="1">
      <x:alignment horizontal="right" vertical="bottom" wrapText="0"/>
    </x:xf>
    <x:xf numFmtId="203" fontId="6" fillId="0" borderId="2" xfId="0" applyNumberFormat="1" applyFont="1" applyFill="1" applyBorder="1" applyAlignment="1">
      <x:alignment horizontal="right" vertical="bottom" wrapText="0"/>
    </x:xf>
    <x:xf numFmtId="203" fontId="9" fillId="0" borderId="2" xfId="0" applyNumberFormat="1" applyFont="1" applyFill="1" applyBorder="1" applyAlignment="1">
      <x:alignment horizontal="right" vertical="bottom" wrapText="0"/>
    </x:xf>
    <x:xf numFmtId="203" fontId="6" fillId="5" borderId="7" xfId="0" applyNumberFormat="1" applyFont="1" applyFill="1" applyBorder="1" applyAlignment="1">
      <x:alignment horizontal="right" vertical="bottom" wrapText="0"/>
    </x:xf>
    <x:xf numFmtId="164" fontId="6" fillId="6" borderId="7" xfId="0" applyNumberFormat="1" applyFont="1" applyFill="1" applyBorder="1" applyAlignment="1">
      <x:alignment horizontal="general" vertical="bottom" wrapText="0"/>
    </x:xf>
    <x:xf numFmtId="164" fontId="0" fillId="6" borderId="7" xfId="0" applyNumberFormat="1" applyFont="1" applyFill="1" applyBorder="1" applyAlignment="1">
      <x:alignment horizontal="general" vertical="bottom" wrapText="0"/>
    </x:xf>
    <x:xf numFmtId="170" fontId="6" fillId="6" borderId="7" xfId="0" applyNumberFormat="1" applyFont="1" applyFill="1" applyBorder="1" applyAlignment="1">
      <x:alignment horizontal="right" vertical="bottom" wrapText="0"/>
    </x:xf>
    <x:xf numFmtId="164" fontId="18" fillId="6" borderId="7" xfId="0" applyNumberFormat="1" applyFont="1" applyFill="1" applyBorder="1" applyAlignment="1">
      <x:alignment horizontal="general" vertical="bottom" wrapText="0"/>
    </x:xf>
    <x:xf numFmtId="164" fontId="19" fillId="6" borderId="7" xfId="0" applyNumberFormat="1" applyFont="1" applyFill="1" applyBorder="1" applyAlignment="1">
      <x:alignment horizontal="general" vertical="bottom" wrapText="0"/>
    </x:xf>
    <x:xf numFmtId="170" fontId="18" fillId="6" borderId="7" xfId="0" applyNumberFormat="1" applyFont="1" applyFill="1" applyBorder="1" applyAlignment="1">
      <x:alignment horizontal="right" vertical="bottom" wrapText="0"/>
    </x:xf>
    <x:xf numFmtId="164" fontId="9" fillId="6" borderId="2" xfId="0" applyNumberFormat="1" applyFont="1" applyFill="1" applyBorder="1" applyAlignment="1">
      <x:alignment horizontal="general" vertical="bottom" wrapText="0"/>
    </x:xf>
    <x:xf numFmtId="167" fontId="9" fillId="6" borderId="2" xfId="0" applyNumberFormat="1" applyFont="1" applyFill="1" applyBorder="1" applyAlignment="1">
      <x:alignment horizontal="right" vertical="bottom" wrapText="0"/>
    </x:xf>
    <x:xf numFmtId="167" fontId="18" fillId="6" borderId="2" xfId="0" applyNumberFormat="1" applyFont="1" applyFill="1" applyBorder="1" applyAlignment="1">
      <x:alignment horizontal="right" vertical="bottom" wrapText="0"/>
    </x:xf>
    <x:xf numFmtId="204" fontId="6" fillId="0" borderId="2" xfId="0" applyNumberFormat="1" applyFont="1" applyFill="1" applyBorder="1" applyAlignment="1">
      <x:alignment horizontal="right" vertical="bottom" wrapText="0"/>
    </x:xf>
    <x:xf numFmtId="204" fontId="9" fillId="0" borderId="2" xfId="0" applyNumberFormat="1" applyFont="1" applyFill="1" applyBorder="1" applyAlignment="1">
      <x:alignment horizontal="right" vertical="bottom" wrapText="0"/>
    </x:xf>
    <x:xf numFmtId="204" fontId="6" fillId="5" borderId="7" xfId="0" applyNumberFormat="1" applyFont="1" applyFill="1" applyBorder="1" applyAlignment="1">
      <x:alignment horizontal="right" vertical="bottom" wrapText="0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1"/>
    </x:xf>
    <x:xf numFmtId="206" fontId="4" fillId="0" borderId="0" xfId="0" applyNumberFormat="1" applyFont="1" applyFill="1" applyBorder="1" applyAlignment="1">
      <x:alignment horizontal="general" vertical="bottom" wrapText="0"/>
    </x:xf>
    <x:xf numFmtId="206" fontId="0" fillId="0" borderId="0" xfId="0" applyNumberFormat="1" applyFont="1" applyFill="1" applyBorder="1" applyAlignment="1">
      <x:alignment horizontal="general" vertical="bottom" wrapText="0"/>
    </x:xf>
    <x:xf numFmtId="206" fontId="11" fillId="0" borderId="0" xfId="0" applyNumberFormat="1" applyFont="1" applyFill="1" applyBorder="1" applyAlignment="1">
      <x:alignment horizontal="general" vertical="bottom" wrapText="0"/>
    </x:xf>
    <x:xf numFmtId="206" fontId="10" fillId="0" borderId="0" xfId="0" applyNumberFormat="1" applyFont="1" applyFill="1" applyBorder="1" applyAlignment="1">
      <x:alignment horizontal="general" vertical="bottom" wrapText="0"/>
    </x:xf>
    <x:xf numFmtId="206" fontId="7" fillId="2" borderId="0" xfId="0" applyNumberFormat="1" applyFont="1" applyFill="1" applyBorder="1" applyAlignment="1">
      <x:alignment horizontal="general" vertical="bottom" wrapText="0"/>
    </x:xf>
    <x:xf numFmtId="206" fontId="0" fillId="2" borderId="0" xfId="0" applyNumberFormat="1" applyFont="1" applyFill="1" applyBorder="1" applyAlignment="1">
      <x:alignment horizontal="general" vertical="bottom" wrapText="0"/>
    </x:xf>
    <x:xf numFmtId="206" fontId="6" fillId="3" borderId="3" xfId="0" applyNumberFormat="1" applyFont="1" applyFill="1" applyBorder="1" applyAlignment="1">
      <x:alignment horizontal="left" vertical="center" wrapText="0"/>
    </x:xf>
    <x:xf numFmtId="206" fontId="6" fillId="3" borderId="4" xfId="0" applyNumberFormat="1" applyFont="1" applyFill="1" applyBorder="1" applyAlignment="1">
      <x:alignment horizontal="left" vertical="center" wrapText="0"/>
    </x:xf>
    <x:xf numFmtId="206" fontId="12" fillId="4" borderId="0" xfId="0" applyNumberFormat="1" applyFont="1" applyFill="1" applyBorder="1" applyAlignment="1">
      <x:alignment horizontal="general" vertical="bottom" wrapText="0"/>
    </x:xf>
    <x:xf numFmtId="206" fontId="0" fillId="4" borderId="0" xfId="0" applyNumberFormat="1" applyFont="1" applyFill="1" applyBorder="1" applyAlignment="1">
      <x:alignment horizontal="general" vertical="bottom" wrapText="0"/>
    </x:xf>
    <x:xf numFmtId="206" fontId="9" fillId="0" borderId="5" xfId="0" applyNumberFormat="1" applyFont="1" applyFill="1" applyBorder="1" applyAlignment="1">
      <x:alignment horizontal="general" vertical="bottom" wrapText="0"/>
    </x:xf>
    <x:xf numFmtId="206" fontId="0" fillId="0" borderId="6" xfId="0" applyNumberFormat="1" applyFont="1" applyFill="1" applyBorder="1" applyAlignment="1">
      <x:alignment horizontal="general" vertical="bottom" wrapText="0"/>
    </x:xf>
    <x:xf numFmtId="206" fontId="6" fillId="5" borderId="5" xfId="0" applyNumberFormat="1" applyFont="1" applyFill="1" applyBorder="1" applyAlignment="1">
      <x:alignment horizontal="general" vertical="bottom" wrapText="0"/>
    </x:xf>
    <x:xf numFmtId="206" fontId="0" fillId="5" borderId="6" xfId="0" applyNumberFormat="1" applyFont="1" applyFill="1" applyBorder="1" applyAlignment="1">
      <x:alignment horizontal="general" vertical="bottom" wrapText="0"/>
    </x:xf>
    <x:xf numFmtId="206" fontId="6" fillId="3" borderId="1" xfId="0" applyNumberFormat="1" applyFont="1" applyFill="1" applyBorder="1" applyAlignment="1">
      <x:alignment horizontal="left" vertical="center" wrapText="0"/>
    </x:xf>
    <x:xf numFmtId="206" fontId="18" fillId="6" borderId="0" xfId="0" applyNumberFormat="1" applyFont="1" applyFill="1" applyBorder="1" applyAlignment="1">
      <x:alignment horizontal="general" vertical="bottom" wrapText="0"/>
    </x:xf>
    <x:xf numFmtId="206" fontId="19" fillId="6" borderId="0" xfId="0" applyNumberFormat="1" applyFont="1" applyFill="1" applyBorder="1" applyAlignment="1">
      <x:alignment horizontal="general" vertical="bottom" wrapText="0"/>
    </x:xf>
    <x:xf numFmtId="206" fontId="0" fillId="0" borderId="2" xfId="0" applyNumberFormat="1" applyFont="1" applyFill="1" applyBorder="1" applyAlignment="1">
      <x:alignment horizontal="general" vertical="bottom" wrapText="0"/>
    </x:xf>
    <x:xf numFmtId="206" fontId="13" fillId="0" borderId="2" xfId="0" applyNumberFormat="1" applyFont="1" applyFill="1" applyBorder="1" applyAlignment="1">
      <x:alignment horizontal="general" vertical="bottom" wrapText="0"/>
    </x:xf>
    <x:xf numFmtId="206" fontId="19" fillId="6" borderId="2" xfId="0" applyNumberFormat="1" applyFont="1" applyFill="1" applyBorder="1" applyAlignment="1">
      <x:alignment horizontal="general" vertical="bottom" wrapText="0"/>
    </x:xf>
    <x:xf numFmtId="206" fontId="18" fillId="6" borderId="2" xfId="0" applyNumberFormat="1" applyFont="1" applyFill="1" applyBorder="1" applyAlignment="1">
      <x:alignment horizontal="general" vertical="bottom" wrapText="0"/>
    </x:xf>
    <x:xf numFmtId="206" fontId="20" fillId="0" borderId="0" xfId="0" applyNumberFormat="1" applyFont="1" applyFill="1" applyBorder="1" applyAlignment="1">
      <x:alignment horizontal="general" vertical="bottom" wrapText="0"/>
    </x:xf>
    <x:xf numFmtId="206" fontId="6" fillId="3" borderId="1" xfId="0" applyNumberFormat="1" applyFont="1" applyFill="1" applyBorder="1" applyAlignment="1">
      <x:alignment horizontal="left" vertical="bottom" wrapText="0"/>
    </x:xf>
    <x:xf numFmtId="206" fontId="20" fillId="0" borderId="0" xfId="0" applyNumberFormat="1" applyFont="1" applyFill="1" applyBorder="1" applyAlignment="1">
      <x:alignment horizontal="general" vertical="bottom" wrapText="1"/>
    </x:xf>
    <x:xf numFmtId="206" fontId="22" fillId="0" borderId="2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B08D57"/>
      <x:rgbColor rgb="FF800080"/>
      <x:rgbColor rgb="FF008080"/>
      <x:rgbColor rgb="FFC9CFC6"/>
      <x:rgbColor rgb="FF878787"/>
      <x:rgbColor rgb="FF8FA98A"/>
      <x:rgbColor rgb="FFA35D5D"/>
      <x:rgbColor rgb="FFEEF3EC"/>
      <x:rgbColor rgb="FFF2F2F2"/>
      <x:rgbColor rgb="FF660066"/>
      <x:rgbColor rgb="FFFF8080"/>
      <x:rgbColor rgb="FF1F5C99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CE6D7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F7F99"/>
      <x:rgbColor rgb="FF8C8C8C"/>
      <x:rgbColor rgb="FF1E4D3A"/>
      <x:rgbColor rgb="FF339966"/>
      <x:rgbColor rgb="FF003300"/>
      <x:rgbColor rgb="FF333300"/>
      <x:rgbColor rgb="FF993300"/>
      <x:rgbColor rgb="FF993366"/>
      <x:rgbColor rgb="FF595959"/>
      <x:rgbColor rgb="FF262626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daa71a6664b4c" /><Relationship Type="http://schemas.openxmlformats.org/officeDocument/2006/relationships/theme" Target="/xl/theme/theme1.xml" Id="R5a03c340e2de4bbb" /><Relationship Type="http://schemas.openxmlformats.org/officeDocument/2006/relationships/sharedStrings" Target="/xl/sharedStrings.xml" Id="Rca247d543f7240f2" /><Relationship Type="http://schemas.openxmlformats.org/officeDocument/2006/relationships/worksheet" Target="/xl/worksheets/sheet1.xml" Id="Rbdc02cb5cc364017" /><Relationship Type="http://schemas.openxmlformats.org/officeDocument/2006/relationships/worksheet" Target="/xl/worksheets/sheet2.xml" Id="R14d1e51eaa884eb2" /><Relationship Type="http://schemas.openxmlformats.org/officeDocument/2006/relationships/worksheet" Target="/xl/worksheets/sheet3.xml" Id="R92f07051470d4269" /><Relationship Type="http://schemas.openxmlformats.org/officeDocument/2006/relationships/worksheet" Target="/xl/worksheets/sheet4.xml" Id="R1f047d8f724d41e1" /><Relationship Type="http://schemas.openxmlformats.org/officeDocument/2006/relationships/worksheet" Target="/xl/worksheets/sheet5.xml" Id="R43ab407e80a54745" /><Relationship Type="http://schemas.openxmlformats.org/officeDocument/2006/relationships/worksheet" Target="/xl/worksheets/sheet6.xml" Id="Re9f28fed9fed407b" /><Relationship Type="http://schemas.openxmlformats.org/officeDocument/2006/relationships/worksheet" Target="/xl/worksheets/sheet7.xml" Id="Re7ec9e23b815417e" /><Relationship Type="http://schemas.openxmlformats.org/officeDocument/2006/relationships/worksheet" Target="/xl/worksheets/sheet8.xml" Id="R23e10d14cd8845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c44d1140aa45c5" /><Relationship Type="http://schemas.openxmlformats.org/officeDocument/2006/relationships/chart" Target="/xl/drawings/charts/chart2.xml" Id="Rf9466c0345834137" /><Relationship Type="http://schemas.openxmlformats.org/officeDocument/2006/relationships/chart" Target="/xl/drawings/charts/chart3.xml" Id="R65bf6ac91e7a412a" /><Relationship Type="http://schemas.openxmlformats.org/officeDocument/2006/relationships/chart" Target="/xl/drawings/charts/chart4.xml" Id="R71377bd49ca34981" /><Relationship Type="http://schemas.openxmlformats.org/officeDocument/2006/relationships/chart" Target="/xl/drawings/charts/chart5.xml" Id="Rcc4e0cb32d334752" /><Relationship Type="http://schemas.openxmlformats.org/officeDocument/2006/relationships/chart" Target="/xl/drawings/charts/chart6.xml" Id="R1abcd6e0950c4b10" /><Relationship Type="http://schemas.openxmlformats.org/officeDocument/2006/relationships/chart" Target="/xl/drawings/charts/chart7.xml" Id="Rc91a56591c694d18" /><Relationship Type="http://schemas.openxmlformats.org/officeDocument/2006/relationships/chart" Target="/xl/drawings/charts/chart8.xml" Id="R99e0b9687a5e4f2c" /><Relationship Type="http://schemas.openxmlformats.org/officeDocument/2006/relationships/chart" Target="/xl/drawings/charts/chart9.xml" Id="Rf4be434c65534d84" /><Relationship Type="http://schemas.openxmlformats.org/officeDocument/2006/relationships/chart" Target="/xl/drawings/charts/chart10.xml" Id="R33e57b53b32a438e" /><Relationship Type="http://schemas.openxmlformats.org/officeDocument/2006/relationships/chart" Target="/xl/drawings/charts/chart11.xml" Id="R1052f719b4b94247" /><Relationship Type="http://schemas.openxmlformats.org/officeDocument/2006/relationships/chart" Target="/xl/drawings/charts/chart12.xml" Id="Ra4e8c7200b7743d2" /><Relationship Type="http://schemas.openxmlformats.org/officeDocument/2006/relationships/chart" Target="/xl/drawings/charts/chart13.xml" Id="Rffda87cfed4641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Current ratio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Averages'!$C$7:$G$7</c:f>
              <c:numCache>
                <c:formatCode>0.00</c:formatCode>
                <c:ptCount val="5"/>
                <c:pt idx="0">
                  <c:v>1.300644669141496</c:v>
                </c:pt>
                <c:pt idx="1">
                  <c:v>1.87350852761098</c:v>
                </c:pt>
                <c:pt idx="2">
                  <c:v>2.311570515459215</c:v>
                </c:pt>
                <c:pt idx="3">
                  <c:v>2.903159053016002</c:v>
                </c:pt>
                <c:pt idx="4">
                  <c:v>3.311248687172772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Averages'!$C$8:$G$8</c:f>
              <c:numCache>
                <c:formatCode>0.00</c:formatCode>
                <c:ptCount val="5"/>
                <c:pt idx="0">
                  <c:v>1.338607945893822</c:v>
                </c:pt>
                <c:pt idx="1">
                  <c:v>1.476076630037431</c:v>
                </c:pt>
                <c:pt idx="2">
                  <c:v>1.290071633326858</c:v>
                </c:pt>
                <c:pt idx="3">
                  <c:v>1.263222235474323</c:v>
                </c:pt>
                <c:pt idx="4">
                  <c:v>1.714614387590416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Averages'!$C$9:$G$9</c:f>
              <c:numCache>
                <c:formatCode>0.00</c:formatCode>
                <c:ptCount val="5"/>
                <c:pt idx="0">
                  <c:v>0.9145250886450902</c:v>
                </c:pt>
                <c:pt idx="1">
                  <c:v>0.8855287714771004</c:v>
                </c:pt>
                <c:pt idx="2">
                  <c:v>0.8017674905738562</c:v>
                </c:pt>
                <c:pt idx="3">
                  <c:v>1.296185931254842</c:v>
                </c:pt>
                <c:pt idx="4">
                  <c:v>1.848951793297961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Averages'!$C$10:$G$10</c:f>
              <c:numCache>
                <c:formatCode>0.00</c:formatCode>
                <c:ptCount val="5"/>
                <c:pt idx="0">
                  <c:v>1.47809885681825</c:v>
                </c:pt>
                <c:pt idx="1">
                  <c:v>1.254955740894542</c:v>
                </c:pt>
                <c:pt idx="2">
                  <c:v>1.371547221554631</c:v>
                </c:pt>
                <c:pt idx="3">
                  <c:v>1.444678241512437</c:v>
                </c:pt>
                <c:pt idx="4">
                  <c:v>1.532441130364551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Averages'!$C$11:$G$11</c:f>
              <c:numCache>
                <c:formatCode>0.00</c:formatCode>
                <c:ptCount val="5"/>
                <c:pt idx="0">
                  <c:v>2.01862288296847</c:v>
                </c:pt>
                <c:pt idx="1">
                  <c:v>1.055968894871809</c:v>
                </c:pt>
                <c:pt idx="2">
                  <c:v>0.8121113755800701</c:v>
                </c:pt>
                <c:pt idx="3">
                  <c:v>0.9597477311673009</c:v>
                </c:pt>
                <c:pt idx="4">
                  <c:v>1.321014082841037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Averages'!$C$12:$G$12</c:f>
              <c:numCache>
                <c:formatCode>0.00</c:formatCode>
                <c:ptCount val="5"/>
                <c:pt idx="0">
                  <c:v>1.410099888693426</c:v>
                </c:pt>
                <c:pt idx="1">
                  <c:v>1.309207712978373</c:v>
                </c:pt>
                <c:pt idx="2">
                  <c:v>1.317413647298926</c:v>
                </c:pt>
                <c:pt idx="3">
                  <c:v>1.573398638484981</c:v>
                </c:pt>
                <c:pt idx="4">
                  <c:v>1.945654016253348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Quick ratio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Averages'!$C$15:$G$15</c:f>
              <c:numCache>
                <c:formatCode>0.00</c:formatCode>
                <c:ptCount val="5"/>
                <c:pt idx="0">
                  <c:v>0.748160438555549</c:v>
                </c:pt>
                <c:pt idx="1">
                  <c:v>1.27580701104523</c:v>
                </c:pt>
                <c:pt idx="2">
                  <c:v>1.539211030063469</c:v>
                </c:pt>
                <c:pt idx="3">
                  <c:v>2.220059339921235</c:v>
                </c:pt>
                <c:pt idx="4">
                  <c:v>2.667700378434095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Averages'!$C$16:$G$16</c:f>
              <c:numCache>
                <c:formatCode>0.00</c:formatCode>
                <c:ptCount val="5"/>
                <c:pt idx="0">
                  <c:v>0.8900088610068509</c:v>
                </c:pt>
                <c:pt idx="1">
                  <c:v>0.8707609191920863</c:v>
                </c:pt>
                <c:pt idx="2">
                  <c:v>0.8541222656242641</c:v>
                </c:pt>
                <c:pt idx="3">
                  <c:v>0.8369831163170072</c:v>
                </c:pt>
                <c:pt idx="4">
                  <c:v>1.2939267138362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Averages'!$C$17:$G$17</c:f>
              <c:numCache>
                <c:formatCode>0.00</c:formatCode>
                <c:ptCount val="5"/>
                <c:pt idx="0">
                  <c:v>0.527188307782106</c:v>
                </c:pt>
                <c:pt idx="1">
                  <c:v>0.3909339078966533</c:v>
                </c:pt>
                <c:pt idx="2">
                  <c:v>0.3348993616744587</c:v>
                </c:pt>
                <c:pt idx="3">
                  <c:v>0.6677176492302713</c:v>
                </c:pt>
                <c:pt idx="4">
                  <c:v>1.057958767963469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Averages'!$C$18:$G$18</c:f>
              <c:numCache>
                <c:formatCode>0.00</c:formatCode>
                <c:ptCount val="5"/>
                <c:pt idx="0">
                  <c:v>0.439716919103873</c:v>
                </c:pt>
                <c:pt idx="1">
                  <c:v>0.2947352410622335</c:v>
                </c:pt>
                <c:pt idx="2">
                  <c:v>0.5204561252187091</c:v>
                </c:pt>
                <c:pt idx="3">
                  <c:v>0.6094267063846261</c:v>
                </c:pt>
                <c:pt idx="4">
                  <c:v>0.8078828259550986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Averages'!$C$19:$G$19</c:f>
              <c:numCache>
                <c:formatCode>0.00</c:formatCode>
                <c:ptCount val="5"/>
                <c:pt idx="0">
                  <c:v>1.13579884676847</c:v>
                </c:pt>
                <c:pt idx="1">
                  <c:v>0.4707842106056928</c:v>
                </c:pt>
                <c:pt idx="2">
                  <c:v>0.2812171087331332</c:v>
                </c:pt>
                <c:pt idx="3">
                  <c:v>0.3420463898878065</c:v>
                </c:pt>
                <c:pt idx="4">
                  <c:v>0.6775338076736492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Averages'!$C$20:$G$20</c:f>
              <c:numCache>
                <c:formatCode>0.00</c:formatCode>
                <c:ptCount val="5"/>
                <c:pt idx="0">
                  <c:v>0.74817467464337</c:v>
                </c:pt>
                <c:pt idx="1">
                  <c:v>0.6606042579603792</c:v>
                </c:pt>
                <c:pt idx="2">
                  <c:v>0.7059811782628069</c:v>
                </c:pt>
                <c:pt idx="3">
                  <c:v>0.9352466403481893</c:v>
                </c:pt>
                <c:pt idx="4">
                  <c:v>1.301000498772502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Inventory turnover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Averages'!$C$48:$G$48</c:f>
              <c:numCache>
                <c:formatCode>0.00</c:formatCode>
                <c:ptCount val="5"/>
                <c:pt idx="0">
                  <c:v>4.857098601325517</c:v>
                </c:pt>
                <c:pt idx="1">
                  <c:v>4.681131721571692</c:v>
                </c:pt>
                <c:pt idx="2">
                  <c:v>4.275379143771386</c:v>
                </c:pt>
                <c:pt idx="3">
                  <c:v>3.595736964511059</c:v>
                </c:pt>
                <c:pt idx="4">
                  <c:v>3.024880626442934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Averages'!$C$49:$G$49</c:f>
              <c:numCache>
                <c:formatCode>0.00</c:formatCode>
                <c:ptCount val="5"/>
                <c:pt idx="0">
                  <c:v>3.813607312713928</c:v>
                </c:pt>
                <c:pt idx="1">
                  <c:v>3.657733126059421</c:v>
                </c:pt>
                <c:pt idx="2">
                  <c:v>3.623481838776785</c:v>
                </c:pt>
                <c:pt idx="3">
                  <c:v>3.540169955094836</c:v>
                </c:pt>
                <c:pt idx="4">
                  <c:v>3.426094952590027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Averages'!$C$50:$G$50</c:f>
              <c:numCache>
                <c:formatCode>0.00</c:formatCode>
                <c:ptCount val="5"/>
                <c:pt idx="0">
                  <c:v>2.626752753172622</c:v>
                </c:pt>
                <c:pt idx="1">
                  <c:v>2.479761249901864</c:v>
                </c:pt>
                <c:pt idx="2">
                  <c:v>2.435296497695668</c:v>
                </c:pt>
                <c:pt idx="3">
                  <c:v>2.583201095183174</c:v>
                </c:pt>
                <c:pt idx="4">
                  <c:v>2.620344880036167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Averages'!$C$51:$G$51</c:f>
              <c:numCache>
                <c:formatCode>0.00</c:formatCode>
                <c:ptCount val="5"/>
                <c:pt idx="0">
                  <c:v>2.550356115419957</c:v>
                </c:pt>
                <c:pt idx="1">
                  <c:v>2.641882758319574</c:v>
                </c:pt>
                <c:pt idx="2">
                  <c:v>2.991643999189634</c:v>
                </c:pt>
                <c:pt idx="3">
                  <c:v>3.101356599565812</c:v>
                </c:pt>
                <c:pt idx="4">
                  <c:v>2.786573287705566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Averages'!$C$52:$G$52</c:f>
              <c:numCache>
                <c:formatCode>0.00</c:formatCode>
                <c:ptCount val="5"/>
                <c:pt idx="0">
                  <c:v>3.593399445976929</c:v>
                </c:pt>
                <c:pt idx="1">
                  <c:v>3.679828550986344</c:v>
                </c:pt>
                <c:pt idx="2">
                  <c:v>3.098194183322077</c:v>
                </c:pt>
                <c:pt idx="3">
                  <c:v>3.42677554120655</c:v>
                </c:pt>
                <c:pt idx="4">
                  <c:v>3.160883031584607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Averages'!$C$53:$G$53</c:f>
              <c:numCache>
                <c:formatCode>0.00</c:formatCode>
                <c:ptCount val="5"/>
                <c:pt idx="0">
                  <c:v>3.48824284572179</c:v>
                </c:pt>
                <c:pt idx="1">
                  <c:v>3.428067481367779</c:v>
                </c:pt>
                <c:pt idx="2">
                  <c:v>3.28479913255111</c:v>
                </c:pt>
                <c:pt idx="3">
                  <c:v>3.249448031112286</c:v>
                </c:pt>
                <c:pt idx="4">
                  <c:v>3.00375535567186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Total asset turnover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Averages'!$C$112:$G$112</c:f>
              <c:numCache>
                <c:formatCode>0.00</c:formatCode>
                <c:ptCount val="5"/>
                <c:pt idx="0">
                  <c:v>0.7092011621843222</c:v>
                </c:pt>
                <c:pt idx="1">
                  <c:v>0.8277428727778264</c:v>
                </c:pt>
                <c:pt idx="2">
                  <c:v>0.838099135080987</c:v>
                </c:pt>
                <c:pt idx="3">
                  <c:v>0.7132336607672219</c:v>
                </c:pt>
                <c:pt idx="4">
                  <c:v>0.59752332567838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Averages'!$C$113:$G$113</c:f>
              <c:numCache>
                <c:formatCode>0.00</c:formatCode>
                <c:ptCount val="5"/>
                <c:pt idx="0">
                  <c:v>0.4307524710051998</c:v>
                </c:pt>
                <c:pt idx="1">
                  <c:v>0.4751614147030488</c:v>
                </c:pt>
                <c:pt idx="2">
                  <c:v>0.4815184479475107</c:v>
                </c:pt>
                <c:pt idx="3">
                  <c:v>0.5158831372305058</c:v>
                </c:pt>
                <c:pt idx="4">
                  <c:v>0.4972850160070734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Averages'!$C$114:$G$114</c:f>
              <c:numCache>
                <c:formatCode>0.00</c:formatCode>
                <c:ptCount val="5"/>
                <c:pt idx="0">
                  <c:v>0.337321560534536</c:v>
                </c:pt>
                <c:pt idx="1">
                  <c:v>0.4229728105390463</c:v>
                </c:pt>
                <c:pt idx="2">
                  <c:v>0.4790987524859758</c:v>
                </c:pt>
                <c:pt idx="3">
                  <c:v>0.4836245249195485</c:v>
                </c:pt>
                <c:pt idx="4">
                  <c:v>0.5057355687914292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Averages'!$C$115:$G$115</c:f>
              <c:numCache>
                <c:formatCode>0.00</c:formatCode>
                <c:ptCount val="5"/>
                <c:pt idx="0">
                  <c:v>0.5374450896807583</c:v>
                </c:pt>
                <c:pt idx="1">
                  <c:v>0.6536676591930263</c:v>
                </c:pt>
                <c:pt idx="2">
                  <c:v>0.7221331478723996</c:v>
                </c:pt>
                <c:pt idx="3">
                  <c:v>0.7029264873878895</c:v>
                </c:pt>
                <c:pt idx="4">
                  <c:v>0.6311331505330572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Averages'!$C$116:$G$116</c:f>
              <c:numCache>
                <c:formatCode>0.00</c:formatCode>
                <c:ptCount val="5"/>
                <c:pt idx="0">
                  <c:v>0.7673483591494026</c:v>
                </c:pt>
                <c:pt idx="1">
                  <c:v>0.7342538737719585</c:v>
                </c:pt>
                <c:pt idx="2">
                  <c:v>0.5391058922773014</c:v>
                </c:pt>
                <c:pt idx="3">
                  <c:v>0.5587159547520806</c:v>
                </c:pt>
                <c:pt idx="4">
                  <c:v>0.576736892706269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Averages'!$C$117:$G$117</c:f>
              <c:numCache>
                <c:formatCode>0.00</c:formatCode>
                <c:ptCount val="5"/>
                <c:pt idx="0">
                  <c:v>0.5564137285108437</c:v>
                </c:pt>
                <c:pt idx="1">
                  <c:v>0.6227597261969813</c:v>
                </c:pt>
                <c:pt idx="2">
                  <c:v>0.6119910751328349</c:v>
                </c:pt>
                <c:pt idx="3">
                  <c:v>0.5948767530114493</c:v>
                </c:pt>
                <c:pt idx="4">
                  <c:v>0.5616827907432418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Cash conversion cycle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Averages'!$C$104:$G$104</c:f>
              <c:numCache>
                <c:formatCode>0.00</c:formatCode>
                <c:ptCount val="5"/>
                <c:pt idx="0">
                  <c:v>59.66334864328658</c:v>
                </c:pt>
                <c:pt idx="1">
                  <c:v>66.07219583568286</c:v>
                </c:pt>
                <c:pt idx="2">
                  <c:v>82.78887616309285</c:v>
                </c:pt>
                <c:pt idx="3">
                  <c:v>100.8023455695939</c:v>
                </c:pt>
                <c:pt idx="4">
                  <c:v>108.0471626527696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Averages'!$C$105:$G$105</c:f>
              <c:numCache>
                <c:formatCode>0.00</c:formatCode>
                <c:ptCount val="5"/>
                <c:pt idx="0">
                  <c:v>90.74788941203903</c:v>
                </c:pt>
                <c:pt idx="1">
                  <c:v>94.37733461469227</c:v>
                </c:pt>
                <c:pt idx="2">
                  <c:v>95.20473922370724</c:v>
                </c:pt>
                <c:pt idx="3">
                  <c:v>93.02401833141005</c:v>
                </c:pt>
                <c:pt idx="4">
                  <c:v>95.67813071445953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Averages'!$C$106:$G$106</c:f>
              <c:numCache>
                <c:formatCode>0.00</c:formatCode>
                <c:ptCount val="5"/>
                <c:pt idx="0">
                  <c:v>97.32755795260586</c:v>
                </c:pt>
                <c:pt idx="1">
                  <c:v>113.9705406536666</c:v>
                </c:pt>
                <c:pt idx="2">
                  <c:v>123.1063299670466</c:v>
                </c:pt>
                <c:pt idx="3">
                  <c:v>108.8998536879626</c:v>
                </c:pt>
                <c:pt idx="4">
                  <c:v>114.6728720468445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Averages'!$C$107:$G$107</c:f>
              <c:numCache>
                <c:formatCode>0.00</c:formatCode>
                <c:ptCount val="5"/>
                <c:pt idx="0">
                  <c:v>117.1426811268491</c:v>
                </c:pt>
                <c:pt idx="1">
                  <c:v>113.5528709226209</c:v>
                </c:pt>
                <c:pt idx="2">
                  <c:v>90.89673173756466</c:v>
                </c:pt>
                <c:pt idx="3">
                  <c:v>87.90058518831941</c:v>
                </c:pt>
                <c:pt idx="4">
                  <c:v>102.9163012483726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Averages'!$C$108:$G$108</c:f>
              <c:numCache>
                <c:formatCode>0.00</c:formatCode>
                <c:ptCount val="5"/>
                <c:pt idx="0">
                  <c:v>108.1697862074718</c:v>
                </c:pt>
                <c:pt idx="1">
                  <c:v>95.49527727433959</c:v>
                </c:pt>
                <c:pt idx="2">
                  <c:v>113.5336371144512</c:v>
                </c:pt>
                <c:pt idx="3">
                  <c:v>109.3410472592495</c:v>
                </c:pt>
                <c:pt idx="4">
                  <c:v>125.8888849956775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Averages'!$C$109:$G$109</c:f>
              <c:numCache>
                <c:formatCode>0.00</c:formatCode>
                <c:ptCount val="5"/>
                <c:pt idx="0">
                  <c:v>94.61025266845047</c:v>
                </c:pt>
                <c:pt idx="1">
                  <c:v>96.69364386020045</c:v>
                </c:pt>
                <c:pt idx="2">
                  <c:v>101.1060628411725</c:v>
                </c:pt>
                <c:pt idx="3">
                  <c:v>99.99357000730708</c:v>
                </c:pt>
                <c:pt idx="4">
                  <c:v>109.4406703316248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Debt-to-equity (total liabilities / equity)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Averages'!$C$137:$G$137</c:f>
              <c:numCache>
                <c:formatCode>0.00</c:formatCode>
                <c:ptCount val="5"/>
                <c:pt idx="0">
                  <c:v>0.6238152183846396</c:v>
                </c:pt>
                <c:pt idx="1">
                  <c:v>0.5910708889696489</c:v>
                </c:pt>
                <c:pt idx="2">
                  <c:v>0.5188594676127575</c:v>
                </c:pt>
                <c:pt idx="3">
                  <c:v>0.4320481383692331</c:v>
                </c:pt>
                <c:pt idx="4">
                  <c:v>0.3928483048536595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Averages'!$C$138:$G$138</c:f>
              <c:numCache>
                <c:formatCode>0.00</c:formatCode>
                <c:ptCount val="5"/>
                <c:pt idx="0">
                  <c:v>0.3813401556028255</c:v>
                </c:pt>
                <c:pt idx="1">
                  <c:v>0.4389443113586675</c:v>
                </c:pt>
                <c:pt idx="2">
                  <c:v>0.5511739536514938</c:v>
                </c:pt>
                <c:pt idx="3">
                  <c:v>0.5837579016050328</c:v>
                </c:pt>
                <c:pt idx="4">
                  <c:v>0.5163857850360184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Averages'!$C$139:$G$139</c:f>
              <c:numCache>
                <c:formatCode>0.00</c:formatCode>
                <c:ptCount val="5"/>
                <c:pt idx="0">
                  <c:v>0.8766832975690517</c:v>
                </c:pt>
                <c:pt idx="1">
                  <c:v>0.9531710543286772</c:v>
                </c:pt>
                <c:pt idx="2">
                  <c:v>1.098589741566575</c:v>
                </c:pt>
                <c:pt idx="3">
                  <c:v>0.8245253260560679</c:v>
                </c:pt>
                <c:pt idx="4">
                  <c:v>0.5414399758278128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Averages'!$C$140:$G$140</c:f>
              <c:numCache>
                <c:formatCode>0.00</c:formatCode>
                <c:ptCount val="5"/>
                <c:pt idx="0">
                  <c:v>0.7643791878658399</c:v>
                </c:pt>
                <c:pt idx="1">
                  <c:v>1.027026790468161</c:v>
                </c:pt>
                <c:pt idx="2">
                  <c:v>0.9973611938820361</c:v>
                </c:pt>
                <c:pt idx="3">
                  <c:v>0.8885102581523445</c:v>
                </c:pt>
                <c:pt idx="4">
                  <c:v>0.6667172905971644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Averages'!$C$141:$G$141</c:f>
              <c:numCache>
                <c:formatCode>0.00</c:formatCode>
                <c:ptCount val="5"/>
                <c:pt idx="0">
                  <c:v>0.4629967488370152</c:v>
                </c:pt>
                <c:pt idx="1">
                  <c:v>0.9692733601339171</c:v>
                </c:pt>
                <c:pt idx="2">
                  <c:v>1.130064091181662</c:v>
                </c:pt>
                <c:pt idx="3">
                  <c:v>1.01142515128949</c:v>
                </c:pt>
                <c:pt idx="4">
                  <c:v>0.9086386225931091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Averages'!$C$142:$G$142</c:f>
              <c:numCache>
                <c:formatCode>0.00</c:formatCode>
                <c:ptCount val="5"/>
                <c:pt idx="0">
                  <c:v>0.6218429216518744</c:v>
                </c:pt>
                <c:pt idx="1">
                  <c:v>0.7958972810518143</c:v>
                </c:pt>
                <c:pt idx="2">
                  <c:v>0.859209689578905</c:v>
                </c:pt>
                <c:pt idx="3">
                  <c:v>0.7480533550944335</c:v>
                </c:pt>
                <c:pt idx="4">
                  <c:v>0.6052059957815528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Times interest earned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Averages'!$C$161:$G$161</c:f>
              <c:numCache>
                <c:formatCode>0.00</c:formatCode>
                <c:ptCount val="5"/>
                <c:pt idx="0">
                  <c:v>11.01970690118175</c:v>
                </c:pt>
                <c:pt idx="1">
                  <c:v>18.36315245249661</c:v>
                </c:pt>
                <c:pt idx="2">
                  <c:v>16.39882527987395</c:v>
                </c:pt>
                <c:pt idx="3">
                  <c:v>22.36772022420514</c:v>
                </c:pt>
                <c:pt idx="4">
                  <c:v>59.09895319837231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Averages'!$C$162:$G$162</c:f>
              <c:numCache>
                <c:formatCode>0.00</c:formatCode>
                <c:ptCount val="5"/>
                <c:pt idx="0">
                  <c:v>52.04222826331838</c:v>
                </c:pt>
                <c:pt idx="1">
                  <c:v>55.29736107696245</c:v>
                </c:pt>
                <c:pt idx="2">
                  <c:v>19.42796143583512</c:v>
                </c:pt>
                <c:pt idx="3">
                  <c:v>27.53461601309808</c:v>
                </c:pt>
                <c:pt idx="4">
                  <c:v>36.7208914917797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Averages'!$C$163:$G$163</c:f>
              <c:numCache>
                <c:formatCode>0.00</c:formatCode>
                <c:ptCount val="5"/>
                <c:pt idx="0">
                  <c:v>2.665277021761826</c:v>
                </c:pt>
                <c:pt idx="1">
                  <c:v>2.705747833993529</c:v>
                </c:pt>
                <c:pt idx="2">
                  <c:v>1.477495819907488</c:v>
                </c:pt>
                <c:pt idx="3">
                  <c:v>1.367829033720977</c:v>
                </c:pt>
                <c:pt idx="4">
                  <c:v>4.421321516604763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Averages'!$C$164:$G$164</c:f>
              <c:numCache>
                <c:formatCode>0.00</c:formatCode>
                <c:ptCount val="5"/>
                <c:pt idx="0">
                  <c:v>6.069000565198944</c:v>
                </c:pt>
                <c:pt idx="1">
                  <c:v>5.280713598911259</c:v>
                </c:pt>
                <c:pt idx="2">
                  <c:v>4.472840944030858</c:v>
                </c:pt>
                <c:pt idx="3">
                  <c:v>3.222781857366191</c:v>
                </c:pt>
                <c:pt idx="4">
                  <c:v>7.387043000579386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Averages'!$C$165:$G$165</c:f>
              <c:numCache>
                <c:formatCode>0.00</c:formatCode>
                <c:ptCount val="5"/>
                <c:pt idx="0">
                  <c:v>56.64099140177174</c:v>
                </c:pt>
                <c:pt idx="1">
                  <c:v>12.79079383133847</c:v>
                </c:pt>
                <c:pt idx="2">
                  <c:v>6.303455869186725</c:v>
                </c:pt>
                <c:pt idx="3">
                  <c:v>3.782086656189459</c:v>
                </c:pt>
                <c:pt idx="4">
                  <c:v>4.810770991481205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Averages'!$C$166:$G$166</c:f>
              <c:numCache>
                <c:formatCode>0.00</c:formatCode>
                <c:ptCount val="5"/>
                <c:pt idx="0">
                  <c:v>25.68744083064653</c:v>
                </c:pt>
                <c:pt idx="1">
                  <c:v>18.88755375874046</c:v>
                </c:pt>
                <c:pt idx="2">
                  <c:v>9.61611586976683</c:v>
                </c:pt>
                <c:pt idx="3">
                  <c:v>11.65500675691597</c:v>
                </c:pt>
                <c:pt idx="4">
                  <c:v>22.48779603976347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Gross profit margin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Averages'!$C$170:$G$170</c:f>
              <c:numCache>
                <c:formatCode>0.0%</c:formatCode>
                <c:ptCount val="5"/>
                <c:pt idx="0">
                  <c:v>0.2479634130082893</c:v>
                </c:pt>
                <c:pt idx="1">
                  <c:v>0.2984391421350988</c:v>
                </c:pt>
                <c:pt idx="2">
                  <c:v>0.2680435681898961</c:v>
                </c:pt>
                <c:pt idx="3">
                  <c:v>0.291258514674256</c:v>
                </c:pt>
                <c:pt idx="4">
                  <c:v>0.3922027817544514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Averages'!$C$171:$G$171</c:f>
              <c:numCache>
                <c:formatCode>0.0%</c:formatCode>
                <c:ptCount val="5"/>
                <c:pt idx="0">
                  <c:v>0.3011707905547125</c:v>
                </c:pt>
                <c:pt idx="1">
                  <c:v>0.278096691443614</c:v>
                </c:pt>
                <c:pt idx="2">
                  <c:v>0.2719408759567914</c:v>
                </c:pt>
                <c:pt idx="3">
                  <c:v>0.3364803079632158</c:v>
                </c:pt>
                <c:pt idx="4">
                  <c:v>0.342816529820673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Averages'!$C$172:$G$172</c:f>
              <c:numCache>
                <c:formatCode>0.0%</c:formatCode>
                <c:ptCount val="5"/>
                <c:pt idx="0">
                  <c:v>0.1789471373949763</c:v>
                </c:pt>
                <c:pt idx="1">
                  <c:v>0.1796626113599641</c:v>
                </c:pt>
                <c:pt idx="2">
                  <c:v>0.147048524585835</c:v>
                </c:pt>
                <c:pt idx="3">
                  <c:v>0.1594256360843263</c:v>
                </c:pt>
                <c:pt idx="4">
                  <c:v>0.2574063254730092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Averages'!$C$173:$G$173</c:f>
              <c:numCache>
                <c:formatCode>0.0%</c:formatCode>
                <c:ptCount val="5"/>
                <c:pt idx="0">
                  <c:v>0.2083071444524036</c:v>
                </c:pt>
                <c:pt idx="1">
                  <c:v>0.2530000336770967</c:v>
                </c:pt>
                <c:pt idx="2">
                  <c:v>0.2927632247172742</c:v>
                </c:pt>
                <c:pt idx="3">
                  <c:v>0.3154784538237836</c:v>
                </c:pt>
                <c:pt idx="4">
                  <c:v>0.3444440599046921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Averages'!$C$174:$G$174</c:f>
              <c:numCache>
                <c:formatCode>0.0%</c:formatCode>
                <c:ptCount val="5"/>
                <c:pt idx="0">
                  <c:v>0.2498592472545232</c:v>
                </c:pt>
                <c:pt idx="1">
                  <c:v>0.2850790398885256</c:v>
                </c:pt>
                <c:pt idx="2">
                  <c:v>0.2999660404821077</c:v>
                </c:pt>
                <c:pt idx="3">
                  <c:v>0.3208998635022473</c:v>
                </c:pt>
                <c:pt idx="4">
                  <c:v>0.3549084220292905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Averages'!$C$175:$G$175</c:f>
              <c:numCache>
                <c:formatCode>0.0%</c:formatCode>
                <c:ptCount val="5"/>
                <c:pt idx="0">
                  <c:v>0.237249546532981</c:v>
                </c:pt>
                <c:pt idx="1">
                  <c:v>0.2588555037008599</c:v>
                </c:pt>
                <c:pt idx="2">
                  <c:v>0.2559524467863808</c:v>
                </c:pt>
                <c:pt idx="3">
                  <c:v>0.2847085552095658</c:v>
                </c:pt>
                <c:pt idx="4">
                  <c:v>0.3383556237964233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Net profit margin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Averages'!$C$186:$G$186</c:f>
              <c:numCache>
                <c:formatCode>0.0%</c:formatCode>
                <c:ptCount val="5"/>
                <c:pt idx="0">
                  <c:v>0.1453819089897026</c:v>
                </c:pt>
                <c:pt idx="1">
                  <c:v>0.1528207569578638</c:v>
                </c:pt>
                <c:pt idx="2">
                  <c:v>0.1495505287138454</c:v>
                </c:pt>
                <c:pt idx="3">
                  <c:v>0.2301156121989565</c:v>
                </c:pt>
                <c:pt idx="4">
                  <c:v>0.3083771970759486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Averages'!$C$187:$G$187</c:f>
              <c:numCache>
                <c:formatCode>0.0%</c:formatCode>
                <c:ptCount val="5"/>
                <c:pt idx="0">
                  <c:v>0.2235463782199799</c:v>
                </c:pt>
                <c:pt idx="1">
                  <c:v>0.1886540016604284</c:v>
                </c:pt>
                <c:pt idx="2">
                  <c:v>0.1432276582512547</c:v>
                </c:pt>
                <c:pt idx="3">
                  <c:v>0.2437160471322848</c:v>
                </c:pt>
                <c:pt idx="4">
                  <c:v>0.2657754275773376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Averages'!$C$188:$G$188</c:f>
              <c:numCache>
                <c:formatCode>0.0%</c:formatCode>
                <c:ptCount val="5"/>
                <c:pt idx="0">
                  <c:v>0.08249752980035112</c:v>
                </c:pt>
                <c:pt idx="1">
                  <c:v>0.05120493100192175</c:v>
                </c:pt>
                <c:pt idx="3">
                  <c:v>0.008213306596683071</c:v>
                </c:pt>
                <c:pt idx="4">
                  <c:v>0.1206665275985701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Averages'!$C$189:$G$189</c:f>
              <c:numCache>
                <c:formatCode>0.0%</c:formatCode>
                <c:ptCount val="5"/>
                <c:pt idx="0">
                  <c:v>0.1759822170452098</c:v>
                </c:pt>
                <c:pt idx="1">
                  <c:v>0.07473965893633715</c:v>
                </c:pt>
                <c:pt idx="2">
                  <c:v>0.07235844154915244</c:v>
                </c:pt>
                <c:pt idx="3">
                  <c:v>0.07934297520984508</c:v>
                </c:pt>
                <c:pt idx="4">
                  <c:v>0.2471100894795638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Averages'!$C$190:$G$190</c:f>
              <c:numCache>
                <c:formatCode>0.0%</c:formatCode>
                <c:ptCount val="5"/>
                <c:pt idx="0">
                  <c:v>0.1430229590233891</c:v>
                </c:pt>
                <c:pt idx="1">
                  <c:v>0.13112336204567</c:v>
                </c:pt>
                <c:pt idx="2">
                  <c:v>0.109295717266417</c:v>
                </c:pt>
                <c:pt idx="3">
                  <c:v>0.1027552642554954</c:v>
                </c:pt>
                <c:pt idx="4">
                  <c:v>0.1498061160977777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Averages'!$C$191:$G$191</c:f>
              <c:numCache>
                <c:formatCode>0.0%</c:formatCode>
                <c:ptCount val="5"/>
                <c:pt idx="0">
                  <c:v>0.1540861986157265</c:v>
                </c:pt>
                <c:pt idx="1">
                  <c:v>0.1197085421204442</c:v>
                </c:pt>
                <c:pt idx="2">
                  <c:v>0.1186080864451674</c:v>
                </c:pt>
                <c:pt idx="3">
                  <c:v>0.1328286410786529</c:v>
                </c:pt>
                <c:pt idx="4">
                  <c:v>0.2183470715658395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Return on assets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Averages'!$C$194:$G$194</c:f>
              <c:numCache>
                <c:formatCode>0.0%</c:formatCode>
                <c:ptCount val="5"/>
                <c:pt idx="0">
                  <c:v>0.1031050188160724</c:v>
                </c:pt>
                <c:pt idx="1">
                  <c:v>0.1264962923843842</c:v>
                </c:pt>
                <c:pt idx="2">
                  <c:v>0.1253381687659782</c:v>
                </c:pt>
                <c:pt idx="3">
                  <c:v>0.1641262004883521</c:v>
                </c:pt>
                <c:pt idx="4">
                  <c:v>0.184262568360198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Averages'!$C$195:$G$195</c:f>
              <c:numCache>
                <c:formatCode>0.0%</c:formatCode>
                <c:ptCount val="5"/>
                <c:pt idx="0">
                  <c:v>0.09629315480251932</c:v>
                </c:pt>
                <c:pt idx="1">
                  <c:v>0.08964110231836049</c:v>
                </c:pt>
                <c:pt idx="2">
                  <c:v>0.06896675970430062</c:v>
                </c:pt>
                <c:pt idx="3">
                  <c:v>0.1257289989880209</c:v>
                </c:pt>
                <c:pt idx="4">
                  <c:v>0.1321661377570831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Averages'!$C$196:$G$196</c:f>
              <c:numCache>
                <c:formatCode>0.0%</c:formatCode>
                <c:ptCount val="5"/>
                <c:pt idx="0">
                  <c:v>0.02782819549249883</c:v>
                </c:pt>
                <c:pt idx="1">
                  <c:v>0.02165829357934079</c:v>
                </c:pt>
                <c:pt idx="3">
                  <c:v>0.003972156500839445</c:v>
                </c:pt>
                <c:pt idx="4">
                  <c:v>0.06102535496914953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Averages'!$C$197:$G$197</c:f>
              <c:numCache>
                <c:formatCode>0.0%</c:formatCode>
                <c:ptCount val="5"/>
                <c:pt idx="0">
                  <c:v>0.09458077842208146</c:v>
                </c:pt>
                <c:pt idx="1">
                  <c:v>0.04885489790580065</c:v>
                </c:pt>
                <c:pt idx="2">
                  <c:v>0.05225242917103048</c:v>
                </c:pt>
                <c:pt idx="3">
                  <c:v>0.0557722788631608</c:v>
                </c:pt>
                <c:pt idx="4">
                  <c:v>0.1559593693017428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Averages'!$C$198:$G$198</c:f>
              <c:numCache>
                <c:formatCode>0.0%</c:formatCode>
                <c:ptCount val="5"/>
                <c:pt idx="0">
                  <c:v>0.1097484329272899</c:v>
                </c:pt>
                <c:pt idx="1">
                  <c:v>0.09627783652403621</c:v>
                </c:pt>
                <c:pt idx="2">
                  <c:v>0.0589219651789994</c:v>
                </c:pt>
                <c:pt idx="3">
                  <c:v>0.05741100557431145</c:v>
                </c:pt>
                <c:pt idx="4">
                  <c:v>0.08639871390662689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Averages'!$C$199:$G$199</c:f>
              <c:numCache>
                <c:formatCode>0.0%</c:formatCode>
                <c:ptCount val="5"/>
                <c:pt idx="0">
                  <c:v>0.08631111609209238</c:v>
                </c:pt>
                <c:pt idx="1">
                  <c:v>0.07658568454238449</c:v>
                </c:pt>
                <c:pt idx="2">
                  <c:v>0.07636983070507718</c:v>
                </c:pt>
                <c:pt idx="3">
                  <c:v>0.08140212808293693</c:v>
                </c:pt>
                <c:pt idx="4">
                  <c:v>0.1239624288589601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Return on equity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Averages'!$C$202:$G$202</c:f>
              <c:numCache>
                <c:formatCode>0.0%</c:formatCode>
                <c:ptCount val="5"/>
                <c:pt idx="0">
                  <c:v>0.1708175375326949</c:v>
                </c:pt>
                <c:pt idx="1">
                  <c:v>0.2031253153612202</c:v>
                </c:pt>
                <c:pt idx="2">
                  <c:v>0.1944909568032407</c:v>
                </c:pt>
                <c:pt idx="3">
                  <c:v>0.2413409096500538</c:v>
                </c:pt>
                <c:pt idx="4">
                  <c:v>0.259982908981603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Averages'!$C$203:$G$203</c:f>
              <c:numCache>
                <c:formatCode>0.0%</c:formatCode>
                <c:ptCount val="5"/>
                <c:pt idx="0">
                  <c:v>0.1324975621176271</c:v>
                </c:pt>
                <c:pt idx="1">
                  <c:v>0.1265705399848834</c:v>
                </c:pt>
                <c:pt idx="2">
                  <c:v>0.1032378392943538</c:v>
                </c:pt>
                <c:pt idx="3">
                  <c:v>0.197150599971901</c:v>
                </c:pt>
                <c:pt idx="4">
                  <c:v>0.2044798130421526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Averages'!$C$204:$G$204</c:f>
              <c:numCache>
                <c:formatCode>0.0%</c:formatCode>
                <c:ptCount val="5"/>
                <c:pt idx="0">
                  <c:v>0.05311474576838488</c:v>
                </c:pt>
                <c:pt idx="1">
                  <c:v>0.04145349267997234</c:v>
                </c:pt>
                <c:pt idx="3">
                  <c:v>0.007746311290114197</c:v>
                </c:pt>
                <c:pt idx="4">
                  <c:v>0.1017512616015002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Averages'!$C$205:$G$205</c:f>
              <c:numCache>
                <c:formatCode>0.0%</c:formatCode>
                <c:ptCount val="5"/>
                <c:pt idx="0">
                  <c:v>0.1816381864077175</c:v>
                </c:pt>
                <c:pt idx="1">
                  <c:v>0.09286217037724577</c:v>
                </c:pt>
                <c:pt idx="2">
                  <c:v>0.1051025416718004</c:v>
                </c:pt>
                <c:pt idx="3">
                  <c:v>0.1081222161747915</c:v>
                </c:pt>
                <c:pt idx="4">
                  <c:v>0.2746085954343051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Averages'!$C$206:$G$206</c:f>
              <c:numCache>
                <c:formatCode>0.0%</c:formatCode>
                <c:ptCount val="5"/>
                <c:pt idx="0">
                  <c:v>0.1611583902141483</c:v>
                </c:pt>
                <c:pt idx="1">
                  <c:v>0.1755928496623705</c:v>
                </c:pt>
                <c:pt idx="2">
                  <c:v>0.121057236550117</c:v>
                </c:pt>
                <c:pt idx="3">
                  <c:v>0.1186814408038298</c:v>
                </c:pt>
                <c:pt idx="4">
                  <c:v>0.1690380202363196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Averages'!$C$207:$G$207</c:f>
              <c:numCache>
                <c:formatCode>0.0%</c:formatCode>
                <c:ptCount val="5"/>
                <c:pt idx="0">
                  <c:v>0.1398452844081146</c:v>
                </c:pt>
                <c:pt idx="1">
                  <c:v>0.1279208736131384</c:v>
                </c:pt>
                <c:pt idx="2">
                  <c:v>0.130972143579878</c:v>
                </c:pt>
                <c:pt idx="3">
                  <c:v>0.1346082955781381</c:v>
                </c:pt>
                <c:pt idx="4">
                  <c:v>0.2019721198591761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KOHC earnings per share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Averages'!$C$243:$G$243</c:f>
              <c:numCache>
                <c:formatCode>0.00</c:formatCode>
                <c:ptCount val="5"/>
                <c:pt idx="0">
                  <c:v>17.41254935240212</c:v>
                </c:pt>
                <c:pt idx="1">
                  <c:v>25.01368026116052</c:v>
                </c:pt>
                <c:pt idx="2">
                  <c:v>28.97895827586932</c:v>
                </c:pt>
                <c:pt idx="3">
                  <c:v>45.27427267861498</c:v>
                </c:pt>
                <c:pt idx="4">
                  <c:v>59.84205460086993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Calibri"/>
                <a:ea typeface="Calibri"/>
                <a:cs typeface="Calibri"/>
              </a:rPr>
              <a:t>Market-to-book ratio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KOHC</c:v>
          </c:tx>
          <c:spPr>
            <a:solidFill xmlns:a="http://schemas.openxmlformats.org/drawingml/2006/main">
              <a:srgbClr val="204F3D"/>
            </a:solidFill>
            <a:ln xmlns:a="http://schemas.openxmlformats.org/drawingml/2006/main" w="22860">
              <a:solidFill>
                <a:srgbClr val="204F3D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Averages'!$C$235:$G$235</c:f>
              <c:numCache>
                <c:formatCode>0.00</c:formatCode>
                <c:ptCount val="5"/>
                <c:pt idx="0">
                  <c:v>1.86630259587061</c:v>
                </c:pt>
                <c:pt idx="1">
                  <c:v>0.959328683281757</c:v>
                </c:pt>
                <c:pt idx="2">
                  <c:v>1.06848700210342</c:v>
                </c:pt>
                <c:pt idx="3">
                  <c:v>1.193701148247572</c:v>
                </c:pt>
                <c:pt idx="4">
                  <c:v>1.454474785051403</c:v>
                </c:pt>
              </c:numCache>
            </c:numRef>
          </c:val>
          <c:smooth val="0"/>
        </c:ser>
        <c:ser>
          <c:idx val="1"/>
          <c:order val="1"/>
          <c:tx>
            <c:v>LUCK</c:v>
          </c:tx>
          <c:spPr>
            <a:solidFill xmlns:a="http://schemas.openxmlformats.org/drawingml/2006/main">
              <a:srgbClr val="8CB369"/>
            </a:solidFill>
            <a:ln xmlns:a="http://schemas.openxmlformats.org/drawingml/2006/main" w="13335">
              <a:solidFill>
                <a:srgbClr val="8CB36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Averages'!$C$236:$G$236</c:f>
              <c:numCache>
                <c:formatCode>0.00</c:formatCode>
                <c:ptCount val="5"/>
                <c:pt idx="0">
                  <c:v>2.466557187528672</c:v>
                </c:pt>
                <c:pt idx="1">
                  <c:v>1.154828736856148</c:v>
                </c:pt>
                <c:pt idx="2">
                  <c:v>1.185209064075864</c:v>
                </c:pt>
                <c:pt idx="3">
                  <c:v>1.797980468184503</c:v>
                </c:pt>
                <c:pt idx="4">
                  <c:v>2.958475451138761</c:v>
                </c:pt>
              </c:numCache>
            </c:numRef>
          </c:val>
          <c:smooth val="0"/>
        </c:ser>
        <c:ser>
          <c:idx val="2"/>
          <c:order val="2"/>
          <c:tx>
            <c:v>DGKC</c:v>
          </c:tx>
          <c:spPr>
            <a:solidFill xmlns:a="http://schemas.openxmlformats.org/drawingml/2006/main">
              <a:srgbClr val="C79A57"/>
            </a:solidFill>
            <a:ln xmlns:a="http://schemas.openxmlformats.org/drawingml/2006/main" w="13335">
              <a:solidFill>
                <a:srgbClr val="C79A57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Averages'!$C$237:$G$237</c:f>
              <c:numCache>
                <c:formatCode>0.00</c:formatCode>
                <c:ptCount val="5"/>
                <c:pt idx="0">
                  <c:v>0.7031096868032638</c:v>
                </c:pt>
                <c:pt idx="1">
                  <c:v>0.3916359707533251</c:v>
                </c:pt>
                <c:pt idx="2">
                  <c:v>0.3501279418706397</c:v>
                </c:pt>
                <c:pt idx="3">
                  <c:v>0.5214277509838222</c:v>
                </c:pt>
                <c:pt idx="4">
                  <c:v>0.7662082029480072</c:v>
                </c:pt>
              </c:numCache>
            </c:numRef>
          </c:val>
          <c:smooth val="0"/>
        </c:ser>
        <c:ser>
          <c:idx val="3"/>
          <c:order val="3"/>
          <c:tx>
            <c:v>MLCF</c:v>
          </c:tx>
          <c:spPr>
            <a:solidFill xmlns:a="http://schemas.openxmlformats.org/drawingml/2006/main">
              <a:srgbClr val="648B98"/>
            </a:solidFill>
            <a:ln xmlns:a="http://schemas.openxmlformats.org/drawingml/2006/main" w="13335">
              <a:solidFill>
                <a:srgbClr val="648B98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Averages'!$C$238:$G$238</c:f>
              <c:numCache>
                <c:formatCode>0.00</c:formatCode>
                <c:ptCount val="5"/>
                <c:pt idx="0">
                  <c:v>1.374448907866945</c:v>
                </c:pt>
                <c:pt idx="1">
                  <c:v>0.7281380679486422</c:v>
                </c:pt>
                <c:pt idx="2">
                  <c:v>0.6770382887724061</c:v>
                </c:pt>
                <c:pt idx="3">
                  <c:v>0.7565654630534934</c:v>
                </c:pt>
                <c:pt idx="4">
                  <c:v>1.235468920535663</c:v>
                </c:pt>
              </c:numCache>
            </c:numRef>
          </c:val>
          <c:smooth val="0"/>
        </c:ser>
        <c:ser>
          <c:idx val="4"/>
          <c:order val="4"/>
          <c:tx>
            <c:v>FCCL</c:v>
          </c:tx>
          <c:spPr>
            <a:solidFill xmlns:a="http://schemas.openxmlformats.org/drawingml/2006/main">
              <a:srgbClr val="A59A89"/>
            </a:solidFill>
            <a:ln xmlns:a="http://schemas.openxmlformats.org/drawingml/2006/main" w="13335">
              <a:solidFill>
                <a:srgbClr val="A59A89"/>
              </a:solidFill>
              <a:prstDash val="solid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Averages'!$C$239:$G$239</c:f>
              <c:numCache>
                <c:formatCode>0.00</c:formatCode>
                <c:ptCount val="5"/>
                <c:pt idx="0">
                  <c:v>1.363472829633998</c:v>
                </c:pt>
                <c:pt idx="1">
                  <c:v>0.535107187266134</c:v>
                </c:pt>
                <c:pt idx="2">
                  <c:v>0.4425801548818697</c:v>
                </c:pt>
                <c:pt idx="3">
                  <c:v>0.7656078565151421</c:v>
                </c:pt>
                <c:pt idx="4">
                  <c:v>1.300175999802925</c:v>
                </c:pt>
              </c:numCache>
            </c:numRef>
          </c:val>
          <c:smooth val="0"/>
        </c:ser>
        <c:ser>
          <c:idx val="5"/>
          <c:order val="5"/>
          <c:tx>
            <c:v>Five-company average</c:v>
          </c:tx>
          <c:spPr>
            <a:solidFill xmlns:a="http://schemas.openxmlformats.org/drawingml/2006/main">
              <a:srgbClr val="424A46"/>
            </a:solidFill>
            <a:ln xmlns:a="http://schemas.openxmlformats.org/drawingml/2006/main" w="22860">
              <a:solidFill>
                <a:srgbClr val="424A46"/>
              </a:solidFill>
              <a:prstDash val="dash"/>
            </a:ln>
          </c:spPr>
          <c:marker>
            <c:symbol val="none"/>
          </c:marker>
          <c:cat>
            <c:strRef>
              <c:f>'Industry Averages'!$C$4:$G$4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'Industry Averages'!$C$240:$G$240</c:f>
              <c:numCache>
                <c:formatCode>0.00</c:formatCode>
                <c:ptCount val="5"/>
                <c:pt idx="0">
                  <c:v>1.554778241540698</c:v>
                </c:pt>
                <c:pt idx="1">
                  <c:v>0.7538077292212013</c:v>
                </c:pt>
                <c:pt idx="2">
                  <c:v>0.7446884903408398</c:v>
                </c:pt>
                <c:pt idx="3">
                  <c:v>1.007056537396906</c:v>
                </c:pt>
                <c:pt idx="4">
                  <c:v>1.542960671895352</c:v>
                </c:pt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Calibri"/>
                <a:ea typeface="Calibri"/>
                <a:cs typeface="Calibr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Calibri"/>
              <a:ea typeface="Calibri"/>
              <a:cs typeface="Calibr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c44d1140aa45c5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466c0345834137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11</xdr:col>
      <xdr:colOff>0</xdr:colOff>
      <xdr:row>36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bf6ac91e7a412a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377bd49ca34981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11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e0cb32d334752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11</xdr:col>
      <xdr:colOff>0</xdr:colOff>
      <xdr:row>69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bcd6e0950c4b10"/>
        </a:graphicData>
      </a:graphic>
    </xdr:graphicFrame>
    <xdr:clientData/>
  </xdr:twoCellAnchor>
  <xdr:twoCellAnchor>
    <xdr:from>
      <xdr:col>10</xdr:col>
      <xdr:colOff>0</xdr:colOff>
      <xdr:row>53</xdr:row>
      <xdr:rowOff>0</xdr:rowOff>
    </xdr:from>
    <xdr:to>
      <xdr:col>20</xdr:col>
      <xdr:colOff>0</xdr:colOff>
      <xdr:row>69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1a56591c694d18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11</xdr:col>
      <xdr:colOff>0</xdr:colOff>
      <xdr:row>86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e0b9687a5e4f2c"/>
        </a:graphicData>
      </a:graphic>
    </xdr:graphicFrame>
    <xdr:clientData/>
  </xdr:twoCellAnchor>
  <xdr:twoCellAnchor>
    <xdr:from>
      <xdr:col>10</xdr:col>
      <xdr:colOff>0</xdr:colOff>
      <xdr:row>70</xdr:row>
      <xdr:rowOff>0</xdr:rowOff>
    </xdr:from>
    <xdr:to>
      <xdr:col>20</xdr:col>
      <xdr:colOff>0</xdr:colOff>
      <xdr:row>86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be434c65534d84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11</xdr:col>
      <xdr:colOff>0</xdr:colOff>
      <xdr:row>102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e57b53b32a438e"/>
        </a:graphicData>
      </a:graphic>
    </xdr:graphicFrame>
    <xdr:clientData/>
  </xdr:twoCellAnchor>
  <xdr:twoCellAnchor>
    <xdr:from>
      <xdr:col>10</xdr:col>
      <xdr:colOff>0</xdr:colOff>
      <xdr:row>86</xdr:row>
      <xdr:rowOff>0</xdr:rowOff>
    </xdr:from>
    <xdr:to>
      <xdr:col>20</xdr:col>
      <xdr:colOff>0</xdr:colOff>
      <xdr:row>102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52f719b4b94247"/>
        </a:graphicData>
      </a:graphic>
    </xdr:graphicFrame>
    <xdr:clientData/>
  </xdr:twoCellAnchor>
  <xdr:twoCellAnchor>
    <xdr:from>
      <xdr:col>1</xdr:col>
      <xdr:colOff>0</xdr:colOff>
      <xdr:row>103</xdr:row>
      <xdr:rowOff>0</xdr:rowOff>
    </xdr:from>
    <xdr:to>
      <xdr:col>11</xdr:col>
      <xdr:colOff>0</xdr:colOff>
      <xdr:row>119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e8c7200b7743d2"/>
        </a:graphicData>
      </a:graphic>
    </xdr:graphicFrame>
    <xdr:clientData/>
  </xdr:twoCellAnchor>
  <xdr:twoCellAnchor>
    <xdr:from>
      <xdr:col>10</xdr:col>
      <xdr:colOff>0</xdr:colOff>
      <xdr:row>103</xdr:row>
      <xdr:rowOff>0</xdr:rowOff>
    </xdr:from>
    <xdr:to>
      <xdr:col>20</xdr:col>
      <xdr:colOff>0</xdr:colOff>
      <xdr:row>119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da87cfed4641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KOHC_Financial_Analysis_FINAL.xlsx" TargetMode="External" Id="R8af6560b6d7e44c9" /><Relationship Type="http://schemas.openxmlformats.org/officeDocument/2006/relationships/hyperlink" Target="KOHC_Financial_Analysis_FINAL.xlsx" TargetMode="External" Id="R6f0ab864b0d74f5c" /><Relationship Type="http://schemas.openxmlformats.org/officeDocument/2006/relationships/hyperlink" Target="KOHC_Financial_Analysis_FINAL.xlsx" TargetMode="External" Id="Rddd4be4ae8c34fc4" /><Relationship Type="http://schemas.openxmlformats.org/officeDocument/2006/relationships/hyperlink" Target="KOHC_Financial_Analysis_FINAL.xlsx" TargetMode="External" Id="Rfb4ba3674b0a4a14" /><Relationship Type="http://schemas.openxmlformats.org/officeDocument/2006/relationships/hyperlink" Target="KOHC_Financial_Analysis_FINAL.xlsx" TargetMode="External" Id="R3a430cf42cc34221" /><Relationship Type="http://schemas.openxmlformats.org/officeDocument/2006/relationships/hyperlink" Target="KOHC_Financial_Analysis_FINAL.xlsx" TargetMode="External" Id="R60212dbde41b47e2" /><Relationship Type="http://schemas.openxmlformats.org/officeDocument/2006/relationships/hyperlink" Target="KOHC_Financial_Analysis_FINAL.xlsx" TargetMode="External" Id="R7b973b8d5d6641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466a9bc199734996" /></Relationships>
</file>

<file path=xl/worksheets/sheet1.xml><?xml version="1.0" encoding="utf-8"?>
<x:worksheet xmlns:x="http://schemas.openxmlformats.org/spreadsheetml/2006/main">
  <x:sheetPr>
    <x:tabColor rgb="FF1E4D3A"/>
  </x:sheetPr>
  <x:sheetViews>
    <x:sheetView showGridLines="0" workbookViewId="0"/>
  </x:sheetViews>
  <x:sheetFormatPr defaultColWidth="8.6796875" defaultRowHeight="15"/>
  <x:cols>
    <x:col min="1" max="1" width="26" hidden="0" customWidth="1"/>
    <x:col min="2" max="2" width="40" hidden="0" customWidth="1"/>
    <x:col min="3" max="7" width="14" hidden="0" customWidth="1"/>
    <x:col min="8" max="8" width="10" hidden="0" customWidth="1"/>
  </x:cols>
  <x:sheetData>
    <x:row r="1" ht="19.700000762939453" hidden="0">
      <x:c r="A1" s="1" t="s">
        <x:v>0</x:v>
      </x:c>
    </x:row>
    <x:row r="2" ht="15" hidden="0">
      <x:c r="A2" s="2" t="str">
        <x:v>Exactly 33 measures | 19 mandatory ratios + 14 class-note measures | FY2021-FY2025</x:v>
      </x:c>
    </x:row>
    <x:row r="4" ht="15" hidden="0">
      <x:c r="A4" s="3" t="s">
        <x:v>1</x:v>
      </x:c>
      <x:c r="B4" s="4" t="s">
        <x:v>2</x:v>
      </x:c>
    </x:row>
    <x:row r="5" ht="15" hidden="0">
      <x:c r="A5" s="3" t="s">
        <x:v>3</x:v>
      </x:c>
      <x:c r="B5" s="4" t="s">
        <x:v>4</x:v>
      </x:c>
    </x:row>
    <x:row r="6" ht="15" hidden="0">
      <x:c r="A6" s="3" t="s">
        <x:v>5</x:v>
      </x:c>
      <x:c r="B6" s="4" t="s">
        <x:v>6</x:v>
      </x:c>
    </x:row>
    <x:row r="7" ht="15" hidden="0">
      <x:c r="A7" s="3" t="s">
        <x:v>7</x:v>
      </x:c>
    </x:row>
    <x:row r="9" ht="19.5" hidden="0" customHeight="1">
      <x:c r="A9" s="5" t="s">
        <x:v>8</x:v>
      </x:c>
      <x:c r="B9" s="6"/>
      <x:c r="C9" s="6"/>
      <x:c r="D9" s="6"/>
      <x:c r="E9" s="6"/>
      <x:c r="F9" s="6"/>
      <x:c r="G9" s="6"/>
    </x:row>
    <x:row r="10" ht="15" hidden="0">
      <x:c r="A10" s="7" t="s">
        <x:v>9</x:v>
      </x:c>
      <x:c r="B10" s="7" t="s">
        <x:v>10</x:v>
      </x:c>
      <x:c r="C10" s="7" t="s">
        <x:v>11</x:v>
      </x:c>
      <x:c r="D10" s="7" t="s">
        <x:v>12</x:v>
      </x:c>
      <x:c r="E10" s="7" t="s">
        <x:v>13</x:v>
      </x:c>
    </x:row>
    <x:row r="11" ht="15" hidden="0">
      <x:c r="A11" s="8" t="s">
        <x:v>14</x:v>
      </x:c>
      <x:c r="B11" s="8" t="s">
        <x:v>15</x:v>
      </x:c>
      <x:c r="C11" s="8" t="s">
        <x:v>16</x:v>
      </x:c>
      <x:c r="D11" s="8" t="s">
        <x:v>17</x:v>
      </x:c>
      <x:c r="E11" s="9" t="s">
        <x:v>18</x:v>
      </x:c>
    </x:row>
    <x:row r="12" ht="15" hidden="0">
      <x:c r="A12" s="10" t="s">
        <x:v>19</x:v>
      </x:c>
      <x:c r="B12" s="10" t="s">
        <x:v>20</x:v>
      </x:c>
      <x:c r="C12" s="10" t="s">
        <x:v>21</x:v>
      </x:c>
      <x:c r="D12" s="10" t="s">
        <x:v>22</x:v>
      </x:c>
      <x:c r="E12" s="9" t="s">
        <x:v>23</x:v>
      </x:c>
    </x:row>
    <x:row r="13" ht="15" hidden="0">
      <x:c r="A13" s="10" t="s">
        <x:v>24</x:v>
      </x:c>
      <x:c r="B13" s="10" t="s">
        <x:v>25</x:v>
      </x:c>
      <x:c r="C13" s="10" t="s">
        <x:v>26</x:v>
      </x:c>
      <x:c r="D13" s="10" t="s">
        <x:v>22</x:v>
      </x:c>
      <x:c r="E13" s="9" t="s">
        <x:v>27</x:v>
      </x:c>
    </x:row>
    <x:row r="14" ht="15" hidden="0">
      <x:c r="A14" s="10" t="s">
        <x:v>28</x:v>
      </x:c>
      <x:c r="B14" s="10" t="s">
        <x:v>29</x:v>
      </x:c>
      <x:c r="C14" s="10" t="s">
        <x:v>30</x:v>
      </x:c>
      <x:c r="D14" s="10" t="s">
        <x:v>22</x:v>
      </x:c>
      <x:c r="E14" s="9" t="s">
        <x:v>31</x:v>
      </x:c>
    </x:row>
    <x:row r="15" ht="15" hidden="0">
      <x:c r="A15" s="10" t="s">
        <x:v>32</x:v>
      </x:c>
      <x:c r="B15" s="10" t="s">
        <x:v>33</x:v>
      </x:c>
      <x:c r="C15" s="10" t="s">
        <x:v>34</x:v>
      </x:c>
      <x:c r="D15" s="10" t="s">
        <x:v>17</x:v>
      </x:c>
      <x:c r="E15" s="9" t="s">
        <x:v>35</x:v>
      </x:c>
    </x:row>
    <x:row r="16" ht="15" hidden="0">
      <x:c r="E16" s="11" t="s">
        <x:v>36</x:v>
      </x:c>
    </x:row>
    <x:row r="17" ht="15" hidden="0">
      <x:c r="E17" s="11" t="s">
        <x:v>37</x:v>
      </x:c>
    </x:row>
    <x:row r="19" ht="19.5" hidden="0" customHeight="1">
      <x:c r="A19" s="5" t="s">
        <x:v>38</x:v>
      </x:c>
      <x:c r="B19" s="6"/>
      <x:c r="C19" s="6"/>
      <x:c r="D19" s="6"/>
      <x:c r="E19" s="6"/>
      <x:c r="F19" s="6"/>
      <x:c r="G19" s="6"/>
    </x:row>
    <x:row r="20" ht="27.75" hidden="0" customHeight="1">
      <x:c r="A20" s="12" t="str">
        <x:v>- All 33 definitions are uniform across the five companies. Sample means include KOHC and exclude n/m; each valid company has equal weight.</x:v>
      </x:c>
      <x:c r="B20" s="12"/>
      <x:c r="C20" s="12"/>
      <x:c r="D20" s="12"/>
      <x:c r="E20" s="12"/>
      <x:c r="F20" s="12"/>
      <x:c r="G20" s="12"/>
    </x:row>
    <x:row r="21" ht="27.75" hidden="0" customHeight="1">
      <x:c r="A21" s="12" t="s">
        <x:v>39</x:v>
      </x:c>
      <x:c r="B21" s="12"/>
      <x:c r="C21" s="12"/>
      <x:c r="D21" s="12"/>
      <x:c r="E21" s="12"/>
      <x:c r="F21" s="12"/>
      <x:c r="G21" s="12"/>
    </x:row>
    <x:row r="22" ht="27.75" hidden="0" customHeight="1">
      <x:c r="A22" s="12" t="s">
        <x:v>40</x:v>
      </x:c>
      <x:c r="B22" s="12"/>
      <x:c r="C22" s="12"/>
      <x:c r="D22" s="12"/>
      <x:c r="E22" s="12"/>
      <x:c r="F22" s="12"/>
      <x:c r="G22" s="12"/>
    </x:row>
    <x:row r="23" ht="27.75" hidden="0" customHeight="1">
      <x:c r="A23" s="12" t="str">
        <x:v>- EBIT = pre-levy PBT + finance cost; core operating profit excludes other income. TIE uses expensed interest, excluding bank charges and exchange differences.</x:v>
      </x:c>
      <x:c r="B23" s="12"/>
      <x:c r="C23" s="12"/>
      <x:c r="D23" s="12"/>
      <x:c r="E23" s="12"/>
      <x:c r="F23" s="12"/>
      <x:c r="G23" s="12"/>
    </x:row>
    <x:row r="24" ht="27.75" hidden="0" customHeight="1">
      <x:c r="A24" s="12" t="str">
        <x:v>- Interest-bearing debt excludes interest-free parent financing and accrued markup, including amounts embedded within loan balances.</x:v>
      </x:c>
      <x:c r="B24" s="12"/>
      <x:c r="C24" s="12"/>
      <x:c r="D24" s="12"/>
      <x:c r="E24" s="12"/>
      <x:c r="F24" s="12"/>
      <x:c r="G24" s="12"/>
    </x:row>
    <x:row r="25" ht="27.75" hidden="0" customHeight="1">
      <x:c r="A25" s="12" t="s">
        <x:v>41</x:v>
      </x:c>
      <x:c r="B25" s="12"/>
      <x:c r="C25" s="12"/>
      <x:c r="D25" s="12"/>
      <x:c r="E25" s="12"/>
      <x:c r="F25" s="12"/>
      <x:c r="G25" s="12"/>
    </x:row>
    <x:row r="26" ht="27.75" hidden="0" customHeight="1">
      <x:c r="A26" s="12" t="str">
        <x:v>- Market ratios use the actual PSX close and the share basis in force at each FY-end. KOHC remains Rs 10 through June 2025; LUCK changes to Rs 2 in April 2025. EPS, BVPS and DPS use compatible bases.</x:v>
      </x:c>
      <x:c r="B26" s="12"/>
      <x:c r="C26" s="12"/>
      <x:c r="D26" s="12"/>
      <x:c r="E26" s="12"/>
      <x:c r="F26" s="12"/>
      <x:c r="G26" s="12"/>
    </x:row>
    <x:row r="27" ht="27.75" hidden="0" customHeight="1">
      <x:c r="A27" s="12" t="str">
        <x:v>- Negative or undefined measures display n/m, per guidelines. Signed accounting inputs remain intact; industry means and charts omit n/m.</x:v>
      </x:c>
      <x:c r="B27" s="12"/>
      <x:c r="C27" s="12"/>
      <x:c r="D27" s="12"/>
      <x:c r="E27" s="12"/>
      <x:c r="F27" s="12"/>
      <x:c r="G27" s="12"/>
    </x:row>
    <x:row r="29" ht="15" hidden="0">
      <x:c r="A29" s="108" t="str">
        <x:v>ROIC: NOPAT = EBIT x (1 - actual audited effective tax rate), without an arbitrary cap or statutory override.</x:v>
      </x:c>
      <x:c r="B29" s="108"/>
      <x:c r="C29" s="108"/>
      <x:c r="D29" s="108"/>
      <x:c r="E29" s="108"/>
      <x:c r="F29" s="108"/>
      <x:c r="G29" s="108"/>
    </x:row>
    <x:row r="30" ht="15" hidden="0">
      <x:c r="A30" s="108" t="str">
        <x:v>The tax charge includes levies, current/deferred tax and super tax. DGKC FY2023 negative NOPAT displays n/m; FY2024 uses the audited 80.89% ETR.</x:v>
      </x:c>
      <x:c r="B30" s="108"/>
      <x:c r="C30" s="108"/>
      <x:c r="D30" s="108"/>
      <x:c r="E30" s="108"/>
      <x:c r="F30" s="108"/>
      <x:c r="G30" s="108"/>
    </x:row>
    <x:row r="31" ht="15" hidden="0">
      <x:c r="A31" s="108" t="str">
        <x:v>Payables use identified operating suppliers, including related parties; purchases/credit sales are not separately disclosed, so COGS/sales are proxies.</x:v>
      </x:c>
      <x:c r="B31" s="108"/>
      <x:c r="C31" s="108"/>
      <x:c r="D31" s="108"/>
      <x:c r="E31" s="108"/>
      <x:c r="F31" s="108"/>
      <x:c r="G31" s="108"/>
    </x:row>
    <x:row r="33" ht="19.5" hidden="0" customHeight="1">
      <x:c r="A33" s="5" t="s">
        <x:v>42</x:v>
      </x:c>
      <x:c r="B33" s="6"/>
      <x:c r="C33" s="6"/>
      <x:c r="D33" s="6"/>
      <x:c r="E33" s="6"/>
      <x:c r="F33" s="6"/>
      <x:c r="G33" s="6"/>
    </x:row>
    <x:row r="34" ht="27.75" hidden="0" customHeight="1">
      <x:c r="A34" s="12" t="s">
        <x:v>43</x:v>
      </x:c>
      <x:c r="B34" s="12"/>
      <x:c r="C34" s="12"/>
      <x:c r="D34" s="12"/>
      <x:c r="E34" s="12"/>
      <x:c r="F34" s="12"/>
      <x:c r="G34" s="12"/>
    </x:row>
    <x:row r="35" ht="27.75" hidden="0" customHeight="1">
      <x:c r="A35" s="12" t="str">
        <x:v>Year-end prices: official PSX historical CLOSE records (30-Jun-2021, 30-Jun-2022, 27-Jun-2023, 28-Jun-2024 and 30-Jun-2025). Corporate actions and annual-report cross-checks are in the revised audit workbook.</x:v>
      </x:c>
      <x:c r="B35" s="12"/>
      <x:c r="C35" s="12"/>
      <x:c r="D35" s="12"/>
      <x:c r="E35" s="12"/>
      <x:c r="F35" s="12"/>
      <x:c r="G35" s="12"/>
    </x:row>
    <x:row r="36" ht="27.75" hidden="0" customHeight="1">
      <x:c r="A36" s="12" t="str">
        <x:v>Full source, numerator/denominator, published-ratio and unresolved-discrepancy records: KOHC_Financial_Analysis_Audit_FULL.xlsx.</x:v>
      </x:c>
      <x:c r="B36" s="12"/>
      <x:c r="C36" s="12"/>
      <x:c r="D36" s="12"/>
      <x:c r="E36" s="12"/>
      <x:c r="F36" s="12"/>
      <x:c r="G36" s="12"/>
    </x:row>
    <x:row r="37" ht="27.75" hidden="0" customHeight="1">
      <x:c r="A37" s="12" t="str">
        <x:v>AI use: original preparation used Claude; financial audit and Excel revision assisted by OpenAI Codex.</x:v>
      </x:c>
      <x:c r="B37" s="12"/>
      <x:c r="C37" s="12"/>
      <x:c r="D37" s="12"/>
      <x:c r="E37" s="12"/>
      <x:c r="F37" s="12"/>
      <x:c r="G37" s="12"/>
    </x:row>
    <x:row r="39">
      <x:c r="A39" s="108" t="str">
        <x:v>Official annual-report sources</x:v>
      </x:c>
      <x:c r="B39" s="108"/>
      <x:c r="C39" s="108"/>
      <x:c r="D39" s="108"/>
      <x:c r="E39" s="108"/>
      <x:c r="F39" s="108"/>
      <x:c r="G39" s="108"/>
    </x:row>
    <x:row r="40">
      <x:c r="A40" s="108" t="str">
        <x:v>KOHC: audited FY2021-FY2025 annual reports — https://www.kohatcement.com/financial_reports.aspx</x:v>
      </x:c>
      <x:c r="B40" s="108"/>
      <x:c r="C40" s="108"/>
      <x:c r="D40" s="108"/>
      <x:c r="E40" s="108"/>
      <x:c r="F40" s="108"/>
      <x:c r="G40" s="108"/>
    </x:row>
    <x:row r="41">
      <x:c r="A41" s="108" t="str">
        <x:v>LUCK: audited FY2021-FY2025 annual reports — https://www.lucky-cement.com/investor-relations/downloads/financial-reports/</x:v>
      </x:c>
      <x:c r="B41" s="108"/>
      <x:c r="C41" s="108"/>
      <x:c r="D41" s="108"/>
      <x:c r="E41" s="108"/>
      <x:c r="F41" s="108"/>
      <x:c r="G41" s="108"/>
    </x:row>
    <x:row r="42">
      <x:c r="A42" s="108" t="str">
        <x:v>DGKC: audited FY2021-FY2025 annual reports — https://www.dgcement.com/financial-reports/DGAnnual2025.pdf</x:v>
      </x:c>
      <x:c r="B42" s="108"/>
      <x:c r="C42" s="108"/>
      <x:c r="D42" s="108"/>
      <x:c r="E42" s="108"/>
      <x:c r="F42" s="108"/>
      <x:c r="G42" s="108"/>
    </x:row>
    <x:row r="43">
      <x:c r="A43" s="108" t="str">
        <x:v>MLCF: audited FY2021-FY2025 annual reports — https://www.kmlg.com/mlcfl/financials/</x:v>
      </x:c>
      <x:c r="B43" s="108"/>
      <x:c r="C43" s="108"/>
      <x:c r="D43" s="108"/>
      <x:c r="E43" s="108"/>
      <x:c r="F43" s="108"/>
      <x:c r="G43" s="108"/>
    </x:row>
    <x:row r="44">
      <x:c r="A44" s="108" t="str">
        <x:v>FCCL: audited FY2021-FY2025 annual reports — https://fccl.com.pk/eng/financial-reports/</x:v>
      </x:c>
      <x:c r="B44" s="108"/>
      <x:c r="C44" s="108"/>
      <x:c r="D44" s="108"/>
      <x:c r="E44" s="108"/>
      <x:c r="F44" s="108"/>
      <x:c r="G44" s="108"/>
    </x:row>
    <x:row r="45">
      <x:c r="A45" s="108"/>
      <x:c r="B45" s="108"/>
      <x:c r="C45" s="108"/>
      <x:c r="D45" s="108"/>
      <x:c r="E45" s="108"/>
      <x:c r="F45" s="108"/>
      <x:c r="G45" s="108"/>
    </x:row>
    <x:row r="46">
      <x:c r="A46" s="108" t="str">
        <x:v>Basis: average opening/closing balances for flow-to-stock measures; year-end for liquidity and debt measures. Full definitions appear beside each ratio.</x:v>
      </x:c>
      <x:c r="B46" s="108"/>
      <x:c r="C46" s="108"/>
      <x:c r="D46" s="108"/>
      <x:c r="E46" s="108"/>
      <x:c r="F46" s="108"/>
      <x:c r="G46" s="108"/>
    </x:row>
    <x:row r="47">
      <x:c r="A47" s="108" t="str">
        <x:v>Fixed assets = operating PPE excluding CWIP; cash ratio = cash/bank only; long-term debt ratio = non-current interest-bearing financing and leases / assets.</x:v>
      </x:c>
      <x:c r="B47" s="108"/>
      <x:c r="C47" s="108"/>
      <x:c r="D47" s="108"/>
      <x:c r="E47" s="108"/>
      <x:c r="F47" s="108"/>
      <x:c r="G47" s="108"/>
    </x:row>
    <x:row r="48">
      <x:c r="A48" s="108" t="str">
        <x:v>Methods follow the project guidelines and supplied agreed formulas. Definitions and accounting scope are consistent across all five companies.</x:v>
      </x:c>
      <x:c r="B48" s="108"/>
      <x:c r="C48" s="108"/>
      <x:c r="D48" s="108"/>
      <x:c r="E48" s="108"/>
      <x:c r="F48" s="108"/>
      <x:c r="G48" s="108"/>
    </x:row>
    <x:row r="49">
      <x:c r="A49" s="108" t="str">
        <x:v>Restated audited comparatives are used when available; unrevised earlier years and FCCL’s FY2022 merger create comparability breaks.</x:v>
      </x:c>
      <x:c r="B49" s="108"/>
      <x:c r="C49" s="108"/>
      <x:c r="D49" s="108"/>
      <x:c r="E49" s="108"/>
      <x:c r="F49" s="108"/>
      <x:c r="G49" s="108"/>
    </x:row>
  </x:sheetData>
  <x:mergeCells>
    <x:mergeCell ref="A20:G20"/>
    <x:mergeCell ref="A21:G21"/>
    <x:mergeCell ref="A22:G22"/>
    <x:mergeCell ref="A23:G23"/>
    <x:mergeCell ref="A24:G24"/>
    <x:mergeCell ref="A25:G25"/>
    <x:mergeCell ref="A26:G26"/>
    <x:mergeCell ref="A27:G27"/>
    <x:mergeCell ref="A34:G34"/>
    <x:mergeCell ref="A35:G35"/>
    <x:mergeCell ref="A36:G36"/>
    <x:mergeCell ref="A37:G37"/>
  </x:mergeCells>
  <x:hyperlinks>
    <x:hyperlink xmlns:r="http://schemas.openxmlformats.org/officeDocument/2006/relationships" ref="E11" r:id="R8af6560b6d7e44c9"/>
    <x:hyperlink xmlns:r="http://schemas.openxmlformats.org/officeDocument/2006/relationships" ref="E12" r:id="R6f0ab864b0d74f5c"/>
    <x:hyperlink xmlns:r="http://schemas.openxmlformats.org/officeDocument/2006/relationships" ref="E13" r:id="Rddd4be4ae8c34fc4"/>
    <x:hyperlink xmlns:r="http://schemas.openxmlformats.org/officeDocument/2006/relationships" ref="E14" r:id="Rfb4ba3674b0a4a14"/>
    <x:hyperlink xmlns:r="http://schemas.openxmlformats.org/officeDocument/2006/relationships" ref="E15" r:id="R3a430cf42cc34221"/>
    <x:hyperlink xmlns:r="http://schemas.openxmlformats.org/officeDocument/2006/relationships" ref="E16" r:id="R60212dbde41b47e2"/>
    <x:hyperlink xmlns:r="http://schemas.openxmlformats.org/officeDocument/2006/relationships" ref="E17" r:id="R7b973b8d5d664107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4D3A"/>
  </x:sheetPr>
  <x:sheetViews>
    <x:sheetView showGridLines="0" workbookViewId="0">
      <x:pane xSplit="2" ySplit="5" topLeftCell="C6" activePane="bottomRight" state="frozen"/>
    </x:sheetView>
  </x:sheetViews>
  <x:sheetFormatPr defaultColWidth="8.6796875" defaultRowHeight="15"/>
  <x:cols>
    <x:col min="1" max="1" width="44" hidden="0" customWidth="1"/>
    <x:col min="2" max="2" width="36" hidden="0" customWidth="1"/>
    <x:col min="3" max="8" width="12" hidden="0" customWidth="1"/>
  </x:cols>
  <x:sheetData>
    <x:row r="1" ht="19.700000762939453" hidden="0">
      <x:c r="A1" s="110" t="s">
        <x:v>44</x:v>
      </x:c>
      <x:c r="B1" s="111"/>
    </x:row>
    <x:row r="2" ht="15" hidden="0">
      <x:c r="A2" s="112" t="s">
        <x:v>45</x:v>
      </x:c>
      <x:c r="B2" s="111"/>
    </x:row>
    <x:row r="3" ht="15" hidden="0">
      <x:c r="A3" s="113" t="s">
        <x:v>46</x:v>
      </x:c>
      <x:c r="B3" s="111"/>
    </x:row>
    <x:row r="4">
      <x:c r="A4" s="111"/>
      <x:c r="B4" s="111"/>
    </x:row>
    <x:row r="5">
      <x:c r="A5" s="111"/>
      <x:c r="B5" s="111"/>
    </x:row>
    <x:row r="6" ht="19.5" hidden="0" customHeight="1">
      <x:c r="A6" s="114" t="s">
        <x:v>47</x:v>
      </x:c>
      <x:c r="B6" s="115"/>
      <x:c r="C6" s="6"/>
      <x:c r="D6" s="6"/>
      <x:c r="E6" s="6"/>
      <x:c r="F6" s="6"/>
      <x:c r="G6" s="6"/>
      <x:c r="H6" s="6"/>
    </x:row>
    <x:row r="7" ht="16.5" hidden="0" customHeight="1">
      <x:c r="A7" s="116" t="s">
        <x:v>48</x:v>
      </x:c>
      <x:c r="B7" s="117"/>
      <x:c r="C7" s="19" t="s">
        <x:v>49</x:v>
      </x:c>
      <x:c r="D7" s="19" t="s">
        <x:v>50</x:v>
      </x:c>
      <x:c r="E7" s="19" t="s">
        <x:v>51</x:v>
      </x:c>
      <x:c r="F7" s="19" t="s">
        <x:v>52</x:v>
      </x:c>
      <x:c r="G7" s="19" t="s">
        <x:v>53</x:v>
      </x:c>
      <x:c r="H7" s="19" t="s">
        <x:v>54</x:v>
      </x:c>
    </x:row>
    <x:row r="8" ht="15" hidden="0">
      <x:c r="A8" s="118" t="s">
        <x:v>55</x:v>
      </x:c>
      <x:c r="B8" s="119"/>
      <x:c r="C8" s="21"/>
      <x:c r="D8" s="21"/>
      <x:c r="E8" s="21"/>
      <x:c r="F8" s="21"/>
      <x:c r="G8" s="21"/>
      <x:c r="H8" s="21"/>
    </x:row>
    <x:row r="9" ht="15" hidden="0">
      <x:c r="A9" s="120" t="s">
        <x:v>56</x:v>
      </x:c>
      <x:c r="B9" s="121"/>
      <x:c r="C9" s="24" t="n">
        <x:v>22027.544913</x:v>
      </x:c>
      <x:c r="D9" s="24" t="n">
        <x:v>21331.296362</x:v>
      </x:c>
      <x:c r="E9" s="24" t="n">
        <x:v>22229.434463</x:v>
      </x:c>
      <x:c r="F9" s="24" t="n">
        <x:v>22156.640533</x:v>
      </x:c>
      <x:c r="G9" s="24" t="n">
        <x:v>23359.980509</x:v>
      </x:c>
      <x:c r="H9" s="24" t="n">
        <x:v>22777.666271</x:v>
      </x:c>
    </x:row>
    <x:row r="10" ht="15" hidden="0">
      <x:c r="A10" s="120" t="s">
        <x:v>57</x:v>
      </x:c>
      <x:c r="B10" s="121"/>
      <x:c r="C10" s="24" t="n">
        <x:v>273.939559</x:v>
      </x:c>
      <x:c r="D10" s="24" t="n">
        <x:v>130.897947</x:v>
      </x:c>
      <x:c r="E10" s="24" t="n">
        <x:v>1943.019581</x:v>
      </x:c>
      <x:c r="F10" s="24" t="n">
        <x:v>999.326605</x:v>
      </x:c>
      <x:c r="G10" s="24" t="n">
        <x:v>2486.634755</x:v>
      </x:c>
      <x:c r="H10" s="24" t="n">
        <x:v>164.578022</x:v>
      </x:c>
    </x:row>
    <x:row r="11" ht="15" hidden="0">
      <x:c r="A11" s="120" t="s">
        <x:v>58</x:v>
      </x:c>
      <x:c r="B11" s="121"/>
      <x:c r="C11" s="24" t="n">
        <x:v>0</x:v>
      </x:c>
      <x:c r="D11" s="24" t="n">
        <x:v>0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</x:row>
    <x:row r="12" ht="15" hidden="0">
      <x:c r="A12" s="120" t="s">
        <x:v>59</x:v>
      </x:c>
      <x:c r="B12" s="121"/>
      <x:c r="C12" s="24" t="n">
        <x:v>6.725911</x:v>
      </x:c>
      <x:c r="D12" s="24" t="n">
        <x:v>2.701357</x:v>
      </x:c>
      <x:c r="E12" s="24" t="n">
        <x:v>1.567709</x:v>
      </x:c>
      <x:c r="F12" s="24" t="n">
        <x:v>0.508226</x:v>
      </x:c>
      <x:c r="G12" s="24" t="n">
        <x:v>0.259742</x:v>
      </x:c>
      <x:c r="H12" s="24" t="n">
        <x:v>11.210982</x:v>
      </x:c>
    </x:row>
    <x:row r="13" ht="15" hidden="0">
      <x:c r="A13" s="120" t="s">
        <x:v>60</x:v>
      </x:c>
      <x:c r="B13" s="121"/>
      <x:c r="C13" s="24" t="n">
        <x:v>4134.086159</x:v>
      </x:c>
      <x:c r="D13" s="24" t="n">
        <x:v>4134.255209</x:v>
      </x:c>
      <x:c r="E13" s="24" t="n">
        <x:v>4324.910743</x:v>
      </x:c>
      <x:c r="F13" s="24" t="n">
        <x:v>4326.361559</x:v>
      </x:c>
      <x:c r="G13" s="24" t="n">
        <x:v>4326.361559</x:v>
      </x:c>
      <x:c r="H13" s="24" t="n">
        <x:v>3691.839635</x:v>
      </x:c>
    </x:row>
    <x:row r="14" ht="15" hidden="0">
      <x:c r="A14" s="120" t="s">
        <x:v>61</x:v>
      </x:c>
      <x:c r="B14" s="121"/>
      <x:c r="C14" s="24" t="n">
        <x:v>0</x:v>
      </x:c>
      <x:c r="D14" s="24" t="n">
        <x:v>0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</x:row>
    <x:row r="15" ht="15" hidden="0">
      <x:c r="A15" s="120" t="s">
        <x:v>62</x:v>
      </x:c>
      <x:c r="B15" s="121"/>
      <x:c r="C15" s="24" t="n">
        <x:v>69.76574</x:v>
      </x:c>
      <x:c r="D15" s="24" t="n">
        <x:v>106.583469</x:v>
      </x:c>
      <x:c r="E15" s="24" t="n">
        <x:v>60.785981</x:v>
      </x:c>
      <x:c r="F15" s="24" t="n">
        <x:v>147.388106</x:v>
      </x:c>
      <x:c r="G15" s="24" t="n">
        <x:v>492.917464</x:v>
      </x:c>
      <x:c r="H15" s="24" t="n">
        <x:v>38.32664</x:v>
      </x:c>
    </x:row>
    <x:row r="16" ht="15" hidden="0">
      <x:c r="A16" s="122" t="s">
        <x:v>63</x:v>
      </x:c>
      <x:c r="B16" s="123"/>
      <x:c r="C16" s="27" t="n">
        <x:f aca="0">C9+C11+C12+C13+C14+C15</x:f>
        <x:v>26238.122723000004</x:v>
      </x:c>
      <x:c r="D16" s="27" t="n">
        <x:f aca="0">D9+D11+D12+D13+D14+D15</x:f>
        <x:v>25574.836397000003</x:v>
      </x:c>
      <x:c r="E16" s="27" t="n">
        <x:f aca="0">E9+E11+E12+E13+E14+E15</x:f>
        <x:v>26616.698896</x:v>
      </x:c>
      <x:c r="F16" s="27" t="n">
        <x:f aca="0">F9+F11+F12+F13+F14+F15</x:f>
        <x:v>26630.898424000003</x:v>
      </x:c>
      <x:c r="G16" s="27" t="n">
        <x:f aca="0">G9+G11+G12+G13+G14+G15</x:f>
        <x:v>28179.519274</x:v>
      </x:c>
      <x:c r="H16" s="27" t="n">
        <x:f aca="0">H9+H11+H12+H13+H14+H15</x:f>
        <x:v>26519.043528</x:v>
      </x:c>
    </x:row>
    <x:row r="17" ht="15" hidden="0">
      <x:c r="A17" s="118" t="s">
        <x:v>64</x:v>
      </x:c>
      <x:c r="B17" s="119"/>
      <x:c r="C17" s="21"/>
      <x:c r="D17" s="21"/>
      <x:c r="E17" s="21"/>
      <x:c r="F17" s="21"/>
      <x:c r="G17" s="21"/>
      <x:c r="H17" s="21"/>
    </x:row>
    <x:row r="18" ht="15" hidden="0">
      <x:c r="A18" s="120" t="s">
        <x:v>65</x:v>
      </x:c>
      <x:c r="B18" s="121"/>
      <x:c r="C18" s="24" t="n">
        <x:v>3070.769101</x:v>
      </x:c>
      <x:c r="D18" s="24" t="n">
        <x:v>4214.829636</x:v>
      </x:c>
      <x:c r="E18" s="24" t="n">
        <x:v>4713.129764</x:v>
      </x:c>
      <x:c r="F18" s="24" t="n">
        <x:v>5785.683486</x:v>
      </x:c>
      <x:c r="G18" s="24" t="n">
        <x:v>4991.311475</x:v>
      </x:c>
      <x:c r="H18" s="24" t="n">
        <x:v>2250.156437</x:v>
      </x:c>
    </x:row>
    <x:row r="19" ht="15" hidden="0">
      <x:c r="A19" s="120" t="s">
        <x:v>66</x:v>
      </x:c>
      <x:c r="B19" s="121"/>
      <x:c r="C19" s="24" t="n">
        <x:v>1112.776266</x:v>
      </x:c>
      <x:c r="D19" s="24" t="n">
        <x:v>1456.156782</x:v>
      </x:c>
      <x:c r="E19" s="24" t="n">
        <x:v>2942.861554</x:v>
      </x:c>
      <x:c r="F19" s="24" t="n">
        <x:v>1793.74244</x:v>
      </x:c>
      <x:c r="G19" s="24" t="n">
        <x:v>2513.556552</x:v>
      </x:c>
      <x:c r="H19" s="24" t="n">
        <x:v>1016.024223</x:v>
      </x:c>
    </x:row>
    <x:row r="20" ht="15" hidden="0">
      <x:c r="A20" s="120" t="s">
        <x:v>67</x:v>
      </x:c>
      <x:c r="B20" s="121"/>
      <x:c r="C20" s="24" t="n">
        <x:v>983.568223</x:v>
      </x:c>
      <x:c r="D20" s="24" t="n">
        <x:v>916.039469</x:v>
      </x:c>
      <x:c r="E20" s="24" t="n">
        <x:v>1205.553375</x:v>
      </x:c>
      <x:c r="F20" s="24" t="n">
        <x:v>2110.247902</x:v>
      </x:c>
      <x:c r="G20" s="24" t="n">
        <x:v>1692.217832</x:v>
      </x:c>
      <x:c r="H20" s="24" t="n">
        <x:v>494.315206</x:v>
      </x:c>
    </x:row>
    <x:row r="21" ht="15" hidden="0">
      <x:c r="A21" s="120" t="s">
        <x:v>68</x:v>
      </x:c>
      <x:c r="B21" s="121"/>
      <x:c r="C21" s="24" t="n">
        <x:v>2999.496423</x:v>
      </x:c>
      <x:c r="D21" s="24" t="n">
        <x:v>10124.095693</x:v>
      </x:c>
      <x:c r="E21" s="24" t="n">
        <x:v>12335.073816</x:v>
      </x:c>
      <x:c r="F21" s="24" t="n">
        <x:v>20279.745954</x:v>
      </x:c>
      <x:c r="G21" s="24" t="n">
        <x:v>26941.632205</x:v>
      </x:c>
      <x:c r="H21" s="24" t="n">
        <x:v>160.1306</x:v>
      </x:c>
    </x:row>
    <x:row r="22" ht="15" hidden="0">
      <x:c r="A22" s="120" t="s">
        <x:v>69</x:v>
      </x:c>
      <x:c r="B22" s="121"/>
      <x:c r="C22" s="24" t="n">
        <x:v>1197.729351</x:v>
      </x:c>
      <x:c r="D22" s="24" t="n">
        <x:v>480.765632</x:v>
      </x:c>
      <x:c r="E22" s="24" t="n">
        <x:v>933.537193</x:v>
      </x:c>
      <x:c r="F22" s="24" t="n">
        <x:v>1102.649172</x:v>
      </x:c>
      <x:c r="G22" s="24" t="n">
        <x:v>1450.702723</x:v>
      </x:c>
      <x:c r="H22" s="24" t="n">
        <x:v>891.606087</x:v>
      </x:c>
    </x:row>
    <x:row r="23" ht="15" hidden="0">
      <x:c r="A23" s="120" t="s">
        <x:v>70</x:v>
      </x:c>
      <x:c r="B23" s="121"/>
      <x:c r="C23" s="24" t="n">
        <x:v>484.45935</x:v>
      </x:c>
      <x:c r="D23" s="24" t="n">
        <x:v>583.944235</x:v>
      </x:c>
      <x:c r="E23" s="24" t="n">
        <x:v>783.220947</x:v>
      </x:c>
      <x:c r="F23" s="24" t="n">
        <x:v>1140.327819</x:v>
      </x:c>
      <x:c r="G23" s="24" t="n">
        <x:v>1025.371707</x:v>
      </x:c>
      <x:c r="H23" s="24" t="n">
        <x:v>425.391226</x:v>
      </x:c>
    </x:row>
    <x:row r="24" ht="15" hidden="0">
      <x:c r="A24" s="122" t="s">
        <x:v>71</x:v>
      </x:c>
      <x:c r="B24" s="123"/>
      <x:c r="C24" s="27" t="n">
        <x:f aca="0">C18+C19+C20+C21+C22+C23</x:f>
        <x:v>9848.798713999999</x:v>
      </x:c>
      <x:c r="D24" s="27" t="n">
        <x:f aca="0">D18+D19+D20+D21+D22+D23</x:f>
        <x:v>17775.831446999997</x:v>
      </x:c>
      <x:c r="E24" s="27" t="n">
        <x:f aca="0">E18+E19+E20+E21+E22+E23</x:f>
        <x:v>22913.376649</x:v>
      </x:c>
      <x:c r="F24" s="27" t="n">
        <x:f aca="0">F18+F19+F20+F21+F22+F23</x:f>
        <x:v>32212.396773</x:v>
      </x:c>
      <x:c r="G24" s="27" t="n">
        <x:f aca="0">G18+G19+G20+G21+G22+G23</x:f>
        <x:v>38614.792494</x:v>
      </x:c>
      <x:c r="H24" s="27" t="n">
        <x:f aca="0">H18+H19+H20+H21+H22+H23</x:f>
        <x:v>5237.623779</x:v>
      </x:c>
    </x:row>
    <x:row r="25" ht="15" hidden="0">
      <x:c r="A25" s="122" t="s">
        <x:v>72</x:v>
      </x:c>
      <x:c r="B25" s="123"/>
      <x:c r="C25" s="27" t="n">
        <x:f aca="0">C16+C24</x:f>
        <x:v>36086.921437000005</x:v>
      </x:c>
      <x:c r="D25" s="27" t="n">
        <x:f aca="0">D16+D24</x:f>
        <x:v>43350.667843999996</x:v>
      </x:c>
      <x:c r="E25" s="27" t="n">
        <x:f aca="0">E16+E24</x:f>
        <x:v>49530.075545</x:v>
      </x:c>
      <x:c r="F25" s="27" t="n">
        <x:f aca="0">F16+F24</x:f>
        <x:v>58843.295197</x:v>
      </x:c>
      <x:c r="G25" s="27" t="n">
        <x:f aca="0">G16+G24</x:f>
        <x:v>66794.311768</x:v>
      </x:c>
      <x:c r="H25" s="27" t="n">
        <x:f aca="0">H16+H24</x:f>
        <x:v>31756.667306999996</x:v>
      </x:c>
    </x:row>
    <x:row r="26" ht="15" hidden="0">
      <x:c r="A26" s="118" t="s">
        <x:v>73</x:v>
      </x:c>
      <x:c r="B26" s="119"/>
      <x:c r="C26" s="21"/>
      <x:c r="D26" s="21"/>
      <x:c r="E26" s="21"/>
      <x:c r="F26" s="21"/>
      <x:c r="G26" s="21"/>
      <x:c r="H26" s="21"/>
    </x:row>
    <x:row r="27" ht="15" hidden="0">
      <x:c r="A27" s="120" t="s">
        <x:v>74</x:v>
      </x:c>
      <x:c r="B27" s="121"/>
      <x:c r="C27" s="24" t="n">
        <x:v>2008.61297</x:v>
      </x:c>
      <x:c r="D27" s="24" t="n">
        <x:v>2008.61297</x:v>
      </x:c>
      <x:c r="E27" s="24" t="n">
        <x:v>2008.61297</x:v>
      </x:c>
      <x:c r="F27" s="24" t="n">
        <x:v>1958.61297</x:v>
      </x:c>
      <x:c r="G27" s="24" t="n">
        <x:v>1838.61297</x:v>
      </x:c>
      <x:c r="H27" s="24" t="n">
        <x:v>2008.61297</x:v>
      </x:c>
    </x:row>
    <x:row r="28" ht="15" hidden="0">
      <x:c r="A28" s="120" t="s">
        <x:v>75</x:v>
      </x:c>
      <x:c r="B28" s="121"/>
      <x:c r="C28" s="24" t="n">
        <x:v>20214.926401</x:v>
      </x:c>
      <x:c r="D28" s="24" t="n">
        <x:v>25237.607261</x:v>
      </x:c>
      <x:c r="E28" s="24" t="n">
        <x:v>30601.432002</x:v>
      </x:c>
      <x:c r="F28" s="24" t="n">
        <x:v>39131.692321</x:v>
      </x:c>
      <x:c r="G28" s="24" t="n">
        <x:v>46116.581817</x:v>
      </x:c>
      <x:c r="H28" s="24" t="n">
        <x:v>16718.060354</x:v>
      </x:c>
    </x:row>
    <x:row r="29" ht="15" hidden="0">
      <x:c r="A29" s="122" t="s">
        <x:v>76</x:v>
      </x:c>
      <x:c r="B29" s="123"/>
      <x:c r="C29" s="27" t="n">
        <x:f aca="0">C27+C28</x:f>
        <x:v>22223.539371</x:v>
      </x:c>
      <x:c r="D29" s="27" t="n">
        <x:f aca="0">D27+D28</x:f>
        <x:v>27246.220231</x:v>
      </x:c>
      <x:c r="E29" s="27" t="n">
        <x:f aca="0">E27+E28</x:f>
        <x:v>32610.044972</x:v>
      </x:c>
      <x:c r="F29" s="27" t="n">
        <x:f aca="0">F27+F28</x:f>
        <x:v>41090.305291000004</x:v>
      </x:c>
      <x:c r="G29" s="27" t="n">
        <x:f aca="0">G27+G28</x:f>
        <x:v>47955.194787</x:v>
      </x:c>
      <x:c r="H29" s="27" t="n">
        <x:f aca="0">H27+H28</x:f>
        <x:v>18726.673324</x:v>
      </x:c>
    </x:row>
    <x:row r="30" ht="15" hidden="0">
      <x:c r="A30" s="118" t="s">
        <x:v>77</x:v>
      </x:c>
      <x:c r="B30" s="119"/>
      <x:c r="C30" s="21"/>
      <x:c r="D30" s="21"/>
      <x:c r="E30" s="21"/>
      <x:c r="F30" s="21"/>
      <x:c r="G30" s="21"/>
      <x:c r="H30" s="21"/>
    </x:row>
    <x:row r="31" ht="15" hidden="0">
      <x:c r="A31" s="120" t="s">
        <x:v>78</x:v>
      </x:c>
      <x:c r="B31" s="121"/>
      <x:c r="C31" s="24" t="n">
        <x:v>4405.765306</x:v>
      </x:c>
      <x:c r="D31" s="24" t="n">
        <x:v>3179.400118</x:v>
      </x:c>
      <x:c r="E31" s="24" t="n">
        <x:v>2149.017375</x:v>
      </x:c>
      <x:c r="F31" s="24" t="n">
        <x:v>1118.642478</x:v>
      </x:c>
      <x:c r="G31" s="24" t="n">
        <x:v>1448.977799</x:v>
      </x:c>
      <x:c r="H31" s="24" t="n">
        <x:v>5439.226142</x:v>
      </x:c>
    </x:row>
    <x:row r="32" ht="15" hidden="0">
      <x:c r="A32" s="120" t="s">
        <x:v>79</x:v>
      </x:c>
      <x:c r="B32" s="121"/>
      <x:c r="C32" s="24" t="n">
        <x:v>0</x:v>
      </x:c>
      <x:c r="D32" s="24" t="n">
        <x:v>0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</x:row>
    <x:row r="33" ht="15" hidden="0">
      <x:c r="A33" s="120" t="s">
        <x:v>80</x:v>
      </x:c>
      <x:c r="B33" s="121"/>
      <x:c r="C33" s="24" t="n">
        <x:v>1.328937</x:v>
      </x:c>
      <x:c r="D33" s="24" t="n">
        <x:v>0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</x:row>
    <x:row r="34" ht="15" hidden="0">
      <x:c r="A34" s="120" t="s">
        <x:v>81</x:v>
      </x:c>
      <x:c r="B34" s="121"/>
      <x:c r="C34" s="24" t="n">
        <x:v>1857.649347</x:v>
      </x:c>
      <x:c r="D34" s="24" t="n">
        <x:v>3407.373618</x:v>
      </x:c>
      <x:c r="E34" s="24" t="n">
        <x:v>4823.158446</x:v>
      </x:c>
      <x:c r="F34" s="24" t="n">
        <x:v>5505.823994</x:v>
      </x:c>
      <x:c r="G34" s="24" t="n">
        <x:v>5688.11604</x:v>
      </x:c>
      <x:c r="H34" s="24" t="n">
        <x:v>1287.942113</x:v>
      </x:c>
    </x:row>
    <x:row r="35" ht="15" hidden="0">
      <x:c r="A35" s="120" t="s">
        <x:v>82</x:v>
      </x:c>
      <x:c r="B35" s="121"/>
      <x:c r="C35" s="24" t="n">
        <x:v>26.394536</x:v>
      </x:c>
      <x:c r="D35" s="24" t="n">
        <x:v>29.683198</x:v>
      </x:c>
      <x:c r="E35" s="24" t="n">
        <x:v>35.383341</x:v>
      </x:c>
      <x:c r="F35" s="24" t="n">
        <x:v>32.887203</x:v>
      </x:c>
      <x:c r="G35" s="24" t="n">
        <x:v>40.322031</x:v>
      </x:c>
      <x:c r="H35" s="24" t="n">
        <x:v>23.277456</x:v>
      </x:c>
    </x:row>
    <x:row r="36" ht="15" hidden="0">
      <x:c r="A36" s="122" t="s">
        <x:v>83</x:v>
      </x:c>
      <x:c r="B36" s="123"/>
      <x:c r="C36" s="27" t="n">
        <x:f aca="0">C31+C32+C33+C34+C35</x:f>
        <x:v>6291.138126</x:v>
      </x:c>
      <x:c r="D36" s="27" t="n">
        <x:f aca="0">D31+D32+D33+D34+D35</x:f>
        <x:v>6616.456934</x:v>
      </x:c>
      <x:c r="E36" s="27" t="n">
        <x:f aca="0">E31+E32+E33+E34+E35</x:f>
        <x:v>7007.5591620000005</x:v>
      </x:c>
      <x:c r="F36" s="27" t="n">
        <x:f aca="0">F31+F32+F33+F34+F35</x:f>
        <x:v>6657.353675</x:v>
      </x:c>
      <x:c r="G36" s="27" t="n">
        <x:f aca="0">G31+G32+G33+G34+G35</x:f>
        <x:v>7177.41587</x:v>
      </x:c>
      <x:c r="H36" s="27" t="n">
        <x:f aca="0">H31+H32+H33+H34+H35</x:f>
        <x:v>6750.445711</x:v>
      </x:c>
    </x:row>
    <x:row r="37" ht="15" hidden="0">
      <x:c r="A37" s="118" t="s">
        <x:v>84</x:v>
      </x:c>
      <x:c r="B37" s="119"/>
      <x:c r="C37" s="21"/>
      <x:c r="D37" s="21"/>
      <x:c r="E37" s="21"/>
      <x:c r="F37" s="21"/>
      <x:c r="G37" s="21"/>
      <x:c r="H37" s="21"/>
    </x:row>
    <x:row r="38" ht="15" hidden="0">
      <x:c r="A38" s="120" t="s">
        <x:v>85</x:v>
      </x:c>
      <x:c r="B38" s="121"/>
      <x:c r="C38" s="24" t="n">
        <x:v>4985.385529</x:v>
      </x:c>
      <x:c r="D38" s="24" t="n">
        <x:v>5525.221208</x:v>
      </x:c>
      <x:c r="E38" s="24" t="n">
        <x:v>5307.075353</x:v>
      </x:c>
      <x:c r="F38" s="24" t="n">
        <x:v>6223.153321</x:v>
      </x:c>
      <x:c r="G38" s="24" t="n">
        <x:v>7710.012398</x:v>
      </x:c>
      <x:c r="H38" s="24" t="n">
        <x:v>4293.205395</x:v>
      </x:c>
    </x:row>
    <x:row r="39" ht="15" hidden="0">
      <x:c r="A39" s="120" t="s">
        <x:v>86</x:v>
      </x:c>
      <x:c r="B39" s="121"/>
      <x:c r="C39" s="24" t="n">
        <x:v>137.0915</x:v>
      </x:c>
      <x:c r="D39" s="24" t="n">
        <x:v>264.984408</x:v>
      </x:c>
      <x:c r="E39" s="24" t="n">
        <x:v>253.135945</x:v>
      </x:c>
      <x:c r="F39" s="24" t="n">
        <x:v>113.418606</x:v>
      </x:c>
      <x:c r="G39" s="24" t="n">
        <x:v>144.300907</x:v>
      </x:c>
      <x:c r="H39" s="24" t="n">
        <x:v>126.582689</x:v>
      </x:c>
    </x:row>
    <x:row r="40" ht="15" hidden="0">
      <x:c r="A40" s="120" t="s">
        <x:v>87</x:v>
      </x:c>
      <x:c r="B40" s="121"/>
      <x:c r="C40" s="24" t="n">
        <x:v>122.613973</x:v>
      </x:c>
      <x:c r="D40" s="24" t="n">
        <x:v>142.171993</x:v>
      </x:c>
      <x:c r="E40" s="24" t="n">
        <x:v>192.67479</x:v>
      </x:c>
      <x:c r="F40" s="24" t="n">
        <x:v>0</x:v>
      </x:c>
      <x:c r="G40" s="24" t="n">
        <x:v>0</x:v>
      </x:c>
      <x:c r="H40" s="24" t="n">
        <x:v>208.766756</x:v>
      </x:c>
    </x:row>
    <x:row r="41" ht="15" hidden="0">
      <x:c r="A41" s="120" t="s">
        <x:v>88</x:v>
      </x:c>
      <x:c r="B41" s="121"/>
      <x:c r="C41" s="24" t="n">
        <x:v>498</x:v>
      </x:c>
      <x:c r="D41" s="24" t="n">
        <x:v>0</x:v>
      </x:c>
      <x:c r="E41" s="24" t="n">
        <x:v>0</x:v>
      </x:c>
      <x:c r="F41" s="24" t="n">
        <x:v>0.061253</x:v>
      </x:c>
      <x:c r="G41" s="24" t="n">
        <x:v>3.704884</x:v>
      </x:c>
      <x:c r="H41" s="24" t="n">
        <x:v>1301.6091</x:v>
      </x:c>
    </x:row>
    <x:row r="42" ht="15" hidden="0">
      <x:c r="A42" s="120" t="s">
        <x:v>89</x:v>
      </x:c>
      <x:c r="B42" s="121"/>
      <x:c r="C42" s="24" t="n">
        <x:v>1147.020843</x:v>
      </x:c>
      <x:c r="D42" s="24" t="n">
        <x:v>1071.912356</x:v>
      </x:c>
      <x:c r="E42" s="24" t="n">
        <x:v>1034.355873</x:v>
      </x:c>
      <x:c r="F42" s="24" t="n">
        <x:v>1169.295643</x:v>
      </x:c>
      <x:c r="G42" s="24" t="n">
        <x:v>837.359258</x:v>
      </x:c>
      <x:c r="H42" s="24" t="n">
        <x:v>248.496322</x:v>
      </x:c>
    </x:row>
    <x:row r="43" ht="15" hidden="0">
      <x:c r="A43" s="120" t="s">
        <x:v>90</x:v>
      </x:c>
      <x:c r="B43" s="121"/>
      <x:c r="C43" s="24" t="n">
        <x:v>0</x:v>
      </x:c>
      <x:c r="D43" s="24" t="n">
        <x:v>0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</x:row>
    <x:row r="44" ht="15" hidden="0">
      <x:c r="A44" s="120" t="s">
        <x:v>91</x:v>
      </x:c>
      <x:c r="B44" s="121"/>
      <x:c r="C44" s="24" t="n">
        <x:v>0</x:v>
      </x:c>
      <x:c r="D44" s="24" t="n">
        <x:v>0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</x:row>
    <x:row r="45" ht="15" hidden="0">
      <x:c r="A45" s="120" t="s">
        <x:v>92</x:v>
      </x:c>
      <x:c r="B45" s="121"/>
      <x:c r="C45" s="24" t="n">
        <x:v>46.197552</x:v>
      </x:c>
      <x:c r="D45" s="24" t="n">
        <x:v>45.648049</x:v>
      </x:c>
      <x:c r="E45" s="24" t="n">
        <x:v>45.47522</x:v>
      </x:c>
      <x:c r="F45" s="24" t="n">
        <x:v>45.338931</x:v>
      </x:c>
      <x:c r="G45" s="24" t="n">
        <x:v>42.181257</x:v>
      </x:c>
      <x:c r="H45" s="24" t="n">
        <x:v>48.014348</x:v>
      </x:c>
    </x:row>
    <x:row r="46" ht="15" hidden="0">
      <x:c r="A46" s="120" t="s">
        <x:v>93</x:v>
      </x:c>
      <x:c r="B46" s="121"/>
      <x:c r="C46" s="24" t="n">
        <x:v>635.934543</x:v>
      </x:c>
      <x:c r="D46" s="24" t="n">
        <x:v>2438.052665</x:v>
      </x:c>
      <x:c r="E46" s="24" t="n">
        <x:v>3079.75423</x:v>
      </x:c>
      <x:c r="F46" s="24" t="n">
        <x:v>3544.368477</x:v>
      </x:c>
      <x:c r="G46" s="24" t="n">
        <x:v>2924.142407</x:v>
      </x:c>
      <x:c r="H46" s="24" t="n">
        <x:v>52.873661</x:v>
      </x:c>
    </x:row>
    <x:row r="47" ht="15" hidden="0">
      <x:c r="A47" s="120" t="s">
        <x:v>94</x:v>
      </x:c>
      <x:c r="B47" s="121"/>
      <x:c r="C47" s="24" t="n">
        <x:v>0</x:v>
      </x:c>
      <x:c r="D47" s="24" t="n">
        <x:v>0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</x:row>
    <x:row r="48" ht="15" hidden="0">
      <x:c r="A48" s="122" t="s">
        <x:v>95</x:v>
      </x:c>
      <x:c r="B48" s="123"/>
      <x:c r="C48" s="27" t="n">
        <x:f aca="0">C38+C39+C40+C41+C42+C43+C44+C45+C46+C47</x:f>
        <x:v>7572.24394</x:v>
      </x:c>
      <x:c r="D48" s="27" t="n">
        <x:f aca="0">D38+D39+D40+D41+D42+D43+D44+D45+D46+D47</x:f>
        <x:v>9487.990679</x:v>
      </x:c>
      <x:c r="E48" s="27" t="n">
        <x:f aca="0">E38+E39+E40+E41+E42+E43+E44+E45+E46+E47</x:f>
        <x:v>9912.471411</x:v>
      </x:c>
      <x:c r="F48" s="27" t="n">
        <x:f aca="0">F38+F39+F40+F41+F42+F43+F44+F45+F46+F47</x:f>
        <x:v>11095.636231</x:v>
      </x:c>
      <x:c r="G48" s="27" t="n">
        <x:f aca="0">G38+G39+G40+G41+G42+G43+G44+G45+G46+G47</x:f>
        <x:v>11661.701110999998</x:v>
      </x:c>
      <x:c r="H48" s="27" t="n">
        <x:f aca="0">H38+H39+H40+H41+H42+H43+H44+H45+H46+H47</x:f>
        <x:v>6279.548270999999</x:v>
      </x:c>
    </x:row>
    <x:row r="49" ht="15" hidden="0">
      <x:c r="A49" s="122" t="s">
        <x:v>96</x:v>
      </x:c>
      <x:c r="B49" s="123"/>
      <x:c r="C49" s="27" t="n">
        <x:f aca="0">C36+C48</x:f>
        <x:v>13863.382066</x:v>
      </x:c>
      <x:c r="D49" s="27" t="n">
        <x:f aca="0">D36+D48</x:f>
        <x:v>16104.447613</x:v>
      </x:c>
      <x:c r="E49" s="27" t="n">
        <x:f aca="0">E36+E48</x:f>
        <x:v>16920.030573</x:v>
      </x:c>
      <x:c r="F49" s="27" t="n">
        <x:f aca="0">F36+F48</x:f>
        <x:v>17752.989906000003</x:v>
      </x:c>
      <x:c r="G49" s="27" t="n">
        <x:f aca="0">G36+G48</x:f>
        <x:v>18839.116981</x:v>
      </x:c>
      <x:c r="H49" s="27" t="n">
        <x:f aca="0">H36+H48</x:f>
        <x:v>13029.993982</x:v>
      </x:c>
    </x:row>
    <x:row r="50" ht="15" hidden="0">
      <x:c r="A50" s="122" t="s">
        <x:v>97</x:v>
      </x:c>
      <x:c r="B50" s="123"/>
      <x:c r="C50" s="27" t="n">
        <x:f aca="0">C29+C49</x:f>
        <x:v>36086.921437</x:v>
      </x:c>
      <x:c r="D50" s="27" t="n">
        <x:f aca="0">D29+D49</x:f>
        <x:v>43350.667843999996</x:v>
      </x:c>
      <x:c r="E50" s="27" t="n">
        <x:f aca="0">E29+E49</x:f>
        <x:v>49530.075545</x:v>
      </x:c>
      <x:c r="F50" s="27" t="n">
        <x:f aca="0">F29+F49</x:f>
        <x:v>58843.29519700001</x:v>
      </x:c>
      <x:c r="G50" s="27" t="n">
        <x:f aca="0">G29+G49</x:f>
        <x:v>66794.311768</x:v>
      </x:c>
      <x:c r="H50" s="27" t="n">
        <x:f aca="0">H29+H49</x:f>
        <x:v>31756.667306</x:v>
      </x:c>
    </x:row>
    <x:row r="51" ht="15" hidden="0">
      <x:c r="A51" s="118" t="s">
        <x:v>98</x:v>
      </x:c>
      <x:c r="B51" s="119"/>
      <x:c r="C51" s="21"/>
      <x:c r="D51" s="21"/>
      <x:c r="E51" s="21"/>
      <x:c r="F51" s="21"/>
      <x:c r="G51" s="21"/>
      <x:c r="H51" s="21"/>
    </x:row>
    <x:row r="52" ht="15" hidden="0">
      <x:c r="A52" s="120" t="s">
        <x:v>99</x:v>
      </x:c>
      <x:c r="B52" s="121"/>
      <x:c r="C52" s="24" t="n">
        <x:v>1555.157545</x:v>
      </x:c>
      <x:c r="D52" s="24" t="n">
        <x:v>1281.559797</x:v>
      </x:c>
      <x:c r="E52" s="24" t="n">
        <x:v>674.674284</x:v>
      </x:c>
      <x:c r="F52" s="24" t="n">
        <x:v>1781.446871</x:v>
      </x:c>
      <x:c r="G52" s="24" t="n">
        <x:v>2107.135975</x:v>
      </x:c>
      <x:c r="H52" s="24" t="n">
        <x:v>1091.300971</x:v>
      </x:c>
    </x:row>
    <x:row r="53" ht="15" hidden="0">
      <x:c r="A53" s="120" t="s">
        <x:v>100</x:v>
      </x:c>
      <x:c r="B53" s="121"/>
      <x:c r="C53" s="24" t="n">
        <x:f aca="0">C9-C10</x:f>
        <x:v>21753.605354000003</x:v>
      </x:c>
      <x:c r="D53" s="24" t="n">
        <x:f aca="0">D9-D10</x:f>
        <x:v>21200.398415</x:v>
      </x:c>
      <x:c r="E53" s="24" t="n">
        <x:f aca="0">E9-E10</x:f>
        <x:v>20286.414882</x:v>
      </x:c>
      <x:c r="F53" s="24" t="n">
        <x:f aca="0">F9-F10</x:f>
        <x:v>21157.313928000003</x:v>
      </x:c>
      <x:c r="G53" s="24" t="n">
        <x:f aca="0">G9-G10</x:f>
        <x:v>20873.345754</x:v>
      </x:c>
      <x:c r="H53" s="24" t="n">
        <x:f aca="0">H9-H10</x:f>
        <x:v>22613.088248999997</x:v>
      </x:c>
    </x:row>
    <x:row r="54" ht="15" hidden="0">
      <x:c r="A54" s="120" t="s">
        <x:v>101</x:v>
      </x:c>
      <x:c r="B54" s="121"/>
      <x:c r="C54" s="24" t="n">
        <x:f aca="0">C18+C19</x:f>
        <x:v>4183.545367</x:v>
      </x:c>
      <x:c r="D54" s="24" t="n">
        <x:f aca="0">D18+D19</x:f>
        <x:v>5670.986418</x:v>
      </x:c>
      <x:c r="E54" s="24" t="n">
        <x:f aca="0">E18+E19</x:f>
        <x:v>7655.991318</x:v>
      </x:c>
      <x:c r="F54" s="24" t="n">
        <x:f aca="0">F18+F19</x:f>
        <x:v>7579.425926</x:v>
      </x:c>
      <x:c r="G54" s="24" t="n">
        <x:f aca="0">G18+G19</x:f>
        <x:v>7504.868027</x:v>
      </x:c>
      <x:c r="H54" s="24" t="n">
        <x:f aca="0">H18+H19</x:f>
        <x:v>3266.18066</x:v>
      </x:c>
    </x:row>
    <x:row r="55" ht="15" hidden="0">
      <x:c r="A55" s="120" t="s">
        <x:v>102</x:v>
      </x:c>
      <x:c r="B55" s="121"/>
      <x:c r="C55" s="24" t="n">
        <x:f aca="0">C31+C32+C41+C42+C43-C197-C198</x:f>
        <x:v>6050.7861490000005</x:v>
      </x:c>
      <x:c r="D55" s="24" t="n">
        <x:f aca="0">D31+D32+D41+D42+D43-D197-D198</x:f>
        <x:v>4251.312474</x:v>
      </x:c>
      <x:c r="E55" s="24" t="n">
        <x:f aca="0">E31+E32+E41+E42+E43-E197-E198</x:f>
        <x:v>3183.373248</x:v>
      </x:c>
      <x:c r="F55" s="24" t="n">
        <x:f aca="0">F31+F32+F41+F42+F43-F197-F198</x:f>
        <x:v>2153.059604</x:v>
      </x:c>
      <x:c r="G55" s="24" t="n">
        <x:f aca="0">G31+G32+G41+G42+G43-G197-G198</x:f>
        <x:v>2242.621544</x:v>
      </x:c>
      <x:c r="H55" s="24" t="n">
        <x:f aca="0">H31+H32+H41+H42+H43-H197-H198</x:f>
        <x:v>6989.331564</x:v>
      </x:c>
    </x:row>
    <x:row r="56" ht="15" hidden="0">
      <x:c r="A56" s="120" t="s">
        <x:v>103</x:v>
      </x:c>
      <x:c r="B56" s="121"/>
      <x:c r="C56" s="24" t="n">
        <x:f aca="0">C31+C32</x:f>
        <x:v>4405.765306</x:v>
      </x:c>
      <x:c r="D56" s="24" t="n">
        <x:f aca="0">D31+D32</x:f>
        <x:v>3179.400118</x:v>
      </x:c>
      <x:c r="E56" s="24" t="n">
        <x:f aca="0">E31+E32</x:f>
        <x:v>2149.017375</x:v>
      </x:c>
      <x:c r="F56" s="24" t="n">
        <x:f aca="0">F31+F32</x:f>
        <x:v>1118.642478</x:v>
      </x:c>
      <x:c r="G56" s="24" t="n">
        <x:f aca="0">G31+G32</x:f>
        <x:v>1448.977799</x:v>
      </x:c>
      <x:c r="H56" s="24" t="n">
        <x:f aca="0">H31+H32</x:f>
        <x:v>5439.226142</x:v>
      </x:c>
    </x:row>
    <x:row r="57" ht="15" hidden="0">
      <x:c r="A57" s="120"/>
      <x:c r="B57" s="121"/>
      <x:c r="C57" s="24">
        <x:f aca="0"/>
      </x:c>
      <x:c r="D57" s="24">
        <x:f aca="0"/>
      </x:c>
      <x:c r="E57" s="24">
        <x:f aca="0"/>
      </x:c>
      <x:c r="F57" s="24">
        <x:f aca="0"/>
      </x:c>
      <x:c r="G57" s="24">
        <x:f aca="0"/>
      </x:c>
      <x:c r="H57" s="24">
        <x:f aca="0"/>
      </x:c>
    </x:row>
    <x:row r="58" ht="15" hidden="0">
      <x:c r="A58" s="120" t="s">
        <x:v>104</x:v>
      </x:c>
      <x:c r="B58" s="121"/>
      <x:c r="C58" s="24" t="n">
        <x:f aca="0">C55+C29</x:f>
        <x:v>28274.32552</x:v>
      </x:c>
      <x:c r="D58" s="24" t="n">
        <x:f aca="0">D55+D29</x:f>
        <x:v>31497.532704999998</x:v>
      </x:c>
      <x:c r="E58" s="24" t="n">
        <x:f aca="0">E55+E29</x:f>
        <x:v>35793.41822</x:v>
      </x:c>
      <x:c r="F58" s="24" t="n">
        <x:f aca="0">F55+F29</x:f>
        <x:v>43243.364895000006</x:v>
      </x:c>
      <x:c r="G58" s="24" t="n">
        <x:f aca="0">G55+G29</x:f>
        <x:v>50197.816331</x:v>
      </x:c>
      <x:c r="H58" s="24" t="n">
        <x:f aca="0">H55+H29</x:f>
        <x:v>25716.004888</x:v>
      </x:c>
    </x:row>
    <x:row r="59" ht="15" hidden="0">
      <x:c r="A59" s="120" t="s">
        <x:v>105</x:v>
      </x:c>
      <x:c r="B59" s="121"/>
      <x:c r="C59" s="24" t="n">
        <x:f aca="0">C24-C22-C21</x:f>
        <x:v>5651.572939999998</x:v>
      </x:c>
      <x:c r="D59" s="24" t="n">
        <x:f aca="0">D24-D22-D21</x:f>
        <x:v>7170.970121999999</x:v>
      </x:c>
      <x:c r="E59" s="24" t="n">
        <x:f aca="0">E24-E22-E21</x:f>
        <x:v>9644.765640000001</x:v>
      </x:c>
      <x:c r="F59" s="24" t="n">
        <x:f aca="0">F24-F22-F21</x:f>
        <x:v>10830.001646999997</x:v>
      </x:c>
      <x:c r="G59" s="24" t="n">
        <x:f aca="0">G24-G22-G21</x:f>
        <x:v>10222.457565999997</x:v>
      </x:c>
      <x:c r="H59" s="24" t="n">
        <x:f aca="0">H24-H22-H21</x:f>
        <x:v>4185.887091999999</x:v>
      </x:c>
    </x:row>
    <x:row r="60" ht="15" hidden="0">
      <x:c r="A60" s="120" t="s">
        <x:v>106</x:v>
      </x:c>
      <x:c r="B60" s="121"/>
      <x:c r="C60" s="24" t="n">
        <x:f aca="0">C48-C41-C42-C43-C44-C40-C45</x:f>
        <x:v>5758.411572</x:v>
      </x:c>
      <x:c r="D60" s="24" t="n">
        <x:f aca="0">D48-D41-D42-D43-D44-D40-D45</x:f>
        <x:v>8228.258281</x:v>
      </x:c>
      <x:c r="E60" s="24" t="n">
        <x:f aca="0">E48-E41-E42-E43-E44-E40-E45</x:f>
        <x:v>8639.965528</x:v>
      </x:c>
      <x:c r="F60" s="24" t="n">
        <x:f aca="0">F48-F41-F42-F43-F44-F40-F45</x:f>
        <x:v>9880.940404</x:v>
      </x:c>
      <x:c r="G60" s="24" t="n">
        <x:f aca="0">G48-G41-G42-G43-G44-G40-G45</x:f>
        <x:v>10778.455711999997</x:v>
      </x:c>
      <x:c r="H60" s="24" t="n">
        <x:f aca="0">H48-H41-H42-H43-H44-H40-H45</x:f>
        <x:v>4472.661744999999</x:v>
      </x:c>
    </x:row>
    <x:row r="61">
      <x:c r="A61" s="111"/>
      <x:c r="B61" s="111"/>
    </x:row>
    <x:row r="62" ht="19.5" hidden="0" customHeight="1">
      <x:c r="A62" s="114" t="s">
        <x:v>107</x:v>
      </x:c>
      <x:c r="B62" s="115"/>
      <x:c r="C62" s="6"/>
      <x:c r="D62" s="6"/>
      <x:c r="E62" s="6"/>
      <x:c r="F62" s="6"/>
      <x:c r="G62" s="6"/>
      <x:c r="H62" s="6"/>
    </x:row>
    <x:row r="63" ht="16.5" hidden="0" customHeight="1">
      <x:c r="A63" s="116" t="s">
        <x:v>48</x:v>
      </x:c>
      <x:c r="B63" s="117"/>
      <x:c r="C63" s="19" t="s">
        <x:v>49</x:v>
      </x:c>
      <x:c r="D63" s="19" t="s">
        <x:v>50</x:v>
      </x:c>
      <x:c r="E63" s="19" t="s">
        <x:v>51</x:v>
      </x:c>
      <x:c r="F63" s="19" t="s">
        <x:v>52</x:v>
      </x:c>
      <x:c r="G63" s="19" t="s">
        <x:v>53</x:v>
      </x:c>
      <x:c r="H63" s="19" t="s">
        <x:v>54</x:v>
      </x:c>
    </x:row>
    <x:row r="64" ht="15" hidden="0">
      <x:c r="A64" s="120" t="s">
        <x:v>108</x:v>
      </x:c>
      <x:c r="B64" s="121"/>
      <x:c r="C64" s="24" t="n">
        <x:v>24057.375992</x:v>
      </x:c>
      <x:c r="D64" s="24" t="n">
        <x:v>32876.949179</x:v>
      </x:c>
      <x:c r="E64" s="24" t="n">
        <x:v>38921.63535</x:v>
      </x:c>
      <x:c r="F64" s="24" t="n">
        <x:v>38647.767972</x:v>
      </x:c>
      <x:c r="G64" s="24" t="n">
        <x:v>37535.700372</x:v>
      </x:c>
      <x:c r="H64" s="24" t="n">
        <x:v>11300.24054</x:v>
      </x:c>
    </x:row>
    <x:row r="65" ht="15" hidden="0">
      <x:c r="A65" s="120" t="s">
        <x:v>109</x:v>
      </x:c>
      <x:c r="B65" s="121"/>
      <x:c r="C65" s="24" t="n">
        <x:v>-18092.026933</x:v>
      </x:c>
      <x:c r="D65" s="24" t="n">
        <x:v>-23065.18067</x:v>
      </x:c>
      <x:c r="E65" s="24" t="n">
        <x:v>-28488.941331</x:v>
      </x:c>
      <x:c r="F65" s="24" t="n">
        <x:v>-27391.276477</x:v>
      </x:c>
      <x:c r="G65" s="24" t="n">
        <x:v>-22814.094271</x:v>
      </x:c>
      <x:c r="H65" s="24" t="n">
        <x:v>-11324.560852</x:v>
      </x:c>
    </x:row>
    <x:row r="66" ht="15" hidden="0">
      <x:c r="A66" s="122" t="s">
        <x:v>110</x:v>
      </x:c>
      <x:c r="B66" s="123"/>
      <x:c r="C66" s="27" t="n">
        <x:f aca="0">C64+C65</x:f>
        <x:v>5965.349059</x:v>
      </x:c>
      <x:c r="D66" s="27" t="n">
        <x:f aca="0">D64+D65</x:f>
        <x:v>9811.768509000001</x:v>
      </x:c>
      <x:c r="E66" s="27" t="n">
        <x:f aca="0">E64+E65</x:f>
        <x:v>10432.694018999995</x:v>
      </x:c>
      <x:c r="F66" s="27" t="n">
        <x:f aca="0">F64+F65</x:f>
        <x:v>11256.491495000002</x:v>
      </x:c>
      <x:c r="G66" s="27" t="n">
        <x:f aca="0">G64+G65</x:f>
        <x:v>14721.606100999998</x:v>
      </x:c>
      <x:c r="H66" s="27" t="n">
        <x:f aca="0">H64+H65</x:f>
        <x:v>-24.32031199999983</x:v>
      </x:c>
    </x:row>
    <x:row r="67" ht="15" hidden="0">
      <x:c r="A67" s="120" t="s">
        <x:v>111</x:v>
      </x:c>
      <x:c r="B67" s="121"/>
      <x:c r="C67" s="24" t="n">
        <x:v>-94.165965</x:v>
      </x:c>
      <x:c r="D67" s="24" t="n">
        <x:v>-122.136736</x:v>
      </x:c>
      <x:c r="E67" s="24" t="n">
        <x:v>-176.123458</x:v>
      </x:c>
      <x:c r="F67" s="24" t="n">
        <x:v>-197.259359</x:v>
      </x:c>
      <x:c r="G67" s="24" t="n">
        <x:v>-225.600417</x:v>
      </x:c>
      <x:c r="H67" s="24" t="n">
        <x:v>-64.260434</x:v>
      </x:c>
    </x:row>
    <x:row r="68" ht="15" hidden="0">
      <x:c r="A68" s="120" t="s">
        <x:v>112</x:v>
      </x:c>
      <x:c r="B68" s="121"/>
      <x:c r="C68" s="24" t="n">
        <x:v>-313.52467</x:v>
      </x:c>
      <x:c r="D68" s="24" t="n">
        <x:v>-353.522846</x:v>
      </x:c>
      <x:c r="E68" s="24" t="n">
        <x:v>-396.230055</x:v>
      </x:c>
      <x:c r="F68" s="24" t="n">
        <x:v>-488.042831</x:v>
      </x:c>
      <x:c r="G68" s="24" t="n">
        <x:v>-695.553118</x:v>
      </x:c>
      <x:c r="H68" s="24" t="n">
        <x:v>-238.727603</x:v>
      </x:c>
    </x:row>
    <x:row r="69" ht="15" hidden="0">
      <x:c r="A69" s="120" t="s">
        <x:v>113</x:v>
      </x:c>
      <x:c r="B69" s="121"/>
      <x:c r="C69" s="24" t="n">
        <x:v>0</x:v>
      </x:c>
      <x:c r="D69" s="24" t="n">
        <x:v>0</x:v>
      </x:c>
      <x:c r="E69" s="24" t="n">
        <x:v>0</x:v>
      </x:c>
      <x:c r="F69" s="24" t="n">
        <x:v>2.010516</x:v>
      </x:c>
      <x:c r="G69" s="24" t="n">
        <x:v>-44.078565</x:v>
      </x:c>
      <x:c r="H69" s="24" t="n">
        <x:v>0</x:v>
      </x:c>
    </x:row>
    <x:row r="70" ht="15" hidden="0">
      <x:c r="A70" s="120" t="s">
        <x:v>114</x:v>
      </x:c>
      <x:c r="B70" s="121"/>
      <x:c r="C70" s="24" t="n">
        <x:v>-325.323074</x:v>
      </x:c>
      <x:c r="D70" s="24" t="n">
        <x:v>-563.052382</x:v>
      </x:c>
      <x:c r="E70" s="24" t="n">
        <x:v>-736.512959</x:v>
      </x:c>
      <x:c r="F70" s="24" t="n">
        <x:v>-571.950389</x:v>
      </x:c>
      <x:c r="G70" s="24" t="n">
        <x:v>-940.359065</x:v>
      </x:c>
      <x:c r="H70" s="24" t="n">
        <x:v>-16.45653</x:v>
      </x:c>
    </x:row>
    <x:row r="71" ht="15" hidden="0">
      <x:c r="A71" s="122" t="s">
        <x:v>115</x:v>
      </x:c>
      <x:c r="B71" s="123"/>
      <x:c r="C71" s="27" t="n">
        <x:f aca="0">C66+C67+C68+C69+C70</x:f>
        <x:v>5232.33535</x:v>
      </x:c>
      <x:c r="D71" s="27" t="n">
        <x:f aca="0">D66+D67+D68+D69+D70</x:f>
        <x:v>8773.056545000001</x:v>
      </x:c>
      <x:c r="E71" s="27" t="n">
        <x:f aca="0">E66+E67+E68+E69+E70</x:f>
        <x:v>9123.827546999995</x:v>
      </x:c>
      <x:c r="F71" s="27" t="n">
        <x:f aca="0">F66+F67+F68+F69+F70</x:f>
        <x:v>10001.249432000002</x:v>
      </x:c>
      <x:c r="G71" s="27" t="n">
        <x:f aca="0">G66+G67+G68+G69+G70</x:f>
        <x:v>12816.014935999998</x:v>
      </x:c>
      <x:c r="H71" s="27" t="n">
        <x:f aca="0">H66+H67+H68+H69+H70</x:f>
        <x:v>-343.7648789999998</x:v>
      </x:c>
    </x:row>
    <x:row r="72" ht="15" hidden="0">
      <x:c r="A72" s="120" t="s">
        <x:v>116</x:v>
      </x:c>
      <x:c r="B72" s="121"/>
      <x:c r="C72" s="24" t="n">
        <x:v>170.67467</x:v>
      </x:c>
      <x:c r="D72" s="24" t="n">
        <x:v>690.143396</x:v>
      </x:c>
      <x:c r="E72" s="24" t="n">
        <x:v>2085.808053</x:v>
      </x:c>
      <x:c r="F72" s="24" t="n">
        <x:v>4452.416513</x:v>
      </x:c>
      <x:c r="G72" s="24" t="n">
        <x:v>5280.719197</x:v>
      </x:c>
      <x:c r="H72" s="24" t="n">
        <x:v>196.152112</x:v>
      </x:c>
    </x:row>
    <x:row r="73" ht="15" hidden="0">
      <x:c r="A73" s="120" t="s">
        <x:v>117</x:v>
      </x:c>
      <x:c r="B73" s="121"/>
      <x:c r="C73" s="24" t="n">
        <x:v>0</x:v>
      </x:c>
      <x:c r="D73" s="24" t="n">
        <x:v>0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</x:row>
    <x:row r="74" ht="15" hidden="0">
      <x:c r="A74" s="120" t="s">
        <x:v>118</x:v>
      </x:c>
      <x:c r="B74" s="121"/>
      <x:c r="C74" s="24" t="n">
        <x:v>0</x:v>
      </x:c>
      <x:c r="D74" s="24" t="n">
        <x:v>0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</x:row>
    <x:row r="75" ht="15" hidden="0">
      <x:c r="A75" s="120" t="s">
        <x:v>119</x:v>
      </x:c>
      <x:c r="B75" s="121"/>
      <x:c r="C75" s="24" t="n">
        <x:v>-517.055413</x:v>
      </x:c>
      <x:c r="D75" s="24" t="n">
        <x:v>-537.710815</x:v>
      </x:c>
      <x:c r="E75" s="24" t="n">
        <x:v>-740.307772</x:v>
      </x:c>
      <x:c r="F75" s="24" t="n">
        <x:v>-677.380845</x:v>
      </x:c>
      <x:c r="G75" s="24" t="n">
        <x:v>-349.910716</x:v>
      </x:c>
      <x:c r="H75" s="24" t="n">
        <x:v>-409.702183</x:v>
      </x:c>
    </x:row>
    <x:row r="76" ht="15" hidden="0">
      <x:c r="A76" s="122" t="s">
        <x:v>120</x:v>
      </x:c>
      <x:c r="B76" s="123"/>
      <x:c r="C76" s="27" t="n">
        <x:f aca="0">C71+C72+C73+C74+C75</x:f>
        <x:v>4885.954607000001</x:v>
      </x:c>
      <x:c r="D76" s="27" t="n">
        <x:f aca="0">D71+D72+D73+D74+D75</x:f>
        <x:v>8925.489126</x:v>
      </x:c>
      <x:c r="E76" s="27" t="n">
        <x:f aca="0">E71+E72+E73+E74+E75</x:f>
        <x:v>10469.327827999996</x:v>
      </x:c>
      <x:c r="F76" s="27" t="n">
        <x:f aca="0">F71+F72+F73+F74+F75</x:f>
        <x:v>13776.285100000003</x:v>
      </x:c>
      <x:c r="G76" s="27" t="n">
        <x:f aca="0">G71+G72+G73+G74+G75</x:f>
        <x:v>17746.823417</x:v>
      </x:c>
      <x:c r="H76" s="27" t="n">
        <x:f aca="0">H71+H72+H73+H74+H75</x:f>
        <x:v>-557.3149499999997</x:v>
      </x:c>
    </x:row>
    <x:row r="77" ht="15" hidden="0">
      <x:c r="A77" s="120" t="s">
        <x:v>121</x:v>
      </x:c>
      <x:c r="B77" s="121"/>
      <x:c r="C77" s="24" t="n">
        <x:v>0</x:v>
      </x:c>
      <x:c r="D77" s="24" t="n">
        <x:v>0</x:v>
      </x:c>
      <x:c r="E77" s="24" t="n">
        <x:v>-343.981005</x:v>
      </x:c>
      <x:c r="F77" s="24" t="n">
        <x:v>-844.151365</x:v>
      </x:c>
      <x:c r="G77" s="24" t="n">
        <x:v>-58.631368</x:v>
      </x:c>
      <x:c r="H77" s="24" t="n">
        <x:v>0</x:v>
      </x:c>
    </x:row>
    <x:row r="78" ht="15" hidden="0">
      <x:c r="A78" s="120" t="s">
        <x:v>122</x:v>
      </x:c>
      <x:c r="B78" s="121"/>
      <x:c r="C78" s="24" t="n">
        <x:v>-1388.44736</x:v>
      </x:c>
      <x:c r="D78" s="24" t="n">
        <x:v>-3901.208866</x:v>
      </x:c>
      <x:c r="E78" s="24" t="n">
        <x:v>-4304.595678</x:v>
      </x:c>
      <x:c r="F78" s="24" t="n">
        <x:v>-4038.678948</x:v>
      </x:c>
      <x:c r="G78" s="24" t="n">
        <x:v>-6113.037978</x:v>
      </x:c>
      <x:c r="H78" s="24" t="n">
        <x:v>113.579251</x:v>
      </x:c>
    </x:row>
    <x:row r="79" ht="15" hidden="0">
      <x:c r="A79" s="122" t="s">
        <x:v>123</x:v>
      </x:c>
      <x:c r="B79" s="123"/>
      <x:c r="C79" s="27" t="n">
        <x:f aca="0">C76+C77+C78</x:f>
        <x:v>3497.5072470000005</x:v>
      </x:c>
      <x:c r="D79" s="27" t="n">
        <x:f aca="0">D76+D77+D78</x:f>
        <x:v>5024.28026</x:v>
      </x:c>
      <x:c r="E79" s="27" t="n">
        <x:f aca="0">E76+E77+E78</x:f>
        <x:v>5820.7511449999965</x:v>
      </x:c>
      <x:c r="F79" s="27" t="n">
        <x:f aca="0">F76+F77+F78</x:f>
        <x:v>8893.454787000002</x:v>
      </x:c>
      <x:c r="G79" s="27" t="n">
        <x:f aca="0">G76+G77+G78</x:f>
        <x:v>11575.154071</x:v>
      </x:c>
      <x:c r="H79" s="27" t="n">
        <x:f aca="0">H76+H77+H78</x:f>
        <x:v>-443.7356989999997</x:v>
      </x:c>
    </x:row>
    <x:row r="80" ht="15" hidden="0">
      <x:c r="A80" s="118" t="s">
        <x:v>124</x:v>
      </x:c>
      <x:c r="B80" s="119"/>
      <x:c r="C80" s="21"/>
      <x:c r="D80" s="21"/>
      <x:c r="E80" s="21"/>
      <x:c r="F80" s="21"/>
      <x:c r="G80" s="21"/>
      <x:c r="H80" s="21"/>
    </x:row>
    <x:row r="81" ht="15" hidden="0">
      <x:c r="A81" s="120"/>
      <x:c r="B81" s="121"/>
      <x:c r="C81" s="24"/>
      <x:c r="D81" s="24"/>
      <x:c r="E81" s="24"/>
      <x:c r="F81" s="24"/>
      <x:c r="G81" s="24"/>
      <x:c r="H81" s="24"/>
    </x:row>
    <x:row r="82" ht="15" hidden="0">
      <x:c r="A82" s="120" t="s">
        <x:v>125</x:v>
      </x:c>
      <x:c r="B82" s="121"/>
      <x:c r="C82" s="24" t="n">
        <x:f aca="0">C76-C75</x:f>
        <x:v>5403.010020000001</x:v>
      </x:c>
      <x:c r="D82" s="24" t="n">
        <x:f aca="0">D76-D75</x:f>
        <x:v>9463.199941</x:v>
      </x:c>
      <x:c r="E82" s="24" t="n">
        <x:f aca="0">E76-E75</x:f>
        <x:v>11209.635599999996</x:v>
      </x:c>
      <x:c r="F82" s="24" t="n">
        <x:f aca="0">F76-F75</x:f>
        <x:v>14453.665945000002</x:v>
      </x:c>
      <x:c r="G82" s="24" t="n">
        <x:f aca="0">G76-G75</x:f>
        <x:v>18096.734132999998</x:v>
      </x:c>
      <x:c r="H82" s="24" t="n">
        <x:f aca="0">H76-H75</x:f>
        <x:v>-147.61276699999974</x:v>
      </x:c>
    </x:row>
    <x:row r="83" ht="15" hidden="0">
      <x:c r="A83" s="120"/>
      <x:c r="B83" s="121"/>
      <x:c r="C83" s="24">
        <x:f aca="0"/>
      </x:c>
      <x:c r="D83" s="24">
        <x:f aca="0"/>
      </x:c>
      <x:c r="E83" s="24">
        <x:f aca="0"/>
      </x:c>
      <x:c r="F83" s="24">
        <x:f aca="0"/>
      </x:c>
      <x:c r="G83" s="24">
        <x:f aca="0"/>
      </x:c>
      <x:c r="H83" s="24">
        <x:f aca="0"/>
      </x:c>
    </x:row>
    <x:row r="84" ht="15" hidden="0">
      <x:c r="A84" s="120" t="s">
        <x:v>126</x:v>
      </x:c>
      <x:c r="B84" s="121"/>
      <x:c r="C84" s="24" t="n">
        <x:v>26.751082</x:v>
      </x:c>
      <x:c r="D84" s="24" t="n">
        <x:v>22.374466</x:v>
      </x:c>
      <x:c r="E84" s="24" t="n">
        <x:v>56.744443</x:v>
      </x:c>
      <x:c r="F84" s="24" t="n">
        <x:v>31.19671</x:v>
      </x:c>
      <x:c r="G84" s="24" t="n">
        <x:v>43.699977</x:v>
      </x:c>
      <x:c r="H84" s="28"/>
    </x:row>
    <x:row r="85" ht="15" hidden="0">
      <x:c r="A85" s="120" t="s">
        <x:v>127</x:v>
      </x:c>
      <x:c r="B85" s="121"/>
      <x:c r="C85" s="24" t="n">
        <x:f aca="0">-C75-C84</x:f>
        <x:v>490.30433100000005</x:v>
      </x:c>
      <x:c r="D85" s="24" t="n">
        <x:f aca="0">-D75-D84</x:f>
        <x:v>515.336349</x:v>
      </x:c>
      <x:c r="E85" s="24" t="n">
        <x:f aca="0">-E75-E84</x:f>
        <x:v>683.563329</x:v>
      </x:c>
      <x:c r="F85" s="24" t="n">
        <x:f aca="0">-F75-F84</x:f>
        <x:v>646.184135</x:v>
      </x:c>
      <x:c r="G85" s="24" t="n">
        <x:f aca="0">-G75-G84</x:f>
        <x:v>306.210739</x:v>
      </x:c>
      <x:c r="H85" s="28"/>
    </x:row>
    <x:row r="86" ht="15" hidden="0">
      <x:c r="A86" s="120" t="s">
        <x:v>128</x:v>
      </x:c>
      <x:c r="B86" s="121"/>
      <x:c r="C86" s="29" t="n">
        <x:f aca="0">IF(C76&lt;=0,"n/m",-(C77+C78)/C76)</x:f>
        <x:v>0.28417115419181377</x:v>
      </x:c>
      <x:c r="D86" s="29" t="n">
        <x:f aca="0">IF(D76&lt;=0,"n/m",-(D77+D78)/D76)</x:f>
        <x:v>0.43708628299548946</x:v>
      </x:c>
      <x:c r="E86" s="29" t="n">
        <x:f aca="0">IF(E76&lt;=0,"n/m",-(E77+E78)/E76)</x:f>
        <x:v>0.44401863800343316</x:v>
      </x:c>
      <x:c r="F86" s="29" t="n">
        <x:f aca="0">IF(F76&lt;=0,"n/m",-(F77+F78)/F76)</x:f>
        <x:v>0.35443737390423197</x:v>
      </x:c>
      <x:c r="G86" s="29" t="n">
        <x:f aca="0">IF(G76&lt;=0,"n/m",-(G77+G78)/G76)</x:f>
        <x:v>0.34776191778006016</x:v>
      </x:c>
      <x:c r="H86" s="28"/>
    </x:row>
    <x:row r="87" ht="15" hidden="0">
      <x:c r="A87" s="120" t="str">
        <x:v>NOPAT tax rate = actual audited ETR (no cap)</x:v>
      </x:c>
      <x:c r="B87" s="121"/>
      <x:c r="C87" s="29" t="n">
        <x:f aca="0">C86</x:f>
        <x:v>0.28417115419181377</x:v>
      </x:c>
      <x:c r="D87" s="29" t="n">
        <x:f aca="0">D86</x:f>
        <x:v>0.43708628299548946</x:v>
      </x:c>
      <x:c r="E87" s="29" t="n">
        <x:f aca="0">E86</x:f>
        <x:v>0.44401863800343316</x:v>
      </x:c>
      <x:c r="F87" s="29" t="n">
        <x:f aca="0">F86</x:f>
        <x:v>0.35443737390423197</x:v>
      </x:c>
      <x:c r="G87" s="29" t="n">
        <x:f aca="0">G86</x:f>
        <x:v>0.34776191778006016</x:v>
      </x:c>
      <x:c r="H87" s="28"/>
    </x:row>
    <x:row r="88" ht="15" hidden="0">
      <x:c r="A88" s="120" t="s">
        <x:v>129</x:v>
      </x:c>
      <x:c r="B88" s="121"/>
      <x:c r="C88" s="24" t="n">
        <x:f aca="0">IF(ISNUMBER(C87),C82*(1-C87),"n/m")</x:f>
        <x:v>3867.630426506666</x:v>
      </x:c>
      <x:c r="D88" s="24" t="n">
        <x:f aca="0">IF(ISNUMBER(D87),D82*(1-D87),"n/m")</x:f>
        <x:v>5326.965053545176</x:v>
      </x:c>
      <x:c r="E88" s="24" t="n">
        <x:f aca="0">IF(ISNUMBER(E87),E82*(1-E87),"n/m")</x:f>
        <x:v>6232.3484683731995</x:v>
      </x:c>
      <x:c r="F88" s="24" t="n">
        <x:f aca="0">IF(ISNUMBER(F87),F82*(1-F87),"n/m")</x:f>
        <x:v>9330.746544165173</x:v>
      </x:c>
      <x:c r="G88" s="24" t="n">
        <x:f aca="0">IF(ISNUMBER(G87),G82*(1-G87),"n/m")</x:f>
        <x:v>11803.379165352044</x:v>
      </x:c>
      <x:c r="H88" s="28"/>
    </x:row>
    <x:row r="89">
      <x:c r="A89" s="111"/>
      <x:c r="B89" s="111"/>
    </x:row>
    <x:row r="90" ht="19.5" hidden="0" customHeight="1">
      <x:c r="A90" s="114" t="s">
        <x:v>130</x:v>
      </x:c>
      <x:c r="B90" s="115"/>
      <x:c r="C90" s="6"/>
      <x:c r="D90" s="6"/>
      <x:c r="E90" s="6"/>
      <x:c r="F90" s="6"/>
      <x:c r="G90" s="6"/>
      <x:c r="H90" s="6"/>
    </x:row>
    <x:row r="91" ht="16.5" hidden="0" customHeight="1">
      <x:c r="A91" s="116" t="s">
        <x:v>48</x:v>
      </x:c>
      <x:c r="B91" s="117"/>
      <x:c r="C91" s="19" t="s">
        <x:v>49</x:v>
      </x:c>
      <x:c r="D91" s="19" t="s">
        <x:v>50</x:v>
      </x:c>
      <x:c r="E91" s="19" t="s">
        <x:v>51</x:v>
      </x:c>
      <x:c r="F91" s="19" t="s">
        <x:v>52</x:v>
      </x:c>
      <x:c r="G91" s="19" t="s">
        <x:v>53</x:v>
      </x:c>
      <x:c r="H91" s="19" t="s">
        <x:v>54</x:v>
      </x:c>
    </x:row>
    <x:row r="92" ht="15" hidden="0">
      <x:c r="A92" s="120" t="s">
        <x:v>131</x:v>
      </x:c>
      <x:c r="B92" s="121"/>
      <x:c r="C92" s="24" t="n">
        <x:v>6012.030743</x:v>
      </x:c>
      <x:c r="D92" s="24" t="n">
        <x:v>9429.252992</x:v>
      </x:c>
      <x:c r="E92" s="24" t="n">
        <x:v>7862.593209</x:v>
      </x:c>
      <x:c r="F92" s="24" t="n">
        <x:v>11482.975487</x:v>
      </x:c>
      <x:c r="G92" s="24" t="n">
        <x:v>16574.725509</x:v>
      </x:c>
      <x:c r="H92" s="24" t="n">
        <x:v>246.219051</x:v>
      </x:c>
    </x:row>
    <x:row r="93" ht="15" hidden="0">
      <x:c r="A93" s="120" t="s">
        <x:v>132</x:v>
      </x:c>
      <x:c r="B93" s="121"/>
      <x:c r="C93" s="24" t="n">
        <x:v>5089.315864</x:v>
      </x:c>
      <x:c r="D93" s="24" t="n">
        <x:v>8181.35789</x:v>
      </x:c>
      <x:c r="E93" s="24" t="n">
        <x:v>4452.081761</x:v>
      </x:c>
      <x:c r="F93" s="24" t="n">
        <x:v>6647.173409</x:v>
      </x:c>
      <x:c r="G93" s="24" t="n">
        <x:v>9378.288538</x:v>
      </x:c>
      <x:c r="H93" s="24" t="n">
        <x:v>-502.39586</x:v>
      </x:c>
    </x:row>
    <x:row r="94" ht="15" hidden="0">
      <x:c r="A94" s="120" t="s">
        <x:v>133</x:v>
      </x:c>
      <x:c r="B94" s="121"/>
      <x:c r="C94" s="24" t="n">
        <x:v>-3950.178348</x:v>
      </x:c>
      <x:c r="D94" s="24" t="n">
        <x:v>-7092.988516</x:v>
      </x:c>
      <x:c r="E94" s="24" t="n">
        <x:v>-2470.515763</x:v>
      </x:c>
      <x:c r="F94" s="24" t="n">
        <x:v>-5030.324094</x:v>
      </x:c>
      <x:c r="G94" s="24" t="n">
        <x:v>-4398.59577</x:v>
      </x:c>
      <x:c r="H94" s="24" t="n">
        <x:v>-18.793346</x:v>
      </x:c>
    </x:row>
    <x:row r="95" ht="15" hidden="0">
      <x:c r="A95" s="120" t="s">
        <x:v>134</x:v>
      </x:c>
      <x:c r="B95" s="121"/>
      <x:c r="C95" s="24" t="n">
        <x:v>-943.014252</x:v>
      </x:c>
      <x:c r="D95" s="24" t="n">
        <x:v>-1805.333093</x:v>
      </x:c>
      <x:c r="E95" s="24" t="n">
        <x:v>-1528.794437</x:v>
      </x:c>
      <x:c r="F95" s="24" t="n">
        <x:v>-1447.737336</x:v>
      </x:c>
      <x:c r="G95" s="24" t="n">
        <x:v>-4631.639217</x:v>
      </x:c>
      <x:c r="H95" s="24" t="n">
        <x:v>838.90927</x:v>
      </x:c>
    </x:row>
    <x:row r="96" ht="15" hidden="0">
      <x:c r="A96" s="120" t="s">
        <x:v>135</x:v>
      </x:c>
      <x:c r="B96" s="121"/>
      <x:c r="C96" s="24" t="n">
        <x:v>-610.597045</x:v>
      </x:c>
      <x:c r="D96" s="24" t="n">
        <x:v>-461.84737</x:v>
      </x:c>
      <x:c r="E96" s="24" t="n">
        <x:v>-2015.897038</x:v>
      </x:c>
      <x:c r="F96" s="24" t="n">
        <x:v>-1107.284933</x:v>
      </x:c>
      <x:c r="G96" s="24" t="n">
        <x:v>-2398.919336</x:v>
      </x:c>
      <x:c r="H96" s="24" t="n">
        <x:v>-1704.778944</x:v>
      </x:c>
    </x:row>
    <x:row r="97" ht="15" hidden="0">
      <x:c r="A97" s="120" t="s">
        <x:v>136</x:v>
      </x:c>
      <x:c r="B97" s="121"/>
      <x:c r="C97" s="24" t="n">
        <x:v>-599.227218</x:v>
      </x:c>
      <x:c r="D97" s="24" t="n">
        <x:v>-514.171817</x:v>
      </x:c>
      <x:c r="E97" s="24" t="n">
        <x:v>-685.823997</x:v>
      </x:c>
      <x:c r="F97" s="24" t="n">
        <x:v>-731.073634</x:v>
      </x:c>
      <x:c r="G97" s="24" t="n">
        <x:v>-391.061821</x:v>
      </x:c>
      <x:c r="H97" s="24" t="n">
        <x:v>-302.106064</x:v>
      </x:c>
    </x:row>
    <x:row r="98" ht="15" hidden="0">
      <x:c r="A98" s="120" t="s">
        <x:v>137</x:v>
      </x:c>
      <x:c r="B98" s="121"/>
      <x:c r="C98" s="24" t="n">
        <x:v>-1.816796</x:v>
      </x:c>
      <x:c r="D98" s="24" t="n">
        <x:v>-0.549503</x:v>
      </x:c>
      <x:c r="E98" s="24" t="n">
        <x:v>-0.172829</x:v>
      </x:c>
      <x:c r="F98" s="24" t="n">
        <x:v>-0.136289</x:v>
      </x:c>
      <x:c r="G98" s="24" t="n">
        <x:v>-3.157674</x:v>
      </x:c>
      <x:c r="H98" s="24" t="n">
        <x:v>-499.290203</x:v>
      </x:c>
    </x:row>
    <x:row r="99">
      <x:c r="A99" s="111"/>
      <x:c r="B99" s="111"/>
    </x:row>
    <x:row r="100" ht="19.5" hidden="0" customHeight="1">
      <x:c r="A100" s="114" t="s">
        <x:v>138</x:v>
      </x:c>
      <x:c r="B100" s="115"/>
      <x:c r="C100" s="6"/>
      <x:c r="D100" s="6"/>
      <x:c r="E100" s="6"/>
      <x:c r="F100" s="6"/>
      <x:c r="G100" s="6"/>
      <x:c r="H100" s="6"/>
    </x:row>
    <x:row r="101" ht="16.5" hidden="0" customHeight="1">
      <x:c r="A101" s="116" t="s">
        <x:v>48</x:v>
      </x:c>
      <x:c r="B101" s="117"/>
      <x:c r="C101" s="19" t="s">
        <x:v>49</x:v>
      </x:c>
      <x:c r="D101" s="19" t="s">
        <x:v>50</x:v>
      </x:c>
      <x:c r="E101" s="19" t="s">
        <x:v>51</x:v>
      </x:c>
      <x:c r="F101" s="19" t="s">
        <x:v>52</x:v>
      </x:c>
      <x:c r="G101" s="19" t="s">
        <x:v>53</x:v>
      </x:c>
    </x:row>
    <x:row r="102" ht="15" hidden="0">
      <x:c r="A102" s="120" t="s">
        <x:v>139</x:v>
      </x:c>
      <x:c r="B102" s="121"/>
      <x:c r="C102" s="30" t="n">
        <x:v>10</x:v>
      </x:c>
      <x:c r="D102" s="30" t="n">
        <x:v>10</x:v>
      </x:c>
      <x:c r="E102" s="30" t="n">
        <x:v>10</x:v>
      </x:c>
      <x:c r="F102" s="30" t="n">
        <x:v>10</x:v>
      </x:c>
      <x:c r="G102" s="30" t="n">
        <x:v>10</x:v>
      </x:c>
    </x:row>
    <x:row r="103" ht="15" hidden="0">
      <x:c r="A103" s="120" t="s">
        <x:v>140</x:v>
      </x:c>
      <x:c r="B103" s="121"/>
      <x:c r="C103" s="31" t="n">
        <x:f aca="0">C27/C102-C107</x:f>
        <x:v>200.86129699999998</x:v>
      </x:c>
      <x:c r="D103" s="31" t="n">
        <x:f aca="0">D27/D102-D107</x:f>
        <x:v>200.86129699999998</x:v>
      </x:c>
      <x:c r="E103" s="31" t="n">
        <x:f aca="0">E27/E102-E107</x:f>
        <x:v>200.86129699999998</x:v>
      </x:c>
      <x:c r="F103" s="31" t="n">
        <x:f aca="0">F27/F102-F107</x:f>
        <x:v>195.86129699999998</x:v>
      </x:c>
      <x:c r="G103" s="31" t="n">
        <x:f aca="0">G27/G102-G107</x:f>
        <x:v>183.86129699999998</x:v>
      </x:c>
    </x:row>
    <x:row r="104" ht="15" hidden="0">
      <x:c r="A104" s="120" t="s">
        <x:v>141</x:v>
      </x:c>
      <x:c r="B104" s="121"/>
      <x:c r="C104" s="31" t="n">
        <x:v>200.861297</x:v>
      </x:c>
      <x:c r="D104" s="31" t="n">
        <x:v>200.861297</x:v>
      </x:c>
      <x:c r="E104" s="31" t="n">
        <x:v>200.861297</x:v>
      </x:c>
      <x:c r="F104" s="31" t="n">
        <x:v>196.435067</x:v>
      </x:c>
      <x:c r="G104" s="31" t="n">
        <x:v>193.42842</x:v>
      </x:c>
    </x:row>
    <x:row r="105" ht="15" hidden="0">
      <x:c r="A105" s="120" t="str">
        <x:v>FY-end share price (Rs; last PSX close)</x:v>
      </x:c>
      <x:c r="B105" s="121"/>
      <x:c r="C105" s="30" t="n">
        <x:v>206.49</x:v>
      </x:c>
      <x:c r="D105" s="30" t="n">
        <x:v>130.13</x:v>
      </x:c>
      <x:c r="E105" s="30" t="n">
        <x:v>173.47</x:v>
      </x:c>
      <x:c r="F105" s="30" t="n">
        <x:v>250.43</x:v>
      </x:c>
      <x:c r="G105" s="30" t="n">
        <x:v>379.36</x:v>
      </x:c>
    </x:row>
    <x:row r="106" ht="15" hidden="0">
      <x:c r="A106" s="120" t="s">
        <x:v>142</x:v>
      </x:c>
      <x:c r="B106" s="121"/>
      <x:c r="C106" s="30" t="n">
        <x:v>0</x:v>
      </x:c>
      <x:c r="D106" s="30" t="n">
        <x:v>0</x:v>
      </x:c>
      <x:c r="E106" s="30" t="n">
        <x:v>0</x:v>
      </x:c>
      <x:c r="F106" s="30" t="n">
        <x:v>0</x:v>
      </x:c>
      <x:c r="G106" s="30" t="n">
        <x:v>0</x:v>
      </x:c>
    </x:row>
    <x:row r="107">
      <x:c r="A107" s="120" t="str">
        <x:v>Treasury shares excluded (million)</x:v>
      </x:c>
      <x:c r="B107" s="121"/>
      <x:c r="C107" s="30" t="n">
        <x:v>0</x:v>
      </x:c>
      <x:c r="D107" s="30" t="n">
        <x:v>0</x:v>
      </x:c>
      <x:c r="E107" s="30" t="n">
        <x:v>0</x:v>
      </x:c>
      <x:c r="F107" s="30" t="n">
        <x:v>0</x:v>
      </x:c>
      <x:c r="G107" s="30" t="n">
        <x:v>0</x:v>
      </x:c>
    </x:row>
    <x:row r="108" ht="19.5" hidden="0" customHeight="1">
      <x:c r="A108" s="114" t="s">
        <x:v>143</x:v>
      </x:c>
      <x:c r="B108" s="115"/>
      <x:c r="C108" s="6"/>
      <x:c r="D108" s="6"/>
      <x:c r="E108" s="6"/>
      <x:c r="F108" s="6"/>
      <x:c r="G108" s="6"/>
      <x:c r="H108" s="6"/>
    </x:row>
    <x:row r="109" ht="16.5" hidden="0" customHeight="1">
      <x:c r="A109" s="124" t="s">
        <x:v>144</x:v>
      </x:c>
      <x:c r="B109" s="124" t="s">
        <x:v>145</x:v>
      </x:c>
      <x:c r="C109" s="19" t="s">
        <x:v>49</x:v>
      </x:c>
      <x:c r="D109" s="19" t="s">
        <x:v>50</x:v>
      </x:c>
      <x:c r="E109" s="19" t="s">
        <x:v>51</x:v>
      </x:c>
      <x:c r="F109" s="19" t="s">
        <x:v>52</x:v>
      </x:c>
      <x:c r="G109" s="19" t="s">
        <x:v>53</x:v>
      </x:c>
    </x:row>
    <x:row r="110" ht="22" hidden="0" customHeight="1">
      <x:c r="A110" s="125" t="str">
        <x:v>Liquidity</x:v>
      </x:c>
      <x:c r="B110" s="126"/>
      <x:c r="C110" s="71"/>
      <x:c r="D110" s="71"/>
      <x:c r="E110" s="71"/>
      <x:c r="F110" s="71"/>
      <x:c r="G110" s="71"/>
    </x:row>
    <x:row r="111" ht="15" hidden="0">
      <x:c r="A111" s="134" t="str">
        <x:v>1. Current ratio</x:v>
      </x:c>
      <x:c r="B111" s="128" t="str">
        <x:v>Current Assets / Current Liabilities</x:v>
      </x:c>
      <x:c r="C111" s="63" t="n">
        <x:f>IF(OR((C48)&lt;=0,(C24)&lt;0),"n/m",(C24)/(C48))</x:f>
        <x:v>1.3006446691414961</x:v>
      </x:c>
      <x:c r="D111" s="63" t="n">
        <x:f>IF(OR((D48)&lt;=0,(D24)&lt;0),"n/m",(D24)/(D48))</x:f>
        <x:v>1.8735085276109804</x:v>
      </x:c>
      <x:c r="E111" s="63" t="n">
        <x:f>IF(OR((E48)&lt;=0,(E24)&lt;0),"n/m",(E24)/(E48))</x:f>
        <x:v>2.311570515459215</x:v>
      </x:c>
      <x:c r="F111" s="63" t="n">
        <x:f>IF(OR((F48)&lt;=0,(F24)&lt;0),"n/m",(F24)/(F48))</x:f>
        <x:v>2.903159053016002</x:v>
      </x:c>
      <x:c r="G111" s="63" t="n">
        <x:f>IF(OR((G48)&lt;=0,(G24)&lt;0),"n/m",(G24)/(G48))</x:f>
        <x:v>3.311248687172772</x:v>
      </x:c>
    </x:row>
    <x:row r="112" ht="15" hidden="0">
      <x:c r="A112" s="134" t="str">
        <x:v>2. Quick ratio</x:v>
      </x:c>
      <x:c r="B112" s="128" t="str">
        <x:v>(Current Assets - Inventories) / Current Liabilities</x:v>
      </x:c>
      <x:c r="C112" s="63" t="n">
        <x:f>IF(OR((C48)&lt;=0,(C24-C54)&lt;0),"n/m",(C24-C54)/(C48))</x:f>
        <x:v>0.748160438555549</x:v>
      </x:c>
      <x:c r="D112" s="63" t="n">
        <x:f>IF(OR((D48)&lt;=0,(D24-D54)&lt;0),"n/m",(D24-D54)/(D48))</x:f>
        <x:v>1.2758070110452304</x:v>
      </x:c>
      <x:c r="E112" s="63" t="n">
        <x:f>IF(OR((E48)&lt;=0,(E24-E54)&lt;0),"n/m",(E24-E54)/(E48))</x:f>
        <x:v>1.5392110300634694</x:v>
      </x:c>
      <x:c r="F112" s="63" t="n">
        <x:f>IF(OR((F48)&lt;=0,(F24-F54)&lt;0),"n/m",(F24-F54)/(F48))</x:f>
        <x:v>2.220059339921235</x:v>
      </x:c>
      <x:c r="G112" s="63" t="n">
        <x:f>IF(OR((G48)&lt;=0,(G24-G54)&lt;0),"n/m",(G24-G54)/(G48))</x:f>
        <x:v>2.6677003784340947</x:v>
      </x:c>
    </x:row>
    <x:row r="113" ht="15" hidden="0">
      <x:c r="A113" s="134" t="str">
        <x:v>3. Cash ratio</x:v>
      </x:c>
      <x:c r="B113" s="128" t="str">
        <x:v>Cash and Bank / Current Liabilities</x:v>
      </x:c>
      <x:c r="C113" s="63" t="n">
        <x:f>IF(OR((C48)&lt;=0,(C22)&lt;0),"n/m",(C22)/(C48))</x:f>
        <x:v>0.15817363525137568</x:v>
      </x:c>
      <x:c r="D113" s="63" t="n">
        <x:f>IF(OR((D48)&lt;=0,(D22)&lt;0),"n/m",(D22)/(D48))</x:f>
        <x:v>0.05067096377572231</x:v>
      </x:c>
      <x:c r="E113" s="63" t="n">
        <x:f>IF(OR((E48)&lt;=0,(E22)&lt;0),"n/m",(E22)/(E48))</x:f>
        <x:v>0.09417804645207263</x:v>
      </x:c>
      <x:c r="F113" s="63" t="n">
        <x:f>IF(OR((F48)&lt;=0,(F22)&lt;0),"n/m",(F22)/(F48))</x:f>
        <x:v>0.09937683148978137</x:v>
      </x:c>
      <x:c r="G113" s="63" t="n">
        <x:f>IF(OR((G48)&lt;=0,(G22)&lt;0),"n/m",(G22)/(G48))</x:f>
        <x:v>0.1243988942257843</x:v>
      </x:c>
    </x:row>
    <x:row r="114" ht="15" hidden="0">
      <x:c r="A114" s="134" t="str">
        <x:v>4. Net working capital (PKR m)</x:v>
      </x:c>
      <x:c r="B114" s="128" t="str">
        <x:v>Current Assets - Current Liabilities</x:v>
      </x:c>
      <x:c r="C114" s="64" t="n">
        <x:f>IF(OR((1)&lt;=0,(C24-C48)&lt;0),"n/m",(C24-C48)/(1))</x:f>
        <x:v>2276.5547739999984</x:v>
      </x:c>
      <x:c r="D114" s="64" t="n">
        <x:f>IF(OR((1)&lt;=0,(D24-D48)&lt;0),"n/m",(D24-D48)/(1))</x:f>
        <x:v>8287.840767999996</x:v>
      </x:c>
      <x:c r="E114" s="64" t="n">
        <x:f>IF(OR((1)&lt;=0,(E24-E48)&lt;0),"n/m",(E24-E48)/(1))</x:f>
        <x:v>13000.905238000001</x:v>
      </x:c>
      <x:c r="F114" s="64" t="n">
        <x:f>IF(OR((1)&lt;=0,(F24-F48)&lt;0),"n/m",(F24-F48)/(1))</x:f>
        <x:v>21116.760542</x:v>
      </x:c>
      <x:c r="G114" s="64" t="n">
        <x:f>IF(OR((1)&lt;=0,(G24-G48)&lt;0),"n/m",(G24-G48)/(1))</x:f>
        <x:v>26953.091383000003</x:v>
      </x:c>
    </x:row>
    <x:row r="115" ht="15" hidden="0">
      <x:c r="A115" s="134" t="str">
        <x:v>5. Net operating working capital (PKR m)</x:v>
      </x:c>
      <x:c r="B115" s="128" t="str">
        <x:v>Operating CA - Operating CL</x:v>
      </x:c>
      <x:c r="C115" s="64" t="str">
        <x:f>IF(OR((1)&lt;=0,(C59-C60)&lt;0),"n/m",(C59-C60)/(1))</x:f>
        <x:v>n/m</x:v>
      </x:c>
      <x:c r="D115" s="64" t="str">
        <x:f>IF(OR((1)&lt;=0,(D59-D60)&lt;0),"n/m",(D59-D60)/(1))</x:f>
        <x:v>n/m</x:v>
      </x:c>
      <x:c r="E115" s="64" t="n">
        <x:f>IF(OR((1)&lt;=0,(E59-E60)&lt;0),"n/m",(E59-E60)/(1))</x:f>
        <x:v>1004.8001120000008</x:v>
      </x:c>
      <x:c r="F115" s="64" t="n">
        <x:f>IF(OR((1)&lt;=0,(F59-F60)&lt;0),"n/m",(F59-F60)/(1))</x:f>
        <x:v>949.0612429999965</x:v>
      </x:c>
      <x:c r="G115" s="64" t="str">
        <x:f>IF(OR((1)&lt;=0,(G59-G60)&lt;0),"n/m",(G59-G60)/(1))</x:f>
        <x:v>n/m</x:v>
      </x:c>
    </x:row>
    <x:row r="116" ht="22" hidden="0" customHeight="1">
      <x:c r="A116" s="125" t="str">
        <x:v>Asset Management</x:v>
      </x:c>
      <x:c r="B116" s="126"/>
      <x:c r="C116" s="71"/>
      <x:c r="D116" s="71"/>
      <x:c r="E116" s="71"/>
      <x:c r="F116" s="71"/>
      <x:c r="G116" s="71"/>
    </x:row>
    <x:row r="117" ht="15" hidden="0">
      <x:c r="A117" s="134" t="str">
        <x:v>6. Inventory turnover</x:v>
      </x:c>
      <x:c r="B117" s="128" t="str">
        <x:v>COGS / Average Inventory</x:v>
      </x:c>
      <x:c r="C117" s="63" t="n">
        <x:f>IF(OR((AVERAGE(H54,C54))&lt;=0,(-C65)&lt;0),"n/m",(-C65)/(AVERAGE(H54,C54)))</x:f>
        <x:v>4.857098601325517</x:v>
      </x:c>
      <x:c r="D117" s="63" t="n">
        <x:f>IF(OR((AVERAGE(C54,D54))&lt;=0,(-D65)&lt;0),"n/m",(-D65)/(AVERAGE(C54,D54)))</x:f>
        <x:v>4.681131721571692</x:v>
      </x:c>
      <x:c r="E117" s="63" t="n">
        <x:f>IF(OR((AVERAGE(D54,E54))&lt;=0,(-E65)&lt;0),"n/m",(-E65)/(AVERAGE(D54,E54)))</x:f>
        <x:v>4.275379143771386</x:v>
      </x:c>
      <x:c r="F117" s="63" t="n">
        <x:f>IF(OR((AVERAGE(E54,F54))&lt;=0,(-F65)&lt;0),"n/m",(-F65)/(AVERAGE(E54,F54)))</x:f>
        <x:v>3.5957369645110586</x:v>
      </x:c>
      <x:c r="G117" s="63" t="n">
        <x:f>IF(OR((AVERAGE(F54,G54))&lt;=0,(-G65)&lt;0),"n/m",(-G65)/(AVERAGE(F54,G54)))</x:f>
        <x:v>3.024880626442934</x:v>
      </x:c>
    </x:row>
    <x:row r="118" ht="15" hidden="0">
      <x:c r="A118" s="134" t="str">
        <x:v>7. Receivables turnover</x:v>
      </x:c>
      <x:c r="B118" s="128" t="str">
        <x:v>Net Sales / Average Trade Debts</x:v>
      </x:c>
      <x:c r="C118" s="63" t="n">
        <x:f>IF(OR((AVERAGE(H20,C20))&lt;=0,(C64)&lt;0),"n/m",(C64)/(AVERAGE(H20,C20)))</x:f>
        <x:v>32.55652715218313</x:v>
      </x:c>
      <x:c r="D118" s="63" t="n">
        <x:f>IF(OR((AVERAGE(C20,D20))&lt;=0,(D64)&lt;0),"n/m",(D64)/(AVERAGE(C20,D20)))</x:f>
        <x:v>34.61446204651397</x:v>
      </x:c>
      <x:c r="E118" s="63" t="n">
        <x:f>IF(OR((AVERAGE(D20,E20))&lt;=0,(E64)&lt;0),"n/m",(E64)/(AVERAGE(D20,E20)))</x:f>
        <x:v>36.690956476472735</x:v>
      </x:c>
      <x:c r="F118" s="63" t="n">
        <x:f>IF(OR((AVERAGE(E20,F20))&lt;=0,(F64)&lt;0),"n/m",(F64)/(AVERAGE(E20,F20)))</x:f>
        <x:v>23.311269128267483</x:v>
      </x:c>
      <x:c r="G118" s="63" t="n">
        <x:f>IF(OR((AVERAGE(F20,G20))&lt;=0,(G64)&lt;0),"n/m",(G64)/(AVERAGE(F20,G20)))</x:f>
        <x:v>19.742821104933064</x:v>
      </x:c>
    </x:row>
    <x:row r="119" ht="15" hidden="0">
      <x:c r="A119" s="134" t="str">
        <x:v>8. Payables turnover</x:v>
      </x:c>
      <x:c r="B119" s="128" t="str">
        <x:v>COGS / Average Trade Creditors</x:v>
      </x:c>
      <x:c r="C119" s="63" t="n">
        <x:f>IF(OR((AVERAGE(H52,C52))&lt;=0,(-C65)&lt;0),"n/m",(-C65)/(AVERAGE(H52,C52)))</x:f>
        <x:v>13.672632178905467</x:v>
      </x:c>
      <x:c r="D119" s="63" t="n">
        <x:f>IF(OR((AVERAGE(C52,D52))&lt;=0,(-D65)&lt;0),"n/m",(-D65)/(AVERAGE(C52,D52)))</x:f>
        <x:v>16.26188152658038</x:v>
      </x:c>
      <x:c r="E119" s="63" t="n">
        <x:f>IF(OR((AVERAGE(D52,E52))&lt;=0,(-E65)&lt;0),"n/m",(-E65)/(AVERAGE(D52,E52)))</x:f>
        <x:v>29.126311219807445</x:v>
      </x:c>
      <x:c r="F119" s="63" t="n">
        <x:f>IF(OR((AVERAGE(E52,F52))&lt;=0,(-F65)&lt;0),"n/m",(-F65)/(AVERAGE(E52,F52)))</x:f>
        <x:v>22.3044994512903</x:v>
      </x:c>
      <x:c r="G119" s="63" t="n">
        <x:f>IF(OR((AVERAGE(F52,G52))&lt;=0,(-G65)&lt;0),"n/m",(-G65)/(AVERAGE(F52,G52)))</x:f>
        <x:v>11.733886186566796</x:v>
      </x:c>
    </x:row>
    <x:row r="120" ht="15" hidden="0">
      <x:c r="A120" s="134" t="str">
        <x:v>9. Days inventory outstanding</x:v>
      </x:c>
      <x:c r="B120" s="128" t="str">
        <x:v>365 / Inventory Turnover</x:v>
      </x:c>
      <x:c r="C120" s="65" t="n">
        <x:f>IF(OR((-C65)&lt;=0,(365*AVERAGE(H54,C54))&lt;0),"n/m",(365*AVERAGE(H54,C54))/(-C65))</x:f>
        <x:v>75.14774353157878</x:v>
      </x:c>
      <x:c r="D120" s="65" t="n">
        <x:f>IF(OR((-D65)&lt;=0,(365*AVERAGE(C54,D54))&lt;0),"n/m",(365*AVERAGE(C54,D54))/(-D65))</x:f>
        <x:v>77.97259759173176</x:v>
      </x:c>
      <x:c r="E120" s="65" t="n">
        <x:f>IF(OR((-E65)&lt;=0,(365*AVERAGE(D54,E54))&lt;0),"n/m",(365*AVERAGE(D54,E54))/(-E65))</x:f>
        <x:v>85.37254538740795</x:v>
      </x:c>
      <x:c r="F120" s="65" t="n">
        <x:f>IF(OR((-F65)&lt;=0,(365*AVERAGE(E54,F54))&lt;0),"n/m",(365*AVERAGE(E54,F54))/(-F65))</x:f>
        <x:v>101.50909357454404</x:v>
      </x:c>
      <x:c r="G120" s="65" t="n">
        <x:f>IF(OR((-G65)&lt;=0,(365*AVERAGE(F54,G54))&lt;0),"n/m",(365*AVERAGE(F54,G54))/(-G65))</x:f>
        <x:v>120.66591878345184</x:v>
      </x:c>
    </x:row>
    <x:row r="121" ht="15" hidden="0">
      <x:c r="A121" s="134" t="str">
        <x:v>10. Days sales outstanding</x:v>
      </x:c>
      <x:c r="B121" s="128" t="str">
        <x:v>365 / Receivables Turnover</x:v>
      </x:c>
      <x:c r="C121" s="65" t="n">
        <x:f>IF(OR((C64)&lt;=0,(365*AVERAGE(H20,C20))&lt;0),"n/m",(365*AVERAGE(H20,C20))/(C64))</x:f>
        <x:v>11.211269503464973</x:v>
      </x:c>
      <x:c r="D121" s="65" t="n">
        <x:f>IF(OR((D64)&lt;=0,(365*AVERAGE(C20,D20))&lt;0),"n/m",(365*AVERAGE(C20,D20))/(D64))</x:f>
        <x:v>10.544725482358297</x:v>
      </x:c>
      <x:c r="E121" s="65" t="n">
        <x:f>IF(OR((E64)&lt;=0,(365*AVERAGE(D20,E20))&lt;0),"n/m",(365*AVERAGE(D20,E20))/(E64))</x:f>
        <x:v>9.947955437848785</x:v>
      </x:c>
      <x:c r="F121" s="65" t="n">
        <x:f>IF(OR((F64)&lt;=0,(365*AVERAGE(E20,F20))&lt;0),"n/m",(365*AVERAGE(E20,F20))/(F64))</x:f>
        <x:v>15.65766316675557</x:v>
      </x:c>
      <x:c r="G121" s="65" t="n">
        <x:f>IF(OR((G64)&lt;=0,(365*AVERAGE(F20,G20))&lt;0),"n/m",(365*AVERAGE(F20,G20))/(G64))</x:f>
        <x:v>18.487732733839078</x:v>
      </x:c>
    </x:row>
    <x:row r="122" ht="15" hidden="0">
      <x:c r="A122" s="134" t="str">
        <x:v>11. Days payables outstanding</x:v>
      </x:c>
      <x:c r="B122" s="128" t="str">
        <x:v>365 / Payables Turnover</x:v>
      </x:c>
      <x:c r="C122" s="65" t="n">
        <x:f>IF(OR((-C65)&lt;=0,(365*AVERAGE(H52,C52))&lt;0),"n/m",(365*AVERAGE(H52,C52))/(-C65))</x:f>
        <x:v>26.695664391757177</x:v>
      </x:c>
      <x:c r="D122" s="65" t="n">
        <x:f>IF(OR((-D65)&lt;=0,(365*AVERAGE(C52,D52))&lt;0),"n/m",(365*AVERAGE(C52,D52))/(-D65))</x:f>
        <x:v>22.44512723840719</x:v>
      </x:c>
      <x:c r="E122" s="65" t="n">
        <x:f>IF(OR((-E65)&lt;=0,(365*AVERAGE(D52,E52))&lt;0),"n/m",(365*AVERAGE(D52,E52))/(-E65))</x:f>
        <x:v>12.531624662163896</x:v>
      </x:c>
      <x:c r="F122" s="65" t="n">
        <x:f>IF(OR((-F65)&lt;=0,(365*AVERAGE(E52,F52))&lt;0),"n/m",(365*AVERAGE(E52,F52))/(-F65))</x:f>
        <x:v>16.36441117170576</x:v>
      </x:c>
      <x:c r="G122" s="65" t="n">
        <x:f>IF(OR((-G65)&lt;=0,(365*AVERAGE(F52,G52))&lt;0),"n/m",(365*AVERAGE(F52,G52))/(-G65))</x:f>
        <x:v>31.10648886452127</x:v>
      </x:c>
    </x:row>
    <x:row r="123" ht="15" hidden="0">
      <x:c r="A123" s="134" t="str">
        <x:v>12. Operating cycle (days)</x:v>
      </x:c>
      <x:c r="B123" s="128" t="str">
        <x:v>DIO + DSO</x:v>
      </x:c>
      <x:c r="C123" s="65" t="n">
        <x:f>IF(OR((1)&lt;=0,(365*AVERAGE(H54,C54)/(-C65)+365*AVERAGE(H20,C20)/C64)&lt;0),"n/m",(365*AVERAGE(H54,C54)/(-C65)+365*AVERAGE(H20,C20)/C64)/(1))</x:f>
        <x:v>86.35901303504376</x:v>
      </x:c>
      <x:c r="D123" s="65" t="n">
        <x:f>IF(OR((1)&lt;=0,(365*AVERAGE(C54,D54)/(-D65)+365*AVERAGE(C20,D20)/D64)&lt;0),"n/m",(365*AVERAGE(C54,D54)/(-D65)+365*AVERAGE(C20,D20)/D64)/(1))</x:f>
        <x:v>88.51732307409006</x:v>
      </x:c>
      <x:c r="E123" s="65" t="n">
        <x:f>IF(OR((1)&lt;=0,(365*AVERAGE(D54,E54)/(-E65)+365*AVERAGE(D20,E20)/E64)&lt;0),"n/m",(365*AVERAGE(D54,E54)/(-E65)+365*AVERAGE(D20,E20)/E64)/(1))</x:f>
        <x:v>95.32050082525674</x:v>
      </x:c>
      <x:c r="F123" s="65" t="n">
        <x:f>IF(OR((1)&lt;=0,(365*AVERAGE(E54,F54)/(-F65)+365*AVERAGE(E20,F20)/F64)&lt;0),"n/m",(365*AVERAGE(E54,F54)/(-F65)+365*AVERAGE(E20,F20)/F64)/(1))</x:f>
        <x:v>117.16675674129961</x:v>
      </x:c>
      <x:c r="G123" s="65" t="n">
        <x:f>IF(OR((1)&lt;=0,(365*AVERAGE(F54,G54)/(-G65)+365*AVERAGE(F20,G20)/G64)&lt;0),"n/m",(365*AVERAGE(F54,G54)/(-G65)+365*AVERAGE(F20,G20)/G64)/(1))</x:f>
        <x:v>139.1536515172909</x:v>
      </x:c>
    </x:row>
    <x:row r="124" ht="15" hidden="0">
      <x:c r="A124" s="134" t="str">
        <x:v>13. Cash conversion cycle (days)</x:v>
      </x:c>
      <x:c r="B124" s="128" t="str">
        <x:v>DIO + DSO - DPO</x:v>
      </x:c>
      <x:c r="C124" s="65" t="n">
        <x:f>IF(OR((1)&lt;=0,(365*AVERAGE(H54,C54)/(-C65)+365*AVERAGE(H20,C20)/C64-365*AVERAGE(H52,C52)/(-C65))&lt;0),"n/m",(365*AVERAGE(H54,C54)/(-C65)+365*AVERAGE(H20,C20)/C64-365*AVERAGE(H52,C52)/(-C65))/(1))</x:f>
        <x:v>59.66334864328658</x:v>
      </x:c>
      <x:c r="D124" s="65" t="n">
        <x:f>IF(OR((1)&lt;=0,(365*AVERAGE(C54,D54)/(-D65)+365*AVERAGE(C20,D20)/D64-365*AVERAGE(C52,D52)/(-D65))&lt;0),"n/m",(365*AVERAGE(C54,D54)/(-D65)+365*AVERAGE(C20,D20)/D64-365*AVERAGE(C52,D52)/(-D65))/(1))</x:f>
        <x:v>66.07219583568286</x:v>
      </x:c>
      <x:c r="E124" s="65" t="n">
        <x:f>IF(OR((1)&lt;=0,(365*AVERAGE(D54,E54)/(-E65)+365*AVERAGE(D20,E20)/E64-365*AVERAGE(D52,E52)/(-E65))&lt;0),"n/m",(365*AVERAGE(D54,E54)/(-E65)+365*AVERAGE(D20,E20)/E64-365*AVERAGE(D52,E52)/(-E65))/(1))</x:f>
        <x:v>82.78887616309285</x:v>
      </x:c>
      <x:c r="F124" s="65" t="n">
        <x:f>IF(OR((1)&lt;=0,(365*AVERAGE(E54,F54)/(-F65)+365*AVERAGE(E20,F20)/F64-365*AVERAGE(E52,F52)/(-F65))&lt;0),"n/m",(365*AVERAGE(E54,F54)/(-F65)+365*AVERAGE(E20,F20)/F64-365*AVERAGE(E52,F52)/(-F65))/(1))</x:f>
        <x:v>100.80234556959385</x:v>
      </x:c>
      <x:c r="G124" s="65" t="n">
        <x:f>IF(OR((1)&lt;=0,(365*AVERAGE(F54,G54)/(-G65)+365*AVERAGE(F20,G20)/G64-365*AVERAGE(F52,G52)/(-G65))&lt;0),"n/m",(365*AVERAGE(F54,G54)/(-G65)+365*AVERAGE(F20,G20)/G64-365*AVERAGE(F52,G52)/(-G65))/(1))</x:f>
        <x:v>108.04716265276964</x:v>
      </x:c>
    </x:row>
    <x:row r="125" ht="15" hidden="0">
      <x:c r="A125" s="134" t="str">
        <x:v>14. Total asset turnover</x:v>
      </x:c>
      <x:c r="B125" s="128" t="str">
        <x:v>Net Sales / Average Total Assets</x:v>
      </x:c>
      <x:c r="C125" s="63" t="n">
        <x:f>IF(OR((AVERAGE(H25,C25))&lt;=0,(C64)&lt;0),"n/m",(C64)/(AVERAGE(H25,C25)))</x:f>
        <x:v>0.7092011621843222</x:v>
      </x:c>
      <x:c r="D125" s="63" t="n">
        <x:f>IF(OR((AVERAGE(C25,D25))&lt;=0,(D64)&lt;0),"n/m",(D64)/(AVERAGE(C25,D25)))</x:f>
        <x:v>0.8277428727778264</x:v>
      </x:c>
      <x:c r="E125" s="63" t="n">
        <x:f>IF(OR((AVERAGE(D25,E25))&lt;=0,(E64)&lt;0),"n/m",(E64)/(AVERAGE(D25,E25)))</x:f>
        <x:v>0.838099135080987</x:v>
      </x:c>
      <x:c r="F125" s="63" t="n">
        <x:f>IF(OR((AVERAGE(E25,F25))&lt;=0,(F64)&lt;0),"n/m",(F64)/(AVERAGE(E25,F25)))</x:f>
        <x:v>0.7132336607672219</x:v>
      </x:c>
      <x:c r="G125" s="63" t="n">
        <x:f>IF(OR((AVERAGE(F25,G25))&lt;=0,(G64)&lt;0),"n/m",(G64)/(AVERAGE(F25,G25)))</x:f>
        <x:v>0.59752332567838</x:v>
      </x:c>
    </x:row>
    <x:row r="126" ht="15" hidden="0">
      <x:c r="A126" s="134" t="str">
        <x:v>15. Fixed asset turnover</x:v>
      </x:c>
      <x:c r="B126" s="128" t="str">
        <x:v>Net Sales / Average Operating Fixed Assets</x:v>
      </x:c>
      <x:c r="C126" s="63" t="n">
        <x:f>IF(OR((AVERAGE(H53,C53))&lt;=0,(C64)&lt;0),"n/m",(C64)/(AVERAGE(H53,C53)))</x:f>
        <x:v>1.0844791007988606</x:v>
      </x:c>
      <x:c r="D126" s="63" t="n">
        <x:f>IF(OR((AVERAGE(C53,D53))&lt;=0,(D64)&lt;0),"n/m",(D64)/(AVERAGE(C53,D53)))</x:f>
        <x:v>1.5307978904973403</x:v>
      </x:c>
      <x:c r="E126" s="63" t="n">
        <x:f>IF(OR((AVERAGE(D53,E53))&lt;=0,(E64)&lt;0),"n/m",(E64)/(AVERAGE(D53,E53)))</x:f>
        <x:v>1.876337672472641</x:v>
      </x:c>
      <x:c r="F126" s="63" t="n">
        <x:f>IF(OR((AVERAGE(E53,F53))&lt;=0,(F64)&lt;0),"n/m",(F64)/(AVERAGE(E53,F53)))</x:f>
        <x:v>1.8650719460684553</x:v>
      </x:c>
      <x:c r="G126" s="63" t="n">
        <x:f>IF(OR((AVERAGE(F53,G53))&lt;=0,(G64)&lt;0),"n/m",(G64)/(AVERAGE(F53,G53)))</x:f>
        <x:v>1.7861104563188661</x:v>
      </x:c>
    </x:row>
    <x:row r="127" ht="22" hidden="0" customHeight="1">
      <x:c r="A127" s="125" t="str">
        <x:v>Debt Management</x:v>
      </x:c>
      <x:c r="B127" s="126"/>
      <x:c r="C127" s="71"/>
      <x:c r="D127" s="71"/>
      <x:c r="E127" s="71"/>
      <x:c r="F127" s="71"/>
      <x:c r="G127" s="71"/>
    </x:row>
    <x:row r="128" ht="15" hidden="0">
      <x:c r="A128" s="134" t="str">
        <x:v>16. Debt ratio</x:v>
      </x:c>
      <x:c r="B128" s="128" t="str">
        <x:v>Total Liabilities / Total Assets</x:v>
      </x:c>
      <x:c r="C128" s="66" t="n">
        <x:f>IF(OR((C25)&lt;=0,(C49)&lt;0),"n/m",(C49)/(C25))</x:f>
        <x:v>0.384166382555034</x:v>
      </x:c>
      <x:c r="D128" s="66" t="n">
        <x:f>IF(OR((D25)&lt;=0,(D49)&lt;0),"n/m",(D49)/(D25))</x:f>
        <x:v>0.37149249167170456</x:v>
      </x:c>
      <x:c r="E128" s="66" t="n">
        <x:f>IF(OR((E25)&lt;=0,(E49)&lt;0),"n/m",(E49)/(E25))</x:f>
        <x:v>0.3416112409848334</x:v>
      </x:c>
      <x:c r="F128" s="66" t="n">
        <x:f>IF(OR((F25)&lt;=0,(F49)&lt;0),"n/m",(F49)/(F25))</x:f>
        <x:v>0.3016994518502951</x:v>
      </x:c>
      <x:c r="G128" s="66" t="n">
        <x:f>IF(OR((G25)&lt;=0,(G49)&lt;0),"n/m",(G49)/(G25))</x:f>
        <x:v>0.28204672647028445</x:v>
      </x:c>
    </x:row>
    <x:row r="129" ht="15" hidden="0">
      <x:c r="A129" s="134" t="str">
        <x:v>17. Debt-to-equity</x:v>
      </x:c>
      <x:c r="B129" s="128" t="str">
        <x:v>Total Liabilities / Total Equity</x:v>
      </x:c>
      <x:c r="C129" s="63" t="n">
        <x:f>IF(OR((C29)&lt;=0,(C49)&lt;0),"n/m",(C49)/(C29))</x:f>
        <x:v>0.6238152183846396</x:v>
      </x:c>
      <x:c r="D129" s="63" t="n">
        <x:f>IF(OR((D29)&lt;=0,(D49)&lt;0),"n/m",(D49)/(D29))</x:f>
        <x:v>0.5910708889696489</x:v>
      </x:c>
      <x:c r="E129" s="63" t="n">
        <x:f>IF(OR((E29)&lt;=0,(E49)&lt;0),"n/m",(E49)/(E29))</x:f>
        <x:v>0.5188594676127575</x:v>
      </x:c>
      <x:c r="F129" s="63" t="n">
        <x:f>IF(OR((F29)&lt;=0,(F49)&lt;0),"n/m",(F49)/(F29))</x:f>
        <x:v>0.4320481383692331</x:v>
      </x:c>
      <x:c r="G129" s="63" t="n">
        <x:f>IF(OR((G29)&lt;=0,(G49)&lt;0),"n/m",(G49)/(G29))</x:f>
        <x:v>0.3928483048536595</x:v>
      </x:c>
    </x:row>
    <x:row r="130" ht="15" hidden="0">
      <x:c r="A130" s="134" t="str">
        <x:v>18. Total debt-to-capital</x:v>
      </x:c>
      <x:c r="B130" s="128" t="str">
        <x:v>Interest-bearing Debt / (IBD + Equity)</x:v>
      </x:c>
      <x:c r="C130" s="66" t="n">
        <x:f>IF(OR((C55+C29)&lt;=0,(C55)&lt;0),"n/m",(C55)/(C55+C29))</x:f>
        <x:v>0.21400284667161887</x:v>
      </x:c>
      <x:c r="D130" s="66" t="n">
        <x:f>IF(OR((D55+D29)&lt;=0,(D55)&lt;0),"n/m",(D55)/(D55+D29))</x:f>
        <x:v>0.13497287275854264</x:v>
      </x:c>
      <x:c r="E130" s="66" t="n">
        <x:f>IF(OR((E55+E29)&lt;=0,(E55)&lt;0),"n/m",(E55)/(E55+E29))</x:f>
        <x:v>0.08893739146213345</x:v>
      </x:c>
      <x:c r="F130" s="66" t="n">
        <x:f>IF(OR((F55+F29)&lt;=0,(F55)&lt;0),"n/m",(F55)/(F55+F29))</x:f>
        <x:v>0.04978936327521882</x:v>
      </x:c>
      <x:c r="G130" s="66" t="n">
        <x:f>IF(OR((G55+G29)&lt;=0,(G55)&lt;0),"n/m",(G55)/(G55+G29))</x:f>
        <x:v>0.044675679300716</x:v>
      </x:c>
    </x:row>
    <x:row r="131" ht="15" hidden="0">
      <x:c r="A131" s="134" t="str">
        <x:v>19. Long-term debt ratio</x:v>
      </x:c>
      <x:c r="B131" s="128" t="str">
        <x:v>Long-term IBD / Total Assets</x:v>
      </x:c>
      <x:c r="C131" s="66" t="n">
        <x:f>IF(OR((C25)&lt;=0,(C56)&lt;0),"n/m",(C56)/(C25))</x:f>
        <x:v>0.1220875910318789</x:v>
      </x:c>
      <x:c r="D131" s="66" t="n">
        <x:f>IF(OR((D25)&lt;=0,(D56)&lt;0),"n/m",(D56)/(D25))</x:f>
        <x:v>0.07334143338786069</x:v>
      </x:c>
      <x:c r="E131" s="66" t="n">
        <x:f>IF(OR((E25)&lt;=0,(E56)&lt;0),"n/m",(E56)/(E25))</x:f>
        <x:v>0.04338813037035516</x:v>
      </x:c>
      <x:c r="F131" s="66" t="n">
        <x:f>IF(OR((F25)&lt;=0,(F56)&lt;0),"n/m",(F56)/(F25))</x:f>
        <x:v>0.01901053423767185</x:v>
      </x:c>
      <x:c r="G131" s="66" t="n">
        <x:f>IF(OR((G25)&lt;=0,(G56)&lt;0),"n/m",(G56)/(G25))</x:f>
        <x:v>0.02169313165517457</x:v>
      </x:c>
    </x:row>
    <x:row r="132" ht="15" hidden="0">
      <x:c r="A132" s="134" t="str">
        <x:v>20. Times interest earned</x:v>
      </x:c>
      <x:c r="B132" s="128" t="str">
        <x:v>EBIT / Interest Expense</x:v>
      </x:c>
      <x:c r="C132" s="63" t="n">
        <x:f>IF(OR((C85)&lt;=0,(C82)&lt;0),"n/m",(C82)/(C85))</x:f>
        <x:v>11.019706901181747</x:v>
      </x:c>
      <x:c r="D132" s="63" t="n">
        <x:f>IF(OR((D85)&lt;=0,(D82)&lt;0),"n/m",(D82)/(D85))</x:f>
        <x:v>18.36315245249661</x:v>
      </x:c>
      <x:c r="E132" s="63" t="n">
        <x:f>IF(OR((E85)&lt;=0,(E82)&lt;0),"n/m",(E82)/(E85))</x:f>
        <x:v>16.398825279873954</x:v>
      </x:c>
      <x:c r="F132" s="63" t="n">
        <x:f>IF(OR((F85)&lt;=0,(F82)&lt;0),"n/m",(F82)/(F85))</x:f>
        <x:v>22.367720224205137</x:v>
      </x:c>
      <x:c r="G132" s="63" t="n">
        <x:f>IF(OR((G85)&lt;=0,(G82)&lt;0),"n/m",(G82)/(G85))</x:f>
        <x:v>59.09895319837231</x:v>
      </x:c>
    </x:row>
    <x:row r="133" ht="22" hidden="0" customHeight="1">
      <x:c r="A133" s="129" t="str">
        <x:v>Profitability</x:v>
      </x:c>
      <x:c r="B133" s="130" t="s">
        <x:v>146</x:v>
      </x:c>
      <x:c r="C133" s="77" t="str">
        <x:f aca="0">IF(C83&lt;=0,"n/m",C57/C83)</x:f>
        <x:v>n/m</x:v>
      </x:c>
      <x:c r="D133" s="77" t="str">
        <x:f aca="0">IF(D83&lt;=0,"n/m",D57/D83)</x:f>
        <x:v>n/m</x:v>
      </x:c>
      <x:c r="E133" s="77" t="str">
        <x:f aca="0">IF(E83&lt;=0,"n/m",E57/E83)</x:f>
        <x:v>n/m</x:v>
      </x:c>
      <x:c r="F133" s="77" t="str">
        <x:f aca="0">IF(F83&lt;=0,"n/m",F57/F83)</x:f>
        <x:v>n/m</x:v>
      </x:c>
      <x:c r="G133" s="77" t="str">
        <x:f aca="0">IF(G83&lt;=0,"n/m",G57/G83)</x:f>
        <x:v>n/m</x:v>
      </x:c>
    </x:row>
    <x:row r="134" ht="15" hidden="0">
      <x:c r="A134" s="134" t="str">
        <x:v>21. Gross profit margin</x:v>
      </x:c>
      <x:c r="B134" s="128" t="str">
        <x:v>Gross Profit / Net Sales</x:v>
      </x:c>
      <x:c r="C134" s="66" t="n">
        <x:f>IF(OR((C64)&lt;=0,(C66)&lt;0),"n/m",(C66)/(C64))</x:f>
        <x:v>0.2479634130082893</x:v>
      </x:c>
      <x:c r="D134" s="66" t="n">
        <x:f>IF(OR((D64)&lt;=0,(D66)&lt;0),"n/m",(D66)/(D64))</x:f>
        <x:v>0.2984391421350988</x:v>
      </x:c>
      <x:c r="E134" s="66" t="n">
        <x:f>IF(OR((E64)&lt;=0,(E66)&lt;0),"n/m",(E66)/(E64))</x:f>
        <x:v>0.2680435681898961</x:v>
      </x:c>
      <x:c r="F134" s="66" t="n">
        <x:f>IF(OR((F64)&lt;=0,(F66)&lt;0),"n/m",(F66)/(F64))</x:f>
        <x:v>0.29125851467425595</x:v>
      </x:c>
      <x:c r="G134" s="66" t="n">
        <x:f>IF(OR((G64)&lt;=0,(G66)&lt;0),"n/m",(G66)/(G64))</x:f>
        <x:v>0.39220278175445145</x:v>
      </x:c>
    </x:row>
    <x:row r="135" ht="15" hidden="0">
      <x:c r="A135" s="134" t="str">
        <x:v>22. Operating margin</x:v>
      </x:c>
      <x:c r="B135" s="128" t="str">
        <x:v>Operating Profit / Net Sales</x:v>
      </x:c>
      <x:c r="C135" s="66" t="n">
        <x:f>IF(OR((C64)&lt;=0,(C71)&lt;0),"n/m",(C71)/(C64))</x:f>
        <x:v>0.2174940172918257</x:v>
      </x:c>
      <x:c r="D135" s="66" t="n">
        <x:f>IF(OR((D64)&lt;=0,(D71)&lt;0),"n/m",(D71)/(D64))</x:f>
        <x:v>0.26684521417223683</x:v>
      </x:c>
      <x:c r="E135" s="66" t="n">
        <x:f>IF(OR((E64)&lt;=0,(E71)&lt;0),"n/m",(E71)/(E64))</x:f>
        <x:v>0.23441531849714523</x:v>
      </x:c>
      <x:c r="F135" s="66" t="n">
        <x:f>IF(OR((F64)&lt;=0,(F71)&lt;0),"n/m",(F71)/(F64))</x:f>
        <x:v>0.25877948344250634</x:v>
      </x:c>
      <x:c r="G135" s="66" t="n">
        <x:f>IF(OR((G64)&lt;=0,(G71)&lt;0),"n/m",(G71)/(G64))</x:f>
        <x:v>0.34143534845456586</x:v>
      </x:c>
    </x:row>
    <x:row r="136" ht="15" hidden="0">
      <x:c r="A136" s="134" t="str">
        <x:v>23. Net profit margin</x:v>
      </x:c>
      <x:c r="B136" s="128" t="str">
        <x:v>Net Profit / Net Sales</x:v>
      </x:c>
      <x:c r="C136" s="66" t="n">
        <x:f>IF(OR((C64)&lt;=0,(C79)&lt;0),"n/m",(C79)/(C64))</x:f>
        <x:v>0.1453819089897026</x:v>
      </x:c>
      <x:c r="D136" s="66" t="n">
        <x:f>IF(OR((D64)&lt;=0,(D79)&lt;0),"n/m",(D79)/(D64))</x:f>
        <x:v>0.15282075695786385</x:v>
      </x:c>
      <x:c r="E136" s="66" t="n">
        <x:f>IF(OR((E64)&lt;=0,(E79)&lt;0),"n/m",(E79)/(E64))</x:f>
        <x:v>0.14955052871384544</x:v>
      </x:c>
      <x:c r="F136" s="66" t="n">
        <x:f>IF(OR((F64)&lt;=0,(F79)&lt;0),"n/m",(F79)/(F64))</x:f>
        <x:v>0.23011561219895646</x:v>
      </x:c>
      <x:c r="G136" s="66" t="n">
        <x:f>IF(OR((G64)&lt;=0,(G79)&lt;0),"n/m",(G79)/(G64))</x:f>
        <x:v>0.3083771970759486</x:v>
      </x:c>
    </x:row>
    <x:row r="137" ht="15" hidden="0">
      <x:c r="A137" s="134" t="str">
        <x:v>24. Return on assets</x:v>
      </x:c>
      <x:c r="B137" s="128" t="str">
        <x:v>Net Profit / Average Total Assets</x:v>
      </x:c>
      <x:c r="C137" s="66" t="n">
        <x:f>IF(OR((AVERAGE(H25,C25))&lt;=0,(C79)&lt;0),"n/m",(C79)/(AVERAGE(H25,C25)))</x:f>
        <x:v>0.10310501881607244</x:v>
      </x:c>
      <x:c r="D137" s="66" t="n">
        <x:f>IF(OR((AVERAGE(C25,D25))&lt;=0,(D79)&lt;0),"n/m",(D79)/(AVERAGE(C25,D25)))</x:f>
        <x:v>0.12649629238438423</x:v>
      </x:c>
      <x:c r="E137" s="66" t="n">
        <x:f>IF(OR((AVERAGE(D25,E25))&lt;=0,(E79)&lt;0),"n/m",(E79)/(AVERAGE(D25,E25)))</x:f>
        <x:v>0.12533816876597817</x:v>
      </x:c>
      <x:c r="F137" s="66" t="n">
        <x:f>IF(OR((AVERAGE(E25,F25))&lt;=0,(F79)&lt;0),"n/m",(F79)/(AVERAGE(E25,F25)))</x:f>
        <x:v>0.1641262004883521</x:v>
      </x:c>
      <x:c r="G137" s="66" t="n">
        <x:f>IF(OR((AVERAGE(F25,G25))&lt;=0,(G79)&lt;0),"n/m",(G79)/(AVERAGE(F25,G25)))</x:f>
        <x:v>0.184262568360198</x:v>
      </x:c>
    </x:row>
    <x:row r="138" ht="15" hidden="0">
      <x:c r="A138" s="134" t="str">
        <x:v>25. Return on equity</x:v>
      </x:c>
      <x:c r="B138" s="128" t="str">
        <x:v>Net Profit / Average Equity</x:v>
      </x:c>
      <x:c r="C138" s="66" t="n">
        <x:f>IF(OR((AVERAGE(H29,C29))&lt;=0,(C79)&lt;0),"n/m",(C79)/(AVERAGE(H29,C29)))</x:f>
        <x:v>0.1708175375326949</x:v>
      </x:c>
      <x:c r="D138" s="66" t="n">
        <x:f>IF(OR((AVERAGE(C29,D29))&lt;=0,(D79)&lt;0),"n/m",(D79)/(AVERAGE(C29,D29)))</x:f>
        <x:v>0.2031253153612202</x:v>
      </x:c>
      <x:c r="E138" s="66" t="n">
        <x:f>IF(OR((AVERAGE(D29,E29))&lt;=0,(E79)&lt;0),"n/m",(E79)/(AVERAGE(D29,E29)))</x:f>
        <x:v>0.1944909568032407</x:v>
      </x:c>
      <x:c r="F138" s="66" t="n">
        <x:f>IF(OR((AVERAGE(E29,F29))&lt;=0,(F79)&lt;0),"n/m",(F79)/(AVERAGE(E29,F29)))</x:f>
        <x:v>0.24134090965005384</x:v>
      </x:c>
      <x:c r="G138" s="66" t="n">
        <x:f>IF(OR((AVERAGE(F29,G29))&lt;=0,(G79)&lt;0),"n/m",(G79)/(AVERAGE(F29,G29)))</x:f>
        <x:v>0.25998290898160303</x:v>
      </x:c>
    </x:row>
    <x:row r="139" ht="15" hidden="0">
      <x:c r="A139" s="134" t="str">
        <x:v>26. Return on invested capital</x:v>
      </x:c>
      <x:c r="B139" s="128" t="str">
        <x:v>NOPAT / Average Invested Capital</x:v>
      </x:c>
      <x:c r="C139" s="66" t="n">
        <x:f>IF(OR((AVERAGE(H58,C58))&lt;=0,(C88)&lt;0),"n/m",(C88)/(AVERAGE(H58,C58)))</x:f>
        <x:v>0.14327122643181978</x:v>
      </x:c>
      <x:c r="D139" s="66" t="n">
        <x:f>IF(OR((AVERAGE(C58,D58))&lt;=0,(D88)&lt;0),"n/m",(D88)/(AVERAGE(C58,D58)))</x:f>
        <x:v>0.17824324729851332</x:v>
      </x:c>
      <x:c r="E139" s="66" t="n">
        <x:f>IF(OR((AVERAGE(D58,E58))&lt;=0,(E88)&lt;0),"n/m",(E88)/(AVERAGE(D58,E58)))</x:f>
        <x:v>0.18523585661078099</x:v>
      </x:c>
      <x:c r="F139" s="66" t="n">
        <x:f>IF(OR((AVERAGE(E58,F58))&lt;=0,(F88)&lt;0),"n/m",(F88)/(AVERAGE(E58,F58)))</x:f>
        <x:v>0.23611149584842697</x:v>
      </x:c>
      <x:c r="G139" s="66" t="n">
        <x:f>IF(OR((AVERAGE(F58,G58))&lt;=0,(G88)&lt;0),"n/m",(G88)/(AVERAGE(F58,G58)))</x:f>
        <x:v>0.2526376274461683</x:v>
      </x:c>
    </x:row>
    <x:row r="140" ht="15" hidden="0">
      <x:c r="A140" s="134" t="str">
        <x:v>27. Basic earning power</x:v>
      </x:c>
      <x:c r="B140" s="128" t="str">
        <x:v>EBIT / Average Total Assets</x:v>
      </x:c>
      <x:c r="C140" s="66" t="n">
        <x:f>IF(OR((AVERAGE(H25,C25))&lt;=0,(C82)&lt;0),"n/m",(C82)/(AVERAGE(H25,C25)))</x:f>
        <x:v>0.15927842615719043</x:v>
      </x:c>
      <x:c r="D140" s="66" t="n">
        <x:f>IF(OR((AVERAGE(C25,D25))&lt;=0,(D82)&lt;0),"n/m",(D82)/(AVERAGE(C25,D25)))</x:f>
        <x:v>0.23825496283693048</x:v>
      </x:c>
      <x:c r="E140" s="66" t="n">
        <x:f>IF(OR((AVERAGE(D25,E25))&lt;=0,(E82)&lt;0),"n/m",(E82)/(AVERAGE(D25,E25)))</x:f>
        <x:v>0.24137695696625033</x:v>
      </x:c>
      <x:c r="F140" s="66" t="n">
        <x:f>IF(OR((AVERAGE(E25,F25))&lt;=0,(F82)&lt;0),"n/m",(F82)/(AVERAGE(E25,F25)))</x:f>
        <x:v>0.2667383296475893</x:v>
      </x:c>
      <x:c r="G140" s="66" t="n">
        <x:f>IF(OR((AVERAGE(F25,G25))&lt;=0,(G82)&lt;0),"n/m",(G82)/(AVERAGE(F25,G25)))</x:f>
        <x:v>0.28807830028219766</x:v>
      </x:c>
    </x:row>
    <x:row r="141" ht="22" hidden="0" customHeight="1">
      <x:c r="A141" s="129" t="str">
        <x:v>Market Value</x:v>
      </x:c>
      <x:c r="B141" s="130" t="s">
        <x:v>147</x:v>
      </x:c>
      <x:c r="C141" s="79" t="n">
        <x:f aca="0">C82/AVERAGE(H25,C25)</x:f>
        <x:v>0.15927842615719043</x:v>
      </x:c>
      <x:c r="D141" s="79" t="n">
        <x:f aca="0">D82/AVERAGE(C25,D25)</x:f>
        <x:v>0.23825496283693048</x:v>
      </x:c>
      <x:c r="E141" s="79" t="n">
        <x:f aca="0">E82/AVERAGE(D25,E25)</x:f>
        <x:v>0.24137695696625033</x:v>
      </x:c>
      <x:c r="F141" s="79" t="n">
        <x:f aca="0">F82/AVERAGE(E25,F25)</x:f>
        <x:v>0.2667383296475893</x:v>
      </x:c>
      <x:c r="G141" s="79" t="n">
        <x:f aca="0">G82/AVERAGE(F25,G25)</x:f>
        <x:v>0.28807830028219766</x:v>
      </x:c>
    </x:row>
    <x:row r="142" ht="15" hidden="0">
      <x:c r="A142" s="134" t="str">
        <x:v>28. Book value per share (Rs)</x:v>
      </x:c>
      <x:c r="B142" s="128" t="str">
        <x:v>Total Equity / Shares Outstanding</x:v>
      </x:c>
      <x:c r="C142" s="67" t="n">
        <x:f>IF(OR((C103)&lt;=0,(C29)&lt;0),"n/m",(C29)/(C103))</x:f>
        <x:v>110.64122209168052</x:v>
      </x:c>
      <x:c r="D142" s="67" t="n">
        <x:f>IF(OR((D103)&lt;=0,(D29)&lt;0),"n/m",(D29)/(D103))</x:f>
        <x:v>135.64693964412666</x:v>
      </x:c>
      <x:c r="E142" s="67" t="n">
        <x:f>IF(OR((E103)&lt;=0,(E29)&lt;0),"n/m",(E29)/(E103))</x:f>
        <x:v>162.35106244484723</x:v>
      </x:c>
      <x:c r="F142" s="67" t="n">
        <x:f>IF(OR((F103)&lt;=0,(F29)&lt;0),"n/m",(F29)/(F103))</x:f>
        <x:v>209.7928785338331</x:v>
      </x:c>
      <x:c r="G142" s="67" t="n">
        <x:f>IF(OR((G103)&lt;=0,(G29)&lt;0),"n/m",(G29)/(G103))</x:f>
        <x:v>260.8226721418157</x:v>
      </x:c>
    </x:row>
    <x:row r="143" ht="15" hidden="0">
      <x:c r="A143" s="134" t="str">
        <x:v>29. Market-to-book ratio</x:v>
      </x:c>
      <x:c r="B143" s="128" t="str">
        <x:v>Share Price / BVPS</x:v>
      </x:c>
      <x:c r="C143" s="63" t="n">
        <x:f>IF(OR((C29/C103)&lt;=0,(C105)&lt;0),"n/m",(C105)/(C29/C103))</x:f>
        <x:v>1.8663025958706099</x:v>
      </x:c>
      <x:c r="D143" s="63" t="n">
        <x:f>IF(OR((D29/D103)&lt;=0,(D105)&lt;0),"n/m",(D105)/(D29/D103))</x:f>
        <x:v>0.959328683281757</x:v>
      </x:c>
      <x:c r="E143" s="63" t="n">
        <x:f>IF(OR((E29/E103)&lt;=0,(E105)&lt;0),"n/m",(E105)/(E29/E103))</x:f>
        <x:v>1.0684870021034203</x:v>
      </x:c>
      <x:c r="F143" s="63" t="n">
        <x:f>IF(OR((F29/F103)&lt;=0,(F105)&lt;0),"n/m",(F105)/(F29/F103))</x:f>
        <x:v>1.1937011482475721</x:v>
      </x:c>
      <x:c r="G143" s="63" t="n">
        <x:f>IF(OR((G29/G103)&lt;=0,(G105)&lt;0),"n/m",(G105)/(G29/G103))</x:f>
        <x:v>1.4544747850514033</x:v>
      </x:c>
    </x:row>
    <x:row r="144" ht="15" hidden="0">
      <x:c r="A144" s="134" t="str">
        <x:v>30. Earnings per share (Rs)</x:v>
      </x:c>
      <x:c r="B144" s="128" t="str">
        <x:v>Net Profit / Weighted Average Shares</x:v>
      </x:c>
      <x:c r="C144" s="67" t="n">
        <x:f>IF(OR((C104)&lt;=0,(C79)&lt;0),"n/m",(C79)/(C104))</x:f>
        <x:v>17.412549352402124</x:v>
      </x:c>
      <x:c r="D144" s="67" t="n">
        <x:f>IF(OR((D104)&lt;=0,(D79)&lt;0),"n/m",(D79)/(D104))</x:f>
        <x:v>25.013680261160516</x:v>
      </x:c>
      <x:c r="E144" s="67" t="n">
        <x:f>IF(OR((E104)&lt;=0,(E79)&lt;0),"n/m",(E79)/(E104))</x:f>
        <x:v>28.978958275869324</x:v>
      </x:c>
      <x:c r="F144" s="67" t="n">
        <x:f>IF(OR((F104)&lt;=0,(F79)&lt;0),"n/m",(F79)/(F104))</x:f>
        <x:v>45.27427267861498</x:v>
      </x:c>
      <x:c r="G144" s="67" t="n">
        <x:f>IF(OR((G104)&lt;=0,(G79)&lt;0),"n/m",(G79)/(G104))</x:f>
        <x:v>59.84205460086993</x:v>
      </x:c>
    </x:row>
    <x:row r="145" ht="15" hidden="0">
      <x:c r="A145" s="134" t="str">
        <x:v>31. Price-to-earnings ratio</x:v>
      </x:c>
      <x:c r="B145" s="128" t="str">
        <x:v>Share Price / EPS</x:v>
      </x:c>
      <x:c r="C145" s="63" t="n">
        <x:f>IF(OR((C79/C104)&lt;=0,(C105)&lt;0),"n/m",(C105)/(C79/C104))</x:f>
        <x:v>11.858688571154802</x:v>
      </x:c>
      <x:c r="D145" s="63" t="n">
        <x:f>IF(OR((D79/D104)&lt;=0,(D105)&lt;0),"n/m",(D105)/(D79/D104))</x:f>
        <x:v>5.202353217973155</x:v>
      </x:c>
      <x:c r="E145" s="63" t="n">
        <x:f>IF(OR((E79/E104)&lt;=0,(E105)&lt;0),"n/m",(E105)/(E79/E104))</x:f>
        <x:v>5.986067488990722</x:v>
      </x:c>
      <x:c r="F145" s="63" t="n">
        <x:f>IF(OR((F79/F104)&lt;=0,(F105)&lt;0),"n/m",(F105)/(F79/F104))</x:f>
        <x:v>5.531397528519306</x:v>
      </x:c>
      <x:c r="G145" s="63" t="n">
        <x:f>IF(OR((G79/G104)&lt;=0,(G105)&lt;0),"n/m",(G105)/(G79/G104))</x:f>
        <x:v>6.339354531361382</x:v>
      </x:c>
    </x:row>
    <x:row r="146" ht="15" hidden="0">
      <x:c r="A146" s="134" t="str">
        <x:v>32. Dividend yield</x:v>
      </x:c>
      <x:c r="B146" s="128" t="str">
        <x:v>DPS / Share Price</x:v>
      </x:c>
      <x:c r="C146" s="66" t="n">
        <x:f>IF(OR((C105)&lt;=0,(C106)&lt;0),"n/m",(C106)/(C105))</x:f>
        <x:v>0</x:v>
      </x:c>
      <x:c r="D146" s="66" t="n">
        <x:f>IF(OR((D105)&lt;=0,(D106)&lt;0),"n/m",(D106)/(D105))</x:f>
        <x:v>0</x:v>
      </x:c>
      <x:c r="E146" s="66" t="n">
        <x:f>IF(OR((E105)&lt;=0,(E106)&lt;0),"n/m",(E106)/(E105))</x:f>
        <x:v>0</x:v>
      </x:c>
      <x:c r="F146" s="66" t="n">
        <x:f>IF(OR((F105)&lt;=0,(F106)&lt;0),"n/m",(F106)/(F105))</x:f>
        <x:v>0</x:v>
      </x:c>
      <x:c r="G146" s="66" t="n">
        <x:f>IF(OR((G105)&lt;=0,(G106)&lt;0),"n/m",(G106)/(G105))</x:f>
        <x:v>0</x:v>
      </x:c>
    </x:row>
    <x:row r="147" ht="15" hidden="0">
      <x:c r="A147" s="134" t="str">
        <x:v>33. Dividend payout ratio</x:v>
      </x:c>
      <x:c r="B147" s="128" t="str">
        <x:v>DPS / EPS</x:v>
      </x:c>
      <x:c r="C147" s="66" t="n">
        <x:f>IF(OR((C79/C104)&lt;=0,(C106)&lt;0),"n/m",(C106)/(C79/C104))</x:f>
        <x:v>0</x:v>
      </x:c>
      <x:c r="D147" s="66" t="n">
        <x:f>IF(OR((D79/D104)&lt;=0,(D106)&lt;0),"n/m",(D106)/(D79/D104))</x:f>
        <x:v>0</x:v>
      </x:c>
      <x:c r="E147" s="66" t="n">
        <x:f>IF(OR((E79/E104)&lt;=0,(E106)&lt;0),"n/m",(E106)/(E79/E104))</x:f>
        <x:v>0</x:v>
      </x:c>
      <x:c r="F147" s="66" t="n">
        <x:f>IF(OR((F79/F104)&lt;=0,(F106)&lt;0),"n/m",(F106)/(F79/F104))</x:f>
        <x:v>0</x:v>
      </x:c>
      <x:c r="G147" s="66" t="n">
        <x:f>IF(OR((G79/G104)&lt;=0,(G106)&lt;0),"n/m",(G106)/(G79/G104))</x:f>
        <x:v>0</x:v>
      </x:c>
    </x:row>
    <x:row r="148" ht="15" hidden="0">
      <x:c r="A148" s="111"/>
      <x:c r="B148" s="111"/>
      <x:c r="C148">
        <x:f aca="0"/>
      </x:c>
      <x:c r="D148">
        <x:f aca="0"/>
      </x:c>
      <x:c r="E148">
        <x:f aca="0"/>
      </x:c>
      <x:c r="F148">
        <x:f aca="0"/>
      </x:c>
      <x:c r="G148">
        <x:f aca="0"/>
      </x:c>
    </x:row>
    <x:row r="149" ht="15" hidden="0">
      <x:c r="A149" s="131" t="str">
        <x:v>33 measures: 19 mandatory ratios and 14 additional measures. Ratios use one method across all five companies.</x:v>
      </x:c>
      <x:c r="B149" s="131"/>
      <x:c r="C149" s="80">
        <x:f aca="0"/>
      </x:c>
      <x:c r="D149" s="80">
        <x:f aca="0"/>
      </x:c>
      <x:c r="E149" s="80">
        <x:f aca="0"/>
      </x:c>
      <x:c r="F149" s="80">
        <x:f aca="0"/>
      </x:c>
      <x:c r="G149" s="80">
        <x:f aca="0"/>
      </x:c>
    </x:row>
    <x:row r="150" ht="15" hidden="0">
      <x:c r="A150" s="131" t="str">
        <x:v>n/m: negative calculated measures or non-positive denominators. Signed accounting inputs and raw workings are retained in the audit workbook.</x:v>
      </x:c>
      <x:c r="B150" s="131"/>
      <x:c r="C150" s="80"/>
      <x:c r="D150" s="80"/>
      <x:c r="E150" s="80"/>
      <x:c r="F150" s="80"/>
      <x:c r="G150" s="80"/>
    </x:row>
    <x:row r="151" ht="15" hidden="0">
      <x:c r="A151" s="131" t="str">
        <x:v>DIO includes stores and stock; supplier payables include identified related operating suppliers, excluding contractor retentions, taxes and accruals.</x:v>
      </x:c>
      <x:c r="B151" s="131"/>
      <x:c r="C151" s="80">
        <x:f aca="0"/>
      </x:c>
      <x:c r="D151" s="80">
        <x:f aca="0"/>
      </x:c>
      <x:c r="E151" s="80">
        <x:f aca="0"/>
      </x:c>
      <x:c r="F151" s="80">
        <x:f aca="0"/>
      </x:c>
      <x:c r="G151" s="80">
        <x:f aca="0"/>
      </x:c>
    </x:row>
    <x:row r="152">
      <x:c r="A152" s="111"/>
      <x:c r="B152" s="111"/>
    </x:row>
    <x:row r="153" ht="19.5" hidden="0" customHeight="1">
      <x:c r="A153" s="114" t="s">
        <x:v>148</x:v>
      </x:c>
      <x:c r="B153" s="115"/>
      <x:c r="C153" s="6"/>
      <x:c r="D153" s="6"/>
      <x:c r="E153" s="6"/>
      <x:c r="F153" s="6"/>
      <x:c r="G153" s="6"/>
    </x:row>
    <x:row r="154" ht="15" hidden="0">
      <x:c r="A154" s="132" t="s">
        <x:v>149</x:v>
      </x:c>
      <x:c r="B154" s="132"/>
      <x:c r="C154" s="41" t="s">
        <x:v>49</x:v>
      </x:c>
      <x:c r="D154" s="41" t="s">
        <x:v>50</x:v>
      </x:c>
      <x:c r="E154" s="41" t="s">
        <x:v>51</x:v>
      </x:c>
      <x:c r="F154" s="41" t="s">
        <x:v>52</x:v>
      </x:c>
      <x:c r="G154" s="41" t="s">
        <x:v>53</x:v>
      </x:c>
    </x:row>
    <x:row r="155" ht="15" hidden="0">
      <x:c r="A155" s="127" t="s">
        <x:v>56</x:v>
      </x:c>
      <x:c r="B155" s="127"/>
      <x:c r="C155" s="42" t="n">
        <x:f aca="0">C9/C25</x:f>
        <x:v>0.6104024404369143</x:v>
      </x:c>
      <x:c r="D155" s="42" t="n">
        <x:f aca="0">D9/D25</x:f>
        <x:v>0.4920638463693792</x:v>
      </x:c>
      <x:c r="E155" s="42" t="n">
        <x:f aca="0">E9/E25</x:f>
        <x:v>0.4488067950311058</x:v>
      </x:c>
      <x:c r="F155" s="42" t="n">
        <x:f aca="0">F9/F25</x:f>
        <x:v>0.3765363659329808</x:v>
      </x:c>
      <x:c r="G155" s="42" t="n">
        <x:f aca="0">G9/G25</x:f>
        <x:v>0.34973008764784314</x:v>
      </x:c>
    </x:row>
    <x:row r="156" ht="15" hidden="0">
      <x:c r="A156" s="127" t="s">
        <x:v>63</x:v>
      </x:c>
      <x:c r="B156" s="127"/>
      <x:c r="C156" s="42" t="n">
        <x:f aca="0">C16/C25</x:f>
        <x:v>0.7270812160800726</x:v>
      </x:c>
      <x:c r="D156" s="42" t="n">
        <x:f aca="0">D16/D25</x:f>
        <x:v>0.5899525351958268</x:v>
      </x:c>
      <x:c r="E156" s="42" t="n">
        <x:f aca="0">E16/E25</x:f>
        <x:v>0.5373845810474829</x:v>
      </x:c>
      <x:c r="F156" s="42" t="n">
        <x:f aca="0">F16/F25</x:f>
        <x:v>0.4525732003084308</x:v>
      </x:c>
      <x:c r="G156" s="42" t="n">
        <x:f aca="0">G16/G25</x:f>
        <x:v>0.42188501577615356</x:v>
      </x:c>
    </x:row>
    <x:row r="157" ht="15" hidden="0">
      <x:c r="A157" s="127" t="s">
        <x:v>150</x:v>
      </x:c>
      <x:c r="B157" s="127"/>
      <x:c r="C157" s="42" t="n">
        <x:f aca="0">C54/C25</x:f>
        <x:v>0.11592968312089379</x:v>
      </x:c>
      <x:c r="D157" s="42" t="n">
        <x:f aca="0">D54/D25</x:f>
        <x:v>0.13081658714941574</x:v>
      </x:c>
      <x:c r="E157" s="42" t="n">
        <x:f aca="0">E54/E25</x:f>
        <x:v>0.1545725750214985</x:v>
      </x:c>
      <x:c r="F157" s="42" t="n">
        <x:f aca="0">F54/F25</x:f>
        <x:v>0.1288069592402164</x:v>
      </x:c>
      <x:c r="G157" s="42" t="n">
        <x:f aca="0">G54/G25</x:f>
        <x:v>0.11235789138852169</x:v>
      </x:c>
    </x:row>
    <x:row r="158" ht="15" hidden="0">
      <x:c r="A158" s="127" t="s">
        <x:v>67</x:v>
      </x:c>
      <x:c r="B158" s="127"/>
      <x:c r="C158" s="42" t="n">
        <x:f aca="0">C20/C25</x:f>
        <x:v>0.027255531473281764</x:v>
      </x:c>
      <x:c r="D158" s="42" t="n">
        <x:f aca="0">D20/D25</x:f>
        <x:v>0.021130919419659774</x:v>
      </x:c>
      <x:c r="E158" s="42" t="n">
        <x:f aca="0">E20/E25</x:f>
        <x:v>0.024339825080717026</x:v>
      </x:c>
      <x:c r="F158" s="42" t="n">
        <x:f aca="0">F20/F25</x:f>
        <x:v>0.035862163988864895</x:v>
      </x:c>
      <x:c r="G158" s="42" t="n">
        <x:f aca="0">G20/G25</x:f>
        <x:v>0.025334759610633677</x:v>
      </x:c>
    </x:row>
    <x:row r="159" ht="15" hidden="0">
      <x:c r="A159" s="127" t="s">
        <x:v>68</x:v>
      </x:c>
      <x:c r="B159" s="127"/>
      <x:c r="C159" s="42" t="n">
        <x:f aca="0">C21/C25</x:f>
        <x:v>0.08311865638736946</x:v>
      </x:c>
      <x:c r="D159" s="42" t="n">
        <x:f aca="0">D21/D25</x:f>
        <x:v>0.23353955536353374</x:v>
      </x:c>
      <x:c r="E159" s="42" t="n">
        <x:f aca="0">E21/E25</x:f>
        <x:v>0.24904209574227493</x:v>
      </x:c>
      <x:c r="F159" s="42" t="n">
        <x:f aca="0">F21/F25</x:f>
        <x:v>0.34463987589590195</x:v>
      </x:c>
      <x:c r="G159" s="42" t="n">
        <x:f aca="0">G21/G25</x:f>
        <x:v>0.40335219409966694</x:v>
      </x:c>
    </x:row>
    <x:row r="160" ht="15" hidden="0">
      <x:c r="A160" s="127" t="s">
        <x:v>69</x:v>
      </x:c>
      <x:c r="B160" s="127"/>
      <x:c r="C160" s="42" t="n">
        <x:f aca="0">C22/C25</x:f>
        <x:v>0.033190122717754615</x:v>
      </x:c>
      <x:c r="D160" s="42" t="n">
        <x:f aca="0">D22/D25</x:f>
        <x:v>0.011090155144323594</x:v>
      </x:c>
      <x:c r="E160" s="42" t="n">
        <x:f aca="0">E22/E25</x:f>
        <x:v>0.018847885506490802</x:v>
      </x:c>
      <x:c r="F160" s="42" t="n">
        <x:f aca="0">F22/F25</x:f>
        <x:v>0.018738739363736656</x:v>
      </x:c>
      <x:c r="G160" s="42" t="n">
        <x:f aca="0">G22/G25</x:f>
        <x:v>0.021718956069774295</x:v>
      </x:c>
    </x:row>
    <x:row r="161" ht="15" hidden="0">
      <x:c r="A161" s="127" t="s">
        <x:v>71</x:v>
      </x:c>
      <x:c r="B161" s="127"/>
      <x:c r="C161" s="42" t="n">
        <x:f aca="0">C24/C25</x:f>
        <x:v>0.27291878391992735</x:v>
      </x:c>
      <x:c r="D161" s="42" t="n">
        <x:f aca="0">D24/D25</x:f>
        <x:v>0.4100474648041733</x:v>
      </x:c>
      <x:c r="E161" s="42" t="n">
        <x:f aca="0">E24/E25</x:f>
        <x:v>0.4626154189525172</x:v>
      </x:c>
      <x:c r="F161" s="42" t="n">
        <x:f aca="0">F24/F25</x:f>
        <x:v>0.5474267996915693</x:v>
      </x:c>
      <x:c r="G161" s="42" t="n">
        <x:f aca="0">G24/G25</x:f>
        <x:v>0.5781149842238464</x:v>
      </x:c>
    </x:row>
    <x:row r="162" ht="15" hidden="0">
      <x:c r="A162" s="127" t="s">
        <x:v>76</x:v>
      </x:c>
      <x:c r="B162" s="127"/>
      <x:c r="C162" s="42" t="n">
        <x:f aca="0">C29/C25</x:f>
        <x:v>0.6158336174449659</x:v>
      </x:c>
      <x:c r="D162" s="42" t="n">
        <x:f aca="0">D29/D25</x:f>
        <x:v>0.6285075083282955</x:v>
      </x:c>
      <x:c r="E162" s="42" t="n">
        <x:f aca="0">E29/E25</x:f>
        <x:v>0.6583887590151666</x:v>
      </x:c>
      <x:c r="F162" s="42" t="n">
        <x:f aca="0">F29/F25</x:f>
        <x:v>0.698300548149705</x:v>
      </x:c>
      <x:c r="G162" s="42" t="n">
        <x:f aca="0">G29/G25</x:f>
        <x:v>0.7179532735297155</x:v>
      </x:c>
    </x:row>
    <x:row r="163" ht="15" hidden="0">
      <x:c r="A163" s="127" t="s">
        <x:v>83</x:v>
      </x:c>
      <x:c r="B163" s="127"/>
      <x:c r="C163" s="42" t="n">
        <x:f aca="0">C36/C25</x:f>
        <x:v>0.17433291274189106</x:v>
      </x:c>
      <x:c r="D163" s="42" t="n">
        <x:f aca="0">D36/D25</x:f>
        <x:v>0.15262641299575178</x:v>
      </x:c>
      <x:c r="E163" s="42" t="n">
        <x:f aca="0">E36/E25</x:f>
        <x:v>0.14148088984102922</x:v>
      </x:c>
      <x:c r="F163" s="42" t="n">
        <x:f aca="0">F36/F25</x:f>
        <x:v>0.11313699636826952</x:v>
      </x:c>
      <x:c r="G163" s="42" t="n">
        <x:f aca="0">G36/G25</x:f>
        <x:v>0.10745549553575273</x:v>
      </x:c>
    </x:row>
    <x:row r="164" ht="15" hidden="0">
      <x:c r="A164" s="127" t="s">
        <x:v>95</x:v>
      </x:c>
      <x:c r="B164" s="127"/>
      <x:c r="C164" s="42" t="n">
        <x:f aca="0">C48/C25</x:f>
        <x:v>0.2098334698131429</x:v>
      </x:c>
      <x:c r="D164" s="42" t="n">
        <x:f aca="0">D48/D25</x:f>
        <x:v>0.2188660786759528</x:v>
      </x:c>
      <x:c r="E164" s="42" t="n">
        <x:f aca="0">E48/E25</x:f>
        <x:v>0.20013035114380423</x:v>
      </x:c>
      <x:c r="F164" s="42" t="n">
        <x:f aca="0">F48/F25</x:f>
        <x:v>0.18856245548202555</x:v>
      </x:c>
      <x:c r="G164" s="42" t="n">
        <x:f aca="0">G48/G25</x:f>
        <x:v>0.17459123093453174</x:v>
      </x:c>
    </x:row>
    <x:row r="165" ht="15" hidden="0">
      <x:c r="A165" s="127" t="s">
        <x:v>102</x:v>
      </x:c>
      <x:c r="B165" s="127"/>
      <x:c r="C165" s="42" t="n">
        <x:f aca="0">C55/C25</x:f>
        <x:v>0.1676725502773455</x:v>
      </x:c>
      <x:c r="D165" s="42" t="n">
        <x:f aca="0">D55/D25</x:f>
        <x:v>0.09806798108159731</x:v>
      </x:c>
      <x:c r="E165" s="42" t="n">
        <x:f aca="0">E55/E25</x:f>
        <x:v>0.06427152014149022</x:v>
      </x:c>
      <x:c r="F165" s="42" t="n">
        <x:f aca="0">F55/F25</x:f>
        <x:v>0.03658971845121565</x:v>
      </x:c>
      <x:c r="G165" s="42" t="n">
        <x:f aca="0">G55/G25</x:f>
        <x:v>0.03357503782342138</x:v>
      </x:c>
    </x:row>
    <x:row r="166" ht="15" hidden="0">
      <x:c r="A166" s="132" t="s">
        <x:v>151</x:v>
      </x:c>
      <x:c r="B166" s="132"/>
      <x:c r="C166" s="41" t="s">
        <x:v>49</x:v>
      </x:c>
      <x:c r="D166" s="41" t="s">
        <x:v>50</x:v>
      </x:c>
      <x:c r="E166" s="41" t="s">
        <x:v>51</x:v>
      </x:c>
      <x:c r="F166" s="41" t="s">
        <x:v>52</x:v>
      </x:c>
      <x:c r="G166" s="41" t="s">
        <x:v>53</x:v>
      </x:c>
    </x:row>
    <x:row r="167" ht="15" hidden="0">
      <x:c r="A167" s="127" t="s">
        <x:v>109</x:v>
      </x:c>
      <x:c r="B167" s="127"/>
      <x:c r="C167" s="42" t="n">
        <x:f aca="0">C65/C64</x:f>
        <x:v>-0.7520365869917107</x:v>
      </x:c>
      <x:c r="D167" s="42" t="n">
        <x:f aca="0">D65/D64</x:f>
        <x:v>-0.7015608578649012</x:v>
      </x:c>
      <x:c r="E167" s="42" t="n">
        <x:f aca="0">E65/E64</x:f>
        <x:v>-0.731956431810104</x:v>
      </x:c>
      <x:c r="F167" s="42" t="n">
        <x:f aca="0">F65/F64</x:f>
        <x:v>-0.708741485325744</x:v>
      </x:c>
      <x:c r="G167" s="42" t="n">
        <x:f aca="0">G65/G64</x:f>
        <x:v>-0.6077972182455486</x:v>
      </x:c>
    </x:row>
    <x:row r="168" ht="15" hidden="0">
      <x:c r="A168" s="127" t="s">
        <x:v>110</x:v>
      </x:c>
      <x:c r="B168" s="127"/>
      <x:c r="C168" s="42" t="n">
        <x:f aca="0">C66/C64</x:f>
        <x:v>0.2479634130082893</x:v>
      </x:c>
      <x:c r="D168" s="42" t="n">
        <x:f aca="0">D66/D64</x:f>
        <x:v>0.2984391421350988</x:v>
      </x:c>
      <x:c r="E168" s="42" t="n">
        <x:f aca="0">E66/E64</x:f>
        <x:v>0.2680435681898961</x:v>
      </x:c>
      <x:c r="F168" s="42" t="n">
        <x:f aca="0">F66/F64</x:f>
        <x:v>0.29125851467425595</x:v>
      </x:c>
      <x:c r="G168" s="42" t="n">
        <x:f aca="0">G66/G64</x:f>
        <x:v>0.39220278175445145</x:v>
      </x:c>
    </x:row>
    <x:row r="169" ht="15" hidden="0">
      <x:c r="A169" s="127" t="s">
        <x:v>152</x:v>
      </x:c>
      <x:c r="B169" s="127"/>
      <x:c r="C169" s="42" t="n">
        <x:f aca="0">(C67+C68+C69+C70)/C64</x:f>
        <x:v>-0.03046939571646364</x:v>
      </x:c>
      <x:c r="D169" s="42" t="n">
        <x:f aca="0">(D67+D68+D69+D70)/D64</x:f>
        <x:v>-0.03159392796286197</x:v>
      </x:c>
      <x:c r="E169" s="42" t="n">
        <x:f aca="0">(E67+E68+E69+E70)/E64</x:f>
        <x:v>-0.033628249692750904</x:v>
      </x:c>
      <x:c r="F169" s="42" t="n">
        <x:f aca="0">(F67+F68+F69+F70)/F64</x:f>
        <x:v>-0.0324790312317496</x:v>
      </x:c>
      <x:c r="G169" s="42" t="n">
        <x:f aca="0">(G67+G68+G69+G70)/G64</x:f>
        <x:v>-0.050767433299885575</x:v>
      </x:c>
    </x:row>
    <x:row r="170" ht="15" hidden="0">
      <x:c r="A170" s="127" t="s">
        <x:v>115</x:v>
      </x:c>
      <x:c r="B170" s="127"/>
      <x:c r="C170" s="42" t="n">
        <x:f aca="0">C71/C64</x:f>
        <x:v>0.2174940172918257</x:v>
      </x:c>
      <x:c r="D170" s="42" t="n">
        <x:f aca="0">D71/D64</x:f>
        <x:v>0.26684521417223683</x:v>
      </x:c>
      <x:c r="E170" s="42" t="n">
        <x:f aca="0">E71/E64</x:f>
        <x:v>0.23441531849714523</x:v>
      </x:c>
      <x:c r="F170" s="42" t="n">
        <x:f aca="0">F71/F64</x:f>
        <x:v>0.25877948344250634</x:v>
      </x:c>
      <x:c r="G170" s="42" t="n">
        <x:f aca="0">G71/G64</x:f>
        <x:v>0.34143534845456586</x:v>
      </x:c>
    </x:row>
    <x:row r="171" ht="15" hidden="0">
      <x:c r="A171" s="127" t="s">
        <x:v>116</x:v>
      </x:c>
      <x:c r="B171" s="127"/>
      <x:c r="C171" s="42" t="n">
        <x:f aca="0">(C72+C73+C74)/C64</x:f>
        <x:v>0.007094484039188474</x:v>
      </x:c>
      <x:c r="D171" s="42" t="n">
        <x:f aca="0">(D72+D73+D74)/D64</x:f>
        <x:v>0.020991710399966976</x:v>
      </x:c>
      <x:c r="E171" s="42" t="n">
        <x:f aca="0">(E72+E73+E74)/E64</x:f>
        <x:v>0.053589938712582906</x:v>
      </x:c>
      <x:c r="F171" s="42" t="n">
        <x:f aca="0">(F72+F73+F74)/F64</x:f>
        <x:v>0.11520501044784114</x:v>
      </x:c>
      <x:c r="G171" s="42" t="n">
        <x:f aca="0">(G72+G73+G74)/G64</x:f>
        <x:v>0.14068524483798328</x:v>
      </x:c>
    </x:row>
    <x:row r="172" ht="15" hidden="0">
      <x:c r="A172" s="127" t="s">
        <x:v>119</x:v>
      </x:c>
      <x:c r="B172" s="127"/>
      <x:c r="C172" s="42" t="n">
        <x:f aca="0">C75/C64</x:f>
        <x:v>-0.021492593920963813</x:v>
      </x:c>
      <x:c r="D172" s="42" t="n">
        <x:f aca="0">D75/D64</x:f>
        <x:v>-0.01635525279649306</x:v>
      </x:c>
      <x:c r="E172" s="42" t="n">
        <x:f aca="0">E75/E64</x:f>
        <x:v>-0.01902046934417929</x:v>
      </x:c>
      <x:c r="F172" s="42" t="n">
        <x:f aca="0">F75/F64</x:f>
        <x:v>-0.017527036632251494</x:v>
      </x:c>
      <x:c r="G172" s="42" t="n">
        <x:f aca="0">G75/G64</x:f>
        <x:v>-0.009322077716205827</x:v>
      </x:c>
    </x:row>
    <x:row r="173" ht="15" hidden="0">
      <x:c r="A173" s="127" t="s">
        <x:v>120</x:v>
      </x:c>
      <x:c r="B173" s="127"/>
      <x:c r="C173" s="42" t="n">
        <x:f aca="0">C76/C64</x:f>
        <x:v>0.20309590741005035</x:v>
      </x:c>
      <x:c r="D173" s="42" t="n">
        <x:f aca="0">D76/D64</x:f>
        <x:v>0.2714816717757107</x:v>
      </x:c>
      <x:c r="E173" s="42" t="n">
        <x:f aca="0">E76/E64</x:f>
        <x:v>0.26898478786554886</x:v>
      </x:c>
      <x:c r="F173" s="42" t="n">
        <x:f aca="0">F76/F64</x:f>
        <x:v>0.356457457258096</x:v>
      </x:c>
      <x:c r="G173" s="42" t="n">
        <x:f aca="0">G76/G64</x:f>
        <x:v>0.4727985155763434</x:v>
      </x:c>
    </x:row>
    <x:row r="174" ht="15" hidden="0">
      <x:c r="A174" s="127" t="s">
        <x:v>153</x:v>
      </x:c>
      <x:c r="B174" s="127"/>
      <x:c r="C174" s="42" t="n">
        <x:f aca="0">(C77+C78)/C64</x:f>
        <x:v>-0.057713998420347745</x:v>
      </x:c>
      <x:c r="D174" s="42" t="n">
        <x:f aca="0">(D77+D78)/D64</x:f>
        <x:v>-0.11866091481784687</x:v>
      </x:c>
      <x:c r="E174" s="42" t="n">
        <x:f aca="0">(E77+E78)/E64</x:f>
        <x:v>-0.11943425915170339</x:v>
      </x:c>
      <x:c r="F174" s="42" t="n">
        <x:f aca="0">(F77+F78)/F64</x:f>
        <x:v>-0.12634184505913956</x:v>
      </x:c>
      <x:c r="G174" s="42" t="n">
        <x:f aca="0">(G77+G78)/G64</x:f>
        <x:v>-0.16442131850039482</x:v>
      </x:c>
    </x:row>
    <x:row r="175" ht="15" hidden="0">
      <x:c r="A175" s="127" t="s">
        <x:v>123</x:v>
      </x:c>
      <x:c r="B175" s="127"/>
      <x:c r="C175" s="42" t="n">
        <x:f aca="0">C79/C64</x:f>
        <x:v>0.1453819089897026</x:v>
      </x:c>
      <x:c r="D175" s="42" t="n">
        <x:f aca="0">D79/D64</x:f>
        <x:v>0.15282075695786385</x:v>
      </x:c>
      <x:c r="E175" s="42" t="n">
        <x:f aca="0">E79/E64</x:f>
        <x:v>0.14955052871384544</x:v>
      </x:c>
      <x:c r="F175" s="42" t="n">
        <x:f aca="0">F79/F64</x:f>
        <x:v>0.23011561219895646</x:v>
      </x:c>
      <x:c r="G175" s="42" t="n">
        <x:f aca="0">G79/G64</x:f>
        <x:v>0.3083771970759486</x:v>
      </x:c>
    </x:row>
    <x:row r="176" ht="15" hidden="0">
      <x:c r="A176" s="127"/>
      <x:c r="B176" s="127"/>
      <x:c r="C176" s="42">
        <x:f aca="0"/>
      </x:c>
      <x:c r="D176" s="42">
        <x:f aca="0"/>
      </x:c>
      <x:c r="E176" s="42">
        <x:f aca="0"/>
      </x:c>
      <x:c r="F176" s="42">
        <x:f aca="0"/>
      </x:c>
      <x:c r="G176" s="42">
        <x:f aca="0"/>
      </x:c>
    </x:row>
    <x:row r="177">
      <x:c r="A177" s="111"/>
      <x:c r="B177" s="111"/>
    </x:row>
    <x:row r="178" ht="19.5" hidden="0" customHeight="1">
      <x:c r="A178" s="114" t="s">
        <x:v>154</x:v>
      </x:c>
      <x:c r="B178" s="115"/>
      <x:c r="C178" s="6"/>
      <x:c r="D178" s="6"/>
      <x:c r="E178" s="6"/>
      <x:c r="F178" s="6"/>
      <x:c r="G178" s="6"/>
    </x:row>
    <x:row r="179" ht="15" hidden="0">
      <x:c r="A179" s="132" t="s">
        <x:v>155</x:v>
      </x:c>
      <x:c r="B179" s="132"/>
      <x:c r="C179" s="41" t="s">
        <x:v>49</x:v>
      </x:c>
      <x:c r="D179" s="41" t="s">
        <x:v>50</x:v>
      </x:c>
      <x:c r="E179" s="41" t="s">
        <x:v>51</x:v>
      </x:c>
      <x:c r="F179" s="41" t="s">
        <x:v>52</x:v>
      </x:c>
      <x:c r="G179" s="41" t="s">
        <x:v>53</x:v>
      </x:c>
    </x:row>
    <x:row r="180" ht="15" hidden="0">
      <x:c r="A180" s="127" t="s">
        <x:v>108</x:v>
      </x:c>
      <x:c r="B180" s="127"/>
      <x:c r="C180" s="38" t="n">
        <x:f aca="0">IF(OR(H64&lt;=0,C64&lt;H64),"n/m",C64/H64-1)</x:f>
        <x:v>1.1289260088617548</x:v>
      </x:c>
      <x:c r="D180" s="38" t="n">
        <x:f aca="0">IF(OR(C64&lt;=0,D64&lt;C64),"n/m",D64/C64-1)</x:f>
        <x:v>0.36660578401953936</x:v>
      </x:c>
      <x:c r="E180" s="38" t="n">
        <x:f aca="0">IF(OR(D64&lt;=0,E64&lt;D64),"n/m",E64/D64-1)</x:f>
        <x:v>0.1838578798199746</x:v>
      </x:c>
      <x:c r="F180" s="38" t="str">
        <x:f aca="0">IF(OR(E64&lt;=0,F64&lt;E64),"n/m",F64/E64-1)</x:f>
        <x:v>n/m</x:v>
      </x:c>
      <x:c r="G180" s="38" t="str">
        <x:f aca="0">IF(OR(F64&lt;=0,G64&lt;F64),"n/m",G64/F64-1)</x:f>
        <x:v>n/m</x:v>
      </x:c>
    </x:row>
    <x:row r="181" ht="15" hidden="0">
      <x:c r="A181" s="127" t="s">
        <x:v>110</x:v>
      </x:c>
      <x:c r="B181" s="127"/>
      <x:c r="C181" s="38" t="str">
        <x:f aca="0">IF(OR(H66&lt;=0,C66&lt;H66),"n/m",C66/H66-1)</x:f>
        <x:v>n/m</x:v>
      </x:c>
      <x:c r="D181" s="38" t="n">
        <x:f aca="0">IF(OR(C66&lt;=0,D66&lt;C66),"n/m",D66/C66-1)</x:f>
        <x:v>0.6447936930357592</x:v>
      </x:c>
      <x:c r="E181" s="38" t="n">
        <x:f aca="0">IF(OR(D66&lt;=0,E66&lt;D66),"n/m",E66/D66-1)</x:f>
        <x:v>0.06328375047071688</x:v>
      </x:c>
      <x:c r="F181" s="38" t="n">
        <x:f aca="0">IF(OR(E66&lt;=0,F66&lt;E66),"n/m",F66/E66-1)</x:f>
        <x:v>0.07896306308799139</x:v>
      </x:c>
      <x:c r="G181" s="38" t="n">
        <x:f aca="0">IF(OR(F66&lt;=0,G66&lt;F66),"n/m",G66/F66-1)</x:f>
        <x:v>0.307832561108331</x:v>
      </x:c>
    </x:row>
    <x:row r="182" ht="15" hidden="0">
      <x:c r="A182" s="127" t="s">
        <x:v>115</x:v>
      </x:c>
      <x:c r="B182" s="127"/>
      <x:c r="C182" s="38" t="str">
        <x:f aca="0">IF(OR(H71&lt;=0,C71&lt;H71),"n/m",C71/H71-1)</x:f>
        <x:v>n/m</x:v>
      </x:c>
      <x:c r="D182" s="38" t="n">
        <x:f aca="0">IF(OR(C71&lt;=0,D71&lt;C71),"n/m",D71/C71-1)</x:f>
        <x:v>0.6766999739418462</x:v>
      </x:c>
      <x:c r="E182" s="38" t="n">
        <x:f aca="0">IF(OR(D71&lt;=0,E71&lt;D71),"n/m",E71/D71-1)</x:f>
        <x:v>0.039982758597390866</x:v>
      </x:c>
      <x:c r="F182" s="38" t="n">
        <x:f aca="0">IF(OR(E71&lt;=0,F71&lt;E71),"n/m",F71/E71-1)</x:f>
        <x:v>0.09616817947074319</x:v>
      </x:c>
      <x:c r="G182" s="38" t="n">
        <x:f aca="0">IF(OR(F71&lt;=0,G71&lt;F71),"n/m",G71/F71-1)</x:f>
        <x:v>0.28144138621259374</x:v>
      </x:c>
    </x:row>
    <x:row r="183" ht="15" hidden="0">
      <x:c r="A183" s="127"/>
      <x:c r="B183" s="127"/>
      <x:c r="C183" s="38">
        <x:f aca="0"/>
      </x:c>
      <x:c r="D183" s="38">
        <x:f aca="0"/>
      </x:c>
      <x:c r="E183" s="38">
        <x:f aca="0"/>
      </x:c>
      <x:c r="F183" s="38">
        <x:f aca="0"/>
      </x:c>
      <x:c r="G183" s="38">
        <x:f aca="0"/>
      </x:c>
    </x:row>
    <x:row r="184" ht="15" hidden="0">
      <x:c r="A184" s="127" t="s">
        <x:v>123</x:v>
      </x:c>
      <x:c r="B184" s="127"/>
      <x:c r="C184" s="38" t="str">
        <x:f aca="0">IF(OR(H79&lt;=0,C79&lt;H79),"n/m",C79/H79-1)</x:f>
        <x:v>n/m</x:v>
      </x:c>
      <x:c r="D184" s="38" t="n">
        <x:f aca="0">IF(OR(C79&lt;=0,D79&lt;C79),"n/m",D79/C79-1)</x:f>
        <x:v>0.4365317653907923</x:v>
      </x:c>
      <x:c r="E184" s="38" t="n">
        <x:f aca="0">IF(OR(D79&lt;=0,E79&lt;D79),"n/m",E79/D79-1)</x:f>
        <x:v>0.15852437439467115</x:v>
      </x:c>
      <x:c r="F184" s="38" t="n">
        <x:f aca="0">IF(OR(E79&lt;=0,F79&lt;E79),"n/m",F79/E79-1)</x:f>
        <x:v>0.5278878215983254</x:v>
      </x:c>
      <x:c r="G184" s="38" t="n">
        <x:f aca="0">IF(OR(F79&lt;=0,G79&lt;F79),"n/m",G79/F79-1)</x:f>
        <x:v>0.30153628125708454</x:v>
      </x:c>
    </x:row>
    <x:row r="185" ht="15" hidden="0">
      <x:c r="A185" s="127" t="s">
        <x:v>132</x:v>
      </x:c>
      <x:c r="B185" s="127"/>
      <x:c r="C185" s="38" t="str">
        <x:f aca="0">IF(OR(H93&lt;=0,C93&lt;H93),"n/m",C93/H93-1)</x:f>
        <x:v>n/m</x:v>
      </x:c>
      <x:c r="D185" s="38" t="n">
        <x:f aca="0">IF(OR(C93&lt;=0,D93&lt;C93),"n/m",D93/C93-1)</x:f>
        <x:v>0.607555535680542</x:v>
      </x:c>
      <x:c r="E185" s="38" t="str">
        <x:f aca="0">IF(OR(D93&lt;=0,E93&lt;D93),"n/m",E93/D93-1)</x:f>
        <x:v>n/m</x:v>
      </x:c>
      <x:c r="F185" s="38" t="n">
        <x:f aca="0">IF(OR(E93&lt;=0,F93&lt;E93),"n/m",F93/E93-1)</x:f>
        <x:v>0.49304836834509325</x:v>
      </x:c>
      <x:c r="G185" s="38" t="n">
        <x:f aca="0">IF(OR(F93&lt;=0,G93&lt;F93),"n/m",G93/F93-1)</x:f>
        <x:v>0.4108686446034615</x:v>
      </x:c>
    </x:row>
    <x:row r="186" ht="15" hidden="0">
      <x:c r="A186" s="127" t="s">
        <x:v>156</x:v>
      </x:c>
      <x:c r="B186" s="127"/>
      <x:c r="C186" s="38" t="n">
        <x:f aca="0">IF(OR(H25&lt;=0,C25&lt;H25),"n/m",C25/H25-1)</x:f>
        <x:v>0.13635732264152</x:v>
      </x:c>
      <x:c r="D186" s="38" t="n">
        <x:f aca="0">IF(OR(C25&lt;=0,D25&lt;C25),"n/m",D25/C25-1)</x:f>
        <x:v>0.20128473468375319</x:v>
      </x:c>
      <x:c r="E186" s="38" t="n">
        <x:f aca="0">IF(OR(D25&lt;=0,E25&lt;D25),"n/m",E25/D25-1)</x:f>
        <x:v>0.1425446944263229</x:v>
      </x:c>
      <x:c r="F186" s="38" t="n">
        <x:f aca="0">IF(OR(E25&lt;=0,F25&lt;E25),"n/m",F25/E25-1)</x:f>
        <x:v>0.18803160603982083</x:v>
      </x:c>
      <x:c r="G186" s="38" t="n">
        <x:f aca="0">IF(OR(F25&lt;=0,G25&lt;F25),"n/m",G25/F25-1)</x:f>
        <x:v>0.13512187827654776</x:v>
      </x:c>
    </x:row>
    <x:row r="187" ht="15" hidden="0">
      <x:c r="A187" s="127" t="s">
        <x:v>76</x:v>
      </x:c>
      <x:c r="B187" s="127"/>
      <x:c r="C187" s="38" t="n">
        <x:f aca="0">IF(OR(H29&lt;=0,C29&lt;H29),"n/m",C29/H29-1)</x:f>
        <x:v>0.18673183359900003</x:v>
      </x:c>
      <x:c r="D187" s="38" t="n">
        <x:f aca="0">IF(OR(C29&lt;=0,D29&lt;C29),"n/m",D29/C29-1)</x:f>
        <x:v>0.22600724286763296</x:v>
      </x:c>
      <x:c r="E187" s="38" t="n">
        <x:f aca="0">IF(OR(D29&lt;=0,E29&lt;D29),"n/m",E29/D29-1)</x:f>
        <x:v>0.19686491173910392</x:v>
      </x:c>
      <x:c r="F187" s="38" t="n">
        <x:f aca="0">IF(OR(E29&lt;=0,F29&lt;E29),"n/m",F29/E29-1)</x:f>
        <x:v>0.2600505557806321</x:v>
      </x:c>
      <x:c r="G187" s="38" t="n">
        <x:f aca="0">IF(OR(F29&lt;=0,G29&lt;F29),"n/m",G29/F29-1)</x:f>
        <x:v>0.16706834975751828</x:v>
      </x:c>
    </x:row>
    <x:row r="188" ht="15" hidden="0">
      <x:c r="A188" s="127" t="s">
        <x:v>102</x:v>
      </x:c>
      <x:c r="B188" s="127"/>
      <x:c r="C188" s="38" t="str">
        <x:f aca="0">IF(OR(H55&lt;=0,C55&lt;H55),"n/m",C55/H55-1)</x:f>
        <x:v>n/m</x:v>
      </x:c>
      <x:c r="D188" s="38" t="str">
        <x:f aca="0">IF(OR(C55&lt;=0,D55&lt;C55),"n/m",D55/C55-1)</x:f>
        <x:v>n/m</x:v>
      </x:c>
      <x:c r="E188" s="38" t="str">
        <x:f aca="0">IF(OR(D55&lt;=0,E55&lt;D55),"n/m",E55/D55-1)</x:f>
        <x:v>n/m</x:v>
      </x:c>
      <x:c r="F188" s="38" t="str">
        <x:f aca="0">IF(OR(E55&lt;=0,F55&lt;E55),"n/m",F55/E55-1)</x:f>
        <x:v>n/m</x:v>
      </x:c>
      <x:c r="G188" s="38" t="n">
        <x:f aca="0">IF(OR(F55&lt;=0,G55&lt;F55),"n/m",G55/F55-1)</x:f>
        <x:v>0.0415975200285259</x:v>
      </x:c>
    </x:row>
    <x:row r="189" ht="15" hidden="0">
      <x:c r="A189" s="127" t="s">
        <x:v>150</x:v>
      </x:c>
      <x:c r="B189" s="127"/>
      <x:c r="C189" s="38" t="n">
        <x:f aca="0">IF(OR(H54&lt;=0,C54&lt;H54),"n/m",C54/H54-1)</x:f>
        <x:v>0.2808677175254597</x:v>
      </x:c>
      <x:c r="D189" s="38" t="n">
        <x:f aca="0">IF(OR(C54&lt;=0,D54&lt;C54),"n/m",D54/C54-1)</x:f>
        <x:v>0.3555455769006366</x:v>
      </x:c>
      <x:c r="E189" s="38" t="n">
        <x:f aca="0">IF(OR(D54&lt;=0,E54&lt;D54),"n/m",E54/D54-1)</x:f>
        <x:v>0.3500281527212785</x:v>
      </x:c>
      <x:c r="F189" s="38" t="str">
        <x:f aca="0">IF(OR(E54&lt;=0,F54&lt;E54),"n/m",F54/E54-1)</x:f>
        <x:v>n/m</x:v>
      </x:c>
      <x:c r="G189" s="38" t="str">
        <x:f aca="0">IF(OR(F54&lt;=0,G54&lt;F54),"n/m",G54/F54-1)</x:f>
        <x:v>n/m</x:v>
      </x:c>
    </x:row>
    <x:row r="190" ht="15" hidden="0">
      <x:c r="A190" s="127" t="s">
        <x:v>67</x:v>
      </x:c>
      <x:c r="B190" s="127"/>
      <x:c r="C190" s="38" t="n">
        <x:f aca="0">IF(OR(H20&lt;=0,C20&lt;H20),"n/m",C20/H20-1)</x:f>
        <x:v>0.9897591881889225</x:v>
      </x:c>
      <x:c r="D190" s="38" t="str">
        <x:f aca="0">IF(OR(C20&lt;=0,D20&lt;C20),"n/m",D20/C20-1)</x:f>
        <x:v>n/m</x:v>
      </x:c>
      <x:c r="E190" s="38" t="n">
        <x:f aca="0">IF(OR(D20&lt;=0,E20&lt;D20),"n/m",E20/D20-1)</x:f>
        <x:v>0.3160495980768705</x:v>
      </x:c>
      <x:c r="F190" s="38" t="n">
        <x:f aca="0">IF(OR(E20&lt;=0,F20&lt;E20),"n/m",F20/E20-1)</x:f>
        <x:v>0.7504392138589469</x:v>
      </x:c>
      <x:c r="G190" s="38" t="str">
        <x:f aca="0">IF(OR(F20&lt;=0,G20&lt;F20),"n/m",G20/F20-1)</x:f>
        <x:v>n/m</x:v>
      </x:c>
    </x:row>
    <x:row r="191" ht="15" hidden="0">
      <x:c r="A191" s="127" t="s">
        <x:v>69</x:v>
      </x:c>
      <x:c r="B191" s="127"/>
      <x:c r="C191" s="38" t="n">
        <x:f aca="0">IF(OR(H22&lt;=0,C22&lt;H22),"n/m",C22/H22-1)</x:f>
        <x:v>0.3433391364902154</x:v>
      </x:c>
      <x:c r="D191" s="38" t="str">
        <x:f aca="0">IF(OR(C22&lt;=0,D22&lt;C22),"n/m",D22/C22-1)</x:f>
        <x:v>n/m</x:v>
      </x:c>
      <x:c r="E191" s="38" t="n">
        <x:f aca="0">IF(OR(D22&lt;=0,E22&lt;D22),"n/m",E22/D22-1)</x:f>
        <x:v>0.9417718964570247</x:v>
      </x:c>
      <x:c r="F191" s="38" t="n">
        <x:f aca="0">IF(OR(E22&lt;=0,F22&lt;E22),"n/m",F22/E22-1)</x:f>
        <x:v>0.18115183869273</x:v>
      </x:c>
      <x:c r="G191" s="38" t="n">
        <x:f aca="0">IF(OR(F22&lt;=0,G22&lt;F22),"n/m",G22/F22-1)</x:f>
        <x:v>0.31565212203324466</x:v>
      </x:c>
    </x:row>
    <x:row r="192">
      <x:c r="A192" s="111"/>
      <x:c r="B192" s="111"/>
    </x:row>
    <x:row r="193" ht="15" hidden="0">
      <x:c r="A193" s="113" t="str">
        <x:v>n/m covers negative/undefined measures and growth percentages. Signed financial statements and common-size expense presentation preserve accounting signs.</x:v>
      </x:c>
      <x:c r="B193" s="111"/>
    </x:row>
    <x:row r="194">
      <x:c r="A194" s="111"/>
      <x:c r="B194" s="111"/>
    </x:row>
    <x:row r="195">
      <x:c r="A195" s="111"/>
      <x:c r="B195" s="111"/>
    </x:row>
    <x:row r="196" ht="22" customHeight="1">
      <x:c r="A196" s="126" t="str">
        <x:v>Financing classification (PKR million)</x:v>
      </x:c>
      <x:c r="B196" s="126"/>
      <x:c r="C196" s="71"/>
      <x:c r="D196" s="71"/>
      <x:c r="E196" s="71"/>
      <x:c r="F196" s="71"/>
      <x:c r="G196" s="71"/>
    </x:row>
    <x:row r="197">
      <x:c r="A197" s="111" t="str">
        <x:v>Interest-free parent loan excluded from IBD</x:v>
      </x:c>
      <x:c r="B197" s="111"/>
      <x:c r="C197" s="81" t="n">
        <x:v>0</x:v>
      </x:c>
      <x:c r="D197" s="81" t="n">
        <x:v>0</x:v>
      </x:c>
      <x:c r="E197" s="81" t="n">
        <x:v>0</x:v>
      </x:c>
      <x:c r="F197" s="81" t="n">
        <x:v>0</x:v>
      </x:c>
      <x:c r="G197" s="81" t="n">
        <x:v>0</x:v>
      </x:c>
      <x:c r="H197" s="81" t="n">
        <x:v>0</x:v>
      </x:c>
    </x:row>
    <x:row r="198">
      <x:c r="A198" s="111" t="str">
        <x:v>Accrued interest within financing balances</x:v>
      </x:c>
      <x:c r="B198" s="111"/>
      <x:c r="C198" s="81" t="n">
        <x:v>0</x:v>
      </x:c>
      <x:c r="D198" s="81" t="n">
        <x:v>0</x:v>
      </x:c>
      <x:c r="E198" s="81" t="n">
        <x:v>0</x:v>
      </x:c>
      <x:c r="F198" s="81" t="n">
        <x:v>134.93977</x:v>
      </x:c>
      <x:c r="G198" s="81" t="n">
        <x:v>47.420397</x:v>
      </x:c>
      <x:c r="H198" s="81" t="n">
        <x:v>0</x:v>
      </x:c>
    </x:row>
    <x:row r="199">
      <x:c r="A199" s="111" t="str">
        <x:v>Related operating supplier payable (included above)</x:v>
      </x:c>
      <x:c r="B199" s="111"/>
      <x:c r="C199" s="81" t="n">
        <x:v>0</x:v>
      </x:c>
      <x:c r="D199" s="81" t="n">
        <x:v>0</x:v>
      </x:c>
      <x:c r="E199" s="81" t="n">
        <x:v>0</x:v>
      </x:c>
      <x:c r="F199" s="81" t="n">
        <x:v>0</x:v>
      </x:c>
      <x:c r="G199" s="81" t="n">
        <x:v>0</x:v>
      </x:c>
      <x:c r="H199" s="81" t="n">
        <x:v>0</x:v>
      </x:c>
    </x:row>
    <x:row r="200">
      <x:c r="A200" s="111"/>
      <x:c r="B200" s="111"/>
      <x:c r="C200" s="81"/>
      <x:c r="D200" s="81"/>
      <x:c r="E200" s="81"/>
      <x:c r="F200" s="81"/>
      <x:c r="G200" s="81"/>
      <x:c r="H200" s="81"/>
    </x:row>
    <x:row r="201">
      <x:c r="A201" s="111"/>
      <x:c r="B201" s="111"/>
      <x:c r="C201" s="81"/>
      <x:c r="D201" s="81"/>
      <x:c r="E201" s="81"/>
      <x:c r="F201" s="81"/>
      <x:c r="G201" s="81"/>
      <x:c r="H201" s="81"/>
    </x:row>
    <x:row r="202">
      <x:c r="A202" s="111"/>
      <x:c r="B202" s="111"/>
      <x:c r="C202" s="81"/>
      <x:c r="D202" s="81"/>
      <x:c r="E202" s="81"/>
      <x:c r="F202" s="81"/>
      <x:c r="G202" s="81"/>
      <x:c r="H202" s="81"/>
    </x:row>
    <x:row r="203">
      <x:c r="A203" s="131" t="str">
        <x:v>Sources: KOHC FY2025 note 6.1 (PDF p89); FCCL FY2025 note 11 (PDF p268), FY2024 note 10; MLCF trade-payable and related-party notes.</x:v>
      </x:c>
      <x:c r="B203" s="131"/>
      <x:c r="C203" s="82"/>
      <x:c r="D203" s="82"/>
      <x:c r="E203" s="82"/>
      <x:c r="F203" s="82"/>
      <x:c r="G203" s="82"/>
      <x:c r="H203" s="81"/>
    </x:row>
    <x:row r="204">
      <x:c r="A204" s="111"/>
      <x:c r="B204" s="111"/>
    </x:row>
    <x:row r="205" ht="23" customHeight="1">
      <x:c r="A205" s="133" t="str">
        <x:v>NOWC n/m in FY2021/22/25: operating current liabilities exceed operating current assets. FY2020 has a one-rupee official asset-subtotal footing difference.</x:v>
      </x:c>
      <x:c r="B205" s="133"/>
      <x:c r="C205" s="109"/>
      <x:c r="D205" s="109"/>
      <x:c r="E205" s="109"/>
      <x:c r="F205" s="109"/>
      <x:c r="G205" s="109"/>
    </x:row>
    <x:row r="206" ht="23" customHeight="1">
      <x:c r="A206" s="133"/>
      <x:c r="B206" s="133"/>
      <x:c r="C206" s="109"/>
      <x:c r="D206" s="109"/>
      <x:c r="E206" s="109"/>
      <x:c r="F206" s="109"/>
      <x:c r="G206" s="109"/>
    </x:row>
    <x:row r="207">
      <x:c r="A207" s="111"/>
      <x:c r="B207" s="111"/>
    </x:row>
    <x:row r="208">
      <x:c r="A208" s="111"/>
      <x:c r="B208" s="111"/>
    </x:row>
  </x:sheetData>
  <x:mergeCells>
    <x:mergeCell ref="A110:G110"/>
    <x:mergeCell ref="A116:G116"/>
    <x:mergeCell ref="A127:G127"/>
    <x:mergeCell ref="A133:G133"/>
    <x:mergeCell ref="A141:G141"/>
    <x:mergeCell ref="A196:G196"/>
    <x:mergeCell ref="A205:G20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FA98A"/>
  </x:sheetPr>
  <x:sheetViews>
    <x:sheetView showGridLines="0" workbookViewId="0">
      <x:pane xSplit="2" ySplit="5" topLeftCell="C6" activePane="bottomRight" state="frozen"/>
    </x:sheetView>
  </x:sheetViews>
  <x:sheetFormatPr defaultColWidth="8.6796875" defaultRowHeight="15"/>
  <x:cols>
    <x:col min="1" max="1" width="44" hidden="0" customWidth="1"/>
    <x:col min="2" max="2" width="36" hidden="0" customWidth="1"/>
    <x:col min="3" max="8" width="12" hidden="0" customWidth="1"/>
  </x:cols>
  <x:sheetData>
    <x:row r="1" ht="19.700000762939453" hidden="0">
      <x:c r="A1" s="110" t="s">
        <x:v>157</x:v>
      </x:c>
      <x:c r="B1" s="111"/>
    </x:row>
    <x:row r="2" ht="15" hidden="0">
      <x:c r="A2" s="112" t="s">
        <x:v>158</x:v>
      </x:c>
      <x:c r="B2" s="111"/>
    </x:row>
    <x:row r="3" ht="15" hidden="0">
      <x:c r="A3" s="113" t="s">
        <x:v>46</x:v>
      </x:c>
      <x:c r="B3" s="111"/>
    </x:row>
    <x:row r="4">
      <x:c r="A4" s="111"/>
      <x:c r="B4" s="111"/>
    </x:row>
    <x:row r="5">
      <x:c r="A5" s="111"/>
      <x:c r="B5" s="111"/>
    </x:row>
    <x:row r="6" ht="19.5" hidden="0" customHeight="1">
      <x:c r="A6" s="114" t="s">
        <x:v>47</x:v>
      </x:c>
      <x:c r="B6" s="115"/>
      <x:c r="C6" s="6"/>
      <x:c r="D6" s="6"/>
      <x:c r="E6" s="6"/>
      <x:c r="F6" s="6"/>
      <x:c r="G6" s="6"/>
      <x:c r="H6" s="6"/>
    </x:row>
    <x:row r="7" ht="16.5" hidden="0" customHeight="1">
      <x:c r="A7" s="116" t="s">
        <x:v>48</x:v>
      </x:c>
      <x:c r="B7" s="117"/>
      <x:c r="C7" s="19" t="s">
        <x:v>49</x:v>
      </x:c>
      <x:c r="D7" s="19" t="s">
        <x:v>50</x:v>
      </x:c>
      <x:c r="E7" s="19" t="s">
        <x:v>51</x:v>
      </x:c>
      <x:c r="F7" s="19" t="s">
        <x:v>52</x:v>
      </x:c>
      <x:c r="G7" s="19" t="s">
        <x:v>53</x:v>
      </x:c>
      <x:c r="H7" s="19" t="s">
        <x:v>54</x:v>
      </x:c>
    </x:row>
    <x:row r="8" ht="15" hidden="0">
      <x:c r="A8" s="118" t="s">
        <x:v>55</x:v>
      </x:c>
      <x:c r="B8" s="119"/>
      <x:c r="C8" s="21"/>
      <x:c r="D8" s="21"/>
      <x:c r="E8" s="21"/>
      <x:c r="F8" s="21"/>
      <x:c r="G8" s="21"/>
      <x:c r="H8" s="21"/>
    </x:row>
    <x:row r="9" ht="15" hidden="0">
      <x:c r="A9" s="120" t="s">
        <x:v>56</x:v>
      </x:c>
      <x:c r="B9" s="121"/>
      <x:c r="C9" s="24" t="n">
        <x:v>62389.947</x:v>
      </x:c>
      <x:c r="D9" s="24" t="n">
        <x:v>82301.05</x:v>
      </x:c>
      <x:c r="E9" s="24" t="n">
        <x:v>95620.306</x:v>
      </x:c>
      <x:c r="F9" s="24" t="n">
        <x:v>107258.973</x:v>
      </x:c>
      <x:c r="G9" s="24" t="n">
        <x:v>107409.588</x:v>
      </x:c>
      <x:c r="H9" s="24" t="n">
        <x:v>60247.57</x:v>
      </x:c>
    </x:row>
    <x:row r="10" ht="15" hidden="0">
      <x:c r="A10" s="120" t="s">
        <x:v>57</x:v>
      </x:c>
      <x:c r="B10" s="121"/>
      <x:c r="C10" s="24" t="n">
        <x:v>4015.044</x:v>
      </x:c>
      <x:c r="D10" s="24" t="n">
        <x:v>21911.214</x:v>
      </x:c>
      <x:c r="E10" s="24" t="n">
        <x:v>5562.145</x:v>
      </x:c>
      <x:c r="F10" s="24" t="n">
        <x:v>11633.303</x:v>
      </x:c>
      <x:c r="G10" s="24" t="n">
        <x:v>5420.742</x:v>
      </x:c>
      <x:c r="H10" s="24" t="n">
        <x:v>334.191</x:v>
      </x:c>
    </x:row>
    <x:row r="11" ht="15" hidden="0">
      <x:c r="A11" s="120" t="s">
        <x:v>58</x:v>
      </x:c>
      <x:c r="B11" s="121"/>
      <x:c r="C11" s="24" t="n">
        <x:v>0</x:v>
      </x:c>
      <x:c r="D11" s="24" t="n">
        <x:v>0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</x:row>
    <x:row r="12" ht="15" hidden="0">
      <x:c r="A12" s="120" t="s">
        <x:v>59</x:v>
      </x:c>
      <x:c r="B12" s="121"/>
      <x:c r="C12" s="24" t="n">
        <x:v>0.67</x:v>
      </x:c>
      <x:c r="D12" s="24" t="n">
        <x:v>51.352</x:v>
      </x:c>
      <x:c r="E12" s="24" t="n">
        <x:v>85.588</x:v>
      </x:c>
      <x:c r="F12" s="24" t="n">
        <x:v>69.394</x:v>
      </x:c>
      <x:c r="G12" s="24" t="n">
        <x:v>46.229</x:v>
      </x:c>
      <x:c r="H12" s="24" t="n">
        <x:v>11.323</x:v>
      </x:c>
    </x:row>
    <x:row r="13" ht="15" hidden="0">
      <x:c r="A13" s="120" t="s">
        <x:v>60</x:v>
      </x:c>
      <x:c r="B13" s="121"/>
      <x:c r="C13" s="24" t="n">
        <x:v>0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</x:row>
    <x:row r="14" ht="15" hidden="0">
      <x:c r="A14" s="120" t="s">
        <x:v>61</x:v>
      </x:c>
      <x:c r="B14" s="121"/>
      <x:c r="C14" s="24" t="n">
        <x:v>53194.485</x:v>
      </x:c>
      <x:c r="D14" s="24" t="n">
        <x:v>57594.485</x:v>
      </x:c>
      <x:c r="E14" s="24" t="n">
        <x:v>57594.485</x:v>
      </x:c>
      <x:c r="F14" s="24" t="n">
        <x:v>58072.373</x:v>
      </x:c>
      <x:c r="G14" s="24" t="n">
        <x:v>58555.707</x:v>
      </x:c>
      <x:c r="H14" s="24" t="n">
        <x:v>47144.485</x:v>
      </x:c>
    </x:row>
    <x:row r="15" ht="15" hidden="0">
      <x:c r="A15" s="120" t="s">
        <x:v>62</x:v>
      </x:c>
      <x:c r="B15" s="121"/>
      <x:c r="C15" s="24" t="n">
        <x:v>106.592</x:v>
      </x:c>
      <x:c r="D15" s="24" t="n">
        <x:v>199.79</x:v>
      </x:c>
      <x:c r="E15" s="24" t="n">
        <x:v>202.046</x:v>
      </x:c>
      <x:c r="F15" s="24" t="n">
        <x:v>165.266</x:v>
      </x:c>
      <x:c r="G15" s="24" t="n">
        <x:v>189.147</x:v>
      </x:c>
      <x:c r="H15" s="24" t="n">
        <x:v>90.183</x:v>
      </x:c>
    </x:row>
    <x:row r="16" ht="15" hidden="0">
      <x:c r="A16" s="122" t="s">
        <x:v>63</x:v>
      </x:c>
      <x:c r="B16" s="123"/>
      <x:c r="C16" s="27" t="n">
        <x:f aca="0">C9+C11+C12+C13+C14+C15</x:f>
        <x:v>115691.694</x:v>
      </x:c>
      <x:c r="D16" s="27" t="n">
        <x:f aca="0">D9+D11+D12+D13+D14+D15</x:f>
        <x:v>140146.677</x:v>
      </x:c>
      <x:c r="E16" s="27" t="n">
        <x:f aca="0">E9+E11+E12+E13+E14+E15</x:f>
        <x:v>153502.42500000002</x:v>
      </x:c>
      <x:c r="F16" s="27" t="n">
        <x:f aca="0">F9+F11+F12+F13+F14+F15</x:f>
        <x:v>165566.006</x:v>
      </x:c>
      <x:c r="G16" s="27" t="n">
        <x:f aca="0">G9+G11+G12+G13+G14+G15</x:f>
        <x:v>166200.671</x:v>
      </x:c>
      <x:c r="H16" s="27" t="n">
        <x:f aca="0">H9+H11+H12+H13+H14+H15</x:f>
        <x:v>107493.561</x:v>
      </x:c>
    </x:row>
    <x:row r="17" ht="15" hidden="0">
      <x:c r="A17" s="118" t="s">
        <x:v>64</x:v>
      </x:c>
      <x:c r="B17" s="119"/>
      <x:c r="C17" s="21"/>
      <x:c r="D17" s="21"/>
      <x:c r="E17" s="21"/>
      <x:c r="F17" s="21"/>
      <x:c r="G17" s="21"/>
      <x:c r="H17" s="21"/>
    </x:row>
    <x:row r="18" ht="15" hidden="0">
      <x:c r="A18" s="120" t="s">
        <x:v>65</x:v>
      </x:c>
      <x:c r="B18" s="121"/>
      <x:c r="C18" s="24" t="n">
        <x:v>10526.573</x:v>
      </x:c>
      <x:c r="D18" s="24" t="n">
        <x:v>11206.843</x:v>
      </x:c>
      <x:c r="E18" s="24" t="n">
        <x:v>14084.018</x:v>
      </x:c>
      <x:c r="F18" s="24" t="n">
        <x:v>14591.821</x:v>
      </x:c>
      <x:c r="G18" s="24" t="n">
        <x:v>19895.13</x:v>
      </x:c>
      <x:c r="H18" s="24" t="n">
        <x:v>6520.17</x:v>
      </x:c>
    </x:row>
    <x:row r="19" ht="15" hidden="0">
      <x:c r="A19" s="120" t="s">
        <x:v>66</x:v>
      </x:c>
      <x:c r="B19" s="121"/>
      <x:c r="C19" s="24" t="n">
        <x:v>3105.037</x:v>
      </x:c>
      <x:c r="D19" s="24" t="n">
        <x:v>7171.364</x:v>
      </x:c>
      <x:c r="E19" s="24" t="n">
        <x:v>6048.507</x:v>
      </x:c>
      <x:c r="F19" s="24" t="n">
        <x:v>8505.426</x:v>
      </x:c>
      <x:c r="G19" s="24" t="n">
        <x:v>4774.577</x:v>
      </x:c>
      <x:c r="H19" s="24" t="n">
        <x:v>2915.552</x:v>
      </x:c>
    </x:row>
    <x:row r="20" ht="15" hidden="0">
      <x:c r="A20" s="120" t="s">
        <x:v>67</x:v>
      </x:c>
      <x:c r="B20" s="121"/>
      <x:c r="C20" s="24" t="n">
        <x:v>2710.081</x:v>
      </x:c>
      <x:c r="D20" s="24" t="n">
        <x:v>3522.931</x:v>
      </x:c>
      <x:c r="E20" s="24" t="n">
        <x:v>5089.667</x:v>
      </x:c>
      <x:c r="F20" s="24" t="n">
        <x:v>6932.479</x:v>
      </x:c>
      <x:c r="G20" s="24" t="n">
        <x:v>6353.194</x:v>
      </x:c>
      <x:c r="H20" s="24" t="n">
        <x:v>3422.767</x:v>
      </x:c>
    </x:row>
    <x:row r="21" ht="15" hidden="0">
      <x:c r="A21" s="120" t="s">
        <x:v>68</x:v>
      </x:c>
      <x:c r="B21" s="121"/>
      <x:c r="C21" s="24" t="n">
        <x:v>16227.103</x:v>
      </x:c>
      <x:c r="D21" s="24" t="n">
        <x:v>12751.155</x:v>
      </x:c>
      <x:c r="E21" s="24" t="n">
        <x:v>21898.496</x:v>
      </x:c>
      <x:c r="F21" s="24" t="n">
        <x:v>29837.628</x:v>
      </x:c>
      <x:c r="G21" s="24" t="n">
        <x:v>61298.052</x:v>
      </x:c>
      <x:c r="H21" s="24" t="n">
        <x:v>2970.999</x:v>
      </x:c>
    </x:row>
    <x:row r="22" ht="15" hidden="0">
      <x:c r="A22" s="120" t="s">
        <x:v>69</x:v>
      </x:c>
      <x:c r="B22" s="121"/>
      <x:c r="C22" s="24" t="n">
        <x:v>2825.424</x:v>
      </x:c>
      <x:c r="D22" s="24" t="n">
        <x:v>3871.078</x:v>
      </x:c>
      <x:c r="E22" s="24" t="n">
        <x:v>4116.181</x:v>
      </x:c>
      <x:c r="F22" s="24" t="n">
        <x:v>2567.176</x:v>
      </x:c>
      <x:c r="G22" s="24" t="n">
        <x:v>2790.323</x:v>
      </x:c>
      <x:c r="H22" s="24" t="n">
        <x:v>7816.606</x:v>
      </x:c>
    </x:row>
    <x:row r="23" ht="15" hidden="0">
      <x:c r="A23" s="120" t="s">
        <x:v>70</x:v>
      </x:c>
      <x:c r="B23" s="121"/>
      <x:c r="C23" s="24" t="n">
        <x:v>5282.15</x:v>
      </x:c>
      <x:c r="D23" s="24" t="n">
        <x:v>6292.32</x:v>
      </x:c>
      <x:c r="E23" s="24" t="n">
        <x:v>8339.773</x:v>
      </x:c>
      <x:c r="F23" s="24" t="n">
        <x:v>6017.554</x:v>
      </x:c>
      <x:c r="G23" s="24" t="n">
        <x:v>5436.083</x:v>
      </x:c>
      <x:c r="H23" s="24" t="n">
        <x:v>4728.819</x:v>
      </x:c>
    </x:row>
    <x:row r="24" ht="15" hidden="0">
      <x:c r="A24" s="122" t="s">
        <x:v>71</x:v>
      </x:c>
      <x:c r="B24" s="123"/>
      <x:c r="C24" s="27" t="n">
        <x:f aca="0">C18+C19+C20+C21+C22+C23</x:f>
        <x:v>40676.368</x:v>
      </x:c>
      <x:c r="D24" s="27" t="n">
        <x:f aca="0">D18+D19+D20+D21+D22+D23</x:f>
        <x:v>44815.691000000006</x:v>
      </x:c>
      <x:c r="E24" s="27" t="n">
        <x:f aca="0">E18+E19+E20+E21+E22+E23</x:f>
        <x:v>59576.642</x:v>
      </x:c>
      <x:c r="F24" s="27" t="n">
        <x:f aca="0">F18+F19+F20+F21+F22+F23</x:f>
        <x:v>68452.084</x:v>
      </x:c>
      <x:c r="G24" s="27" t="n">
        <x:f aca="0">G18+G19+G20+G21+G22+G23</x:f>
        <x:v>100547.35900000001</x:v>
      </x:c>
      <x:c r="H24" s="27" t="n">
        <x:f aca="0">H18+H19+H20+H21+H22+H23</x:f>
        <x:v>28374.912999999997</x:v>
      </x:c>
    </x:row>
    <x:row r="25" ht="15" hidden="0">
      <x:c r="A25" s="122" t="s">
        <x:v>72</x:v>
      </x:c>
      <x:c r="B25" s="123"/>
      <x:c r="C25" s="27" t="n">
        <x:f aca="0">C16+C24</x:f>
        <x:v>156368.062</x:v>
      </x:c>
      <x:c r="D25" s="27" t="n">
        <x:f aca="0">D16+D24</x:f>
        <x:v>184962.36800000002</x:v>
      </x:c>
      <x:c r="E25" s="27" t="n">
        <x:f aca="0">E16+E24</x:f>
        <x:v>213079.067</x:v>
      </x:c>
      <x:c r="F25" s="27" t="n">
        <x:f aca="0">F16+F24</x:f>
        <x:v>234018.09</x:v>
      </x:c>
      <x:c r="G25" s="27" t="n">
        <x:f aca="0">G16+G24</x:f>
        <x:v>266748.03</x:v>
      </x:c>
      <x:c r="H25" s="27" t="n">
        <x:f aca="0">H16+H24</x:f>
        <x:v>135868.474</x:v>
      </x:c>
    </x:row>
    <x:row r="26" ht="15" hidden="0">
      <x:c r="A26" s="118" t="s">
        <x:v>73</x:v>
      </x:c>
      <x:c r="B26" s="119"/>
      <x:c r="C26" s="21"/>
      <x:c r="D26" s="21"/>
      <x:c r="E26" s="21"/>
      <x:c r="F26" s="21"/>
      <x:c r="G26" s="21"/>
      <x:c r="H26" s="21"/>
    </x:row>
    <x:row r="27" ht="15" hidden="0">
      <x:c r="A27" s="120" t="s">
        <x:v>74</x:v>
      </x:c>
      <x:c r="B27" s="121"/>
      <x:c r="C27" s="24" t="n">
        <x:v>3233.75</x:v>
      </x:c>
      <x:c r="D27" s="24" t="n">
        <x:v>3233.75</x:v>
      </x:c>
      <x:c r="E27" s="24" t="n">
        <x:v>3118.386</x:v>
      </x:c>
      <x:c r="F27" s="24" t="n">
        <x:v>2930</x:v>
      </x:c>
      <x:c r="G27" s="24" t="n">
        <x:v>2930</x:v>
      </x:c>
      <x:c r="H27" s="24" t="n">
        <x:v>3233.75</x:v>
      </x:c>
    </x:row>
    <x:row r="28" ht="15" hidden="0">
      <x:c r="A28" s="120" t="s">
        <x:v>75</x:v>
      </x:c>
      <x:c r="B28" s="121"/>
      <x:c r="C28" s="24" t="n">
        <x:v>109966.508</x:v>
      </x:c>
      <x:c r="D28" s="24" t="n">
        <x:v>125306.574</x:v>
      </x:c>
      <x:c r="E28" s="24" t="n">
        <x:v>134247.94</x:v>
      </x:c>
      <x:c r="F28" s="24" t="n">
        <x:v>144831.277</x:v>
      </x:c>
      <x:c r="G28" s="24" t="n">
        <x:v>172980.4</x:v>
      </x:c>
      <x:c r="H28" s="24" t="n">
        <x:v>95950.111</x:v>
      </x:c>
    </x:row>
    <x:row r="29" ht="15" hidden="0">
      <x:c r="A29" s="122" t="s">
        <x:v>76</x:v>
      </x:c>
      <x:c r="B29" s="123"/>
      <x:c r="C29" s="27" t="n">
        <x:f aca="0">C27+C28</x:f>
        <x:v>113200.258</x:v>
      </x:c>
      <x:c r="D29" s="27" t="n">
        <x:f aca="0">D27+D28</x:f>
        <x:v>128540.324</x:v>
      </x:c>
      <x:c r="E29" s="27" t="n">
        <x:f aca="0">E27+E28</x:f>
        <x:v>137366.326</x:v>
      </x:c>
      <x:c r="F29" s="27" t="n">
        <x:f aca="0">F27+F28</x:f>
        <x:v>147761.277</x:v>
      </x:c>
      <x:c r="G29" s="27" t="n">
        <x:f aca="0">G27+G28</x:f>
        <x:v>175910.4</x:v>
      </x:c>
      <x:c r="H29" s="27" t="n">
        <x:f aca="0">H27+H28</x:f>
        <x:v>99183.861</x:v>
      </x:c>
    </x:row>
    <x:row r="30" ht="15" hidden="0">
      <x:c r="A30" s="118" t="s">
        <x:v>77</x:v>
      </x:c>
      <x:c r="B30" s="119"/>
      <x:c r="C30" s="21"/>
      <x:c r="D30" s="21"/>
      <x:c r="E30" s="21"/>
      <x:c r="F30" s="21"/>
      <x:c r="G30" s="21"/>
      <x:c r="H30" s="21"/>
    </x:row>
    <x:row r="31" ht="15" hidden="0">
      <x:c r="A31" s="120" t="s">
        <x:v>78</x:v>
      </x:c>
      <x:c r="B31" s="121"/>
      <x:c r="C31" s="24" t="n">
        <x:v>2934.044</x:v>
      </x:c>
      <x:c r="D31" s="24" t="n">
        <x:v>14108.446</x:v>
      </x:c>
      <x:c r="E31" s="24" t="n">
        <x:v>14557.294</x:v>
      </x:c>
      <x:c r="F31" s="24" t="n">
        <x:v>12760.637</x:v>
      </x:c>
      <x:c r="G31" s="24" t="n">
        <x:v>9184.522</x:v>
      </x:c>
      <x:c r="H31" s="24" t="n">
        <x:v>320.461</x:v>
      </x:c>
    </x:row>
    <x:row r="32" ht="15" hidden="0">
      <x:c r="A32" s="120" t="s">
        <x:v>79</x:v>
      </x:c>
      <x:c r="B32" s="121"/>
      <x:c r="C32" s="24" t="n">
        <x:v>0</x:v>
      </x:c>
      <x:c r="D32" s="24" t="n">
        <x:v>0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</x:row>
    <x:row r="33" ht="15" hidden="0">
      <x:c r="A33" s="120" t="s">
        <x:v>80</x:v>
      </x:c>
      <x:c r="B33" s="121"/>
      <x:c r="C33" s="24" t="n">
        <x:v>1107.94</x:v>
      </x:c>
      <x:c r="D33" s="24" t="n">
        <x:v>2164.455</x:v>
      </x:c>
      <x:c r="E33" s="24" t="n">
        <x:v>2121.307</x:v>
      </x:c>
      <x:c r="F33" s="24" t="n">
        <x:v>1766.055</x:v>
      </x:c>
      <x:c r="G33" s="24" t="n">
        <x:v>1382.651</x:v>
      </x:c>
      <x:c r="H33" s="24" t="n">
        <x:v>59.72</x:v>
      </x:c>
    </x:row>
    <x:row r="34" ht="15" hidden="0">
      <x:c r="A34" s="120" t="s">
        <x:v>81</x:v>
      </x:c>
      <x:c r="B34" s="121"/>
      <x:c r="C34" s="24" t="n">
        <x:v>6157.224</x:v>
      </x:c>
      <x:c r="D34" s="24" t="n">
        <x:v>6941.172</x:v>
      </x:c>
      <x:c r="E34" s="24" t="n">
        <x:v>10025.499</x:v>
      </x:c>
      <x:c r="F34" s="24" t="n">
        <x:v>0</x:v>
      </x:c>
      <x:c r="G34" s="24" t="n">
        <x:v>0</x:v>
      </x:c>
      <x:c r="H34" s="24" t="n">
        <x:v>5167.161</x:v>
      </x:c>
    </x:row>
    <x:row r="35" ht="15" hidden="0">
      <x:c r="A35" s="120" t="s">
        <x:v>82</x:v>
      </x:c>
      <x:c r="B35" s="121"/>
      <x:c r="C35" s="24" t="n">
        <x:v>2581.53</x:v>
      </x:c>
      <x:c r="D35" s="24" t="n">
        <x:v>2846.613</x:v>
      </x:c>
      <x:c r="E35" s="24" t="n">
        <x:v>2827.762</x:v>
      </x:c>
      <x:c r="F35" s="24" t="n">
        <x:v>17541.648</x:v>
      </x:c>
      <x:c r="G35" s="24" t="n">
        <x:v>21629.074</x:v>
      </x:c>
      <x:c r="H35" s="24" t="n">
        <x:v>2181.519</x:v>
      </x:c>
    </x:row>
    <x:row r="36" ht="15" hidden="0">
      <x:c r="A36" s="122" t="s">
        <x:v>83</x:v>
      </x:c>
      <x:c r="B36" s="123"/>
      <x:c r="C36" s="27" t="n">
        <x:f aca="0">C31+C32+C33+C34+C35</x:f>
        <x:v>12780.738000000001</x:v>
      </x:c>
      <x:c r="D36" s="27" t="n">
        <x:f aca="0">D31+D32+D33+D34+D35</x:f>
        <x:v>26060.686</x:v>
      </x:c>
      <x:c r="E36" s="27" t="n">
        <x:f aca="0">E31+E32+E33+E34+E35</x:f>
        <x:v>29531.861999999997</x:v>
      </x:c>
      <x:c r="F36" s="27" t="n">
        <x:f aca="0">F31+F32+F33+F34+F35</x:f>
        <x:v>32068.340000000004</x:v>
      </x:c>
      <x:c r="G36" s="27" t="n">
        <x:f aca="0">G31+G32+G33+G34+G35</x:f>
        <x:v>32196.247000000003</x:v>
      </x:c>
      <x:c r="H36" s="27" t="n">
        <x:f aca="0">H31+H32+H33+H34+H35</x:f>
        <x:v>7728.861000000001</x:v>
      </x:c>
    </x:row>
    <x:row r="37" ht="15" hidden="0">
      <x:c r="A37" s="118" t="s">
        <x:v>84</x:v>
      </x:c>
      <x:c r="B37" s="119"/>
      <x:c r="C37" s="21"/>
      <x:c r="D37" s="21"/>
      <x:c r="E37" s="21"/>
      <x:c r="F37" s="21"/>
      <x:c r="G37" s="21"/>
      <x:c r="H37" s="21"/>
    </x:row>
    <x:row r="38" ht="15" hidden="0">
      <x:c r="A38" s="120" t="s">
        <x:v>85</x:v>
      </x:c>
      <x:c r="B38" s="121"/>
      <x:c r="C38" s="24" t="n">
        <x:v>20789.76</x:v>
      </x:c>
      <x:c r="D38" s="24" t="n">
        <x:v>23191.483</x:v>
      </x:c>
      <x:c r="E38" s="24" t="n">
        <x:v>29918.702</x:v>
      </x:c>
      <x:c r="F38" s="24" t="n">
        <x:v>30006.625</x:v>
      </x:c>
      <x:c r="G38" s="24" t="n">
        <x:v>27300.919</x:v>
      </x:c>
      <x:c r="H38" s="24" t="n">
        <x:v>19354.794</x:v>
      </x:c>
    </x:row>
    <x:row r="39" ht="15" hidden="0">
      <x:c r="A39" s="120" t="s">
        <x:v>86</x:v>
      </x:c>
      <x:c r="B39" s="121"/>
      <x:c r="C39" s="24" t="n">
        <x:v>0</x:v>
      </x:c>
      <x:c r="D39" s="24" t="n">
        <x:v>0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</x:row>
    <x:row r="40" ht="15" hidden="0">
      <x:c r="A40" s="120" t="s">
        <x:v>87</x:v>
      </x:c>
      <x:c r="B40" s="121"/>
      <x:c r="C40" s="24" t="n">
        <x:v>70.868</x:v>
      </x:c>
      <x:c r="D40" s="24" t="n">
        <x:v>135.452</x:v>
      </x:c>
      <x:c r="E40" s="24" t="n">
        <x:v>497.745</x:v>
      </x:c>
      <x:c r="F40" s="24" t="n">
        <x:v>342.935</x:v>
      </x:c>
      <x:c r="G40" s="24" t="n">
        <x:v>185.616</x:v>
      </x:c>
      <x:c r="H40" s="24" t="n">
        <x:v>46.173</x:v>
      </x:c>
    </x:row>
    <x:row r="41" ht="15" hidden="0">
      <x:c r="A41" s="120" t="s">
        <x:v>88</x:v>
      </x:c>
      <x:c r="B41" s="121"/>
      <x:c r="C41" s="24" t="n">
        <x:v>7050</x:v>
      </x:c>
      <x:c r="D41" s="24" t="n">
        <x:v>1000</x:v>
      </x:c>
      <x:c r="E41" s="24" t="n">
        <x:v>5885</x:v>
      </x:c>
      <x:c r="F41" s="24" t="n">
        <x:v>5485</x:v>
      </x:c>
      <x:c r="G41" s="24" t="n">
        <x:v>6485</x:v>
      </x:c>
      <x:c r="H41" s="24" t="n">
        <x:v>7931.444</x:v>
      </x:c>
    </x:row>
    <x:row r="42" ht="15" hidden="0">
      <x:c r="A42" s="120" t="s">
        <x:v>89</x:v>
      </x:c>
      <x:c r="B42" s="121"/>
      <x:c r="C42" s="24" t="n">
        <x:v>506.908</x:v>
      </x:c>
      <x:c r="D42" s="24" t="n">
        <x:v>487.202</x:v>
      </x:c>
      <x:c r="E42" s="24" t="n">
        <x:v>599.653</x:v>
      </x:c>
      <x:c r="F42" s="24" t="n">
        <x:v>2099.147</x:v>
      </x:c>
      <x:c r="G42" s="24" t="n">
        <x:v>1866.085</x:v>
      </x:c>
      <x:c r="H42" s="24" t="n">
        <x:v>126.727</x:v>
      </x:c>
    </x:row>
    <x:row r="43" ht="15" hidden="0">
      <x:c r="A43" s="120" t="s">
        <x:v>90</x:v>
      </x:c>
      <x:c r="B43" s="121"/>
      <x:c r="C43" s="24" t="n">
        <x:v>0</x:v>
      </x:c>
      <x:c r="D43" s="24" t="n">
        <x:v>0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</x:row>
    <x:row r="44" ht="15" hidden="0">
      <x:c r="A44" s="120" t="s">
        <x:v>91</x:v>
      </x:c>
      <x:c r="B44" s="121"/>
      <x:c r="C44" s="24" t="n">
        <x:v>0</x:v>
      </x:c>
      <x:c r="D44" s="24" t="n">
        <x:v>0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</x:row>
    <x:row r="45" ht="15" hidden="0">
      <x:c r="A45" s="120" t="s">
        <x:v>92</x:v>
      </x:c>
      <x:c r="B45" s="121"/>
      <x:c r="C45" s="24" t="n">
        <x:v>53.458</x:v>
      </x:c>
      <x:c r="D45" s="24" t="n">
        <x:v>51.03</x:v>
      </x:c>
      <x:c r="E45" s="24" t="n">
        <x:v>50.115</x:v>
      </x:c>
      <x:c r="F45" s="24" t="n">
        <x:v>59.148</x:v>
      </x:c>
      <x:c r="G45" s="24" t="n">
        <x:v>65.745</x:v>
      </x:c>
      <x:c r="H45" s="24" t="n">
        <x:v>73.347</x:v>
      </x:c>
    </x:row>
    <x:row r="46" ht="15" hidden="0">
      <x:c r="A46" s="120" t="s">
        <x:v>93</x:v>
      </x:c>
      <x:c r="B46" s="121"/>
      <x:c r="C46" s="24" t="n">
        <x:v>1916.072</x:v>
      </x:c>
      <x:c r="D46" s="24" t="n">
        <x:v>5496.191</x:v>
      </x:c>
      <x:c r="E46" s="24" t="n">
        <x:v>9229.664</x:v>
      </x:c>
      <x:c r="F46" s="24" t="n">
        <x:v>16195.618</x:v>
      </x:c>
      <x:c r="G46" s="24" t="n">
        <x:v>22738.018</x:v>
      </x:c>
      <x:c r="H46" s="24" t="n">
        <x:v>1422.867</x:v>
      </x:c>
    </x:row>
    <x:row r="47" ht="15" hidden="0">
      <x:c r="A47" s="120" t="s">
        <x:v>94</x:v>
      </x:c>
      <x:c r="B47" s="121"/>
      <x:c r="C47" s="24" t="n">
        <x:v>0</x:v>
      </x:c>
      <x:c r="D47" s="24" t="n">
        <x:v>0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</x:row>
    <x:row r="48" ht="15" hidden="0">
      <x:c r="A48" s="122" t="s">
        <x:v>95</x:v>
      </x:c>
      <x:c r="B48" s="123"/>
      <x:c r="C48" s="27" t="n">
        <x:f aca="0">C38+C39+C40+C41+C42+C43+C44+C45+C46+C47</x:f>
        <x:v>30387.065999999995</x:v>
      </x:c>
      <x:c r="D48" s="27" t="n">
        <x:f aca="0">D38+D39+D40+D41+D42+D43+D44+D45+D46+D47</x:f>
        <x:v>30361.358</x:v>
      </x:c>
      <x:c r="E48" s="27" t="n">
        <x:f aca="0">E38+E39+E40+E41+E42+E43+E44+E45+E46+E47</x:f>
        <x:v>46180.879</x:v>
      </x:c>
      <x:c r="F48" s="27" t="n">
        <x:f aca="0">F38+F39+F40+F41+F42+F43+F44+F45+F46+F47</x:f>
        <x:v>54188.473</x:v>
      </x:c>
      <x:c r="G48" s="27" t="n">
        <x:f aca="0">G38+G39+G40+G41+G42+G43+G44+G45+G46+G47</x:f>
        <x:v>58641.383</x:v>
      </x:c>
      <x:c r="H48" s="27" t="n">
        <x:f aca="0">H38+H39+H40+H41+H42+H43+H44+H45+H46+H47</x:f>
        <x:v>28955.352</x:v>
      </x:c>
    </x:row>
    <x:row r="49" ht="15" hidden="0">
      <x:c r="A49" s="122" t="s">
        <x:v>96</x:v>
      </x:c>
      <x:c r="B49" s="123"/>
      <x:c r="C49" s="27" t="n">
        <x:f aca="0">C36+C48</x:f>
        <x:v>43167.804</x:v>
      </x:c>
      <x:c r="D49" s="27" t="n">
        <x:f aca="0">D36+D48</x:f>
        <x:v>56422.044</x:v>
      </x:c>
      <x:c r="E49" s="27" t="n">
        <x:f aca="0">E36+E48</x:f>
        <x:v>75712.741</x:v>
      </x:c>
      <x:c r="F49" s="27" t="n">
        <x:f aca="0">F36+F48</x:f>
        <x:v>86256.813</x:v>
      </x:c>
      <x:c r="G49" s="27" t="n">
        <x:f aca="0">G36+G48</x:f>
        <x:v>90837.63</x:v>
      </x:c>
      <x:c r="H49" s="27" t="n">
        <x:f aca="0">H36+H48</x:f>
        <x:v>36684.213</x:v>
      </x:c>
    </x:row>
    <x:row r="50" ht="15" hidden="0">
      <x:c r="A50" s="122" t="s">
        <x:v>97</x:v>
      </x:c>
      <x:c r="B50" s="123"/>
      <x:c r="C50" s="27" t="n">
        <x:f aca="0">C29+C49</x:f>
        <x:v>156368.062</x:v>
      </x:c>
      <x:c r="D50" s="27" t="n">
        <x:f aca="0">D29+D49</x:f>
        <x:v>184962.368</x:v>
      </x:c>
      <x:c r="E50" s="27" t="n">
        <x:f aca="0">E29+E49</x:f>
        <x:v>213079.06699999998</x:v>
      </x:c>
      <x:c r="F50" s="27" t="n">
        <x:f aca="0">F29+F49</x:f>
        <x:v>234018.09</x:v>
      </x:c>
      <x:c r="G50" s="27" t="n">
        <x:f aca="0">G29+G49</x:f>
        <x:v>266748.03</x:v>
      </x:c>
      <x:c r="H50" s="27" t="n">
        <x:f aca="0">H29+H49</x:f>
        <x:v>135868.07400000002</x:v>
      </x:c>
    </x:row>
    <x:row r="51" ht="15" hidden="0">
      <x:c r="A51" s="118" t="s">
        <x:v>98</x:v>
      </x:c>
      <x:c r="B51" s="119"/>
      <x:c r="C51" s="21"/>
      <x:c r="D51" s="21"/>
      <x:c r="E51" s="21"/>
      <x:c r="F51" s="21"/>
      <x:c r="G51" s="21"/>
      <x:c r="H51" s="21"/>
    </x:row>
    <x:row r="52" ht="15" hidden="0">
      <x:c r="A52" s="120" t="s">
        <x:v>99</x:v>
      </x:c>
      <x:c r="B52" s="121"/>
      <x:c r="C52" s="24" t="n">
        <x:v>2882.434</x:v>
      </x:c>
      <x:c r="D52" s="24" t="n">
        <x:v>3352.998</x:v>
      </x:c>
      <x:c r="E52" s="24" t="n">
        <x:v>5030.546</x:v>
      </x:c>
      <x:c r="F52" s="24" t="n">
        <x:v>7172.144</x:v>
      </x:c>
      <x:c r="G52" s="24" t="n">
        <x:v>6426.975</x:v>
      </x:c>
      <x:c r="H52" s="24" t="n">
        <x:v>2599.29</x:v>
      </x:c>
    </x:row>
    <x:row r="53" ht="15" hidden="0">
      <x:c r="A53" s="120" t="s">
        <x:v>100</x:v>
      </x:c>
      <x:c r="B53" s="121"/>
      <x:c r="C53" s="24" t="n">
        <x:f aca="0">C9-C10</x:f>
        <x:v>58374.903</x:v>
      </x:c>
      <x:c r="D53" s="24" t="n">
        <x:f aca="0">D9-D10</x:f>
        <x:v>60389.836</x:v>
      </x:c>
      <x:c r="E53" s="24" t="n">
        <x:f aca="0">E9-E10</x:f>
        <x:v>90058.161</x:v>
      </x:c>
      <x:c r="F53" s="24" t="n">
        <x:f aca="0">F9-F10</x:f>
        <x:v>95625.67</x:v>
      </x:c>
      <x:c r="G53" s="24" t="n">
        <x:f aca="0">G9-G10</x:f>
        <x:v>101988.846</x:v>
      </x:c>
      <x:c r="H53" s="24" t="n">
        <x:f aca="0">H9-H10</x:f>
        <x:v>59913.379</x:v>
      </x:c>
    </x:row>
    <x:row r="54" ht="15" hidden="0">
      <x:c r="A54" s="120" t="s">
        <x:v>101</x:v>
      </x:c>
      <x:c r="B54" s="121"/>
      <x:c r="C54" s="24" t="n">
        <x:f aca="0">C18+C19</x:f>
        <x:v>13631.61</x:v>
      </x:c>
      <x:c r="D54" s="24" t="n">
        <x:f aca="0">D18+D19</x:f>
        <x:v>18378.207000000002</x:v>
      </x:c>
      <x:c r="E54" s="24" t="n">
        <x:f aca="0">E18+E19</x:f>
        <x:v>20132.525</x:v>
      </x:c>
      <x:c r="F54" s="24" t="n">
        <x:f aca="0">F18+F19</x:f>
        <x:v>23097.247</x:v>
      </x:c>
      <x:c r="G54" s="24" t="n">
        <x:f aca="0">G18+G19</x:f>
        <x:v>24669.707000000002</x:v>
      </x:c>
      <x:c r="H54" s="24" t="n">
        <x:f aca="0">H18+H19</x:f>
        <x:v>9435.722</x:v>
      </x:c>
    </x:row>
    <x:row r="55" ht="15" hidden="0">
      <x:c r="A55" s="120" t="s">
        <x:v>102</x:v>
      </x:c>
      <x:c r="B55" s="121"/>
      <x:c r="C55" s="24" t="n">
        <x:f aca="0">C31+C32+C41+C42+C43-C197-C198</x:f>
        <x:v>10490.952</x:v>
      </x:c>
      <x:c r="D55" s="24" t="n">
        <x:f aca="0">D31+D32+D41+D42+D43-D197-D198</x:f>
        <x:v>15595.648</x:v>
      </x:c>
      <x:c r="E55" s="24" t="n">
        <x:f aca="0">E31+E32+E41+E42+E43-E197-E198</x:f>
        <x:v>21041.947</x:v>
      </x:c>
      <x:c r="F55" s="24" t="n">
        <x:f aca="0">F31+F32+F41+F42+F43-F197-F198</x:f>
        <x:v>20344.784000000003</x:v>
      </x:c>
      <x:c r="G55" s="24" t="n">
        <x:f aca="0">G31+G32+G41+G42+G43-G197-G198</x:f>
        <x:v>17535.607</x:v>
      </x:c>
      <x:c r="H55" s="24" t="n">
        <x:f aca="0">H31+H32+H41+H42+H43-H197-H198</x:f>
        <x:v>8378.632000000001</x:v>
      </x:c>
    </x:row>
    <x:row r="56" ht="15" hidden="0">
      <x:c r="A56" s="120" t="s">
        <x:v>103</x:v>
      </x:c>
      <x:c r="B56" s="121"/>
      <x:c r="C56" s="24" t="n">
        <x:f aca="0">C31+C32</x:f>
        <x:v>2934.044</x:v>
      </x:c>
      <x:c r="D56" s="24" t="n">
        <x:f aca="0">D31+D32</x:f>
        <x:v>14108.446</x:v>
      </x:c>
      <x:c r="E56" s="24" t="n">
        <x:f aca="0">E31+E32</x:f>
        <x:v>14557.294</x:v>
      </x:c>
      <x:c r="F56" s="24" t="n">
        <x:f aca="0">F31+F32</x:f>
        <x:v>12760.637</x:v>
      </x:c>
      <x:c r="G56" s="24" t="n">
        <x:f aca="0">G31+G32</x:f>
        <x:v>9184.522</x:v>
      </x:c>
      <x:c r="H56" s="24" t="n">
        <x:f aca="0">H31+H32</x:f>
        <x:v>320.461</x:v>
      </x:c>
    </x:row>
    <x:row r="57" ht="15" hidden="0">
      <x:c r="A57" s="120"/>
      <x:c r="B57" s="121"/>
      <x:c r="C57" s="24">
        <x:f aca="0"/>
      </x:c>
      <x:c r="D57" s="24">
        <x:f aca="0"/>
      </x:c>
      <x:c r="E57" s="24">
        <x:f aca="0"/>
      </x:c>
      <x:c r="F57" s="24">
        <x:f aca="0"/>
      </x:c>
      <x:c r="G57" s="24">
        <x:f aca="0"/>
      </x:c>
      <x:c r="H57" s="24">
        <x:f aca="0"/>
      </x:c>
    </x:row>
    <x:row r="58" ht="15" hidden="0">
      <x:c r="A58" s="120" t="s">
        <x:v>104</x:v>
      </x:c>
      <x:c r="B58" s="121"/>
      <x:c r="C58" s="24" t="n">
        <x:f aca="0">C55+C29</x:f>
        <x:v>123691.21</x:v>
      </x:c>
      <x:c r="D58" s="24" t="n">
        <x:f aca="0">D55+D29</x:f>
        <x:v>144135.97199999998</x:v>
      </x:c>
      <x:c r="E58" s="24" t="n">
        <x:f aca="0">E55+E29</x:f>
        <x:v>158408.273</x:v>
      </x:c>
      <x:c r="F58" s="24" t="n">
        <x:f aca="0">F55+F29</x:f>
        <x:v>168106.06100000002</x:v>
      </x:c>
      <x:c r="G58" s="24" t="n">
        <x:f aca="0">G55+G29</x:f>
        <x:v>193446.00699999998</x:v>
      </x:c>
      <x:c r="H58" s="24" t="n">
        <x:f aca="0">H55+H29</x:f>
        <x:v>107562.493</x:v>
      </x:c>
    </x:row>
    <x:row r="59" ht="15" hidden="0">
      <x:c r="A59" s="120" t="s">
        <x:v>105</x:v>
      </x:c>
      <x:c r="B59" s="121"/>
      <x:c r="C59" s="24" t="n">
        <x:f aca="0">C24-C22-C21</x:f>
        <x:v>21623.841000000004</x:v>
      </x:c>
      <x:c r="D59" s="24" t="n">
        <x:f aca="0">D24-D22-D21</x:f>
        <x:v>28193.458000000006</x:v>
      </x:c>
      <x:c r="E59" s="24" t="n">
        <x:f aca="0">E24-E22-E21</x:f>
        <x:v>33561.965000000004</x:v>
      </x:c>
      <x:c r="F59" s="24" t="n">
        <x:f aca="0">F24-F22-F21</x:f>
        <x:v>36047.28</x:v>
      </x:c>
      <x:c r="G59" s="24" t="n">
        <x:f aca="0">G24-G22-G21</x:f>
        <x:v>36458.984000000004</x:v>
      </x:c>
      <x:c r="H59" s="24" t="n">
        <x:f aca="0">H24-H22-H21</x:f>
        <x:v>17587.307999999997</x:v>
      </x:c>
    </x:row>
    <x:row r="60" ht="15" hidden="0">
      <x:c r="A60" s="120" t="s">
        <x:v>106</x:v>
      </x:c>
      <x:c r="B60" s="121"/>
      <x:c r="C60" s="24" t="n">
        <x:f aca="0">C48-C41-C42-C43-C44-C40-C45</x:f>
        <x:v>22705.832</x:v>
      </x:c>
      <x:c r="D60" s="24" t="n">
        <x:f aca="0">D48-D41-D42-D43-D44-D40-D45</x:f>
        <x:v>28687.674</x:v>
      </x:c>
      <x:c r="E60" s="24" t="n">
        <x:f aca="0">E48-E41-E42-E43-E44-E40-E45</x:f>
        <x:v>39148.366</x:v>
      </x:c>
      <x:c r="F60" s="24" t="n">
        <x:f aca="0">F48-F41-F42-F43-F44-F40-F45</x:f>
        <x:v>46202.243</x:v>
      </x:c>
      <x:c r="G60" s="24" t="n">
        <x:f aca="0">G48-G41-G42-G43-G44-G40-G45</x:f>
        <x:v>50038.937</x:v>
      </x:c>
      <x:c r="H60" s="24" t="n">
        <x:f aca="0">H48-H41-H42-H43-H44-H40-H45</x:f>
        <x:v>20777.661</x:v>
      </x:c>
    </x:row>
    <x:row r="61">
      <x:c r="A61" s="111"/>
      <x:c r="B61" s="111"/>
    </x:row>
    <x:row r="62" ht="19.5" hidden="0" customHeight="1">
      <x:c r="A62" s="114" t="s">
        <x:v>107</x:v>
      </x:c>
      <x:c r="B62" s="115"/>
      <x:c r="C62" s="6"/>
      <x:c r="D62" s="6"/>
      <x:c r="E62" s="6"/>
      <x:c r="F62" s="6"/>
      <x:c r="G62" s="6"/>
      <x:c r="H62" s="6"/>
    </x:row>
    <x:row r="63" ht="16.5" hidden="0" customHeight="1">
      <x:c r="A63" s="116" t="s">
        <x:v>48</x:v>
      </x:c>
      <x:c r="B63" s="117"/>
      <x:c r="C63" s="19" t="s">
        <x:v>49</x:v>
      </x:c>
      <x:c r="D63" s="19" t="s">
        <x:v>50</x:v>
      </x:c>
      <x:c r="E63" s="19" t="s">
        <x:v>51</x:v>
      </x:c>
      <x:c r="F63" s="19" t="s">
        <x:v>52</x:v>
      </x:c>
      <x:c r="G63" s="19" t="s">
        <x:v>53</x:v>
      </x:c>
      <x:c r="H63" s="19" t="s">
        <x:v>54</x:v>
      </x:c>
    </x:row>
    <x:row r="64" ht="15" hidden="0">
      <x:c r="A64" s="120" t="s">
        <x:v>108</x:v>
      </x:c>
      <x:c r="B64" s="121"/>
      <x:c r="C64" s="24" t="n">
        <x:v>62940.805</x:v>
      </x:c>
      <x:c r="D64" s="24" t="n">
        <x:v>81093.525</x:v>
      </x:c>
      <x:c r="E64" s="24" t="n">
        <x:v>95832.147</x:v>
      </x:c>
      <x:c r="F64" s="24" t="n">
        <x:v>115324.942</x:v>
      </x:c>
      <x:c r="G64" s="24" t="n">
        <x:v>124511.744</x:v>
      </x:c>
      <x:c r="H64" s="24" t="n">
        <x:v>41870.796</x:v>
      </x:c>
    </x:row>
    <x:row r="65" ht="15" hidden="0">
      <x:c r="A65" s="120" t="s">
        <x:v>109</x:v>
      </x:c>
      <x:c r="B65" s="121"/>
      <x:c r="C65" s="24" t="n">
        <x:v>-43984.873</x:v>
      </x:c>
      <x:c r="D65" s="24" t="n">
        <x:v>-58541.684</x:v>
      </x:c>
      <x:c r="E65" s="24" t="n">
        <x:v>-69771.469</x:v>
      </x:c>
      <x:c r="F65" s="24" t="n">
        <x:v>-76520.37</x:v>
      </x:c>
      <x:c r="G65" s="24" t="n">
        <x:v>-81827.06</x:v>
      </x:c>
      <x:c r="H65" s="24" t="n">
        <x:v>-35794.031</x:v>
      </x:c>
    </x:row>
    <x:row r="66" ht="15" hidden="0">
      <x:c r="A66" s="122" t="s">
        <x:v>110</x:v>
      </x:c>
      <x:c r="B66" s="123"/>
      <x:c r="C66" s="27" t="n">
        <x:f aca="0">C64+C65</x:f>
        <x:v>18955.932</x:v>
      </x:c>
      <x:c r="D66" s="27" t="n">
        <x:f aca="0">D64+D65</x:f>
        <x:v>22551.840999999993</x:v>
      </x:c>
      <x:c r="E66" s="27" t="n">
        <x:f aca="0">E64+E65</x:f>
        <x:v>26060.678</x:v>
      </x:c>
      <x:c r="F66" s="27" t="n">
        <x:f aca="0">F64+F65</x:f>
        <x:v>38804.572</x:v>
      </x:c>
      <x:c r="G66" s="27" t="n">
        <x:f aca="0">G64+G65</x:f>
        <x:v>42684.68400000001</x:v>
      </x:c>
      <x:c r="H66" s="27" t="n">
        <x:f aca="0">H64+H65</x:f>
        <x:v>6076.764999999999</x:v>
      </x:c>
    </x:row>
    <x:row r="67" ht="15" hidden="0">
      <x:c r="A67" s="120" t="s">
        <x:v>111</x:v>
      </x:c>
      <x:c r="B67" s="121"/>
      <x:c r="C67" s="24" t="n">
        <x:v>-4859.096</x:v>
      </x:c>
      <x:c r="D67" s="24" t="n">
        <x:v>-4764.574</x:v>
      </x:c>
      <x:c r="E67" s="24" t="n">
        <x:v>-5326.894</x:v>
      </x:c>
      <x:c r="F67" s="24" t="n">
        <x:v>-7773.885</x:v>
      </x:c>
      <x:c r="G67" s="24" t="n">
        <x:v>-8972.815</x:v>
      </x:c>
      <x:c r="H67" s="24" t="n">
        <x:v>-3699.154</x:v>
      </x:c>
    </x:row>
    <x:row r="68" ht="15" hidden="0">
      <x:c r="A68" s="120" t="s">
        <x:v>112</x:v>
      </x:c>
      <x:c r="B68" s="121"/>
      <x:c r="C68" s="24" t="n">
        <x:v>-1257.074</x:v>
      </x:c>
      <x:c r="D68" s="24" t="n">
        <x:v>-1512.279</x:v>
      </x:c>
      <x:c r="E68" s="24" t="n">
        <x:v>-1825.578</x:v>
      </x:c>
      <x:c r="F68" s="24" t="n">
        <x:v>-2160.682</x:v>
      </x:c>
      <x:c r="G68" s="24" t="n">
        <x:v>-2427.249</x:v>
      </x:c>
      <x:c r="H68" s="24" t="n">
        <x:v>-1189.638</x:v>
      </x:c>
    </x:row>
    <x:row r="69" ht="15" hidden="0">
      <x:c r="A69" s="120" t="s">
        <x:v>113</x:v>
      </x:c>
      <x:c r="B69" s="121"/>
      <x:c r="C69" s="24" t="n">
        <x:v>0</x:v>
      </x:c>
      <x:c r="D69" s="24" t="n">
        <x:v>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</x:row>
    <x:row r="70" ht="15" hidden="0">
      <x:c r="A70" s="120" t="s">
        <x:v>114</x:v>
      </x:c>
      <x:c r="B70" s="121"/>
      <x:c r="C70" s="24" t="n">
        <x:v>-1507.673</x:v>
      </x:c>
      <x:c r="D70" s="24" t="n">
        <x:v>-1847.039</x:v>
      </x:c>
      <x:c r="E70" s="24" t="n">
        <x:v>-2442.585</x:v>
      </x:c>
      <x:c r="F70" s="24" t="n">
        <x:v>-2476.636</x:v>
      </x:c>
      <x:c r="G70" s="24" t="n">
        <x:v>-3056.913</x:v>
      </x:c>
      <x:c r="H70" s="24" t="n">
        <x:v>-377.526</x:v>
      </x:c>
    </x:row>
    <x:row r="71" ht="15" hidden="0">
      <x:c r="A71" s="122" t="s">
        <x:v>115</x:v>
      </x:c>
      <x:c r="B71" s="123"/>
      <x:c r="C71" s="27" t="n">
        <x:f aca="0">C66+C67+C68+C69+C70</x:f>
        <x:v>11332.089</x:v>
      </x:c>
      <x:c r="D71" s="27" t="n">
        <x:f aca="0">D66+D67+D68+D69+D70</x:f>
        <x:v>14427.948999999991</x:v>
      </x:c>
      <x:c r="E71" s="27" t="n">
        <x:f aca="0">E66+E67+E68+E69+E70</x:f>
        <x:v>16465.621</x:v>
      </x:c>
      <x:c r="F71" s="27" t="n">
        <x:f aca="0">F66+F67+F68+F69+F70</x:f>
        <x:v>26393.369</x:v>
      </x:c>
      <x:c r="G71" s="27" t="n">
        <x:f aca="0">G66+G67+G68+G69+G70</x:f>
        <x:v>28227.707000000006</x:v>
      </x:c>
      <x:c r="H71" s="27" t="n">
        <x:f aca="0">H66+H67+H68+H69+H70</x:f>
        <x:v>810.4469999999994</x:v>
      </x:c>
    </x:row>
    <x:row r="72" ht="15" hidden="0">
      <x:c r="A72" s="120" t="s">
        <x:v>116</x:v>
      </x:c>
      <x:c r="B72" s="121"/>
      <x:c r="C72" s="24" t="n">
        <x:v>5993.029</x:v>
      </x:c>
      <x:c r="D72" s="24" t="n">
        <x:v>7387.8</x:v>
      </x:c>
      <x:c r="E72" s="24" t="n">
        <x:v>6047.423</x:v>
      </x:c>
      <x:c r="F72" s="24" t="n">
        <x:v>16575.363</x:v>
      </x:c>
      <x:c r="G72" s="24" t="n">
        <x:v>20465.921</x:v>
      </x:c>
      <x:c r="H72" s="24" t="n">
        <x:v>3185.859</x:v>
      </x:c>
    </x:row>
    <x:row r="73" ht="15" hidden="0">
      <x:c r="A73" s="120" t="s">
        <x:v>117</x:v>
      </x:c>
      <x:c r="B73" s="121"/>
      <x:c r="C73" s="24" t="n">
        <x:v>0</x:v>
      </x:c>
      <x:c r="D73" s="24" t="n">
        <x:v>0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</x:row>
    <x:row r="74" ht="15" hidden="0">
      <x:c r="A74" s="120" t="s">
        <x:v>118</x:v>
      </x:c>
      <x:c r="B74" s="121"/>
      <x:c r="C74" s="24" t="n">
        <x:v>0</x:v>
      </x:c>
      <x:c r="D74" s="24" t="n">
        <x:v>0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</x:row>
    <x:row r="75" ht="15" hidden="0">
      <x:c r="A75" s="120" t="s">
        <x:v>119</x:v>
      </x:c>
      <x:c r="B75" s="121"/>
      <x:c r="C75" s="24" t="n">
        <x:v>-332.905</x:v>
      </x:c>
      <x:c r="D75" s="24" t="n">
        <x:v>-394.517</x:v>
      </x:c>
      <x:c r="E75" s="24" t="n">
        <x:v>-1169.77</x:v>
      </x:c>
      <x:c r="F75" s="24" t="n">
        <x:v>-1581.168</x:v>
      </x:c>
      <x:c r="G75" s="24" t="n">
        <x:v>-1370.569</x:v>
      </x:c>
      <x:c r="H75" s="24" t="n">
        <x:v>-176.378</x:v>
      </x:c>
    </x:row>
    <x:row r="76" ht="15" hidden="0">
      <x:c r="A76" s="122" t="s">
        <x:v>120</x:v>
      </x:c>
      <x:c r="B76" s="123"/>
      <x:c r="C76" s="27" t="n">
        <x:f aca="0">C71+C72+C73+C74+C75</x:f>
        <x:v>16992.213000000003</x:v>
      </x:c>
      <x:c r="D76" s="27" t="n">
        <x:f aca="0">D71+D72+D73+D74+D75</x:f>
        <x:v>21421.231999999993</x:v>
      </x:c>
      <x:c r="E76" s="27" t="n">
        <x:f aca="0">E71+E72+E73+E74+E75</x:f>
        <x:v>21343.273999999998</x:v>
      </x:c>
      <x:c r="F76" s="27" t="n">
        <x:f aca="0">F71+F72+F73+F74+F75</x:f>
        <x:v>41387.564000000006</x:v>
      </x:c>
      <x:c r="G76" s="27" t="n">
        <x:f aca="0">G71+G72+G73+G74+G75</x:f>
        <x:v>47323.059</x:v>
      </x:c>
      <x:c r="H76" s="27" t="n">
        <x:f aca="0">H71+H72+H73+H74+H75</x:f>
        <x:v>3819.9279999999994</x:v>
      </x:c>
    </x:row>
    <x:row r="77" ht="15" hidden="0">
      <x:c r="A77" s="120" t="s">
        <x:v>121</x:v>
      </x:c>
      <x:c r="B77" s="121"/>
      <x:c r="C77" s="24" t="n">
        <x:v>0</x:v>
      </x:c>
      <x:c r="D77" s="24" t="n">
        <x:v>0</x:v>
      </x:c>
      <x:c r="E77" s="24" t="n">
        <x:v>-437.833</x:v>
      </x:c>
      <x:c r="F77" s="24" t="n">
        <x:v>-953.051</x:v>
      </x:c>
      <x:c r="G77" s="24" t="n">
        <x:v>-329.6</x:v>
      </x:c>
      <x:c r="H77" s="24" t="n">
        <x:v>0</x:v>
      </x:c>
    </x:row>
    <x:row r="78" ht="15" hidden="0">
      <x:c r="A78" s="120" t="s">
        <x:v>122</x:v>
      </x:c>
      <x:c r="B78" s="121"/>
      <x:c r="C78" s="24" t="n">
        <x:v>-2922.024</x:v>
      </x:c>
      <x:c r="D78" s="24" t="n">
        <x:v>-6122.614</x:v>
      </x:c>
      <x:c r="E78" s="24" t="n">
        <x:v>-7179.627</x:v>
      </x:c>
      <x:c r="F78" s="24" t="n">
        <x:v>-12327.974</x:v>
      </x:c>
      <x:c r="G78" s="24" t="n">
        <x:v>-13901.297</x:v>
      </x:c>
      <x:c r="H78" s="24" t="n">
        <x:v>-475.995</x:v>
      </x:c>
    </x:row>
    <x:row r="79" ht="15" hidden="0">
      <x:c r="A79" s="122" t="s">
        <x:v>123</x:v>
      </x:c>
      <x:c r="B79" s="123"/>
      <x:c r="C79" s="27" t="n">
        <x:f aca="0">C76+C77+C78</x:f>
        <x:v>14070.189000000004</x:v>
      </x:c>
      <x:c r="D79" s="27" t="n">
        <x:f aca="0">D76+D77+D78</x:f>
        <x:v>15298.617999999993</x:v>
      </x:c>
      <x:c r="E79" s="27" t="n">
        <x:f aca="0">E76+E77+E78</x:f>
        <x:v>13725.813999999998</x:v>
      </x:c>
      <x:c r="F79" s="27" t="n">
        <x:f aca="0">F76+F77+F78</x:f>
        <x:v>28106.539000000004</x:v>
      </x:c>
      <x:c r="G79" s="27" t="n">
        <x:f aca="0">G76+G77+G78</x:f>
        <x:v>33092.162000000004</x:v>
      </x:c>
      <x:c r="H79" s="27" t="n">
        <x:f aca="0">H76+H77+H78</x:f>
        <x:v>3343.9329999999995</x:v>
      </x:c>
    </x:row>
    <x:row r="80" ht="15" hidden="0">
      <x:c r="A80" s="118" t="s">
        <x:v>124</x:v>
      </x:c>
      <x:c r="B80" s="119"/>
      <x:c r="C80" s="21"/>
      <x:c r="D80" s="21"/>
      <x:c r="E80" s="21"/>
      <x:c r="F80" s="21"/>
      <x:c r="G80" s="21"/>
      <x:c r="H80" s="21"/>
    </x:row>
    <x:row r="81" ht="15" hidden="0">
      <x:c r="A81" s="120"/>
      <x:c r="B81" s="121"/>
      <x:c r="C81" s="24"/>
      <x:c r="D81" s="24"/>
      <x:c r="E81" s="24"/>
      <x:c r="F81" s="24"/>
      <x:c r="G81" s="24"/>
      <x:c r="H81" s="24"/>
    </x:row>
    <x:row r="82" ht="15" hidden="0">
      <x:c r="A82" s="120" t="s">
        <x:v>125</x:v>
      </x:c>
      <x:c r="B82" s="121"/>
      <x:c r="C82" s="24" t="n">
        <x:f aca="0">C76-C75</x:f>
        <x:v>17325.118000000002</x:v>
      </x:c>
      <x:c r="D82" s="24" t="n">
        <x:f aca="0">D76-D75</x:f>
        <x:v>21815.748999999993</x:v>
      </x:c>
      <x:c r="E82" s="24" t="n">
        <x:f aca="0">E76-E75</x:f>
        <x:v>22513.043999999998</x:v>
      </x:c>
      <x:c r="F82" s="24" t="n">
        <x:f aca="0">F76-F75</x:f>
        <x:v>42968.732</x:v>
      </x:c>
      <x:c r="G82" s="24" t="n">
        <x:f aca="0">G76-G75</x:f>
        <x:v>48693.628000000004</x:v>
      </x:c>
      <x:c r="H82" s="24" t="n">
        <x:f aca="0">H76-H75</x:f>
        <x:v>3996.3059999999996</x:v>
      </x:c>
    </x:row>
    <x:row r="83" ht="15" hidden="0">
      <x:c r="A83" s="120"/>
      <x:c r="B83" s="121"/>
      <x:c r="C83" s="24">
        <x:f aca="0"/>
      </x:c>
      <x:c r="D83" s="24">
        <x:f aca="0"/>
      </x:c>
      <x:c r="E83" s="24">
        <x:f aca="0"/>
      </x:c>
      <x:c r="F83" s="24">
        <x:f aca="0"/>
      </x:c>
      <x:c r="G83" s="24">
        <x:f aca="0"/>
      </x:c>
      <x:c r="H83" s="24">
        <x:f aca="0"/>
      </x:c>
    </x:row>
    <x:row r="84" ht="15" hidden="0">
      <x:c r="A84" s="120" t="s">
        <x:v>126</x:v>
      </x:c>
      <x:c r="B84" s="121"/>
      <x:c r="C84" s="24" t="n">
        <x:v>0</x:v>
      </x:c>
      <x:c r="D84" s="24" t="n">
        <x:v>0</x:v>
      </x:c>
      <x:c r="E84" s="24" t="n">
        <x:v>10.974</x:v>
      </x:c>
      <x:c r="F84" s="24" t="n">
        <x:v>20.633</x:v>
      </x:c>
      <x:c r="G84" s="24" t="n">
        <x:v>44.522</x:v>
      </x:c>
      <x:c r="H84" s="28"/>
    </x:row>
    <x:row r="85" ht="15" hidden="0">
      <x:c r="A85" s="120" t="s">
        <x:v>127</x:v>
      </x:c>
      <x:c r="B85" s="121"/>
      <x:c r="C85" s="24" t="n">
        <x:f aca="0">-C75-C84</x:f>
        <x:v>332.905</x:v>
      </x:c>
      <x:c r="D85" s="24" t="n">
        <x:f aca="0">-D75-D84</x:f>
        <x:v>394.517</x:v>
      </x:c>
      <x:c r="E85" s="24" t="n">
        <x:f aca="0">-E75-E84</x:f>
        <x:v>1158.796</x:v>
      </x:c>
      <x:c r="F85" s="24" t="n">
        <x:f aca="0">-F75-F84</x:f>
        <x:v>1560.5349999999999</x:v>
      </x:c>
      <x:c r="G85" s="24" t="n">
        <x:f aca="0">-G75-G84</x:f>
        <x:v>1326.047</x:v>
      </x:c>
      <x:c r="H85" s="28"/>
    </x:row>
    <x:row r="86" ht="15" hidden="0">
      <x:c r="A86" s="120" t="s">
        <x:v>128</x:v>
      </x:c>
      <x:c r="B86" s="121"/>
      <x:c r="C86" s="29" t="n">
        <x:f aca="0">IF(C76&lt;=0,"n/m",-(C77+C78)/C76)</x:f>
        <x:v>0.17196253366174255</x:v>
      </x:c>
      <x:c r="D86" s="29" t="n">
        <x:f aca="0">IF(D76&lt;=0,"n/m",-(D77+D78)/D76)</x:f>
        <x:v>0.2858198818816771</x:v>
      </x:c>
      <x:c r="E86" s="29" t="n">
        <x:f aca="0">IF(E76&lt;=0,"n/m",-(E77+E78)/E76)</x:f>
        <x:v>0.35690213225955875</x:v>
      </x:c>
      <x:c r="F86" s="29" t="n">
        <x:f aca="0">IF(F76&lt;=0,"n/m",-(F77+F78)/F76)</x:f>
        <x:v>0.3208940975603202</x:v>
      </x:c>
      <x:c r="G86" s="29" t="n">
        <x:f aca="0">IF(G76&lt;=0,"n/m",-(G77+G78)/G76)</x:f>
        <x:v>0.30071802839288136</x:v>
      </x:c>
      <x:c r="H86" s="28"/>
    </x:row>
    <x:row r="87" ht="15" hidden="0">
      <x:c r="A87" s="120" t="str">
        <x:v>NOPAT tax rate = actual audited ETR (no cap)</x:v>
      </x:c>
      <x:c r="B87" s="121"/>
      <x:c r="C87" s="29" t="n">
        <x:f aca="0">C86</x:f>
        <x:v>0.17196253366174255</x:v>
      </x:c>
      <x:c r="D87" s="29" t="n">
        <x:f aca="0">D86</x:f>
        <x:v>0.2858198818816771</x:v>
      </x:c>
      <x:c r="E87" s="29" t="n">
        <x:f aca="0">E86</x:f>
        <x:v>0.35690213225955875</x:v>
      </x:c>
      <x:c r="F87" s="29" t="n">
        <x:f aca="0">F86</x:f>
        <x:v>0.3208940975603202</x:v>
      </x:c>
      <x:c r="G87" s="29" t="n">
        <x:f aca="0">G86</x:f>
        <x:v>0.30071802839288136</x:v>
      </x:c>
      <x:c r="H87" s="28"/>
    </x:row>
    <x:row r="88" ht="15" hidden="0">
      <x:c r="A88" s="120" t="s">
        <x:v>129</x:v>
      </x:c>
      <x:c r="B88" s="121"/>
      <x:c r="C88" s="24" t="n">
        <x:f aca="0">IF(ISNUMBER(C87),C82*(1-C87),"n/m")</x:f>
        <x:v>14345.84681273134</x:v>
      </x:c>
      <x:c r="D88" s="24" t="n">
        <x:f aca="0">IF(ISNUMBER(D87),D82*(1-D87),"n/m")</x:f>
        <x:v>15580.37419765968</x:v>
      </x:c>
      <x:c r="E88" s="24" t="n">
        <x:f aca="0">IF(ISNUMBER(E87),E82*(1-E87),"n/m")</x:f>
        <x:v>14478.090592746734</x:v>
      </x:c>
      <x:c r="F88" s="24" t="n">
        <x:f aca="0">IF(ISNUMBER(F87),F82*(1-F87),"n/m")</x:f>
        <x:v>29180.319521548747</x:v>
      </x:c>
      <x:c r="G88" s="24" t="n">
        <x:f aca="0">IF(ISNUMBER(G87),G82*(1-G87),"n/m")</x:f>
        <x:v>34050.576192543595</x:v>
      </x:c>
      <x:c r="H88" s="28"/>
    </x:row>
    <x:row r="89">
      <x:c r="A89" s="111"/>
      <x:c r="B89" s="111"/>
    </x:row>
    <x:row r="90" ht="19.5" hidden="0" customHeight="1">
      <x:c r="A90" s="114" t="s">
        <x:v>130</x:v>
      </x:c>
      <x:c r="B90" s="115"/>
      <x:c r="C90" s="6"/>
      <x:c r="D90" s="6"/>
      <x:c r="E90" s="6"/>
      <x:c r="F90" s="6"/>
      <x:c r="G90" s="6"/>
      <x:c r="H90" s="6"/>
    </x:row>
    <x:row r="91" ht="16.5" hidden="0" customHeight="1">
      <x:c r="A91" s="116" t="s">
        <x:v>48</x:v>
      </x:c>
      <x:c r="B91" s="117"/>
      <x:c r="C91" s="19" t="s">
        <x:v>49</x:v>
      </x:c>
      <x:c r="D91" s="19" t="s">
        <x:v>50</x:v>
      </x:c>
      <x:c r="E91" s="19" t="s">
        <x:v>51</x:v>
      </x:c>
      <x:c r="F91" s="19" t="s">
        <x:v>52</x:v>
      </x:c>
      <x:c r="G91" s="19" t="s">
        <x:v>53</x:v>
      </x:c>
      <x:c r="H91" s="19" t="s">
        <x:v>54</x:v>
      </x:c>
    </x:row>
    <x:row r="92" ht="15" hidden="0">
      <x:c r="A92" s="120" t="s">
        <x:v>131</x:v>
      </x:c>
      <x:c r="B92" s="121"/>
      <x:c r="C92" s="24" t="n">
        <x:v>13285.674</x:v>
      </x:c>
      <x:c r="D92" s="24" t="n">
        <x:v>18126.508</x:v>
      </x:c>
      <x:c r="E92" s="24" t="n">
        <x:v>24515.258</x:v>
      </x:c>
      <x:c r="F92" s="24" t="n">
        <x:v>30937.432</x:v>
      </x:c>
      <x:c r="G92" s="24" t="n">
        <x:v>33808.781</x:v>
      </x:c>
      <x:c r="H92" s="24" t="n">
        <x:v>4141.776</x:v>
      </x:c>
    </x:row>
    <x:row r="93" ht="15" hidden="0">
      <x:c r="A93" s="120" t="s">
        <x:v>132</x:v>
      </x:c>
      <x:c r="B93" s="121"/>
      <x:c r="C93" s="24" t="n">
        <x:v>12492.631</x:v>
      </x:c>
      <x:c r="D93" s="24" t="n">
        <x:v>15469.449</x:v>
      </x:c>
      <x:c r="E93" s="24" t="n">
        <x:v>23242.896</x:v>
      </x:c>
      <x:c r="F93" s="24" t="n">
        <x:v>27580.741</x:v>
      </x:c>
      <x:c r="G93" s="24" t="n">
        <x:v>27572.567</x:v>
      </x:c>
      <x:c r="H93" s="24" t="n">
        <x:v>5046.861</x:v>
      </x:c>
    </x:row>
    <x:row r="94" ht="15" hidden="0">
      <x:c r="A94" s="120" t="s">
        <x:v>133</x:v>
      </x:c>
      <x:c r="B94" s="121"/>
      <x:c r="C94" s="24" t="n">
        <x:v>-5762.325</x:v>
      </x:c>
      <x:c r="D94" s="24" t="n">
        <x:v>-24826.255</x:v>
      </x:c>
      <x:c r="E94" s="24" t="n">
        <x:v>-12978.915</x:v>
      </x:c>
      <x:c r="F94" s="24" t="n">
        <x:v>-2580.021</x:v>
      </x:c>
      <x:c r="G94" s="24" t="n">
        <x:v>11714.661</x:v>
      </x:c>
      <x:c r="H94" s="24" t="n">
        <x:v>-8395.898</x:v>
      </x:c>
    </x:row>
    <x:row r="95" ht="15" hidden="0">
      <x:c r="A95" s="120" t="s">
        <x:v>134</x:v>
      </x:c>
      <x:c r="B95" s="121"/>
      <x:c r="C95" s="24" t="n">
        <x:v>4022.095</x:v>
      </x:c>
      <x:c r="D95" s="24" t="n">
        <x:v>6158.783</x:v>
      </x:c>
      <x:c r="E95" s="24" t="n">
        <x:v>244.582</x:v>
      </x:c>
      <x:c r="F95" s="24" t="n">
        <x:v>-18620.168</x:v>
      </x:c>
      <x:c r="G95" s="24" t="n">
        <x:v>-7580.984</x:v>
      </x:c>
      <x:c r="H95" s="24" t="n">
        <x:v>-1666.755</x:v>
      </x:c>
    </x:row>
    <x:row r="96" ht="15" hidden="0">
      <x:c r="A96" s="120" t="s">
        <x:v>135</x:v>
      </x:c>
      <x:c r="B96" s="121"/>
      <x:c r="C96" s="24" t="n">
        <x:v>-6470.913</x:v>
      </x:c>
      <x:c r="D96" s="24" t="n">
        <x:v>-24537.83</x:v>
      </x:c>
      <x:c r="E96" s="24" t="n">
        <x:v>-18644.906</x:v>
      </x:c>
      <x:c r="F96" s="24" t="n">
        <x:v>-17709.902</x:v>
      </x:c>
      <x:c r="G96" s="24" t="n">
        <x:v>-7048.725</x:v>
      </x:c>
      <x:c r="H96" s="24" t="n">
        <x:v>-6855.816</x:v>
      </x:c>
    </x:row>
    <x:row r="97" ht="15" hidden="0">
      <x:c r="A97" s="120" t="s">
        <x:v>136</x:v>
      </x:c>
      <x:c r="B97" s="121"/>
      <x:c r="C97" s="24" t="n">
        <x:v>-308.21</x:v>
      </x:c>
      <x:c r="D97" s="24" t="n">
        <x:v>-329.933</x:v>
      </x:c>
      <x:c r="E97" s="24" t="n">
        <x:v>-807.477</x:v>
      </x:c>
      <x:c r="F97" s="24" t="n">
        <x:v>-1735.978</x:v>
      </x:c>
      <x:c r="G97" s="24" t="n">
        <x:v>-1527.888</x:v>
      </x:c>
      <x:c r="H97" s="24" t="n">
        <x:v>-140.543</x:v>
      </x:c>
    </x:row>
    <x:row r="98" ht="15" hidden="0">
      <x:c r="A98" s="120" t="s">
        <x:v>137</x:v>
      </x:c>
      <x:c r="B98" s="121"/>
      <x:c r="C98" s="24" t="n">
        <x:v>-19.889</x:v>
      </x:c>
      <x:c r="D98" s="24" t="n">
        <x:v>-2.428</x:v>
      </x:c>
      <x:c r="E98" s="24" t="n">
        <x:v>-0.915</x:v>
      </x:c>
      <x:c r="F98" s="24" t="n">
        <x:v>-5443.084</x:v>
      </x:c>
      <x:c r="G98" s="24" t="n">
        <x:v>-4388.403</x:v>
      </x:c>
      <x:c r="H98" s="24" t="n">
        <x:v>-2173.663</x:v>
      </x:c>
    </x:row>
    <x:row r="99">
      <x:c r="A99" s="111"/>
      <x:c r="B99" s="111"/>
    </x:row>
    <x:row r="100" ht="19.5" hidden="0" customHeight="1">
      <x:c r="A100" s="114" t="s">
        <x:v>138</x:v>
      </x:c>
      <x:c r="B100" s="115"/>
      <x:c r="C100" s="6"/>
      <x:c r="D100" s="6"/>
      <x:c r="E100" s="6"/>
      <x:c r="F100" s="6"/>
      <x:c r="G100" s="6"/>
      <x:c r="H100" s="6"/>
    </x:row>
    <x:row r="101" ht="16.5" hidden="0" customHeight="1">
      <x:c r="A101" s="116" t="s">
        <x:v>48</x:v>
      </x:c>
      <x:c r="B101" s="117"/>
      <x:c r="C101" s="19" t="s">
        <x:v>49</x:v>
      </x:c>
      <x:c r="D101" s="19" t="s">
        <x:v>50</x:v>
      </x:c>
      <x:c r="E101" s="19" t="s">
        <x:v>51</x:v>
      </x:c>
      <x:c r="F101" s="19" t="s">
        <x:v>52</x:v>
      </x:c>
      <x:c r="G101" s="19" t="s">
        <x:v>53</x:v>
      </x:c>
    </x:row>
    <x:row r="102" ht="15" hidden="0">
      <x:c r="A102" s="120" t="s">
        <x:v>139</x:v>
      </x:c>
      <x:c r="B102" s="121"/>
      <x:c r="C102" s="30" t="n">
        <x:v>10</x:v>
      </x:c>
      <x:c r="D102" s="30" t="n">
        <x:v>10</x:v>
      </x:c>
      <x:c r="E102" s="30" t="n">
        <x:v>10</x:v>
      </x:c>
      <x:c r="F102" s="30" t="n">
        <x:v>10</x:v>
      </x:c>
      <x:c r="G102" s="30" t="n">
        <x:v>2</x:v>
      </x:c>
    </x:row>
    <x:row r="103" ht="15" hidden="0">
      <x:c r="A103" s="120" t="s">
        <x:v>140</x:v>
      </x:c>
      <x:c r="B103" s="121"/>
      <x:c r="C103" s="31" t="n">
        <x:f aca="0">C27/C102-C107</x:f>
        <x:v>323.375</x:v>
      </x:c>
      <x:c r="D103" s="31" t="n">
        <x:f aca="0">D27/D102-D107</x:f>
        <x:v>323.375</x:v>
      </x:c>
      <x:c r="E103" s="31" t="n">
        <x:f aca="0">E27/E102-E107</x:f>
        <x:v>311.8386</x:v>
      </x:c>
      <x:c r="F103" s="31" t="n">
        <x:f aca="0">F27/F102-F107</x:f>
        <x:v>293</x:v>
      </x:c>
      <x:c r="G103" s="31" t="n">
        <x:f aca="0">G27/G102-G107</x:f>
        <x:v>1465</x:v>
      </x:c>
    </x:row>
    <x:row r="104" ht="15" hidden="0">
      <x:c r="A104" s="120" t="s">
        <x:v>141</x:v>
      </x:c>
      <x:c r="B104" s="121"/>
      <x:c r="C104" s="31" t="n">
        <x:v>323.375</x:v>
      </x:c>
      <x:c r="D104" s="31" t="n">
        <x:v>323.375</x:v>
      </x:c>
      <x:c r="E104" s="31" t="n">
        <x:v>318.749</x:v>
      </x:c>
      <x:c r="F104" s="31" t="n">
        <x:v>297.296</x:v>
      </x:c>
      <x:c r="G104" s="31" t="n">
        <x:v>1465</x:v>
      </x:c>
    </x:row>
    <x:row r="105" ht="15" hidden="0">
      <x:c r="A105" s="120" t="str">
        <x:v>FY-end share price (Rs; last PSX close)</x:v>
      </x:c>
      <x:c r="B105" s="121"/>
      <x:c r="C105" s="30" t="n">
        <x:v>863.44</x:v>
      </x:c>
      <x:c r="D105" s="30" t="n">
        <x:v>459.04</x:v>
      </x:c>
      <x:c r="E105" s="30" t="n">
        <x:v>522.09</x:v>
      </x:c>
      <x:c r="F105" s="30" t="n">
        <x:v>906.73</x:v>
      </x:c>
      <x:c r="G105" s="30" t="n">
        <x:v>355.24</x:v>
      </x:c>
    </x:row>
    <x:row r="106" ht="15" hidden="0">
      <x:c r="A106" s="120" t="s">
        <x:v>142</x:v>
      </x:c>
      <x:c r="B106" s="121"/>
      <x:c r="C106" s="30" t="n">
        <x:v>0</x:v>
      </x:c>
      <x:c r="D106" s="30" t="n">
        <x:v>0</x:v>
      </x:c>
      <x:c r="E106" s="30" t="n">
        <x:v>18</x:v>
      </x:c>
      <x:c r="F106" s="30" t="n">
        <x:v>15</x:v>
      </x:c>
      <x:c r="G106" s="30" t="n">
        <x:v>4</x:v>
      </x:c>
    </x:row>
    <x:row r="107">
      <x:c r="A107" s="120" t="str">
        <x:v>Treasury shares excluded (million)</x:v>
      </x:c>
      <x:c r="B107" s="121"/>
      <x:c r="C107" s="30" t="n">
        <x:v>0</x:v>
      </x:c>
      <x:c r="D107" s="30" t="n">
        <x:v>0</x:v>
      </x:c>
      <x:c r="E107" s="30" t="n">
        <x:v>0</x:v>
      </x:c>
      <x:c r="F107" s="30" t="n">
        <x:v>0</x:v>
      </x:c>
      <x:c r="G107" s="30" t="n">
        <x:v>0</x:v>
      </x:c>
    </x:row>
    <x:row r="108" ht="19.5" hidden="0" customHeight="1">
      <x:c r="A108" s="114" t="s">
        <x:v>143</x:v>
      </x:c>
      <x:c r="B108" s="115"/>
      <x:c r="C108" s="6"/>
      <x:c r="D108" s="6"/>
      <x:c r="E108" s="6"/>
      <x:c r="F108" s="6"/>
      <x:c r="G108" s="6"/>
      <x:c r="H108" s="6"/>
    </x:row>
    <x:row r="109" ht="16.5" hidden="0" customHeight="1">
      <x:c r="A109" s="124" t="s">
        <x:v>144</x:v>
      </x:c>
      <x:c r="B109" s="124" t="s">
        <x:v>145</x:v>
      </x:c>
      <x:c r="C109" s="19" t="s">
        <x:v>49</x:v>
      </x:c>
      <x:c r="D109" s="19" t="s">
        <x:v>50</x:v>
      </x:c>
      <x:c r="E109" s="19" t="s">
        <x:v>51</x:v>
      </x:c>
      <x:c r="F109" s="19" t="s">
        <x:v>52</x:v>
      </x:c>
      <x:c r="G109" s="19" t="s">
        <x:v>53</x:v>
      </x:c>
    </x:row>
    <x:row r="110" ht="22" hidden="0" customHeight="1">
      <x:c r="A110" s="125" t="str">
        <x:v>Liquidity</x:v>
      </x:c>
      <x:c r="B110" s="126"/>
      <x:c r="C110" s="71"/>
      <x:c r="D110" s="71"/>
      <x:c r="E110" s="71"/>
      <x:c r="F110" s="71"/>
      <x:c r="G110" s="71"/>
    </x:row>
    <x:row r="111" ht="15" hidden="0">
      <x:c r="A111" s="134" t="str">
        <x:v>1. Current ratio</x:v>
      </x:c>
      <x:c r="B111" s="128" t="str">
        <x:v>Current Assets / Current Liabilities</x:v>
      </x:c>
      <x:c r="C111" s="63" t="n">
        <x:f>IF(OR((C48)&lt;=0,(C24)&lt;0),"n/m",(C24)/(C48))</x:f>
        <x:v>1.3386079458938223</x:v>
      </x:c>
      <x:c r="D111" s="63" t="n">
        <x:f>IF(OR((D48)&lt;=0,(D24)&lt;0),"n/m",(D24)/(D48))</x:f>
        <x:v>1.4760766300374313</x:v>
      </x:c>
      <x:c r="E111" s="63" t="n">
        <x:f>IF(OR((E48)&lt;=0,(E24)&lt;0),"n/m",(E24)/(E48))</x:f>
        <x:v>1.290071633326858</x:v>
      </x:c>
      <x:c r="F111" s="63" t="n">
        <x:f>IF(OR((F48)&lt;=0,(F24)&lt;0),"n/m",(F24)/(F48))</x:f>
        <x:v>1.2632222354743232</x:v>
      </x:c>
      <x:c r="G111" s="63" t="n">
        <x:f>IF(OR((G48)&lt;=0,(G24)&lt;0),"n/m",(G24)/(G48))</x:f>
        <x:v>1.7146143875904156</x:v>
      </x:c>
    </x:row>
    <x:row r="112" ht="15" hidden="0">
      <x:c r="A112" s="134" t="str">
        <x:v>2. Quick ratio</x:v>
      </x:c>
      <x:c r="B112" s="128" t="str">
        <x:v>(Current Assets - Inventories) / Current Liabilities</x:v>
      </x:c>
      <x:c r="C112" s="63" t="n">
        <x:f>IF(OR((C48)&lt;=0,(C24-C54)&lt;0),"n/m",(C24-C54)/(C48))</x:f>
        <x:v>0.890008861006851</x:v>
      </x:c>
      <x:c r="D112" s="63" t="n">
        <x:f>IF(OR((D48)&lt;=0,(D24-D54)&lt;0),"n/m",(D24-D54)/(D48))</x:f>
        <x:v>0.8707609191920863</x:v>
      </x:c>
      <x:c r="E112" s="63" t="n">
        <x:f>IF(OR((E48)&lt;=0,(E24-E54)&lt;0),"n/m",(E24-E54)/(E48))</x:f>
        <x:v>0.8541222656242641</x:v>
      </x:c>
      <x:c r="F112" s="63" t="n">
        <x:f>IF(OR((F48)&lt;=0,(F24-F54)&lt;0),"n/m",(F24-F54)/(F48))</x:f>
        <x:v>0.8369831163170072</x:v>
      </x:c>
      <x:c r="G112" s="63" t="n">
        <x:f>IF(OR((G48)&lt;=0,(G24-G54)&lt;0),"n/m",(G24-G54)/(G48))</x:f>
        <x:v>1.2939267138361998</x:v>
      </x:c>
    </x:row>
    <x:row r="113" ht="15" hidden="0">
      <x:c r="A113" s="134" t="str">
        <x:v>3. Cash ratio</x:v>
      </x:c>
      <x:c r="B113" s="128" t="str">
        <x:v>Cash and Bank / Current Liabilities</x:v>
      </x:c>
      <x:c r="C113" s="63" t="n">
        <x:f>IF(OR((C48)&lt;=0,(C22)&lt;0),"n/m",(C22)/(C48))</x:f>
        <x:v>0.09298113875159913</x:v>
      </x:c>
      <x:c r="D113" s="63" t="n">
        <x:f>IF(OR((D48)&lt;=0,(D22)&lt;0),"n/m",(D22)/(D48))</x:f>
        <x:v>0.12750015990720837</x:v>
      </x:c>
      <x:c r="E113" s="63" t="n">
        <x:f>IF(OR((E48)&lt;=0,(E22)&lt;0),"n/m",(E22)/(E48))</x:f>
        <x:v>0.08913171618062964</x:v>
      </x:c>
      <x:c r="F113" s="63" t="n">
        <x:f>IF(OR((F48)&lt;=0,(F22)&lt;0),"n/m",(F22)/(F48))</x:f>
        <x:v>0.04737494632853006</x:v>
      </x:c>
      <x:c r="G113" s="63" t="n">
        <x:f>IF(OR((G48)&lt;=0,(G22)&lt;0),"n/m",(G22)/(G48))</x:f>
        <x:v>0.04758283071188822</x:v>
      </x:c>
    </x:row>
    <x:row r="114" ht="15" hidden="0">
      <x:c r="A114" s="134" t="str">
        <x:v>4. Net working capital (PKR m)</x:v>
      </x:c>
      <x:c r="B114" s="128" t="str">
        <x:v>Current Assets - Current Liabilities</x:v>
      </x:c>
      <x:c r="C114" s="64" t="n">
        <x:f>IF(OR((1)&lt;=0,(C24-C48)&lt;0),"n/m",(C24-C48)/(1))</x:f>
        <x:v>10289.302000000007</x:v>
      </x:c>
      <x:c r="D114" s="64" t="n">
        <x:f>IF(OR((1)&lt;=0,(D24-D48)&lt;0),"n/m",(D24-D48)/(1))</x:f>
        <x:v>14454.333000000006</x:v>
      </x:c>
      <x:c r="E114" s="64" t="n">
        <x:f>IF(OR((1)&lt;=0,(E24-E48)&lt;0),"n/m",(E24-E48)/(1))</x:f>
        <x:v>13395.762999999999</x:v>
      </x:c>
      <x:c r="F114" s="64" t="n">
        <x:f>IF(OR((1)&lt;=0,(F24-F48)&lt;0),"n/m",(F24-F48)/(1))</x:f>
        <x:v>14263.611000000004</x:v>
      </x:c>
      <x:c r="G114" s="64" t="n">
        <x:f>IF(OR((1)&lt;=0,(G24-G48)&lt;0),"n/m",(G24-G48)/(1))</x:f>
        <x:v>41905.97600000001</x:v>
      </x:c>
    </x:row>
    <x:row r="115" ht="15" hidden="0">
      <x:c r="A115" s="134" t="str">
        <x:v>5. Net operating working capital (PKR m)</x:v>
      </x:c>
      <x:c r="B115" s="128" t="str">
        <x:v>Operating CA - Operating CL</x:v>
      </x:c>
      <x:c r="C115" s="64" t="str">
        <x:f>IF(OR((1)&lt;=0,(C59-C60)&lt;0),"n/m",(C59-C60)/(1))</x:f>
        <x:v>n/m</x:v>
      </x:c>
      <x:c r="D115" s="64" t="str">
        <x:f>IF(OR((1)&lt;=0,(D59-D60)&lt;0),"n/m",(D59-D60)/(1))</x:f>
        <x:v>n/m</x:v>
      </x:c>
      <x:c r="E115" s="64" t="str">
        <x:f>IF(OR((1)&lt;=0,(E59-E60)&lt;0),"n/m",(E59-E60)/(1))</x:f>
        <x:v>n/m</x:v>
      </x:c>
      <x:c r="F115" s="64" t="str">
        <x:f>IF(OR((1)&lt;=0,(F59-F60)&lt;0),"n/m",(F59-F60)/(1))</x:f>
        <x:v>n/m</x:v>
      </x:c>
      <x:c r="G115" s="64" t="str">
        <x:f>IF(OR((1)&lt;=0,(G59-G60)&lt;0),"n/m",(G59-G60)/(1))</x:f>
        <x:v>n/m</x:v>
      </x:c>
    </x:row>
    <x:row r="116" ht="22" hidden="0" customHeight="1">
      <x:c r="A116" s="125" t="str">
        <x:v>Asset Management</x:v>
      </x:c>
      <x:c r="B116" s="126"/>
      <x:c r="C116" s="71"/>
      <x:c r="D116" s="71"/>
      <x:c r="E116" s="71"/>
      <x:c r="F116" s="71"/>
      <x:c r="G116" s="71"/>
    </x:row>
    <x:row r="117" ht="15" hidden="0">
      <x:c r="A117" s="134" t="str">
        <x:v>6. Inventory turnover</x:v>
      </x:c>
      <x:c r="B117" s="128" t="str">
        <x:v>COGS / Average Inventory</x:v>
      </x:c>
      <x:c r="C117" s="63" t="n">
        <x:f>IF(OR((AVERAGE(H54,C54))&lt;=0,(-C65)&lt;0),"n/m",(-C65)/(AVERAGE(H54,C54)))</x:f>
        <x:v>3.813607312713928</x:v>
      </x:c>
      <x:c r="D117" s="63" t="n">
        <x:f>IF(OR((AVERAGE(C54,D54))&lt;=0,(-D65)&lt;0),"n/m",(-D65)/(AVERAGE(C54,D54)))</x:f>
        <x:v>3.657733126059421</x:v>
      </x:c>
      <x:c r="E117" s="63" t="n">
        <x:f>IF(OR((AVERAGE(D54,E54))&lt;=0,(-E65)&lt;0),"n/m",(-E65)/(AVERAGE(D54,E54)))</x:f>
        <x:v>3.6234818387767853</x:v>
      </x:c>
      <x:c r="F117" s="63" t="n">
        <x:f>IF(OR((AVERAGE(E54,F54))&lt;=0,(-F65)&lt;0),"n/m",(-F65)/(AVERAGE(E54,F54)))</x:f>
        <x:v>3.5401699550948362</x:v>
      </x:c>
      <x:c r="G117" s="63" t="n">
        <x:f>IF(OR((AVERAGE(F54,G54))&lt;=0,(-G65)&lt;0),"n/m",(-G65)/(AVERAGE(F54,G54)))</x:f>
        <x:v>3.426094952590027</x:v>
      </x:c>
    </x:row>
    <x:row r="118" ht="15" hidden="0">
      <x:c r="A118" s="134" t="str">
        <x:v>7. Receivables turnover</x:v>
      </x:c>
      <x:c r="B118" s="128" t="str">
        <x:v>Net Sales / Average Trade Debts</x:v>
      </x:c>
      <x:c r="C118" s="63" t="n">
        <x:f>IF(OR((AVERAGE(H20,C20))&lt;=0,(C64)&lt;0),"n/m",(C64)/(AVERAGE(H20,C20)))</x:f>
        <x:v>20.525799758937445</x:v>
      </x:c>
      <x:c r="D118" s="63" t="n">
        <x:f>IF(OR((AVERAGE(C20,D20))&lt;=0,(D64)&lt;0),"n/m",(D64)/(AVERAGE(C20,D20)))</x:f>
        <x:v>26.020654219821807</x:v>
      </x:c>
      <x:c r="E118" s="63" t="n">
        <x:f>IF(OR((AVERAGE(D20,E20))&lt;=0,(E64)&lt;0),"n/m",(E64)/(AVERAGE(D20,E20)))</x:f>
        <x:v>22.253946370189343</x:v>
      </x:c>
      <x:c r="F118" s="63" t="n">
        <x:f>IF(OR((AVERAGE(E20,F20))&lt;=0,(F64)&lt;0),"n/m",(F64)/(AVERAGE(E20,F20)))</x:f>
        <x:v>19.185416979630755</x:v>
      </x:c>
      <x:c r="G118" s="63" t="n">
        <x:f>IF(OR((AVERAGE(F20,G20))&lt;=0,(G64)&lt;0),"n/m",(G64)/(AVERAGE(F20,G20)))</x:f>
        <x:v>18.743761644592638</x:v>
      </x:c>
    </x:row>
    <x:row r="119" ht="15" hidden="0">
      <x:c r="A119" s="134" t="str">
        <x:v>8. Payables turnover</x:v>
      </x:c>
      <x:c r="B119" s="128" t="str">
        <x:v>COGS / Average Trade Creditors</x:v>
      </x:c>
      <x:c r="C119" s="63" t="n">
        <x:f>IF(OR((AVERAGE(H52,C52))&lt;=0,(-C65)&lt;0),"n/m",(-C65)/(AVERAGE(H52,C52)))</x:f>
        <x:v>16.04782473542995</x:v>
      </x:c>
      <x:c r="D119" s="63" t="n">
        <x:f>IF(OR((AVERAGE(C52,D52))&lt;=0,(-D65)&lt;0),"n/m",(-D65)/(AVERAGE(C52,D52)))</x:f>
        <x:v>18.777106060975406</x:v>
      </x:c>
      <x:c r="E119" s="63" t="n">
        <x:f>IF(OR((AVERAGE(D52,E52))&lt;=0,(-E65)&lt;0),"n/m",(-E65)/(AVERAGE(D52,E52)))</x:f>
        <x:v>16.644862602259856</x:v>
      </x:c>
      <x:c r="F119" s="63" t="n">
        <x:f>IF(OR((AVERAGE(E52,F52))&lt;=0,(-F65)&lt;0),"n/m",(-F65)/(AVERAGE(E52,F52)))</x:f>
        <x:v>12.541557640159668</x:v>
      </x:c>
      <x:c r="G119" s="63" t="n">
        <x:f>IF(OR((AVERAGE(F52,G52))&lt;=0,(-G65)&lt;0),"n/m",(-G65)/(AVERAGE(F52,G52)))</x:f>
        <x:v>12.034170742972393</x:v>
      </x:c>
    </x:row>
    <x:row r="120" ht="15" hidden="0">
      <x:c r="A120" s="134" t="str">
        <x:v>9. Days inventory outstanding</x:v>
      </x:c>
      <x:c r="B120" s="128" t="str">
        <x:v>365 / Inventory Turnover</x:v>
      </x:c>
      <x:c r="C120" s="65" t="n">
        <x:f>IF(OR((-C65)&lt;=0,(365*AVERAGE(H54,C54))&lt;0),"n/m",(365*AVERAGE(H54,C54))/(-C65))</x:f>
        <x:v>95.70990667632485</x:v>
      </x:c>
      <x:c r="D120" s="65" t="n">
        <x:f>IF(OR((-D65)&lt;=0,(365*AVERAGE(C54,D54))&lt;0),"n/m",(365*AVERAGE(C54,D54))/(-D65))</x:f>
        <x:v>99.78858145761573</x:v>
      </x:c>
      <x:c r="E120" s="65" t="n">
        <x:f>IF(OR((-E65)&lt;=0,(365*AVERAGE(D54,E54))&lt;0),"n/m",(365*AVERAGE(D54,E54))/(-E65))</x:f>
        <x:v>100.73184197970664</x:v>
      </x:c>
      <x:c r="F120" s="65" t="n">
        <x:f>IF(OR((-F65)&lt;=0,(365*AVERAGE(E54,F54))&lt;0),"n/m",(365*AVERAGE(E54,F54))/(-F65))</x:f>
        <x:v>103.10239469568691</x:v>
      </x:c>
      <x:c r="G120" s="65" t="n">
        <x:f>IF(OR((-G65)&lt;=0,(365*AVERAGE(F54,G54))&lt;0),"n/m",(365*AVERAGE(F54,G54))/(-G65))</x:f>
        <x:v>106.53528435458882</x:v>
      </x:c>
    </x:row>
    <x:row r="121" ht="15" hidden="0">
      <x:c r="A121" s="134" t="str">
        <x:v>10. Days sales outstanding</x:v>
      </x:c>
      <x:c r="B121" s="128" t="str">
        <x:v>365 / Receivables Turnover</x:v>
      </x:c>
      <x:c r="C121" s="65" t="n">
        <x:f>IF(OR((C64)&lt;=0,(365*AVERAGE(H20,C20))&lt;0),"n/m",(365*AVERAGE(H20,C20))/(C64))</x:f>
        <x:v>17.78249833315605</x:v>
      </x:c>
      <x:c r="D121" s="65" t="n">
        <x:f>IF(OR((D64)&lt;=0,(365*AVERAGE(C20,D20))&lt;0),"n/m",(365*AVERAGE(C20,D20))/(D64))</x:f>
        <x:v>14.027318333985361</x:v>
      </x:c>
      <x:c r="E121" s="65" t="n">
        <x:f>IF(OR((E64)&lt;=0,(365*AVERAGE(D20,E20))&lt;0),"n/m",(365*AVERAGE(D20,E20))/(E64))</x:f>
        <x:v>16.40158531562483</x:v>
      </x:c>
      <x:c r="F121" s="65" t="n">
        <x:f>IF(OR((F64)&lt;=0,(365*AVERAGE(E20,F20))&lt;0),"n/m",(365*AVERAGE(E20,F20))/(F64))</x:f>
        <x:v>19.024866667611246</x:v>
      </x:c>
      <x:c r="G121" s="65" t="n">
        <x:f>IF(OR((G64)&lt;=0,(365*AVERAGE(F20,G20))&lt;0),"n/m",(365*AVERAGE(F20,G20))/(G64))</x:f>
        <x:v>19.473145621508603</x:v>
      </x:c>
    </x:row>
    <x:row r="122" ht="15" hidden="0">
      <x:c r="A122" s="134" t="str">
        <x:v>11. Days payables outstanding</x:v>
      </x:c>
      <x:c r="B122" s="128" t="str">
        <x:v>365 / Payables Turnover</x:v>
      </x:c>
      <x:c r="C122" s="65" t="n">
        <x:f>IF(OR((-C65)&lt;=0,(365*AVERAGE(H52,C52))&lt;0),"n/m",(365*AVERAGE(H52,C52))/(-C65))</x:f>
        <x:v>22.744515597441875</x:v>
      </x:c>
      <x:c r="D122" s="65" t="n">
        <x:f>IF(OR((-D65)&lt;=0,(365*AVERAGE(C52,D52))&lt;0),"n/m",(365*AVERAGE(C52,D52))/(-D65))</x:f>
        <x:v>19.438565176908817</x:v>
      </x:c>
      <x:c r="E122" s="65" t="n">
        <x:f>IF(OR((-E65)&lt;=0,(365*AVERAGE(D52,E52))&lt;0),"n/m",(365*AVERAGE(D52,E52))/(-E65))</x:f>
        <x:v>21.928688071624236</x:v>
      </x:c>
      <x:c r="F122" s="65" t="n">
        <x:f>IF(OR((-F65)&lt;=0,(365*AVERAGE(E52,F52))&lt;0),"n/m",(365*AVERAGE(E52,F52))/(-F65))</x:f>
        <x:v>29.103243031888116</x:v>
      </x:c>
      <x:c r="G122" s="65" t="n">
        <x:f>IF(OR((-G65)&lt;=0,(365*AVERAGE(F52,G52))&lt;0),"n/m",(365*AVERAGE(F52,G52))/(-G65))</x:f>
        <x:v>30.3302992616379</x:v>
      </x:c>
    </x:row>
    <x:row r="123" ht="15" hidden="0">
      <x:c r="A123" s="134" t="str">
        <x:v>12. Operating cycle (days)</x:v>
      </x:c>
      <x:c r="B123" s="128" t="str">
        <x:v>DIO + DSO</x:v>
      </x:c>
      <x:c r="C123" s="65" t="n">
        <x:f>IF(OR((1)&lt;=0,(365*AVERAGE(H54,C54)/(-C65)+365*AVERAGE(H20,C20)/C64)&lt;0),"n/m",(365*AVERAGE(H54,C54)/(-C65)+365*AVERAGE(H20,C20)/C64)/(1))</x:f>
        <x:v>113.4924050094809</x:v>
      </x:c>
      <x:c r="D123" s="65" t="n">
        <x:f>IF(OR((1)&lt;=0,(365*AVERAGE(C54,D54)/(-D65)+365*AVERAGE(C20,D20)/D64)&lt;0),"n/m",(365*AVERAGE(C54,D54)/(-D65)+365*AVERAGE(C20,D20)/D64)/(1))</x:f>
        <x:v>113.8158997916011</x:v>
      </x:c>
      <x:c r="E123" s="65" t="n">
        <x:f>IF(OR((1)&lt;=0,(365*AVERAGE(D54,E54)/(-E65)+365*AVERAGE(D20,E20)/E64)&lt;0),"n/m",(365*AVERAGE(D54,E54)/(-E65)+365*AVERAGE(D20,E20)/E64)/(1))</x:f>
        <x:v>117.13342729533147</x:v>
      </x:c>
      <x:c r="F123" s="65" t="n">
        <x:f>IF(OR((1)&lt;=0,(365*AVERAGE(E54,F54)/(-F65)+365*AVERAGE(E20,F20)/F64)&lt;0),"n/m",(365*AVERAGE(E54,F54)/(-F65)+365*AVERAGE(E20,F20)/F64)/(1))</x:f>
        <x:v>122.12726136329816</x:v>
      </x:c>
      <x:c r="G123" s="65" t="n">
        <x:f>IF(OR((1)&lt;=0,(365*AVERAGE(F54,G54)/(-G65)+365*AVERAGE(F20,G20)/G64)&lt;0),"n/m",(365*AVERAGE(F54,G54)/(-G65)+365*AVERAGE(F20,G20)/G64)/(1))</x:f>
        <x:v>126.00842997609743</x:v>
      </x:c>
    </x:row>
    <x:row r="124" ht="15" hidden="0">
      <x:c r="A124" s="134" t="str">
        <x:v>13. Cash conversion cycle (days)</x:v>
      </x:c>
      <x:c r="B124" s="128" t="str">
        <x:v>DIO + DSO - DPO</x:v>
      </x:c>
      <x:c r="C124" s="65" t="n">
        <x:f>IF(OR((1)&lt;=0,(365*AVERAGE(H54,C54)/(-C65)+365*AVERAGE(H20,C20)/C64-365*AVERAGE(H52,C52)/(-C65))&lt;0),"n/m",(365*AVERAGE(H54,C54)/(-C65)+365*AVERAGE(H20,C20)/C64-365*AVERAGE(H52,C52)/(-C65))/(1))</x:f>
        <x:v>90.74788941203903</x:v>
      </x:c>
      <x:c r="D124" s="65" t="n">
        <x:f>IF(OR((1)&lt;=0,(365*AVERAGE(C54,D54)/(-D65)+365*AVERAGE(C20,D20)/D64-365*AVERAGE(C52,D52)/(-D65))&lt;0),"n/m",(365*AVERAGE(C54,D54)/(-D65)+365*AVERAGE(C20,D20)/D64-365*AVERAGE(C52,D52)/(-D65))/(1))</x:f>
        <x:v>94.37733461469227</x:v>
      </x:c>
      <x:c r="E124" s="65" t="n">
        <x:f>IF(OR((1)&lt;=0,(365*AVERAGE(D54,E54)/(-E65)+365*AVERAGE(D20,E20)/E64-365*AVERAGE(D52,E52)/(-E65))&lt;0),"n/m",(365*AVERAGE(D54,E54)/(-E65)+365*AVERAGE(D20,E20)/E64-365*AVERAGE(D52,E52)/(-E65))/(1))</x:f>
        <x:v>95.20473922370724</x:v>
      </x:c>
      <x:c r="F124" s="65" t="n">
        <x:f>IF(OR((1)&lt;=0,(365*AVERAGE(E54,F54)/(-F65)+365*AVERAGE(E20,F20)/F64-365*AVERAGE(E52,F52)/(-F65))&lt;0),"n/m",(365*AVERAGE(E54,F54)/(-F65)+365*AVERAGE(E20,F20)/F64-365*AVERAGE(E52,F52)/(-F65))/(1))</x:f>
        <x:v>93.02401833141005</x:v>
      </x:c>
      <x:c r="G124" s="65" t="n">
        <x:f>IF(OR((1)&lt;=0,(365*AVERAGE(F54,G54)/(-G65)+365*AVERAGE(F20,G20)/G64-365*AVERAGE(F52,G52)/(-G65))&lt;0),"n/m",(365*AVERAGE(F54,G54)/(-G65)+365*AVERAGE(F20,G20)/G64-365*AVERAGE(F52,G52)/(-G65))/(1))</x:f>
        <x:v>95.67813071445953</x:v>
      </x:c>
    </x:row>
    <x:row r="125" ht="15" hidden="0">
      <x:c r="A125" s="134" t="str">
        <x:v>14. Total asset turnover</x:v>
      </x:c>
      <x:c r="B125" s="128" t="str">
        <x:v>Net Sales / Average Total Assets</x:v>
      </x:c>
      <x:c r="C125" s="63" t="n">
        <x:f>IF(OR((AVERAGE(H25,C25))&lt;=0,(C64)&lt;0),"n/m",(C64)/(AVERAGE(H25,C25)))</x:f>
        <x:v>0.43075247100519976</x:v>
      </x:c>
      <x:c r="D125" s="63" t="n">
        <x:f>IF(OR((AVERAGE(C25,D25))&lt;=0,(D64)&lt;0),"n/m",(D64)/(AVERAGE(C25,D25)))</x:f>
        <x:v>0.4751614147030488</x:v>
      </x:c>
      <x:c r="E125" s="63" t="n">
        <x:f>IF(OR((AVERAGE(D25,E25))&lt;=0,(E64)&lt;0),"n/m",(E64)/(AVERAGE(D25,E25)))</x:f>
        <x:v>0.4815184479475107</x:v>
      </x:c>
      <x:c r="F125" s="63" t="n">
        <x:f>IF(OR((AVERAGE(E25,F25))&lt;=0,(F64)&lt;0),"n/m",(F64)/(AVERAGE(E25,F25)))</x:f>
        <x:v>0.5158831372305058</x:v>
      </x:c>
      <x:c r="G125" s="63" t="n">
        <x:f>IF(OR((AVERAGE(F25,G25))&lt;=0,(G64)&lt;0),"n/m",(G64)/(AVERAGE(F25,G25)))</x:f>
        <x:v>0.49728501600707337</x:v>
      </x:c>
    </x:row>
    <x:row r="126" ht="15" hidden="0">
      <x:c r="A126" s="134" t="str">
        <x:v>15. Fixed asset turnover</x:v>
      </x:c>
      <x:c r="B126" s="128" t="str">
        <x:v>Net Sales / Average Operating Fixed Assets</x:v>
      </x:c>
      <x:c r="C126" s="63" t="n">
        <x:f>IF(OR((AVERAGE(H53,C53))&lt;=0,(C64)&lt;0),"n/m",(C64)/(AVERAGE(H53,C53)))</x:f>
        <x:v>1.064193408439223</x:v>
      </x:c>
      <x:c r="D126" s="63" t="n">
        <x:f>IF(OR((AVERAGE(C53,D53))&lt;=0,(D64)&lt;0),"n/m",(D64)/(AVERAGE(C53,D53)))</x:f>
        <x:v>1.3656161868044014</x:v>
      </x:c>
      <x:c r="E126" s="63" t="n">
        <x:f>IF(OR((AVERAGE(D53,E53))&lt;=0,(E64)&lt;0),"n/m",(E64)/(AVERAGE(D53,E53)))</x:f>
        <x:v>1.2739571002729932</x:v>
      </x:c>
      <x:c r="F126" s="63" t="n">
        <x:f>IF(OR((AVERAGE(E53,F53))&lt;=0,(F64)&lt;0),"n/m",(F64)/(AVERAGE(E53,F53)))</x:f>
        <x:v>1.242164612598929</x:v>
      </x:c>
      <x:c r="G126" s="63" t="n">
        <x:f>IF(OR((AVERAGE(F53,G53))&lt;=0,(G64)&lt;0),"n/m",(G64)/(AVERAGE(F53,G53)))</x:f>
        <x:v>1.2601477514941262</x:v>
      </x:c>
    </x:row>
    <x:row r="127" ht="22" hidden="0" customHeight="1">
      <x:c r="A127" s="125" t="str">
        <x:v>Debt Management</x:v>
      </x:c>
      <x:c r="B127" s="126"/>
      <x:c r="C127" s="71"/>
      <x:c r="D127" s="71"/>
      <x:c r="E127" s="71"/>
      <x:c r="F127" s="71"/>
      <x:c r="G127" s="71"/>
    </x:row>
    <x:row r="128" ht="15" hidden="0">
      <x:c r="A128" s="134" t="str">
        <x:v>16. Debt ratio</x:v>
      </x:c>
      <x:c r="B128" s="128" t="str">
        <x:v>Total Liabilities / Total Assets</x:v>
      </x:c>
      <x:c r="C128" s="66" t="n">
        <x:f>IF(OR((C25)&lt;=0,(C49)&lt;0),"n/m",(C49)/(C25))</x:f>
        <x:v>0.27606535150381284</x:v>
      </x:c>
      <x:c r="D128" s="66" t="n">
        <x:f>IF(OR((D25)&lt;=0,(D49)&lt;0),"n/m",(D49)/(D25))</x:f>
        <x:v>0.3050460729395506</x:v>
      </x:c>
      <x:c r="E128" s="66" t="n">
        <x:f>IF(OR((E25)&lt;=0,(E49)&lt;0),"n/m",(E49)/(E25))</x:f>
        <x:v>0.35532697822447284</x:v>
      </x:c>
      <x:c r="F128" s="66" t="n">
        <x:f>IF(OR((F25)&lt;=0,(F49)&lt;0),"n/m",(F49)/(F25))</x:f>
        <x:v>0.3685903641039032</x:v>
      </x:c>
      <x:c r="G128" s="66" t="n">
        <x:f>IF(OR((G25)&lt;=0,(G49)&lt;0),"n/m",(G49)/(G25))</x:f>
        <x:v>0.34053721034041</x:v>
      </x:c>
    </x:row>
    <x:row r="129" ht="15" hidden="0">
      <x:c r="A129" s="134" t="str">
        <x:v>17. Debt-to-equity</x:v>
      </x:c>
      <x:c r="B129" s="128" t="str">
        <x:v>Total Liabilities / Total Equity</x:v>
      </x:c>
      <x:c r="C129" s="63" t="n">
        <x:f>IF(OR((C29)&lt;=0,(C49)&lt;0),"n/m",(C49)/(C29))</x:f>
        <x:v>0.3813401556028255</x:v>
      </x:c>
      <x:c r="D129" s="63" t="n">
        <x:f>IF(OR((D29)&lt;=0,(D49)&lt;0),"n/m",(D49)/(D29))</x:f>
        <x:v>0.4389443113586675</x:v>
      </x:c>
      <x:c r="E129" s="63" t="n">
        <x:f>IF(OR((E29)&lt;=0,(E49)&lt;0),"n/m",(E49)/(E29))</x:f>
        <x:v>0.5511739536514938</x:v>
      </x:c>
      <x:c r="F129" s="63" t="n">
        <x:f>IF(OR((F29)&lt;=0,(F49)&lt;0),"n/m",(F49)/(F29))</x:f>
        <x:v>0.5837579016050328</x:v>
      </x:c>
      <x:c r="G129" s="63" t="n">
        <x:f>IF(OR((G29)&lt;=0,(G49)&lt;0),"n/m",(G49)/(G29))</x:f>
        <x:v>0.5163857850360184</x:v>
      </x:c>
    </x:row>
    <x:row r="130" ht="15" hidden="0">
      <x:c r="A130" s="134" t="str">
        <x:v>18. Total debt-to-capital</x:v>
      </x:c>
      <x:c r="B130" s="128" t="str">
        <x:v>Interest-bearing Debt / (IBD + Equity)</x:v>
      </x:c>
      <x:c r="C130" s="66" t="n">
        <x:f>IF(OR((C55+C29)&lt;=0,(C55)&lt;0),"n/m",(C55)/(C55+C29))</x:f>
        <x:v>0.08481566313402544</x:v>
      </x:c>
      <x:c r="D130" s="66" t="n">
        <x:f>IF(OR((D55+D29)&lt;=0,(D55)&lt;0),"n/m",(D55)/(D55+D29))</x:f>
        <x:v>0.10820094237127705</x:v>
      </x:c>
      <x:c r="E130" s="66" t="n">
        <x:f>IF(OR((E55+E29)&lt;=0,(E55)&lt;0),"n/m",(E55)/(E55+E29))</x:f>
        <x:v>0.13283363678865434</x:v>
      </x:c>
      <x:c r="F130" s="66" t="n">
        <x:f>IF(OR((F55+F29)&lt;=0,(F55)&lt;0),"n/m",(F55)/(F55+F29))</x:f>
        <x:v>0.12102350075289672</x:v>
      </x:c>
      <x:c r="G130" s="66" t="n">
        <x:f>IF(OR((G55+G29)&lt;=0,(G55)&lt;0),"n/m",(G55)/(G55+G29))</x:f>
        <x:v>0.0906485859901983</x:v>
      </x:c>
    </x:row>
    <x:row r="131" ht="15" hidden="0">
      <x:c r="A131" s="134" t="str">
        <x:v>19. Long-term debt ratio</x:v>
      </x:c>
      <x:c r="B131" s="128" t="str">
        <x:v>Long-term IBD / Total Assets</x:v>
      </x:c>
      <x:c r="C131" s="66" t="n">
        <x:f>IF(OR((C25)&lt;=0,(C56)&lt;0),"n/m",(C56)/(C25))</x:f>
        <x:v>0.018763703805448454</x:v>
      </x:c>
      <x:c r="D131" s="66" t="n">
        <x:f>IF(OR((D25)&lt;=0,(D56)&lt;0),"n/m",(D56)/(D25))</x:f>
        <x:v>0.07627738632757988</x:v>
      </x:c>
      <x:c r="E131" s="66" t="n">
        <x:f>IF(OR((E25)&lt;=0,(E56)&lt;0),"n/m",(E56)/(E25))</x:f>
        <x:v>0.0683187429199697</x:v>
      </x:c>
      <x:c r="F131" s="66" t="n">
        <x:f>IF(OR((F25)&lt;=0,(F56)&lt;0),"n/m",(F56)/(F25))</x:f>
        <x:v>0.054528421285721974</x:v>
      </x:c>
      <x:c r="G131" s="66" t="n">
        <x:f>IF(OR((G25)&lt;=0,(G56)&lt;0),"n/m",(G56)/(G25))</x:f>
        <x:v>0.0344314520335914</x:v>
      </x:c>
    </x:row>
    <x:row r="132" ht="15" hidden="0">
      <x:c r="A132" s="134" t="str">
        <x:v>20. Times interest earned</x:v>
      </x:c>
      <x:c r="B132" s="128" t="str">
        <x:v>EBIT / Interest Expense</x:v>
      </x:c>
      <x:c r="C132" s="63" t="n">
        <x:f>IF(OR((C85)&lt;=0,(C82)&lt;0),"n/m",(C82)/(C85))</x:f>
        <x:v>52.04222826331838</x:v>
      </x:c>
      <x:c r="D132" s="63" t="n">
        <x:f>IF(OR((D85)&lt;=0,(D82)&lt;0),"n/m",(D82)/(D85))</x:f>
        <x:v>55.297361076962446</x:v>
      </x:c>
      <x:c r="E132" s="63" t="n">
        <x:f>IF(OR((E85)&lt;=0,(E82)&lt;0),"n/m",(E82)/(E85))</x:f>
        <x:v>19.427961435835122</x:v>
      </x:c>
      <x:c r="F132" s="63" t="n">
        <x:f>IF(OR((F85)&lt;=0,(F82)&lt;0),"n/m",(F82)/(F85))</x:f>
        <x:v>27.534616013098077</x:v>
      </x:c>
      <x:c r="G132" s="63" t="n">
        <x:f>IF(OR((G85)&lt;=0,(G82)&lt;0),"n/m",(G82)/(G85))</x:f>
        <x:v>36.7208914917797</x:v>
      </x:c>
    </x:row>
    <x:row r="133" ht="22" hidden="0" customHeight="1">
      <x:c r="A133" s="129" t="str">
        <x:v>Profitability</x:v>
      </x:c>
      <x:c r="B133" s="130" t="s">
        <x:v>146</x:v>
      </x:c>
      <x:c r="C133" s="77" t="str">
        <x:f aca="0">IF(C83&lt;=0,"n/m",C57/C83)</x:f>
        <x:v>n/m</x:v>
      </x:c>
      <x:c r="D133" s="77" t="str">
        <x:f aca="0">IF(D83&lt;=0,"n/m",D57/D83)</x:f>
        <x:v>n/m</x:v>
      </x:c>
      <x:c r="E133" s="77" t="str">
        <x:f aca="0">IF(E83&lt;=0,"n/m",E57/E83)</x:f>
        <x:v>n/m</x:v>
      </x:c>
      <x:c r="F133" s="77" t="str">
        <x:f aca="0">IF(F83&lt;=0,"n/m",F57/F83)</x:f>
        <x:v>n/m</x:v>
      </x:c>
      <x:c r="G133" s="77" t="str">
        <x:f aca="0">IF(G83&lt;=0,"n/m",G57/G83)</x:f>
        <x:v>n/m</x:v>
      </x:c>
    </x:row>
    <x:row r="134" ht="15" hidden="0">
      <x:c r="A134" s="134" t="str">
        <x:v>21. Gross profit margin</x:v>
      </x:c>
      <x:c r="B134" s="128" t="str">
        <x:v>Gross Profit / Net Sales</x:v>
      </x:c>
      <x:c r="C134" s="66" t="n">
        <x:f>IF(OR((C64)&lt;=0,(C66)&lt;0),"n/m",(C66)/(C64))</x:f>
        <x:v>0.30117079055471246</x:v>
      </x:c>
      <x:c r="D134" s="66" t="n">
        <x:f>IF(OR((D64)&lt;=0,(D66)&lt;0),"n/m",(D66)/(D64))</x:f>
        <x:v>0.278096691443614</x:v>
      </x:c>
      <x:c r="E134" s="66" t="n">
        <x:f>IF(OR((E64)&lt;=0,(E66)&lt;0),"n/m",(E66)/(E64))</x:f>
        <x:v>0.2719408759567914</x:v>
      </x:c>
      <x:c r="F134" s="66" t="n">
        <x:f>IF(OR((F64)&lt;=0,(F66)&lt;0),"n/m",(F66)/(F64))</x:f>
        <x:v>0.3364803079632158</x:v>
      </x:c>
      <x:c r="G134" s="66" t="n">
        <x:f>IF(OR((G64)&lt;=0,(G66)&lt;0),"n/m",(G66)/(G64))</x:f>
        <x:v>0.342816529820673</x:v>
      </x:c>
    </x:row>
    <x:row r="135" ht="15" hidden="0">
      <x:c r="A135" s="134" t="str">
        <x:v>22. Operating margin</x:v>
      </x:c>
      <x:c r="B135" s="128" t="str">
        <x:v>Operating Profit / Net Sales</x:v>
      </x:c>
      <x:c r="C135" s="66" t="n">
        <x:f>IF(OR((C64)&lt;=0,(C71)&lt;0),"n/m",(C71)/(C64))</x:f>
        <x:v>0.18004359810777762</x:v>
      </x:c>
      <x:c r="D135" s="66" t="n">
        <x:f>IF(OR((D64)&lt;=0,(D71)&lt;0),"n/m",(D71)/(D64))</x:f>
        <x:v>0.1779173984606045</x:v>
      </x:c>
      <x:c r="E135" s="66" t="n">
        <x:f>IF(OR((E64)&lt;=0,(E71)&lt;0),"n/m",(E71)/(E64))</x:f>
        <x:v>0.17181730260097375</x:v>
      </x:c>
      <x:c r="F135" s="66" t="n">
        <x:f>IF(OR((F64)&lt;=0,(F71)&lt;0),"n/m",(F71)/(F64))</x:f>
        <x:v>0.22886089116784467</x:v>
      </x:c>
      <x:c r="G135" s="66" t="n">
        <x:f>IF(OR((G64)&lt;=0,(G71)&lt;0),"n/m",(G71)/(G64))</x:f>
        <x:v>0.22670718514712962</x:v>
      </x:c>
    </x:row>
    <x:row r="136" ht="15" hidden="0">
      <x:c r="A136" s="134" t="str">
        <x:v>23. Net profit margin</x:v>
      </x:c>
      <x:c r="B136" s="128" t="str">
        <x:v>Net Profit / Net Sales</x:v>
      </x:c>
      <x:c r="C136" s="66" t="n">
        <x:f>IF(OR((C64)&lt;=0,(C79)&lt;0),"n/m",(C79)/(C64))</x:f>
        <x:v>0.22354637821997994</x:v>
      </x:c>
      <x:c r="D136" s="66" t="n">
        <x:f>IF(OR((D64)&lt;=0,(D79)&lt;0),"n/m",(D79)/(D64))</x:f>
        <x:v>0.18865400166042842</x:v>
      </x:c>
      <x:c r="E136" s="66" t="n">
        <x:f>IF(OR((E64)&lt;=0,(E79)&lt;0),"n/m",(E79)/(E64))</x:f>
        <x:v>0.14322765825125466</x:v>
      </x:c>
      <x:c r="F136" s="66" t="n">
        <x:f>IF(OR((F64)&lt;=0,(F79)&lt;0),"n/m",(F79)/(F64))</x:f>
        <x:v>0.24371604713228476</x:v>
      </x:c>
      <x:c r="G136" s="66" t="n">
        <x:f>IF(OR((G64)&lt;=0,(G79)&lt;0),"n/m",(G79)/(G64))</x:f>
        <x:v>0.26577542757733763</x:v>
      </x:c>
    </x:row>
    <x:row r="137" ht="15" hidden="0">
      <x:c r="A137" s="134" t="str">
        <x:v>24. Return on assets</x:v>
      </x:c>
      <x:c r="B137" s="128" t="str">
        <x:v>Net Profit / Average Total Assets</x:v>
      </x:c>
      <x:c r="C137" s="66" t="n">
        <x:f>IF(OR((AVERAGE(H25,C25))&lt;=0,(C79)&lt;0),"n/m",(C79)/(AVERAGE(H25,C25)))</x:f>
        <x:v>0.09629315480251932</x:v>
      </x:c>
      <x:c r="D137" s="66" t="n">
        <x:f>IF(OR((AVERAGE(C25,D25))&lt;=0,(D79)&lt;0),"n/m",(D79)/(AVERAGE(C25,D25)))</x:f>
        <x:v>0.08964110231836049</x:v>
      </x:c>
      <x:c r="E137" s="66" t="n">
        <x:f>IF(OR((AVERAGE(D25,E25))&lt;=0,(E79)&lt;0),"n/m",(E79)/(AVERAGE(D25,E25)))</x:f>
        <x:v>0.06896675970430062</x:v>
      </x:c>
      <x:c r="F137" s="66" t="n">
        <x:f>IF(OR((AVERAGE(E25,F25))&lt;=0,(F79)&lt;0),"n/m",(F79)/(AVERAGE(E25,F25)))</x:f>
        <x:v>0.12572899898802087</x:v>
      </x:c>
      <x:c r="G137" s="66" t="n">
        <x:f>IF(OR((AVERAGE(F25,G25))&lt;=0,(G79)&lt;0),"n/m",(G79)/(AVERAGE(F25,G25)))</x:f>
        <x:v>0.1321661377570831</x:v>
      </x:c>
    </x:row>
    <x:row r="138" ht="15" hidden="0">
      <x:c r="A138" s="134" t="str">
        <x:v>25. Return on equity</x:v>
      </x:c>
      <x:c r="B138" s="128" t="str">
        <x:v>Net Profit / Average Equity</x:v>
      </x:c>
      <x:c r="C138" s="66" t="n">
        <x:f>IF(OR((AVERAGE(H29,C29))&lt;=0,(C79)&lt;0),"n/m",(C79)/(AVERAGE(H29,C29)))</x:f>
        <x:v>0.13249756211762712</x:v>
      </x:c>
      <x:c r="D138" s="66" t="n">
        <x:f>IF(OR((AVERAGE(C29,D29))&lt;=0,(D79)&lt;0),"n/m",(D79)/(AVERAGE(C29,D29)))</x:f>
        <x:v>0.1265705399848834</x:v>
      </x:c>
      <x:c r="E138" s="66" t="n">
        <x:f>IF(OR((AVERAGE(D29,E29))&lt;=0,(E79)&lt;0),"n/m",(E79)/(AVERAGE(D29,E29)))</x:f>
        <x:v>0.10323783929435384</x:v>
      </x:c>
      <x:c r="F138" s="66" t="n">
        <x:f>IF(OR((AVERAGE(E29,F29))&lt;=0,(F79)&lt;0),"n/m",(F79)/(AVERAGE(E29,F29)))</x:f>
        <x:v>0.19715059997190104</x:v>
      </x:c>
      <x:c r="G138" s="66" t="n">
        <x:f>IF(OR((AVERAGE(F29,G29))&lt;=0,(G79)&lt;0),"n/m",(G79)/(AVERAGE(F29,G29)))</x:f>
        <x:v>0.2044798130421526</x:v>
      </x:c>
    </x:row>
    <x:row r="139" ht="15" hidden="0">
      <x:c r="A139" s="134" t="str">
        <x:v>26. Return on invested capital</x:v>
      </x:c>
      <x:c r="B139" s="128" t="str">
        <x:v>NOPAT / Average Invested Capital</x:v>
      </x:c>
      <x:c r="C139" s="66" t="n">
        <x:f>IF(OR((AVERAGE(H58,C58))&lt;=0,(C88)&lt;0),"n/m",(C88)/(AVERAGE(H58,C58)))</x:f>
        <x:v>0.12407020191785936</x:v>
      </x:c>
      <x:c r="D139" s="66" t="n">
        <x:f>IF(OR((AVERAGE(C58,D58))&lt;=0,(D88)&lt;0),"n/m",(D88)/(AVERAGE(C58,D58)))</x:f>
        <x:v>0.11634647447890245</x:v>
      </x:c>
      <x:c r="E139" s="66" t="n">
        <x:f>IF(OR((AVERAGE(D58,E58))&lt;=0,(E88)&lt;0),"n/m",(E88)/(AVERAGE(D58,E58)))</x:f>
        <x:v>0.09570891419697462</x:v>
      </x:c>
      <x:c r="F139" s="66" t="n">
        <x:f>IF(OR((AVERAGE(E58,F58))&lt;=0,(F88)&lt;0),"n/m",(F88)/(AVERAGE(E58,F58)))</x:f>
        <x:v>0.1787383675569278</x:v>
      </x:c>
      <x:c r="G139" s="66" t="n">
        <x:f>IF(OR((AVERAGE(F58,G58))&lt;=0,(G88)&lt;0),"n/m",(G88)/(AVERAGE(F58,G58)))</x:f>
        <x:v>0.18835780074997993</x:v>
      </x:c>
    </x:row>
    <x:row r="140" ht="15" hidden="0">
      <x:c r="A140" s="134" t="str">
        <x:v>27. Basic earning power</x:v>
      </x:c>
      <x:c r="B140" s="128" t="str">
        <x:v>EBIT / Average Total Assets</x:v>
      </x:c>
      <x:c r="C140" s="66" t="n">
        <x:f>IF(OR((AVERAGE(H25,C25))&lt;=0,(C82)&lt;0),"n/m",(C82)/(AVERAGE(H25,C25)))</x:f>
        <x:v>0.11856914427701815</x:v>
      </x:c>
      <x:c r="D140" s="66" t="n">
        <x:f>IF(OR((AVERAGE(C25,D25))&lt;=0,(D82)&lt;0),"n/m",(D82)/(AVERAGE(C25,D25)))</x:f>
        <x:v>0.12782774158166904</x:v>
      </x:c>
      <x:c r="E140" s="66" t="n">
        <x:f>IF(OR((AVERAGE(D25,E25))&lt;=0,(E82)&lt;0),"n/m",(E82)/(AVERAGE(D25,E25)))</x:f>
        <x:v>0.11311909776428172</x:v>
      </x:c>
      <x:c r="F140" s="66" t="n">
        <x:f>IF(OR((AVERAGE(E25,F25))&lt;=0,(F82)&lt;0),"n/m",(F82)/(AVERAGE(E25,F25)))</x:f>
        <x:v>0.19221205649491527</x:v>
      </x:c>
      <x:c r="G140" s="66" t="n">
        <x:f>IF(OR((AVERAGE(F25,G25))&lt;=0,(G82)&lt;0),"n/m",(G82)/(AVERAGE(F25,G25)))</x:f>
        <x:v>0.19447652728583156</x:v>
      </x:c>
    </x:row>
    <x:row r="141" ht="22" hidden="0" customHeight="1">
      <x:c r="A141" s="129" t="str">
        <x:v>Market Value</x:v>
      </x:c>
      <x:c r="B141" s="130" t="s">
        <x:v>147</x:v>
      </x:c>
      <x:c r="C141" s="79" t="n">
        <x:f aca="0">C82/AVERAGE(H25,C25)</x:f>
        <x:v>0.11856914427701815</x:v>
      </x:c>
      <x:c r="D141" s="79" t="n">
        <x:f aca="0">D82/AVERAGE(C25,D25)</x:f>
        <x:v>0.12782774158166904</x:v>
      </x:c>
      <x:c r="E141" s="79" t="n">
        <x:f aca="0">E82/AVERAGE(D25,E25)</x:f>
        <x:v>0.11311909776428172</x:v>
      </x:c>
      <x:c r="F141" s="79" t="n">
        <x:f aca="0">F82/AVERAGE(E25,F25)</x:f>
        <x:v>0.19221205649491527</x:v>
      </x:c>
      <x:c r="G141" s="79" t="n">
        <x:f aca="0">G82/AVERAGE(F25,G25)</x:f>
        <x:v>0.19447652728583156</x:v>
      </x:c>
    </x:row>
    <x:row r="142" ht="15" hidden="0">
      <x:c r="A142" s="134" t="str">
        <x:v>28. Book value per share (Rs)</x:v>
      </x:c>
      <x:c r="B142" s="128" t="str">
        <x:v>Total Equity / Shares Outstanding</x:v>
      </x:c>
      <x:c r="C142" s="67" t="n">
        <x:f>IF(OR((C103)&lt;=0,(C29)&lt;0),"n/m",(C29)/(C103))</x:f>
        <x:v>350.05878005411677</x:v>
      </x:c>
      <x:c r="D142" s="67" t="n">
        <x:f>IF(OR((D103)&lt;=0,(D29)&lt;0),"n/m",(D29)/(D103))</x:f>
        <x:v>397.4961700811751</x:v>
      </x:c>
      <x:c r="E142" s="67" t="n">
        <x:f>IF(OR((E103)&lt;=0,(E29)&lt;0),"n/m",(E29)/(E103))</x:f>
        <x:v>440.50456229600826</x:v>
      </x:c>
      <x:c r="F142" s="67" t="n">
        <x:f>IF(OR((F103)&lt;=0,(F29)&lt;0),"n/m",(F29)/(F103))</x:f>
        <x:v>504.3046996587031</x:v>
      </x:c>
      <x:c r="G142" s="67" t="n">
        <x:f>IF(OR((G103)&lt;=0,(G29)&lt;0),"n/m",(G29)/(G103))</x:f>
        <x:v>120.07535836177475</x:v>
      </x:c>
    </x:row>
    <x:row r="143" ht="15" hidden="0">
      <x:c r="A143" s="134" t="str">
        <x:v>29. Market-to-book ratio</x:v>
      </x:c>
      <x:c r="B143" s="128" t="str">
        <x:v>Share Price / BVPS</x:v>
      </x:c>
      <x:c r="C143" s="63" t="n">
        <x:f>IF(OR((C29/C103)&lt;=0,(C105)&lt;0),"n/m",(C105)/(C29/C103))</x:f>
        <x:v>2.4665571875286716</x:v>
      </x:c>
      <x:c r="D143" s="63" t="n">
        <x:f>IF(OR((D29/D103)&lt;=0,(D105)&lt;0),"n/m",(D105)/(D29/D103))</x:f>
        <x:v>1.154828736856148</x:v>
      </x:c>
      <x:c r="E143" s="63" t="n">
        <x:f>IF(OR((E29/E103)&lt;=0,(E105)&lt;0),"n/m",(E105)/(E29/E103))</x:f>
        <x:v>1.185209064075864</x:v>
      </x:c>
      <x:c r="F143" s="63" t="n">
        <x:f>IF(OR((F29/F103)&lt;=0,(F105)&lt;0),"n/m",(F105)/(F29/F103))</x:f>
        <x:v>1.7979804681845026</x:v>
      </x:c>
      <x:c r="G143" s="63" t="n">
        <x:f>IF(OR((G29/G103)&lt;=0,(G105)&lt;0),"n/m",(G105)/(G29/G103))</x:f>
        <x:v>2.9584754511387614</x:v>
      </x:c>
    </x:row>
    <x:row r="144" ht="15" hidden="0">
      <x:c r="A144" s="134" t="str">
        <x:v>30. Earnings per share (Rs)</x:v>
      </x:c>
      <x:c r="B144" s="128" t="str">
        <x:v>Net Profit / Weighted Average Shares</x:v>
      </x:c>
      <x:c r="C144" s="67" t="n">
        <x:f>IF(OR((C104)&lt;=0,(C79)&lt;0),"n/m",(C79)/(C104))</x:f>
        <x:v>43.51044143795904</x:v>
      </x:c>
      <x:c r="D144" s="67" t="n">
        <x:f>IF(OR((D104)&lt;=0,(D79)&lt;0),"n/m",(D79)/(D104))</x:f>
        <x:v>47.30921685349824</x:v>
      </x:c>
      <x:c r="E144" s="67" t="n">
        <x:f>IF(OR((E104)&lt;=0,(E79)&lt;0),"n/m",(E79)/(E104))</x:f>
        <x:v>43.06151234984266</x:v>
      </x:c>
      <x:c r="F144" s="67" t="n">
        <x:f>IF(OR((F104)&lt;=0,(F79)&lt;0),"n/m",(F79)/(F104))</x:f>
        <x:v>94.54058917711643</x:v>
      </x:c>
      <x:c r="G144" s="67" t="n">
        <x:f>IF(OR((G104)&lt;=0,(G79)&lt;0),"n/m",(G79)/(G104))</x:f>
        <x:v>22.58850648464164</x:v>
      </x:c>
    </x:row>
    <x:row r="145" ht="15" hidden="0">
      <x:c r="A145" s="134" t="str">
        <x:v>31. Price-to-earnings ratio</x:v>
      </x:c>
      <x:c r="B145" s="128" t="str">
        <x:v>Share Price / EPS</x:v>
      </x:c>
      <x:c r="C145" s="63" t="n">
        <x:f>IF(OR((C79/C104)&lt;=0,(C105)&lt;0),"n/m",(C105)/(C79/C104))</x:f>
        <x:v>19.844432082610968</x:v>
      </x:c>
      <x:c r="D145" s="63" t="n">
        <x:f>IF(OR((D79/D104)&lt;=0,(D105)&lt;0),"n/m",(D105)/(D79/D104))</x:f>
        <x:v>9.702971863210132</x:v>
      </x:c>
      <x:c r="E145" s="63" t="n">
        <x:f>IF(OR((E79/E104)&lt;=0,(E105)&lt;0),"n/m",(E105)/(E79/E104))</x:f>
        <x:v>12.124283879265743</x:v>
      </x:c>
      <x:c r="F145" s="63" t="n">
        <x:f>IF(OR((F79/F104)&lt;=0,(F105)&lt;0),"n/m",(F105)/(F79/F104))</x:f>
        <x:v>9.590907015623658</x:v>
      </x:c>
      <x:c r="G145" s="63" t="n">
        <x:f>IF(OR((G79/G104)&lt;=0,(G105)&lt;0),"n/m",(G105)/(G79/G104))</x:f>
        <x:v>15.726582022655393</x:v>
      </x:c>
    </x:row>
    <x:row r="146" ht="15" hidden="0">
      <x:c r="A146" s="134" t="str">
        <x:v>32. Dividend yield</x:v>
      </x:c>
      <x:c r="B146" s="128" t="str">
        <x:v>DPS / Share Price</x:v>
      </x:c>
      <x:c r="C146" s="66" t="n">
        <x:f>IF(OR((C105)&lt;=0,(C106)&lt;0),"n/m",(C106)/(C105))</x:f>
        <x:v>0</x:v>
      </x:c>
      <x:c r="D146" s="66" t="n">
        <x:f>IF(OR((D105)&lt;=0,(D106)&lt;0),"n/m",(D106)/(D105))</x:f>
        <x:v>0</x:v>
      </x:c>
      <x:c r="E146" s="66" t="n">
        <x:f>IF(OR((E105)&lt;=0,(E106)&lt;0),"n/m",(E106)/(E105))</x:f>
        <x:v>0.034476814342354764</x:v>
      </x:c>
      <x:c r="F146" s="66" t="n">
        <x:f>IF(OR((F105)&lt;=0,(F106)&lt;0),"n/m",(F106)/(F105))</x:f>
        <x:v>0.016542962072502287</x:v>
      </x:c>
      <x:c r="G146" s="66" t="n">
        <x:f>IF(OR((G105)&lt;=0,(G106)&lt;0),"n/m",(G106)/(G105))</x:f>
        <x:v>0.011259993244004052</x:v>
      </x:c>
    </x:row>
    <x:row r="147" ht="15" hidden="0">
      <x:c r="A147" s="134" t="str">
        <x:v>33. Dividend payout ratio</x:v>
      </x:c>
      <x:c r="B147" s="128" t="str">
        <x:v>DPS / EPS</x:v>
      </x:c>
      <x:c r="C147" s="66" t="n">
        <x:f>IF(OR((C79/C104)&lt;=0,(C106)&lt;0),"n/m",(C106)/(C79/C104))</x:f>
        <x:v>0</x:v>
      </x:c>
      <x:c r="D147" s="66" t="n">
        <x:f>IF(OR((D79/D104)&lt;=0,(D106)&lt;0),"n/m",(D106)/(D79/D104))</x:f>
        <x:v>0</x:v>
      </x:c>
      <x:c r="E147" s="66" t="n">
        <x:f>IF(OR((E79/E104)&lt;=0,(E106)&lt;0),"n/m",(E106)/(E79/E104))</x:f>
        <x:v>0.4180066843394498</x:v>
      </x:c>
      <x:c r="F147" s="66" t="n">
        <x:f>IF(OR((F79/F104)&lt;=0,(F106)&lt;0),"n/m",(F106)/(F79/F104))</x:f>
        <x:v>0.1586620110003583</x:v>
      </x:c>
      <x:c r="G147" s="66" t="n">
        <x:f>IF(OR((G79/G104)&lt;=0,(G106)&lt;0),"n/m",(G106)/(G79/G104))</x:f>
        <x:v>0.17708120732637533</x:v>
      </x:c>
    </x:row>
    <x:row r="148" ht="15" hidden="0">
      <x:c r="A148" s="111"/>
      <x:c r="B148" s="111"/>
      <x:c r="C148">
        <x:f aca="0"/>
      </x:c>
      <x:c r="D148">
        <x:f aca="0"/>
      </x:c>
      <x:c r="E148">
        <x:f aca="0"/>
      </x:c>
      <x:c r="F148">
        <x:f aca="0"/>
      </x:c>
      <x:c r="G148">
        <x:f aca="0"/>
      </x:c>
    </x:row>
    <x:row r="149" ht="15" hidden="0">
      <x:c r="A149" s="131" t="str">
        <x:v>33 measures: 19 mandatory ratios and 14 additional measures. Ratios use one method across all five companies.</x:v>
      </x:c>
      <x:c r="B149" s="131"/>
      <x:c r="C149" s="80">
        <x:f aca="0"/>
      </x:c>
      <x:c r="D149" s="80">
        <x:f aca="0"/>
      </x:c>
      <x:c r="E149" s="80">
        <x:f aca="0"/>
      </x:c>
      <x:c r="F149" s="80">
        <x:f aca="0"/>
      </x:c>
      <x:c r="G149" s="80">
        <x:f aca="0"/>
      </x:c>
    </x:row>
    <x:row r="150" ht="15" hidden="0">
      <x:c r="A150" s="131" t="str">
        <x:v>n/m: negative calculated measures or non-positive denominators. Signed accounting inputs and raw workings are retained in the audit workbook.</x:v>
      </x:c>
      <x:c r="B150" s="131"/>
      <x:c r="C150" s="80"/>
      <x:c r="D150" s="80"/>
      <x:c r="E150" s="80"/>
      <x:c r="F150" s="80"/>
      <x:c r="G150" s="80"/>
    </x:row>
    <x:row r="151" ht="15" hidden="0">
      <x:c r="A151" s="131" t="str">
        <x:v>DIO includes stores and stock; supplier payables include identified related operating suppliers, excluding contractor retentions, taxes and accruals.</x:v>
      </x:c>
      <x:c r="B151" s="131"/>
      <x:c r="C151" s="80">
        <x:f aca="0"/>
      </x:c>
      <x:c r="D151" s="80">
        <x:f aca="0"/>
      </x:c>
      <x:c r="E151" s="80">
        <x:f aca="0"/>
      </x:c>
      <x:c r="F151" s="80">
        <x:f aca="0"/>
      </x:c>
      <x:c r="G151" s="80">
        <x:f aca="0"/>
      </x:c>
    </x:row>
    <x:row r="152">
      <x:c r="A152" s="111"/>
      <x:c r="B152" s="111"/>
    </x:row>
    <x:row r="153" ht="19.5" hidden="0" customHeight="1">
      <x:c r="A153" s="114" t="s">
        <x:v>148</x:v>
      </x:c>
      <x:c r="B153" s="115"/>
      <x:c r="C153" s="6"/>
      <x:c r="D153" s="6"/>
      <x:c r="E153" s="6"/>
      <x:c r="F153" s="6"/>
      <x:c r="G153" s="6"/>
    </x:row>
    <x:row r="154" ht="15" hidden="0">
      <x:c r="A154" s="132" t="s">
        <x:v>149</x:v>
      </x:c>
      <x:c r="B154" s="132"/>
      <x:c r="C154" s="41" t="s">
        <x:v>49</x:v>
      </x:c>
      <x:c r="D154" s="41" t="s">
        <x:v>50</x:v>
      </x:c>
      <x:c r="E154" s="41" t="s">
        <x:v>51</x:v>
      </x:c>
      <x:c r="F154" s="41" t="s">
        <x:v>52</x:v>
      </x:c>
      <x:c r="G154" s="41" t="s">
        <x:v>53</x:v>
      </x:c>
    </x:row>
    <x:row r="155" ht="15" hidden="0">
      <x:c r="A155" s="127" t="s">
        <x:v>56</x:v>
      </x:c>
      <x:c r="B155" s="127"/>
      <x:c r="C155" s="42" t="n">
        <x:f aca="0">C9/C25</x:f>
        <x:v>0.3989941820728072</x:v>
      </x:c>
      <x:c r="D155" s="42" t="n">
        <x:f aca="0">D9/D25</x:f>
        <x:v>0.4449610528342716</x:v>
      </x:c>
      <x:c r="E155" s="42" t="n">
        <x:f aca="0">E9/E25</x:f>
        <x:v>0.4487550435914007</x:v>
      </x:c>
      <x:c r="F155" s="42" t="n">
        <x:f aca="0">F9/F25</x:f>
        <x:v>0.4583362465696562</x:v>
      </x:c>
      <x:c r="G155" s="42" t="n">
        <x:f aca="0">G9/G25</x:f>
        <x:v>0.4026630974556775</x:v>
      </x:c>
    </x:row>
    <x:row r="156" ht="15" hidden="0">
      <x:c r="A156" s="127" t="s">
        <x:v>63</x:v>
      </x:c>
      <x:c r="B156" s="127"/>
      <x:c r="C156" s="42" t="n">
        <x:f aca="0">C16/C25</x:f>
        <x:v>0.7398677998580042</x:v>
      </x:c>
      <x:c r="D156" s="42" t="n">
        <x:f aca="0">D16/D25</x:f>
        <x:v>0.757703734632117</x:v>
      </x:c>
      <x:c r="E156" s="42" t="n">
        <x:f aca="0">E16/E25</x:f>
        <x:v>0.7204012442949171</x:v>
      </x:c>
      <x:c r="F156" s="42" t="n">
        <x:f aca="0">F16/F25</x:f>
        <x:v>0.7074923395879352</x:v>
      </x:c>
      <x:c r="G156" s="42" t="n">
        <x:f aca="0">G16/G25</x:f>
        <x:v>0.6230624121197821</x:v>
      </x:c>
    </x:row>
    <x:row r="157" ht="15" hidden="0">
      <x:c r="A157" s="127" t="s">
        <x:v>150</x:v>
      </x:c>
      <x:c r="B157" s="127"/>
      <x:c r="C157" s="42" t="n">
        <x:f aca="0">C54/C25</x:f>
        <x:v>0.0871764337656113</x:v>
      </x:c>
      <x:c r="D157" s="42" t="n">
        <x:f aca="0">D54/D25</x:f>
        <x:v>0.09936187127535046</x:v>
      </x:c>
      <x:c r="E157" s="42" t="n">
        <x:f aca="0">E54/E25</x:f>
        <x:v>0.09448382369723818</x:v>
      </x:c>
      <x:c r="F157" s="42" t="n">
        <x:f aca="0">F54/F25</x:f>
        <x:v>0.09869855360327058</x:v>
      </x:c>
      <x:c r="G157" s="42" t="n">
        <x:f aca="0">G54/G25</x:f>
        <x:v>0.09248318347468208</x:v>
      </x:c>
    </x:row>
    <x:row r="158" ht="15" hidden="0">
      <x:c r="A158" s="127" t="s">
        <x:v>67</x:v>
      </x:c>
      <x:c r="B158" s="127"/>
      <x:c r="C158" s="42" t="n">
        <x:f aca="0">C20/C25</x:f>
        <x:v>0.017331422832368416</x:v>
      </x:c>
      <x:c r="D158" s="42" t="n">
        <x:f aca="0">D20/D25</x:f>
        <x:v>0.019046744687005734</x:v>
      </x:c>
      <x:c r="E158" s="42" t="n">
        <x:f aca="0">E20/E25</x:f>
        <x:v>0.023886283489311506</x:v>
      </x:c>
      <x:c r="F158" s="42" t="n">
        <x:f aca="0">F20/F25</x:f>
        <x:v>0.029623688493483562</x:v>
      </x:c>
      <x:c r="G158" s="42" t="n">
        <x:f aca="0">G20/G25</x:f>
        <x:v>0.02381721057133955</x:v>
      </x:c>
    </x:row>
    <x:row r="159" ht="15" hidden="0">
      <x:c r="A159" s="127" t="s">
        <x:v>68</x:v>
      </x:c>
      <x:c r="B159" s="127"/>
      <x:c r="C159" s="42" t="n">
        <x:f aca="0">C21/C25</x:f>
        <x:v>0.10377504710648648</x:v>
      </x:c>
      <x:c r="D159" s="42" t="n">
        <x:f aca="0">D21/D25</x:f>
        <x:v>0.06893918551042771</x:v>
      </x:c>
      <x:c r="E159" s="42" t="n">
        <x:f aca="0">E21/E25</x:f>
        <x:v>0.10277169084844923</x:v>
      </x:c>
      <x:c r="F159" s="42" t="n">
        <x:f aca="0">F21/F25</x:f>
        <x:v>0.127501373932246</x:v>
      </x:c>
      <x:c r="G159" s="42" t="n">
        <x:f aca="0">G21/G25</x:f>
        <x:v>0.22979758088560204</x:v>
      </x:c>
    </x:row>
    <x:row r="160" ht="15" hidden="0">
      <x:c r="A160" s="127" t="s">
        <x:v>69</x:v>
      </x:c>
      <x:c r="B160" s="127"/>
      <x:c r="C160" s="42" t="n">
        <x:f aca="0">C22/C25</x:f>
        <x:v>0.018069060675574528</x:v>
      </x:c>
      <x:c r="D160" s="42" t="n">
        <x:f aca="0">D22/D25</x:f>
        <x:v>0.020929003244595137</x:v>
      </x:c>
      <x:c r="E160" s="42" t="n">
        <x:f aca="0">E22/E25</x:f>
        <x:v>0.019317622598751097</x:v>
      </x:c>
      <x:c r="F160" s="42" t="n">
        <x:f aca="0">F22/F25</x:f>
        <x:v>0.010969989542261456</x:v>
      </x:c>
      <x:c r="G160" s="42" t="n">
        <x:f aca="0">G22/G25</x:f>
        <x:v>0.010460519614709056</x:v>
      </x:c>
    </x:row>
    <x:row r="161" ht="15" hidden="0">
      <x:c r="A161" s="127" t="s">
        <x:v>71</x:v>
      </x:c>
      <x:c r="B161" s="127"/>
      <x:c r="C161" s="42" t="n">
        <x:f aca="0">C24/C25</x:f>
        <x:v>0.26013220014199573</x:v>
      </x:c>
      <x:c r="D161" s="42" t="n">
        <x:f aca="0">D24/D25</x:f>
        <x:v>0.24229626536788285</x:v>
      </x:c>
      <x:c r="E161" s="42" t="n">
        <x:f aca="0">E24/E25</x:f>
        <x:v>0.2795987557050829</x:v>
      </x:c>
      <x:c r="F161" s="42" t="n">
        <x:f aca="0">F24/F25</x:f>
        <x:v>0.2925076604120647</x:v>
      </x:c>
      <x:c r="G161" s="42" t="n">
        <x:f aca="0">G24/G25</x:f>
        <x:v>0.3769375878802179</x:v>
      </x:c>
    </x:row>
    <x:row r="162" ht="15" hidden="0">
      <x:c r="A162" s="127" t="s">
        <x:v>76</x:v>
      </x:c>
      <x:c r="B162" s="127"/>
      <x:c r="C162" s="42" t="n">
        <x:f aca="0">C29/C25</x:f>
        <x:v>0.7239346484961872</x:v>
      </x:c>
      <x:c r="D162" s="42" t="n">
        <x:f aca="0">D29/D25</x:f>
        <x:v>0.6949539270604493</x:v>
      </x:c>
      <x:c r="E162" s="42" t="n">
        <x:f aca="0">E29/E25</x:f>
        <x:v>0.6446730217755271</x:v>
      </x:c>
      <x:c r="F162" s="42" t="n">
        <x:f aca="0">F29/F25</x:f>
        <x:v>0.6314096358960968</x:v>
      </x:c>
      <x:c r="G162" s="42" t="n">
        <x:f aca="0">G29/G25</x:f>
        <x:v>0.6594627896595899</x:v>
      </x:c>
    </x:row>
    <x:row r="163" ht="15" hidden="0">
      <x:c r="A163" s="127" t="s">
        <x:v>83</x:v>
      </x:c>
      <x:c r="B163" s="127"/>
      <x:c r="C163" s="42" t="n">
        <x:f aca="0">C36/C25</x:f>
        <x:v>0.0817349645223588</x:v>
      </x:c>
      <x:c r="D163" s="42" t="n">
        <x:f aca="0">D36/D25</x:f>
        <x:v>0.14089723375513877</x:v>
      </x:c>
      <x:c r="E163" s="42" t="n">
        <x:f aca="0">E36/E25</x:f>
        <x:v>0.13859579176775724</x:v>
      </x:c>
      <x:c r="F163" s="42" t="n">
        <x:f aca="0">F36/F25</x:f>
        <x:v>0.13703359428324538</x:v>
      </x:c>
      <x:c r="G163" s="42" t="n">
        <x:f aca="0">G36/G25</x:f>
        <x:v>0.12069909944602028</x:v>
      </x:c>
    </x:row>
    <x:row r="164" ht="15" hidden="0">
      <x:c r="A164" s="127" t="s">
        <x:v>95</x:v>
      </x:c>
      <x:c r="B164" s="127"/>
      <x:c r="C164" s="42" t="n">
        <x:f aca="0">C48/C25</x:f>
        <x:v>0.19433038698145402</x:v>
      </x:c>
      <x:c r="D164" s="42" t="n">
        <x:f aca="0">D48/D25</x:f>
        <x:v>0.1641488391844118</x:v>
      </x:c>
      <x:c r="E164" s="42" t="n">
        <x:f aca="0">E48/E25</x:f>
        <x:v>0.2167311864567156</x:v>
      </x:c>
      <x:c r="F164" s="42" t="n">
        <x:f aca="0">F48/F25</x:f>
        <x:v>0.23155676982065787</x:v>
      </x:c>
      <x:c r="G164" s="42" t="n">
        <x:f aca="0">G48/G25</x:f>
        <x:v>0.21983811089438973</x:v>
      </x:c>
    </x:row>
    <x:row r="165" ht="15" hidden="0">
      <x:c r="A165" s="127" t="s">
        <x:v>102</x:v>
      </x:c>
      <x:c r="B165" s="127"/>
      <x:c r="C165" s="42" t="n">
        <x:f aca="0">C55/C25</x:f>
        <x:v>0.06709139875379411</x:v>
      </x:c>
      <x:c r="D165" s="42" t="n">
        <x:f aca="0">D55/D25</x:f>
        <x:v>0.08431795163868143</x:v>
      </x:c>
      <x:c r="E165" s="42" t="n">
        <x:f aca="0">E55/E25</x:f>
        <x:v>0.09875182624110138</x:v>
      </x:c>
      <x:c r="F165" s="42" t="n">
        <x:f aca="0">F55/F25</x:f>
        <x:v>0.08693680048409934</x:v>
      </x:c>
      <x:c r="G165" s="42" t="n">
        <x:f aca="0">G55/G25</x:f>
        <x:v>0.06573846862149271</x:v>
      </x:c>
    </x:row>
    <x:row r="166" ht="15" hidden="0">
      <x:c r="A166" s="132" t="s">
        <x:v>151</x:v>
      </x:c>
      <x:c r="B166" s="132"/>
      <x:c r="C166" s="41" t="s">
        <x:v>49</x:v>
      </x:c>
      <x:c r="D166" s="41" t="s">
        <x:v>50</x:v>
      </x:c>
      <x:c r="E166" s="41" t="s">
        <x:v>51</x:v>
      </x:c>
      <x:c r="F166" s="41" t="s">
        <x:v>52</x:v>
      </x:c>
      <x:c r="G166" s="41" t="s">
        <x:v>53</x:v>
      </x:c>
    </x:row>
    <x:row r="167" ht="15" hidden="0">
      <x:c r="A167" s="127" t="s">
        <x:v>109</x:v>
      </x:c>
      <x:c r="B167" s="127"/>
      <x:c r="C167" s="42" t="n">
        <x:f aca="0">C65/C64</x:f>
        <x:v>-0.6988292094452875</x:v>
      </x:c>
      <x:c r="D167" s="42" t="n">
        <x:f aca="0">D65/D64</x:f>
        <x:v>-0.7219033085563861</x:v>
      </x:c>
      <x:c r="E167" s="42" t="n">
        <x:f aca="0">E65/E64</x:f>
        <x:v>-0.7280591240432086</x:v>
      </x:c>
      <x:c r="F167" s="42" t="n">
        <x:f aca="0">F65/F64</x:f>
        <x:v>-0.6635196920367842</x:v>
      </x:c>
      <x:c r="G167" s="42" t="n">
        <x:f aca="0">G65/G64</x:f>
        <x:v>-0.657183470179327</x:v>
      </x:c>
    </x:row>
    <x:row r="168" ht="15" hidden="0">
      <x:c r="A168" s="127" t="s">
        <x:v>110</x:v>
      </x:c>
      <x:c r="B168" s="127"/>
      <x:c r="C168" s="42" t="n">
        <x:f aca="0">C66/C64</x:f>
        <x:v>0.30117079055471246</x:v>
      </x:c>
      <x:c r="D168" s="42" t="n">
        <x:f aca="0">D66/D64</x:f>
        <x:v>0.278096691443614</x:v>
      </x:c>
      <x:c r="E168" s="42" t="n">
        <x:f aca="0">E66/E64</x:f>
        <x:v>0.2719408759567914</x:v>
      </x:c>
      <x:c r="F168" s="42" t="n">
        <x:f aca="0">F66/F64</x:f>
        <x:v>0.3364803079632158</x:v>
      </x:c>
      <x:c r="G168" s="42" t="n">
        <x:f aca="0">G66/G64</x:f>
        <x:v>0.342816529820673</x:v>
      </x:c>
    </x:row>
    <x:row r="169" ht="15" hidden="0">
      <x:c r="A169" s="127" t="s">
        <x:v>152</x:v>
      </x:c>
      <x:c r="B169" s="127"/>
      <x:c r="C169" s="42" t="n">
        <x:f aca="0">(C67+C68+C69+C70)/C64</x:f>
        <x:v>-0.12112719244693486</x:v>
      </x:c>
      <x:c r="D169" s="42" t="n">
        <x:f aca="0">(D67+D68+D69+D70)/D64</x:f>
        <x:v>-0.10017929298300943</x:v>
      </x:c>
      <x:c r="E169" s="42" t="n">
        <x:f aca="0">(E67+E68+E69+E70)/E64</x:f>
        <x:v>-0.10012357335581766</x:v>
      </x:c>
      <x:c r="F169" s="42" t="n">
        <x:f aca="0">(F67+F68+F69+F70)/F64</x:f>
        <x:v>-0.10761941679537111</x:v>
      </x:c>
      <x:c r="G169" s="42" t="n">
        <x:f aca="0">(G67+G68+G69+G70)/G64</x:f>
        <x:v>-0.1161093446735434</x:v>
      </x:c>
    </x:row>
    <x:row r="170" ht="15" hidden="0">
      <x:c r="A170" s="127" t="s">
        <x:v>115</x:v>
      </x:c>
      <x:c r="B170" s="127"/>
      <x:c r="C170" s="42" t="n">
        <x:f aca="0">C71/C64</x:f>
        <x:v>0.18004359810777762</x:v>
      </x:c>
      <x:c r="D170" s="42" t="n">
        <x:f aca="0">D71/D64</x:f>
        <x:v>0.1779173984606045</x:v>
      </x:c>
      <x:c r="E170" s="42" t="n">
        <x:f aca="0">E71/E64</x:f>
        <x:v>0.17181730260097375</x:v>
      </x:c>
      <x:c r="F170" s="42" t="n">
        <x:f aca="0">F71/F64</x:f>
        <x:v>0.22886089116784467</x:v>
      </x:c>
      <x:c r="G170" s="42" t="n">
        <x:f aca="0">G71/G64</x:f>
        <x:v>0.22670718514712962</x:v>
      </x:c>
    </x:row>
    <x:row r="171" ht="15" hidden="0">
      <x:c r="A171" s="127" t="s">
        <x:v>116</x:v>
      </x:c>
      <x:c r="B171" s="127"/>
      <x:c r="C171" s="42" t="n">
        <x:f aca="0">(C72+C73+C74)/C64</x:f>
        <x:v>0.09521691055587866</x:v>
      </x:c>
      <x:c r="D171" s="42" t="n">
        <x:f aca="0">(D72+D73+D74)/D64</x:f>
        <x:v>0.09110221808707909</x:v>
      </x:c>
      <x:c r="E171" s="42" t="n">
        <x:f aca="0">(E72+E73+E74)/E64</x:f>
        <x:v>0.06310432552450275</x:v>
      </x:c>
      <x:c r="F171" s="42" t="n">
        <x:f aca="0">(F72+F73+F74)/F64</x:f>
        <x:v>0.14372747744369124</x:v>
      </x:c>
      <x:c r="G171" s="42" t="n">
        <x:f aca="0">(G72+G73+G74)/G64</x:f>
        <x:v>0.1643694027769782</x:v>
      </x:c>
    </x:row>
    <x:row r="172" ht="15" hidden="0">
      <x:c r="A172" s="127" t="s">
        <x:v>119</x:v>
      </x:c>
      <x:c r="B172" s="127"/>
      <x:c r="C172" s="42" t="n">
        <x:f aca="0">C75/C64</x:f>
        <x:v>-0.0052891760758382415</x:v>
      </x:c>
      <x:c r="D172" s="42" t="n">
        <x:f aca="0">D75/D64</x:f>
        <x:v>-0.004864963016467714</x:v>
      </x:c>
      <x:c r="E172" s="42" t="n">
        <x:f aca="0">E75/E64</x:f>
        <x:v>-0.012206446757370468</x:v>
      </x:c>
      <x:c r="F172" s="42" t="n">
        <x:f aca="0">F75/F64</x:f>
        <x:v>-0.013710546674283175</x:v>
      </x:c>
      <x:c r="G172" s="42" t="n">
        <x:f aca="0">G75/G64</x:f>
        <x:v>-0.011007548010892852</x:v>
      </x:c>
    </x:row>
    <x:row r="173" ht="15" hidden="0">
      <x:c r="A173" s="127" t="s">
        <x:v>120</x:v>
      </x:c>
      <x:c r="B173" s="127"/>
      <x:c r="C173" s="42" t="n">
        <x:f aca="0">C76/C64</x:f>
        <x:v>0.2699713325878181</x:v>
      </x:c>
      <x:c r="D173" s="42" t="n">
        <x:f aca="0">D76/D64</x:f>
        <x:v>0.26415465353121587</x:v>
      </x:c>
      <x:c r="E173" s="42" t="n">
        <x:f aca="0">E76/E64</x:f>
        <x:v>0.22271518136810603</x:v>
      </x:c>
      <x:c r="F173" s="42" t="n">
        <x:f aca="0">F76/F64</x:f>
        <x:v>0.3588778219372528</x:v>
      </x:c>
      <x:c r="G173" s="42" t="n">
        <x:f aca="0">G76/G64</x:f>
        <x:v>0.38006903991321495</x:v>
      </x:c>
    </x:row>
    <x:row r="174" ht="15" hidden="0">
      <x:c r="A174" s="127" t="s">
        <x:v>153</x:v>
      </x:c>
      <x:c r="B174" s="127"/>
      <x:c r="C174" s="42" t="n">
        <x:f aca="0">(C77+C78)/C64</x:f>
        <x:v>-0.04642495436783816</x:v>
      </x:c>
      <x:c r="D174" s="42" t="n">
        <x:f aca="0">(D77+D78)/D64</x:f>
        <x:v>-0.07550065187078746</x:v>
      </x:c>
      <x:c r="E174" s="42" t="n">
        <x:f aca="0">(E77+E78)/E64</x:f>
        <x:v>-0.07948752311685138</x:v>
      </x:c>
      <x:c r="F174" s="42" t="n">
        <x:f aca="0">(F77+F78)/F64</x:f>
        <x:v>-0.11516177480496803</x:v>
      </x:c>
      <x:c r="G174" s="42" t="n">
        <x:f aca="0">(G77+G78)/G64</x:f>
        <x:v>-0.11429361233587733</x:v>
      </x:c>
    </x:row>
    <x:row r="175" ht="15" hidden="0">
      <x:c r="A175" s="127" t="s">
        <x:v>123</x:v>
      </x:c>
      <x:c r="B175" s="127"/>
      <x:c r="C175" s="42" t="n">
        <x:f aca="0">C79/C64</x:f>
        <x:v>0.22354637821997994</x:v>
      </x:c>
      <x:c r="D175" s="42" t="n">
        <x:f aca="0">D79/D64</x:f>
        <x:v>0.18865400166042842</x:v>
      </x:c>
      <x:c r="E175" s="42" t="n">
        <x:f aca="0">E79/E64</x:f>
        <x:v>0.14322765825125466</x:v>
      </x:c>
      <x:c r="F175" s="42" t="n">
        <x:f aca="0">F79/F64</x:f>
        <x:v>0.24371604713228476</x:v>
      </x:c>
      <x:c r="G175" s="42" t="n">
        <x:f aca="0">G79/G64</x:f>
        <x:v>0.26577542757733763</x:v>
      </x:c>
    </x:row>
    <x:row r="176" ht="15" hidden="0">
      <x:c r="A176" s="127"/>
      <x:c r="B176" s="127"/>
      <x:c r="C176" s="42">
        <x:f aca="0"/>
      </x:c>
      <x:c r="D176" s="42">
        <x:f aca="0"/>
      </x:c>
      <x:c r="E176" s="42">
        <x:f aca="0"/>
      </x:c>
      <x:c r="F176" s="42">
        <x:f aca="0"/>
      </x:c>
      <x:c r="G176" s="42">
        <x:f aca="0"/>
      </x:c>
    </x:row>
    <x:row r="177">
      <x:c r="A177" s="111"/>
      <x:c r="B177" s="111"/>
    </x:row>
    <x:row r="178" ht="19.5" hidden="0" customHeight="1">
      <x:c r="A178" s="114" t="s">
        <x:v>154</x:v>
      </x:c>
      <x:c r="B178" s="115"/>
      <x:c r="C178" s="6"/>
      <x:c r="D178" s="6"/>
      <x:c r="E178" s="6"/>
      <x:c r="F178" s="6"/>
      <x:c r="G178" s="6"/>
    </x:row>
    <x:row r="179" ht="15" hidden="0">
      <x:c r="A179" s="132" t="s">
        <x:v>155</x:v>
      </x:c>
      <x:c r="B179" s="132"/>
      <x:c r="C179" s="41" t="s">
        <x:v>49</x:v>
      </x:c>
      <x:c r="D179" s="41" t="s">
        <x:v>50</x:v>
      </x:c>
      <x:c r="E179" s="41" t="s">
        <x:v>51</x:v>
      </x:c>
      <x:c r="F179" s="41" t="s">
        <x:v>52</x:v>
      </x:c>
      <x:c r="G179" s="41" t="s">
        <x:v>53</x:v>
      </x:c>
    </x:row>
    <x:row r="180" ht="15" hidden="0">
      <x:c r="A180" s="127" t="s">
        <x:v>108</x:v>
      </x:c>
      <x:c r="B180" s="127"/>
      <x:c r="C180" s="38" t="n">
        <x:f aca="0">IF(OR(H64&lt;=0,C64&lt;H64),"n/m",C64/H64-1)</x:f>
        <x:v>0.5032149138029283</x:v>
      </x:c>
      <x:c r="D180" s="38" t="n">
        <x:f aca="0">IF(OR(C64&lt;=0,D64&lt;C64),"n/m",D64/C64-1)</x:f>
        <x:v>0.28840940308914065</x:v>
      </x:c>
      <x:c r="E180" s="38" t="n">
        <x:f aca="0">IF(OR(D64&lt;=0,E64&lt;D64),"n/m",E64/D64-1)</x:f>
        <x:v>0.181748444157533</x:v>
      </x:c>
      <x:c r="F180" s="38" t="n">
        <x:f aca="0">IF(OR(E64&lt;=0,F64&lt;E64),"n/m",F64/E64-1)</x:f>
        <x:v>0.20340559624527654</x:v>
      </x:c>
      <x:c r="G180" s="38" t="n">
        <x:f aca="0">IF(OR(F64&lt;=0,G64&lt;F64),"n/m",G64/F64-1)</x:f>
        <x:v>0.07966014845253522</x:v>
      </x:c>
    </x:row>
    <x:row r="181" ht="15" hidden="0">
      <x:c r="A181" s="127" t="s">
        <x:v>110</x:v>
      </x:c>
      <x:c r="B181" s="127"/>
      <x:c r="C181" s="38" t="n">
        <x:f aca="0">IF(OR(H66&lt;=0,C66&lt;H66),"n/m",C66/H66-1)</x:f>
        <x:v>2.119411726469594</x:v>
      </x:c>
      <x:c r="D181" s="38" t="n">
        <x:f aca="0">IF(OR(C66&lt;=0,D66&lt;C66),"n/m",D66/C66-1)</x:f>
        <x:v>0.18969834878074</x:v>
      </x:c>
      <x:c r="E181" s="38" t="n">
        <x:f aca="0">IF(OR(D66&lt;=0,E66&lt;D66),"n/m",E66/D66-1)</x:f>
        <x:v>0.15558982523865827</x:v>
      </x:c>
      <x:c r="F181" s="38" t="n">
        <x:f aca="0">IF(OR(E66&lt;=0,F66&lt;E66),"n/m",F66/E66-1)</x:f>
        <x:v>0.4890085361555061</x:v>
      </x:c>
      <x:c r="G181" s="38" t="n">
        <x:f aca="0">IF(OR(F66&lt;=0,G66&lt;F66),"n/m",G66/F66-1)</x:f>
        <x:v>0.09999110414102774</x:v>
      </x:c>
    </x:row>
    <x:row r="182" ht="15" hidden="0">
      <x:c r="A182" s="127" t="s">
        <x:v>115</x:v>
      </x:c>
      <x:c r="B182" s="127"/>
      <x:c r="C182" s="38" t="n">
        <x:f aca="0">IF(OR(H71&lt;=0,C71&lt;H71),"n/m",C71/H71-1)</x:f>
        <x:v>12.982517055402768</x:v>
      </x:c>
      <x:c r="D182" s="38" t="n">
        <x:f aca="0">IF(OR(C71&lt;=0,D71&lt;C71),"n/m",D71/C71-1)</x:f>
        <x:v>0.27319411275361416</x:v>
      </x:c>
      <x:c r="E182" s="38" t="n">
        <x:f aca="0">IF(OR(D71&lt;=0,E71&lt;D71),"n/m",E71/D71-1)</x:f>
        <x:v>0.14123088458380395</x:v>
      </x:c>
      <x:c r="F182" s="38" t="n">
        <x:f aca="0">IF(OR(E71&lt;=0,F71&lt;E71),"n/m",F71/E71-1)</x:f>
        <x:v>0.6029379638945898</x:v>
      </x:c>
      <x:c r="G182" s="38" t="n">
        <x:f aca="0">IF(OR(F71&lt;=0,G71&lt;F71),"n/m",G71/F71-1)</x:f>
        <x:v>0.06949995659894759</x:v>
      </x:c>
    </x:row>
    <x:row r="183" ht="15" hidden="0">
      <x:c r="A183" s="127"/>
      <x:c r="B183" s="127"/>
      <x:c r="C183" s="38">
        <x:f aca="0"/>
      </x:c>
      <x:c r="D183" s="38">
        <x:f aca="0"/>
      </x:c>
      <x:c r="E183" s="38">
        <x:f aca="0"/>
      </x:c>
      <x:c r="F183" s="38">
        <x:f aca="0"/>
      </x:c>
      <x:c r="G183" s="38">
        <x:f aca="0"/>
      </x:c>
    </x:row>
    <x:row r="184" ht="15" hidden="0">
      <x:c r="A184" s="127" t="s">
        <x:v>123</x:v>
      </x:c>
      <x:c r="B184" s="127"/>
      <x:c r="C184" s="38" t="n">
        <x:f aca="0">IF(OR(H79&lt;=0,C79&lt;H79),"n/m",C79/H79-1)</x:f>
        <x:v>3.2076767088335822</x:v>
      </x:c>
      <x:c r="D184" s="38" t="n">
        <x:f aca="0">IF(OR(C79&lt;=0,D79&lt;C79),"n/m",D79/C79-1)</x:f>
        <x:v>0.08730721385476681</x:v>
      </x:c>
      <x:c r="E184" s="38" t="str">
        <x:f aca="0">IF(OR(D79&lt;=0,E79&lt;D79),"n/m",E79/D79-1)</x:f>
        <x:v>n/m</x:v>
      </x:c>
      <x:c r="F184" s="38" t="n">
        <x:f aca="0">IF(OR(E79&lt;=0,F79&lt;E79),"n/m",F79/E79-1)</x:f>
        <x:v>1.0477138186485702</x:v>
      </x:c>
      <x:c r="G184" s="38" t="n">
        <x:f aca="0">IF(OR(F79&lt;=0,G79&lt;F79),"n/m",G79/F79-1)</x:f>
        <x:v>0.17738302819852692</x:v>
      </x:c>
    </x:row>
    <x:row r="185" ht="15" hidden="0">
      <x:c r="A185" s="127" t="s">
        <x:v>132</x:v>
      </x:c>
      <x:c r="B185" s="127"/>
      <x:c r="C185" s="38" t="n">
        <x:f aca="0">IF(OR(H93&lt;=0,C93&lt;H93),"n/m",C93/H93-1)</x:f>
        <x:v>1.4753269408450125</x:v>
      </x:c>
      <x:c r="D185" s="38" t="n">
        <x:f aca="0">IF(OR(C93&lt;=0,D93&lt;C93),"n/m",D93/C93-1)</x:f>
        <x:v>0.23828591431220536</x:v>
      </x:c>
      <x:c r="E185" s="38" t="n">
        <x:f aca="0">IF(OR(D93&lt;=0,E93&lt;D93),"n/m",E93/D93-1)</x:f>
        <x:v>0.5025031596147995</x:v>
      </x:c>
      <x:c r="F185" s="38" t="n">
        <x:f aca="0">IF(OR(E93&lt;=0,F93&lt;E93),"n/m",F93/E93-1)</x:f>
        <x:v>0.18663100329666316</x:v>
      </x:c>
      <x:c r="G185" s="38" t="str">
        <x:f aca="0">IF(OR(F93&lt;=0,G93&lt;F93),"n/m",G93/F93-1)</x:f>
        <x:v>n/m</x:v>
      </x:c>
    </x:row>
    <x:row r="186" ht="15" hidden="0">
      <x:c r="A186" s="127" t="s">
        <x:v>156</x:v>
      </x:c>
      <x:c r="B186" s="127"/>
      <x:c r="C186" s="38" t="n">
        <x:f aca="0">IF(OR(H25&lt;=0,C25&lt;H25),"n/m",C25/H25-1)</x:f>
        <x:v>0.15087817943697535</x:v>
      </x:c>
      <x:c r="D186" s="38" t="n">
        <x:f aca="0">IF(OR(C25&lt;=0,D25&lt;C25),"n/m",D25/C25-1)</x:f>
        <x:v>0.18286538589958368</x:v>
      </x:c>
      <x:c r="E186" s="38" t="n">
        <x:f aca="0">IF(OR(D25&lt;=0,E25&lt;D25),"n/m",E25/D25-1)</x:f>
        <x:v>0.1520130786820375</x:v>
      </x:c>
      <x:c r="F186" s="38" t="n">
        <x:f aca="0">IF(OR(E25&lt;=0,F25&lt;E25),"n/m",F25/E25-1)</x:f>
        <x:v>0.09826879427813529</x:v>
      </x:c>
      <x:c r="G186" s="38" t="n">
        <x:f aca="0">IF(OR(F25&lt;=0,G25&lt;F25),"n/m",G25/F25-1)</x:f>
        <x:v>0.13986072615155543</x:v>
      </x:c>
    </x:row>
    <x:row r="187" ht="15" hidden="0">
      <x:c r="A187" s="127" t="s">
        <x:v>76</x:v>
      </x:c>
      <x:c r="B187" s="127"/>
      <x:c r="C187" s="38" t="n">
        <x:f aca="0">IF(OR(H29&lt;=0,C29&lt;H29),"n/m",C29/H29-1)</x:f>
        <x:v>0.14131731572740436</x:v>
      </x:c>
      <x:c r="D187" s="38" t="n">
        <x:f aca="0">IF(OR(C29&lt;=0,D29&lt;C29),"n/m",D29/C29-1)</x:f>
        <x:v>0.13551264167613453</x:v>
      </x:c>
      <x:c r="E187" s="38" t="n">
        <x:f aca="0">IF(OR(D29&lt;=0,E29&lt;D29),"n/m",E29/D29-1)</x:f>
        <x:v>0.06866329355136847</x:v>
      </x:c>
      <x:c r="F187" s="38" t="n">
        <x:f aca="0">IF(OR(E29&lt;=0,F29&lt;E29),"n/m",F29/E29-1)</x:f>
        <x:v>0.07567321120607096</x:v>
      </x:c>
      <x:c r="G187" s="38" t="n">
        <x:f aca="0">IF(OR(F29&lt;=0,G29&lt;F29),"n/m",G29/F29-1)</x:f>
        <x:v>0.1905040587866602</x:v>
      </x:c>
    </x:row>
    <x:row r="188" ht="15" hidden="0">
      <x:c r="A188" s="127" t="s">
        <x:v>102</x:v>
      </x:c>
      <x:c r="B188" s="127"/>
      <x:c r="C188" s="38" t="n">
        <x:f aca="0">IF(OR(H55&lt;=0,C55&lt;H55),"n/m",C55/H55-1)</x:f>
        <x:v>0.2521079813506546</x:v>
      </x:c>
      <x:c r="D188" s="38" t="n">
        <x:f aca="0">IF(OR(C55&lt;=0,D55&lt;C55),"n/m",D55/C55-1)</x:f>
        <x:v>0.48658081745107595</x:v>
      </x:c>
      <x:c r="E188" s="38" t="n">
        <x:f aca="0">IF(OR(D55&lt;=0,E55&lt;D55),"n/m",E55/D55-1)</x:f>
        <x:v>0.34921915395884806</x:v>
      </x:c>
      <x:c r="F188" s="38" t="str">
        <x:f aca="0">IF(OR(E55&lt;=0,F55&lt;E55),"n/m",F55/E55-1)</x:f>
        <x:v>n/m</x:v>
      </x:c>
      <x:c r="G188" s="38" t="str">
        <x:f aca="0">IF(OR(F55&lt;=0,G55&lt;F55),"n/m",G55/F55-1)</x:f>
        <x:v>n/m</x:v>
      </x:c>
    </x:row>
    <x:row r="189" ht="15" hidden="0">
      <x:c r="A189" s="127" t="s">
        <x:v>150</x:v>
      </x:c>
      <x:c r="B189" s="127"/>
      <x:c r="C189" s="38" t="n">
        <x:f aca="0">IF(OR(H54&lt;=0,C54&lt;H54),"n/m",C54/H54-1)</x:f>
        <x:v>0.4446811807299962</x:v>
      </x:c>
      <x:c r="D189" s="38" t="n">
        <x:f aca="0">IF(OR(C54&lt;=0,D54&lt;C54),"n/m",D54/C54-1)</x:f>
        <x:v>0.34820516432028215</x:v>
      </x:c>
      <x:c r="E189" s="38" t="n">
        <x:f aca="0">IF(OR(D54&lt;=0,E54&lt;D54),"n/m",E54/D54-1)</x:f>
        <x:v>0.09545642836648849</x:v>
      </x:c>
      <x:c r="F189" s="38" t="n">
        <x:f aca="0">IF(OR(E54&lt;=0,F54&lt;E54),"n/m",F54/E54-1)</x:f>
        <x:v>0.14726031632892544</x:v>
      </x:c>
      <x:c r="G189" s="38" t="n">
        <x:f aca="0">IF(OR(F54&lt;=0,G54&lt;F54),"n/m",G54/F54-1)</x:f>
        <x:v>0.06807997507235397</x:v>
      </x:c>
    </x:row>
    <x:row r="190" ht="15" hidden="0">
      <x:c r="A190" s="127" t="s">
        <x:v>67</x:v>
      </x:c>
      <x:c r="B190" s="127"/>
      <x:c r="C190" s="38" t="str">
        <x:f aca="0">IF(OR(H20&lt;=0,C20&lt;H20),"n/m",C20/H20-1)</x:f>
        <x:v>n/m</x:v>
      </x:c>
      <x:c r="D190" s="38" t="n">
        <x:f aca="0">IF(OR(C20&lt;=0,D20&lt;C20),"n/m",D20/C20-1)</x:f>
        <x:v>0.2999356845791694</x:v>
      </x:c>
      <x:c r="E190" s="38" t="n">
        <x:f aca="0">IF(OR(D20&lt;=0,E20&lt;D20),"n/m",E20/D20-1)</x:f>
        <x:v>0.4447251450567724</x:v>
      </x:c>
      <x:c r="F190" s="38" t="n">
        <x:f aca="0">IF(OR(E20&lt;=0,F20&lt;E20),"n/m",F20/E20-1)</x:f>
        <x:v>0.36206926700705555</x:v>
      </x:c>
      <x:c r="G190" s="38" t="str">
        <x:f aca="0">IF(OR(F20&lt;=0,G20&lt;F20),"n/m",G20/F20-1)</x:f>
        <x:v>n/m</x:v>
      </x:c>
    </x:row>
    <x:row r="191" ht="15" hidden="0">
      <x:c r="A191" s="127" t="s">
        <x:v>69</x:v>
      </x:c>
      <x:c r="B191" s="127"/>
      <x:c r="C191" s="38" t="str">
        <x:f aca="0">IF(OR(H22&lt;=0,C22&lt;H22),"n/m",C22/H22-1)</x:f>
        <x:v>n/m</x:v>
      </x:c>
      <x:c r="D191" s="38" t="n">
        <x:f aca="0">IF(OR(C22&lt;=0,D22&lt;C22),"n/m",D22/C22-1)</x:f>
        <x:v>0.37008746297900785</x:v>
      </x:c>
      <x:c r="E191" s="38" t="n">
        <x:f aca="0">IF(OR(D22&lt;=0,E22&lt;D22),"n/m",E22/D22-1)</x:f>
        <x:v>0.06331647153583564</x:v>
      </x:c>
      <x:c r="F191" s="38" t="str">
        <x:f aca="0">IF(OR(E22&lt;=0,F22&lt;E22),"n/m",F22/E22-1)</x:f>
        <x:v>n/m</x:v>
      </x:c>
      <x:c r="G191" s="38" t="n">
        <x:f aca="0">IF(OR(F22&lt;=0,G22&lt;F22),"n/m",G22/F22-1)</x:f>
        <x:v>0.08692314044693461</x:v>
      </x:c>
    </x:row>
    <x:row r="192">
      <x:c r="A192" s="111"/>
      <x:c r="B192" s="111"/>
    </x:row>
    <x:row r="193" ht="15" hidden="0">
      <x:c r="A193" s="113" t="str">
        <x:v>n/m covers negative/undefined measures and growth percentages. Signed financial statements and common-size expense presentation preserve accounting signs.</x:v>
      </x:c>
      <x:c r="B193" s="111"/>
    </x:row>
    <x:row r="194">
      <x:c r="A194" s="111"/>
      <x:c r="B194" s="111"/>
    </x:row>
    <x:row r="195">
      <x:c r="A195" s="111"/>
      <x:c r="B195" s="111"/>
    </x:row>
    <x:row r="196" ht="22" customHeight="1">
      <x:c r="A196" s="126" t="str">
        <x:v>Financing classification (PKR million)</x:v>
      </x:c>
      <x:c r="B196" s="126"/>
      <x:c r="C196" s="71"/>
      <x:c r="D196" s="71"/>
      <x:c r="E196" s="71"/>
      <x:c r="F196" s="71"/>
      <x:c r="G196" s="71"/>
    </x:row>
    <x:row r="197">
      <x:c r="A197" s="111" t="str">
        <x:v>Interest-free parent loan excluded from IBD</x:v>
      </x:c>
      <x:c r="B197" s="111"/>
      <x:c r="C197" s="81" t="n">
        <x:v>0</x:v>
      </x:c>
      <x:c r="D197" s="81" t="n">
        <x:v>0</x:v>
      </x:c>
      <x:c r="E197" s="81" t="n">
        <x:v>0</x:v>
      </x:c>
      <x:c r="F197" s="81" t="n">
        <x:v>0</x:v>
      </x:c>
      <x:c r="G197" s="81" t="n">
        <x:v>0</x:v>
      </x:c>
      <x:c r="H197" s="81" t="n">
        <x:v>0</x:v>
      </x:c>
    </x:row>
    <x:row r="198">
      <x:c r="A198" s="111" t="str">
        <x:v>Accrued interest within financing balances</x:v>
      </x:c>
      <x:c r="B198" s="111"/>
      <x:c r="C198" s="81" t="n">
        <x:v>0</x:v>
      </x:c>
      <x:c r="D198" s="81" t="n">
        <x:v>0</x:v>
      </x:c>
      <x:c r="E198" s="81" t="n">
        <x:v>0</x:v>
      </x:c>
      <x:c r="F198" s="81" t="n">
        <x:v>0</x:v>
      </x:c>
      <x:c r="G198" s="81" t="n">
        <x:v>0</x:v>
      </x:c>
      <x:c r="H198" s="81" t="n">
        <x:v>0</x:v>
      </x:c>
    </x:row>
    <x:row r="199">
      <x:c r="A199" s="111" t="str">
        <x:v>Related operating supplier payable (included above)</x:v>
      </x:c>
      <x:c r="B199" s="111"/>
      <x:c r="C199" s="81" t="n">
        <x:v>0</x:v>
      </x:c>
      <x:c r="D199" s="81" t="n">
        <x:v>0</x:v>
      </x:c>
      <x:c r="E199" s="81" t="n">
        <x:v>0</x:v>
      </x:c>
      <x:c r="F199" s="81" t="n">
        <x:v>0</x:v>
      </x:c>
      <x:c r="G199" s="81" t="n">
        <x:v>0</x:v>
      </x:c>
      <x:c r="H199" s="81" t="n">
        <x:v>0</x:v>
      </x:c>
    </x:row>
    <x:row r="200">
      <x:c r="A200" s="111"/>
      <x:c r="B200" s="111"/>
      <x:c r="C200" s="81"/>
      <x:c r="D200" s="81"/>
      <x:c r="E200" s="81"/>
      <x:c r="F200" s="81"/>
      <x:c r="G200" s="81"/>
      <x:c r="H200" s="81"/>
    </x:row>
    <x:row r="201">
      <x:c r="A201" s="111"/>
      <x:c r="B201" s="111"/>
      <x:c r="C201" s="81"/>
      <x:c r="D201" s="81"/>
      <x:c r="E201" s="81"/>
      <x:c r="F201" s="81"/>
      <x:c r="G201" s="81"/>
      <x:c r="H201" s="81"/>
    </x:row>
    <x:row r="202">
      <x:c r="A202" s="111"/>
      <x:c r="B202" s="111"/>
      <x:c r="C202" s="81"/>
      <x:c r="D202" s="81"/>
      <x:c r="E202" s="81"/>
      <x:c r="F202" s="81"/>
      <x:c r="G202" s="81"/>
      <x:c r="H202" s="81"/>
    </x:row>
    <x:row r="203">
      <x:c r="A203" s="131" t="str">
        <x:v>Sources: KOHC FY2025 note 6.1 (PDF p89); FCCL FY2025 note 11 (PDF p268), FY2024 note 10; MLCF trade-payable and related-party notes.</x:v>
      </x:c>
      <x:c r="B203" s="131"/>
      <x:c r="C203" s="82"/>
      <x:c r="D203" s="82"/>
      <x:c r="E203" s="82"/>
      <x:c r="F203" s="82"/>
      <x:c r="G203" s="82"/>
      <x:c r="H203" s="81"/>
    </x:row>
    <x:row r="204">
      <x:c r="A204" s="111"/>
      <x:c r="B204" s="111"/>
    </x:row>
    <x:row r="205" ht="23" customHeight="1">
      <x:c r="A205" s="133" t="str">
        <x:v>NOWC n/m FY2021-25 reflects negative operating working capital. FY2020 NCL components are PKR0.400m below the printed subtotal; no plug is used.</x:v>
      </x:c>
      <x:c r="B205" s="133"/>
      <x:c r="C205" s="109"/>
      <x:c r="D205" s="109"/>
      <x:c r="E205" s="109"/>
      <x:c r="F205" s="109"/>
      <x:c r="G205" s="109"/>
    </x:row>
    <x:row r="206" ht="23" customHeight="1">
      <x:c r="A206" s="133"/>
      <x:c r="B206" s="133"/>
      <x:c r="C206" s="109"/>
      <x:c r="D206" s="109"/>
      <x:c r="E206" s="109"/>
      <x:c r="F206" s="109"/>
      <x:c r="G206" s="109"/>
    </x:row>
    <x:row r="207">
      <x:c r="A207" s="111"/>
      <x:c r="B207" s="111"/>
    </x:row>
    <x:row r="208">
      <x:c r="A208" s="111"/>
      <x:c r="B208" s="111"/>
    </x:row>
  </x:sheetData>
  <x:mergeCells>
    <x:mergeCell ref="A110:G110"/>
    <x:mergeCell ref="A116:G116"/>
    <x:mergeCell ref="A127:G127"/>
    <x:mergeCell ref="A133:G133"/>
    <x:mergeCell ref="A141:G141"/>
    <x:mergeCell ref="A196:G196"/>
    <x:mergeCell ref="A205:G20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FA98A"/>
  </x:sheetPr>
  <x:sheetViews>
    <x:sheetView showGridLines="0" workbookViewId="0">
      <x:pane xSplit="2" ySplit="5" topLeftCell="C6" activePane="bottomRight" state="frozen"/>
    </x:sheetView>
  </x:sheetViews>
  <x:sheetFormatPr defaultColWidth="8.6796875" defaultRowHeight="15"/>
  <x:cols>
    <x:col min="1" max="1" width="44" hidden="0" customWidth="1"/>
    <x:col min="2" max="2" width="36" hidden="0" customWidth="1"/>
    <x:col min="3" max="8" width="12" hidden="0" customWidth="1"/>
  </x:cols>
  <x:sheetData>
    <x:row r="1" ht="19.700000762939453" hidden="0">
      <x:c r="A1" s="110" t="s">
        <x:v>159</x:v>
      </x:c>
      <x:c r="B1" s="111"/>
    </x:row>
    <x:row r="2" ht="15" hidden="0">
      <x:c r="A2" s="112" t="s">
        <x:v>160</x:v>
      </x:c>
      <x:c r="B2" s="111"/>
    </x:row>
    <x:row r="3" ht="15" hidden="0">
      <x:c r="A3" s="113" t="s">
        <x:v>46</x:v>
      </x:c>
      <x:c r="B3" s="111"/>
    </x:row>
    <x:row r="4">
      <x:c r="A4" s="111"/>
      <x:c r="B4" s="111"/>
    </x:row>
    <x:row r="5">
      <x:c r="A5" s="111"/>
      <x:c r="B5" s="111"/>
    </x:row>
    <x:row r="6" ht="19.5" hidden="0" customHeight="1">
      <x:c r="A6" s="114" t="s">
        <x:v>47</x:v>
      </x:c>
      <x:c r="B6" s="115"/>
      <x:c r="C6" s="6"/>
      <x:c r="D6" s="6"/>
      <x:c r="E6" s="6"/>
      <x:c r="F6" s="6"/>
      <x:c r="G6" s="6"/>
      <x:c r="H6" s="6"/>
    </x:row>
    <x:row r="7" ht="16.5" hidden="0" customHeight="1">
      <x:c r="A7" s="116" t="s">
        <x:v>48</x:v>
      </x:c>
      <x:c r="B7" s="117"/>
      <x:c r="C7" s="19" t="s">
        <x:v>49</x:v>
      </x:c>
      <x:c r="D7" s="19" t="s">
        <x:v>50</x:v>
      </x:c>
      <x:c r="E7" s="19" t="s">
        <x:v>51</x:v>
      </x:c>
      <x:c r="F7" s="19" t="s">
        <x:v>52</x:v>
      </x:c>
      <x:c r="G7" s="19" t="s">
        <x:v>53</x:v>
      </x:c>
      <x:c r="H7" s="19" t="s">
        <x:v>54</x:v>
      </x:c>
    </x:row>
    <x:row r="8" ht="15" hidden="0">
      <x:c r="A8" s="118" t="s">
        <x:v>55</x:v>
      </x:c>
      <x:c r="B8" s="119"/>
      <x:c r="C8" s="21"/>
      <x:c r="D8" s="21"/>
      <x:c r="E8" s="21"/>
      <x:c r="F8" s="21"/>
      <x:c r="G8" s="21"/>
      <x:c r="H8" s="21"/>
    </x:row>
    <x:row r="9" ht="15" hidden="0">
      <x:c r="A9" s="120" t="s">
        <x:v>56</x:v>
      </x:c>
      <x:c r="B9" s="121"/>
      <x:c r="C9" s="24" t="n">
        <x:v>85020.109</x:v>
      </x:c>
      <x:c r="D9" s="24" t="n">
        <x:v>82803.86</x:v>
      </x:c>
      <x:c r="E9" s="24" t="n">
        <x:v>82245.65</x:v>
      </x:c>
      <x:c r="F9" s="24" t="n">
        <x:v>79877.839</x:v>
      </x:c>
      <x:c r="G9" s="24" t="n">
        <x:v>77252.559</x:v>
      </x:c>
      <x:c r="H9" s="24" t="n">
        <x:v>83537.295</x:v>
      </x:c>
    </x:row>
    <x:row r="10" ht="15" hidden="0">
      <x:c r="A10" s="120" t="s">
        <x:v>57</x:v>
      </x:c>
      <x:c r="B10" s="121"/>
      <x:c r="C10" s="24" t="n">
        <x:v>7726.72</x:v>
      </x:c>
      <x:c r="D10" s="24" t="n">
        <x:v>724.168</x:v>
      </x:c>
      <x:c r="E10" s="24" t="n">
        <x:v>2006.864</x:v>
      </x:c>
      <x:c r="F10" s="24" t="n">
        <x:v>1341.029</x:v>
      </x:c>
      <x:c r="G10" s="24" t="n">
        <x:v>798.312</x:v>
      </x:c>
      <x:c r="H10" s="24" t="n">
        <x:v>6358.259</x:v>
      </x:c>
    </x:row>
    <x:row r="11" ht="15" hidden="0">
      <x:c r="A11" s="120" t="s">
        <x:v>58</x:v>
      </x:c>
      <x:c r="B11" s="121"/>
      <x:c r="C11" s="24" t="n">
        <x:v>0</x:v>
      </x:c>
      <x:c r="D11" s="24" t="n">
        <x:v>0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</x:row>
    <x:row r="12" ht="15" hidden="0">
      <x:c r="A12" s="120" t="s">
        <x:v>59</x:v>
      </x:c>
      <x:c r="B12" s="121"/>
      <x:c r="C12" s="24" t="n">
        <x:v>0</x:v>
      </x:c>
      <x:c r="D12" s="24" t="n">
        <x:v>17.319</x:v>
      </x:c>
      <x:c r="E12" s="24" t="n">
        <x:v>10.152</x:v>
      </x:c>
      <x:c r="F12" s="24" t="n">
        <x:v>42.762</x:v>
      </x:c>
      <x:c r="G12" s="24" t="n">
        <x:v>13.076</x:v>
      </x:c>
      <x:c r="H12" s="24" t="n">
        <x:v>0</x:v>
      </x:c>
    </x:row>
    <x:row r="13" ht="15" hidden="0">
      <x:c r="A13" s="120" t="s">
        <x:v>60</x:v>
      </x:c>
      <x:c r="B13" s="121"/>
      <x:c r="C13" s="24" t="n">
        <x:v>0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</x:row>
    <x:row r="14" ht="15" hidden="0">
      <x:c r="A14" s="120" t="s">
        <x:v>61</x:v>
      </x:c>
      <x:c r="B14" s="121"/>
      <x:c r="C14" s="24" t="n">
        <x:v>15965.811</x:v>
      </x:c>
      <x:c r="D14" s="24" t="n">
        <x:v>12866.145</x:v>
      </x:c>
      <x:c r="E14" s="24" t="n">
        <x:v>13366.36</x:v>
      </x:c>
      <x:c r="F14" s="24" t="n">
        <x:v>16633.064</x:v>
      </x:c>
      <x:c r="G14" s="24" t="n">
        <x:v>20689.545</x:v>
      </x:c>
      <x:c r="H14" s="24" t="n">
        <x:v>11849.828</x:v>
      </x:c>
    </x:row>
    <x:row r="15" ht="15" hidden="0">
      <x:c r="A15" s="120" t="s">
        <x:v>62</x:v>
      </x:c>
      <x:c r="B15" s="121"/>
      <x:c r="C15" s="24" t="n">
        <x:v>57.513</x:v>
      </x:c>
      <x:c r="D15" s="24" t="n">
        <x:v>61.526</x:v>
      </x:c>
      <x:c r="E15" s="24" t="n">
        <x:v>64.426</x:v>
      </x:c>
      <x:c r="F15" s="24" t="n">
        <x:v>61.568</x:v>
      </x:c>
      <x:c r="G15" s="24" t="n">
        <x:v>61.013</x:v>
      </x:c>
      <x:c r="H15" s="24" t="n">
        <x:v>57.984</x:v>
      </x:c>
    </x:row>
    <x:row r="16" ht="15" hidden="0">
      <x:c r="A16" s="122" t="s">
        <x:v>63</x:v>
      </x:c>
      <x:c r="B16" s="123"/>
      <x:c r="C16" s="27" t="n">
        <x:f aca="0">C9+C11+C12+C13+C14+C15</x:f>
        <x:v>101043.433</x:v>
      </x:c>
      <x:c r="D16" s="27" t="n">
        <x:f aca="0">D9+D11+D12+D13+D14+D15</x:f>
        <x:v>95748.85</x:v>
      </x:c>
      <x:c r="E16" s="27" t="n">
        <x:f aca="0">E9+E11+E12+E13+E14+E15</x:f>
        <x:v>95686.588</x:v>
      </x:c>
      <x:c r="F16" s="27" t="n">
        <x:f aca="0">F9+F11+F12+F13+F14+F15</x:f>
        <x:v>96615.23300000001</x:v>
      </x:c>
      <x:c r="G16" s="27" t="n">
        <x:f aca="0">G9+G11+G12+G13+G14+G15</x:f>
        <x:v>98016.193</x:v>
      </x:c>
      <x:c r="H16" s="27" t="n">
        <x:f aca="0">H9+H11+H12+H13+H14+H15</x:f>
        <x:v>95445.10699999999</x:v>
      </x:c>
    </x:row>
    <x:row r="17" ht="15" hidden="0">
      <x:c r="A17" s="118" t="s">
        <x:v>64</x:v>
      </x:c>
      <x:c r="B17" s="119"/>
      <x:c r="C17" s="21"/>
      <x:c r="D17" s="21"/>
      <x:c r="E17" s="21"/>
      <x:c r="F17" s="21"/>
      <x:c r="G17" s="21"/>
      <x:c r="H17" s="21"/>
    </x:row>
    <x:row r="18" ht="15" hidden="0">
      <x:c r="A18" s="120" t="s">
        <x:v>65</x:v>
      </x:c>
      <x:c r="B18" s="121"/>
      <x:c r="C18" s="24" t="n">
        <x:v>12879.348</x:v>
      </x:c>
      <x:c r="D18" s="24" t="n">
        <x:v>16813.883</x:v>
      </x:c>
      <x:c r="E18" s="24" t="n">
        <x:v>13852.005</x:v>
      </x:c>
      <x:c r="F18" s="24" t="n">
        <x:v>12559.774</x:v>
      </x:c>
      <x:c r="G18" s="24" t="n">
        <x:v>12306.679</x:v>
      </x:c>
      <x:c r="H18" s="24" t="n">
        <x:v>8237.99</x:v>
      </x:c>
    </x:row>
    <x:row r="19" ht="15" hidden="0">
      <x:c r="A19" s="120" t="s">
        <x:v>66</x:v>
      </x:c>
      <x:c r="B19" s="121"/>
      <x:c r="C19" s="24" t="n">
        <x:v>2728.589</x:v>
      </x:c>
      <x:c r="D19" s="24" t="n">
        <x:v>5981.515</x:v>
      </x:c>
      <x:c r="E19" s="24" t="n">
        <x:v>8873.17</x:v>
      </x:c>
      <x:c r="F19" s="24" t="n">
        <x:v>7693.067</x:v>
      </x:c>
      <x:c r="G19" s="24" t="n">
        <x:v>8188.678</x:v>
      </x:c>
      <x:c r="H19" s="24" t="n">
        <x:v>4352.995</x:v>
      </x:c>
    </x:row>
    <x:row r="20" ht="15" hidden="0">
      <x:c r="A20" s="120" t="s">
        <x:v>67</x:v>
      </x:c>
      <x:c r="B20" s="121"/>
      <x:c r="C20" s="24" t="n">
        <x:v>1676.245</x:v>
      </x:c>
      <x:c r="D20" s="24" t="n">
        <x:v>1467.862</x:v>
      </x:c>
      <x:c r="E20" s="24" t="n">
        <x:v>1193.44</x:v>
      </x:c>
      <x:c r="F20" s="24" t="n">
        <x:v>855.742</x:v>
      </x:c>
      <x:c r="G20" s="24" t="n">
        <x:v>1493.08</x:v>
      </x:c>
      <x:c r="H20" s="24" t="n">
        <x:v>2286.084</x:v>
      </x:c>
    </x:row>
    <x:row r="21" ht="15" hidden="0">
      <x:c r="A21" s="120" t="s">
        <x:v>68</x:v>
      </x:c>
      <x:c r="B21" s="121"/>
      <x:c r="C21" s="24" t="n">
        <x:v>12946.786</x:v>
      </x:c>
      <x:c r="D21" s="24" t="n">
        <x:v>9962.421</x:v>
      </x:c>
      <x:c r="E21" s="24" t="n">
        <x:v>9270.898</x:v>
      </x:c>
      <x:c r="F21" s="24" t="n">
        <x:v>18384.882</x:v>
      </x:c>
      <x:c r="G21" s="24" t="n">
        <x:v>24005.1</x:v>
      </x:c>
      <x:c r="H21" s="24" t="n">
        <x:v>13126.388</x:v>
      </x:c>
    </x:row>
    <x:row r="22" ht="15" hidden="0">
      <x:c r="A22" s="120" t="s">
        <x:v>69</x:v>
      </x:c>
      <x:c r="B22" s="121"/>
      <x:c r="C22" s="24" t="n">
        <x:v>806.373</x:v>
      </x:c>
      <x:c r="D22" s="24" t="n">
        <x:v>410.803</x:v>
      </x:c>
      <x:c r="E22" s="24" t="n">
        <x:v>674.972</x:v>
      </x:c>
      <x:c r="F22" s="24" t="n">
        <x:v>732.168</x:v>
      </x:c>
      <x:c r="G22" s="24" t="n">
        <x:v>568.832</x:v>
      </x:c>
      <x:c r="H22" s="24" t="n">
        <x:v>347.834</x:v>
      </x:c>
    </x:row>
    <x:row r="23" ht="15" hidden="0">
      <x:c r="A23" s="120" t="s">
        <x:v>70</x:v>
      </x:c>
      <x:c r="B23" s="121"/>
      <x:c r="C23" s="24" t="n">
        <x:v>5813.923</x:v>
      </x:c>
      <x:c r="D23" s="24" t="n">
        <x:v>6176.679</x:v>
      </x:c>
      <x:c r="E23" s="24" t="n">
        <x:v>5162.181</x:v>
      </x:c>
      <x:c r="F23" s="24" t="n">
        <x:v>1544.888</x:v>
      </x:c>
      <x:c r="G23" s="24" t="n">
        <x:v>1345.673</x:v>
      </x:c>
      <x:c r="H23" s="24" t="n">
        <x:v>5755.136</x:v>
      </x:c>
    </x:row>
    <x:row r="24" ht="15" hidden="0">
      <x:c r="A24" s="122" t="s">
        <x:v>71</x:v>
      </x:c>
      <x:c r="B24" s="123"/>
      <x:c r="C24" s="27" t="n">
        <x:f aca="0">C18+C19+C20+C21+C22+C23</x:f>
        <x:v>36851.264</x:v>
      </x:c>
      <x:c r="D24" s="27" t="n">
        <x:f aca="0">D18+D19+D20+D21+D22+D23</x:f>
        <x:v>40813.163</x:v>
      </x:c>
      <x:c r="E24" s="27" t="n">
        <x:f aca="0">E18+E19+E20+E21+E22+E23</x:f>
        <x:v>39026.666</x:v>
      </x:c>
      <x:c r="F24" s="27" t="n">
        <x:f aca="0">F18+F19+F20+F21+F22+F23</x:f>
        <x:v>41770.52099999999</x:v>
      </x:c>
      <x:c r="G24" s="27" t="n">
        <x:f aca="0">G18+G19+G20+G21+G22+G23</x:f>
        <x:v>47908.042</x:v>
      </x:c>
      <x:c r="H24" s="27" t="n">
        <x:f aca="0">H18+H19+H20+H21+H22+H23</x:f>
        <x:v>34106.427</x:v>
      </x:c>
    </x:row>
    <x:row r="25" ht="15" hidden="0">
      <x:c r="A25" s="122" t="s">
        <x:v>72</x:v>
      </x:c>
      <x:c r="B25" s="123"/>
      <x:c r="C25" s="27" t="n">
        <x:f aca="0">C16+C24</x:f>
        <x:v>137894.69700000001</x:v>
      </x:c>
      <x:c r="D25" s="27" t="n">
        <x:f aca="0">D16+D24</x:f>
        <x:v>136562.013</x:v>
      </x:c>
      <x:c r="E25" s="27" t="n">
        <x:f aca="0">E16+E24</x:f>
        <x:v>134713.25400000002</x:v>
      </x:c>
      <x:c r="F25" s="27" t="n">
        <x:f aca="0">F16+F24</x:f>
        <x:v>138385.75400000002</x:v>
      </x:c>
      <x:c r="G25" s="27" t="n">
        <x:f aca="0">G16+G24</x:f>
        <x:v>145924.235</x:v>
      </x:c>
      <x:c r="H25" s="27" t="n">
        <x:f aca="0">H16+H24</x:f>
        <x:v>129551.53399999999</x:v>
      </x:c>
    </x:row>
    <x:row r="26" ht="15" hidden="0">
      <x:c r="A26" s="118" t="s">
        <x:v>73</x:v>
      </x:c>
      <x:c r="B26" s="119"/>
      <x:c r="C26" s="21"/>
      <x:c r="D26" s="21"/>
      <x:c r="E26" s="21"/>
      <x:c r="F26" s="21"/>
      <x:c r="G26" s="21"/>
      <x:c r="H26" s="21"/>
    </x:row>
    <x:row r="27" ht="15" hidden="0">
      <x:c r="A27" s="120" t="s">
        <x:v>74</x:v>
      </x:c>
      <x:c r="B27" s="121"/>
      <x:c r="C27" s="24" t="n">
        <x:v>4381.191</x:v>
      </x:c>
      <x:c r="D27" s="24" t="n">
        <x:v>4381.191</x:v>
      </x:c>
      <x:c r="E27" s="24" t="n">
        <x:v>4381.191</x:v>
      </x:c>
      <x:c r="F27" s="24" t="n">
        <x:v>4381.191</x:v>
      </x:c>
      <x:c r="G27" s="24" t="n">
        <x:v>4381.191</x:v>
      </x:c>
      <x:c r="H27" s="24" t="n">
        <x:v>4381.191</x:v>
      </x:c>
    </x:row>
    <x:row r="28" ht="15" hidden="0">
      <x:c r="A28" s="120" t="s">
        <x:v>75</x:v>
      </x:c>
      <x:c r="B28" s="121"/>
      <x:c r="C28" s="24" t="n">
        <x:v>69096.682</x:v>
      </x:c>
      <x:c r="D28" s="24" t="n">
        <x:v>65536.911</x:v>
      </x:c>
      <x:c r="E28" s="24" t="n">
        <x:v>59811.086</x:v>
      </x:c>
      <x:c r="F28" s="24" t="n">
        <x:v>71466.347</x:v>
      </x:c>
      <x:c r="G28" s="24" t="n">
        <x:v>90286.287</x:v>
      </x:c>
      <x:c r="H28" s="24" t="n">
        <x:v>62262.966</x:v>
      </x:c>
    </x:row>
    <x:row r="29" ht="15" hidden="0">
      <x:c r="A29" s="122" t="s">
        <x:v>76</x:v>
      </x:c>
      <x:c r="B29" s="123"/>
      <x:c r="C29" s="27" t="n">
        <x:f aca="0">C27+C28</x:f>
        <x:v>73477.873</x:v>
      </x:c>
      <x:c r="D29" s="27" t="n">
        <x:f aca="0">D27+D28</x:f>
        <x:v>69918.102</x:v>
      </x:c>
      <x:c r="E29" s="27" t="n">
        <x:f aca="0">E27+E28</x:f>
        <x:v>64192.277</x:v>
      </x:c>
      <x:c r="F29" s="27" t="n">
        <x:f aca="0">F27+F28</x:f>
        <x:v>75847.538</x:v>
      </x:c>
      <x:c r="G29" s="27" t="n">
        <x:f aca="0">G27+G28</x:f>
        <x:v>94667.478</x:v>
      </x:c>
      <x:c r="H29" s="27" t="n">
        <x:f aca="0">H27+H28</x:f>
        <x:v>66644.157</x:v>
      </x:c>
    </x:row>
    <x:row r="30" ht="15" hidden="0">
      <x:c r="A30" s="118" t="s">
        <x:v>77</x:v>
      </x:c>
      <x:c r="B30" s="119"/>
      <x:c r="C30" s="21"/>
      <x:c r="D30" s="21"/>
      <x:c r="E30" s="21"/>
      <x:c r="F30" s="21"/>
      <x:c r="G30" s="21"/>
      <x:c r="H30" s="21"/>
    </x:row>
    <x:row r="31" ht="15" hidden="0">
      <x:c r="A31" s="120" t="s">
        <x:v>78</x:v>
      </x:c>
      <x:c r="B31" s="121"/>
      <x:c r="C31" s="24" t="n">
        <x:v>19300.064</x:v>
      </x:c>
      <x:c r="D31" s="24" t="n">
        <x:v>14168.229</x:v>
      </x:c>
      <x:c r="E31" s="24" t="n">
        <x:v>9663.619</x:v>
      </x:c>
      <x:c r="F31" s="24" t="n">
        <x:v>15965.116</x:v>
      </x:c>
      <x:c r="G31" s="24" t="n">
        <x:v>10093.829</x:v>
      </x:c>
      <x:c r="H31" s="24" t="n">
        <x:v>21972</x:v>
      </x:c>
    </x:row>
    <x:row r="32" ht="15" hidden="0">
      <x:c r="A32" s="120" t="s">
        <x:v>79</x:v>
      </x:c>
      <x:c r="B32" s="121"/>
      <x:c r="C32" s="24" t="n">
        <x:v>0</x:v>
      </x:c>
      <x:c r="D32" s="24" t="n">
        <x:v>0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</x:row>
    <x:row r="33" ht="15" hidden="0">
      <x:c r="A33" s="120" t="s">
        <x:v>80</x:v>
      </x:c>
      <x:c r="B33" s="121"/>
      <x:c r="C33" s="24" t="n">
        <x:v>664.504</x:v>
      </x:c>
      <x:c r="D33" s="24" t="n">
        <x:v>450.684</x:v>
      </x:c>
      <x:c r="E33" s="24" t="n">
        <x:v>278.753</x:v>
      </x:c>
      <x:c r="F33" s="24" t="n">
        <x:v>154.614</x:v>
      </x:c>
      <x:c r="G33" s="24" t="n">
        <x:v>70.135</x:v>
      </x:c>
      <x:c r="H33" s="24" t="n">
        <x:v>0</x:v>
      </x:c>
    </x:row>
    <x:row r="34" ht="15" hidden="0">
      <x:c r="A34" s="120" t="s">
        <x:v>81</x:v>
      </x:c>
      <x:c r="B34" s="121"/>
      <x:c r="C34" s="24" t="n">
        <x:v>3378.941</x:v>
      </x:c>
      <x:c r="D34" s="24" t="n">
        <x:v>4942.15</x:v>
      </x:c>
      <x:c r="E34" s="24" t="n">
        <x:v>10613.603</x:v>
      </x:c>
      <x:c r="F34" s="24" t="n">
        <x:v>12675.472</x:v>
      </x:c>
      <x:c r="G34" s="24" t="n">
        <x:v>13286.942</x:v>
      </x:c>
      <x:c r="H34" s="24" t="n">
        <x:v>2535.349</x:v>
      </x:c>
    </x:row>
    <x:row r="35" ht="15" hidden="0">
      <x:c r="A35" s="120" t="s">
        <x:v>82</x:v>
      </x:c>
      <x:c r="B35" s="121"/>
      <x:c r="C35" s="24" t="n">
        <x:v>777.795</x:v>
      </x:c>
      <x:c r="D35" s="24" t="n">
        <x:v>993.817</x:v>
      </x:c>
      <x:c r="E35" s="24" t="n">
        <x:v>1289.212</x:v>
      </x:c>
      <x:c r="F35" s="24" t="n">
        <x:v>1517.297</x:v>
      </x:c>
      <x:c r="G35" s="24" t="n">
        <x:v>1894.931</x:v>
      </x:c>
      <x:c r="H35" s="24" t="n">
        <x:v>775.771</x:v>
      </x:c>
    </x:row>
    <x:row r="36" ht="15" hidden="0">
      <x:c r="A36" s="122" t="s">
        <x:v>83</x:v>
      </x:c>
      <x:c r="B36" s="123"/>
      <x:c r="C36" s="27" t="n">
        <x:f aca="0">C31+C32+C33+C34+C35</x:f>
        <x:v>24121.303999999996</x:v>
      </x:c>
      <x:c r="D36" s="27" t="n">
        <x:f aca="0">D31+D32+D33+D34+D35</x:f>
        <x:v>20554.879999999997</x:v>
      </x:c>
      <x:c r="E36" s="27" t="n">
        <x:f aca="0">E31+E32+E33+E34+E35</x:f>
        <x:v>21845.186999999998</x:v>
      </x:c>
      <x:c r="F36" s="27" t="n">
        <x:f aca="0">F31+F32+F33+F34+F35</x:f>
        <x:v>30312.498999999996</x:v>
      </x:c>
      <x:c r="G36" s="27" t="n">
        <x:f aca="0">G31+G32+G33+G34+G35</x:f>
        <x:v>25345.837</x:v>
      </x:c>
      <x:c r="H36" s="27" t="n">
        <x:f aca="0">H31+H32+H33+H34+H35</x:f>
        <x:v>25283.120000000003</x:v>
      </x:c>
    </x:row>
    <x:row r="37" ht="15" hidden="0">
      <x:c r="A37" s="118" t="s">
        <x:v>84</x:v>
      </x:c>
      <x:c r="B37" s="119"/>
      <x:c r="C37" s="21"/>
      <x:c r="D37" s="21"/>
      <x:c r="E37" s="21"/>
      <x:c r="F37" s="21"/>
      <x:c r="G37" s="21"/>
      <x:c r="H37" s="21"/>
    </x:row>
    <x:row r="38" ht="15" hidden="0">
      <x:c r="A38" s="120" t="s">
        <x:v>85</x:v>
      </x:c>
      <x:c r="B38" s="121"/>
      <x:c r="C38" s="24" t="n">
        <x:v>14923.151</x:v>
      </x:c>
      <x:c r="D38" s="24" t="n">
        <x:v>12591.709</x:v>
      </x:c>
      <x:c r="E38" s="24" t="n">
        <x:v>13783.299</x:v>
      </x:c>
      <x:c r="F38" s="24" t="n">
        <x:v>12394.455</x:v>
      </x:c>
      <x:c r="G38" s="24" t="n">
        <x:v>13333.448</x:v>
      </x:c>
      <x:c r="H38" s="24" t="n">
        <x:v>11298.187</x:v>
      </x:c>
    </x:row>
    <x:row r="39" ht="15" hidden="0">
      <x:c r="A39" s="120" t="s">
        <x:v>86</x:v>
      </x:c>
      <x:c r="B39" s="121"/>
      <x:c r="C39" s="24" t="n">
        <x:v>0</x:v>
      </x:c>
      <x:c r="D39" s="24" t="n">
        <x:v>0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</x:row>
    <x:row r="40" ht="15" hidden="0">
      <x:c r="A40" s="120" t="s">
        <x:v>87</x:v>
      </x:c>
      <x:c r="B40" s="121"/>
      <x:c r="C40" s="24" t="n">
        <x:v>507.769</x:v>
      </x:c>
      <x:c r="D40" s="24" t="n">
        <x:v>883.229</x:v>
      </x:c>
      <x:c r="E40" s="24" t="n">
        <x:v>1739.547</x:v>
      </x:c>
      <x:c r="F40" s="24" t="n">
        <x:v>1280.446</x:v>
      </x:c>
      <x:c r="G40" s="24" t="n">
        <x:v>229.652</x:v>
      </x:c>
      <x:c r="H40" s="24" t="n">
        <x:v>712.275</x:v>
      </x:c>
    </x:row>
    <x:row r="41" ht="15" hidden="0">
      <x:c r="A41" s="120" t="s">
        <x:v>88</x:v>
      </x:c>
      <x:c r="B41" s="121"/>
      <x:c r="C41" s="24" t="n">
        <x:v>18362.05</x:v>
      </x:c>
      <x:c r="D41" s="24" t="n">
        <x:v>25210.506</x:v>
      </x:c>
      <x:c r="E41" s="24" t="n">
        <x:v>25494.293</x:v>
      </x:c>
      <x:c r="F41" s="24" t="n">
        <x:v>13064.718</x:v>
      </x:c>
      <x:c r="G41" s="24" t="n">
        <x:v>9878.499</x:v>
      </x:c>
      <x:c r="H41" s="24" t="n">
        <x:v>23495.967</x:v>
      </x:c>
    </x:row>
    <x:row r="42" ht="15" hidden="0">
      <x:c r="A42" s="120" t="s">
        <x:v>89</x:v>
      </x:c>
      <x:c r="B42" s="121"/>
      <x:c r="C42" s="24" t="n">
        <x:v>6130.703</x:v>
      </x:c>
      <x:c r="D42" s="24" t="n">
        <x:v>7097.166</x:v>
      </x:c>
      <x:c r="E42" s="24" t="n">
        <x:v>7370.364</x:v>
      </x:c>
      <x:c r="F42" s="24" t="n">
        <x:v>5291.972</x:v>
      </x:c>
      <x:c r="G42" s="24" t="n">
        <x:v>1934.772</x:v>
      </x:c>
      <x:c r="H42" s="24" t="n">
        <x:v>2010.621</x:v>
      </x:c>
    </x:row>
    <x:row r="43" ht="15" hidden="0">
      <x:c r="A43" s="120" t="s">
        <x:v>90</x:v>
      </x:c>
      <x:c r="B43" s="121"/>
      <x:c r="C43" s="24" t="n">
        <x:v>0</x:v>
      </x:c>
      <x:c r="D43" s="24" t="n">
        <x:v>0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</x:row>
    <x:row r="44" ht="15" hidden="0">
      <x:c r="A44" s="120" t="s">
        <x:v>91</x:v>
      </x:c>
      <x:c r="B44" s="121"/>
      <x:c r="C44" s="24" t="n">
        <x:v>262.523</x:v>
      </x:c>
      <x:c r="D44" s="24" t="n">
        <x:v>213.883</x:v>
      </x:c>
      <x:c r="E44" s="24" t="n">
        <x:v>171.581</x:v>
      </x:c>
      <x:c r="F44" s="24" t="n">
        <x:v>124.138</x:v>
      </x:c>
      <x:c r="G44" s="24" t="n">
        <x:v>79.465</x:v>
      </x:c>
      <x:c r="H44" s="24" t="n">
        <x:v>0</x:v>
      </x:c>
    </x:row>
    <x:row r="45" ht="15" hidden="0">
      <x:c r="A45" s="120" t="s">
        <x:v>92</x:v>
      </x:c>
      <x:c r="B45" s="121"/>
      <x:c r="C45" s="24" t="n">
        <x:v>33.517</x:v>
      </x:c>
      <x:c r="D45" s="24" t="n">
        <x:v>34.512</x:v>
      </x:c>
      <x:c r="E45" s="24" t="n">
        <x:v>34.704</x:v>
      </x:c>
      <x:c r="F45" s="24" t="n">
        <x:v>34.201</x:v>
      </x:c>
      <x:c r="G45" s="24" t="n">
        <x:v>34.154</x:v>
      </x:c>
      <x:c r="H45" s="24" t="n">
        <x:v>33.837</x:v>
      </x:c>
    </x:row>
    <x:row r="46" ht="15" hidden="0">
      <x:c r="A46" s="120" t="s">
        <x:v>93</x:v>
      </x:c>
      <x:c r="B46" s="121"/>
      <x:c r="C46" s="24" t="n">
        <x:v>35.09</x:v>
      </x:c>
      <x:c r="D46" s="24" t="n">
        <x:v>35.09</x:v>
      </x:c>
      <x:c r="E46" s="24" t="n">
        <x:v>35.09</x:v>
      </x:c>
      <x:c r="F46" s="24" t="n">
        <x:v>35.09</x:v>
      </x:c>
      <x:c r="G46" s="24" t="n">
        <x:v>365.924</x:v>
      </x:c>
      <x:c r="H46" s="24" t="n">
        <x:v>35.09</x:v>
      </x:c>
    </x:row>
    <x:row r="47" ht="15" hidden="0">
      <x:c r="A47" s="120" t="s">
        <x:v>94</x:v>
      </x:c>
      <x:c r="B47" s="121"/>
      <x:c r="C47" s="24" t="n">
        <x:v>40.717</x:v>
      </x:c>
      <x:c r="D47" s="24" t="n">
        <x:v>22.936</x:v>
      </x:c>
      <x:c r="E47" s="24" t="n">
        <x:v>46.912</x:v>
      </x:c>
      <x:c r="F47" s="24" t="n">
        <x:v>0.697</x:v>
      </x:c>
      <x:c r="G47" s="24" t="n">
        <x:v>55.006</x:v>
      </x:c>
      <x:c r="H47" s="24" t="n">
        <x:v>38.28</x:v>
      </x:c>
    </x:row>
    <x:row r="48" ht="15" hidden="0">
      <x:c r="A48" s="122" t="s">
        <x:v>95</x:v>
      </x:c>
      <x:c r="B48" s="123"/>
      <x:c r="C48" s="27" t="n">
        <x:f aca="0">C38+C39+C40+C41+C42+C43+C44+C45+C46+C47</x:f>
        <x:v>40295.52</x:v>
      </x:c>
      <x:c r="D48" s="27" t="n">
        <x:f aca="0">D38+D39+D40+D41+D42+D43+D44+D45+D46+D47</x:f>
        <x:v>46089.031</x:v>
      </x:c>
      <x:c r="E48" s="27" t="n">
        <x:f aca="0">E38+E39+E40+E41+E42+E43+E44+E45+E46+E47</x:f>
        <x:v>48675.78999999999</x:v>
      </x:c>
      <x:c r="F48" s="27" t="n">
        <x:f aca="0">F38+F39+F40+F41+F42+F43+F44+F45+F46+F47</x:f>
        <x:v>32225.717</x:v>
      </x:c>
      <x:c r="G48" s="27" t="n">
        <x:f aca="0">G38+G39+G40+G41+G42+G43+G44+G45+G46+G47</x:f>
        <x:v>25910.920000000002</x:v>
      </x:c>
      <x:c r="H48" s="27" t="n">
        <x:f aca="0">H38+H39+H40+H41+H42+H43+H44+H45+H46+H47</x:f>
        <x:v>37624.257</x:v>
      </x:c>
    </x:row>
    <x:row r="49" ht="15" hidden="0">
      <x:c r="A49" s="122" t="s">
        <x:v>96</x:v>
      </x:c>
      <x:c r="B49" s="123"/>
      <x:c r="C49" s="27" t="n">
        <x:f aca="0">C36+C48</x:f>
        <x:v>64416.82399999999</x:v>
      </x:c>
      <x:c r="D49" s="27" t="n">
        <x:f aca="0">D36+D48</x:f>
        <x:v>66643.911</x:v>
      </x:c>
      <x:c r="E49" s="27" t="n">
        <x:f aca="0">E36+E48</x:f>
        <x:v>70520.97699999998</x:v>
      </x:c>
      <x:c r="F49" s="27" t="n">
        <x:f aca="0">F36+F48</x:f>
        <x:v>62538.216</x:v>
      </x:c>
      <x:c r="G49" s="27" t="n">
        <x:f aca="0">G36+G48</x:f>
        <x:v>51256.757</x:v>
      </x:c>
      <x:c r="H49" s="27" t="n">
        <x:f aca="0">H36+H48</x:f>
        <x:v>62907.377</x:v>
      </x:c>
    </x:row>
    <x:row r="50" ht="15" hidden="0">
      <x:c r="A50" s="122" t="s">
        <x:v>97</x:v>
      </x:c>
      <x:c r="B50" s="123"/>
      <x:c r="C50" s="27" t="n">
        <x:f aca="0">C29+C49</x:f>
        <x:v>137894.697</x:v>
      </x:c>
      <x:c r="D50" s="27" t="n">
        <x:f aca="0">D29+D49</x:f>
        <x:v>136562.01299999998</x:v>
      </x:c>
      <x:c r="E50" s="27" t="n">
        <x:f aca="0">E29+E49</x:f>
        <x:v>134713.254</x:v>
      </x:c>
      <x:c r="F50" s="27" t="n">
        <x:f aca="0">F29+F49</x:f>
        <x:v>138385.75400000002</x:v>
      </x:c>
      <x:c r="G50" s="27" t="n">
        <x:f aca="0">G29+G49</x:f>
        <x:v>145924.235</x:v>
      </x:c>
      <x:c r="H50" s="27" t="n">
        <x:f aca="0">H29+H49</x:f>
        <x:v>129551.53400000001</x:v>
      </x:c>
    </x:row>
    <x:row r="51" ht="15" hidden="0">
      <x:c r="A51" s="118" t="s">
        <x:v>98</x:v>
      </x:c>
      <x:c r="B51" s="119"/>
      <x:c r="C51" s="21"/>
      <x:c r="D51" s="21"/>
      <x:c r="E51" s="21"/>
      <x:c r="F51" s="21"/>
      <x:c r="G51" s="21"/>
      <x:c r="H51" s="21"/>
    </x:row>
    <x:row r="52" ht="15" hidden="0">
      <x:c r="A52" s="120" t="s">
        <x:v>99</x:v>
      </x:c>
      <x:c r="B52" s="121"/>
      <x:c r="C52" s="24" t="n">
        <x:v>7375.63</x:v>
      </x:c>
      <x:c r="D52" s="24" t="n">
        <x:v>3871.207</x:v>
      </x:c>
      <x:c r="E52" s="24" t="n">
        <x:v>6530.049</x:v>
      </x:c>
      <x:c r="F52" s="24" t="n">
        <x:v>5046.744</x:v>
      </x:c>
      <x:c r="G52" s="24" t="n">
        <x:v>3900.142</x:v>
      </x:c>
      <x:c r="H52" s="24" t="n">
        <x:v>4325.32</x:v>
      </x:c>
    </x:row>
    <x:row r="53" ht="15" hidden="0">
      <x:c r="A53" s="120" t="s">
        <x:v>100</x:v>
      </x:c>
      <x:c r="B53" s="121"/>
      <x:c r="C53" s="24" t="n">
        <x:f aca="0">C9-C10</x:f>
        <x:v>77293.389</x:v>
      </x:c>
      <x:c r="D53" s="24" t="n">
        <x:f aca="0">D9-D10</x:f>
        <x:v>82079.692</x:v>
      </x:c>
      <x:c r="E53" s="24" t="n">
        <x:f aca="0">E9-E10</x:f>
        <x:v>80238.786</x:v>
      </x:c>
      <x:c r="F53" s="24" t="n">
        <x:f aca="0">F9-F10</x:f>
        <x:v>78536.81000000001</x:v>
      </x:c>
      <x:c r="G53" s="24" t="n">
        <x:f aca="0">G9-G10</x:f>
        <x:v>76454.24699999999</x:v>
      </x:c>
      <x:c r="H53" s="24" t="n">
        <x:f aca="0">H9-H10</x:f>
        <x:v>77179.036</x:v>
      </x:c>
    </x:row>
    <x:row r="54" ht="15" hidden="0">
      <x:c r="A54" s="120" t="s">
        <x:v>101</x:v>
      </x:c>
      <x:c r="B54" s="121"/>
      <x:c r="C54" s="24" t="n">
        <x:f aca="0">C18+C19</x:f>
        <x:v>15607.937</x:v>
      </x:c>
      <x:c r="D54" s="24" t="n">
        <x:f aca="0">D18+D19</x:f>
        <x:v>22795.398</x:v>
      </x:c>
      <x:c r="E54" s="24" t="n">
        <x:f aca="0">E18+E19</x:f>
        <x:v>22725.175</x:v>
      </x:c>
      <x:c r="F54" s="24" t="n">
        <x:f aca="0">F18+F19</x:f>
        <x:v>20252.841</x:v>
      </x:c>
      <x:c r="G54" s="24" t="n">
        <x:f aca="0">G18+G19</x:f>
        <x:v>20495.357</x:v>
      </x:c>
      <x:c r="H54" s="24" t="n">
        <x:f aca="0">H18+H19</x:f>
        <x:v>12590.985</x:v>
      </x:c>
    </x:row>
    <x:row r="55" ht="15" hidden="0">
      <x:c r="A55" s="120" t="s">
        <x:v>102</x:v>
      </x:c>
      <x:c r="B55" s="121"/>
      <x:c r="C55" s="24" t="n">
        <x:f aca="0">C31+C32+C41+C42+C43-C197-C198</x:f>
        <x:v>43792.817</x:v>
      </x:c>
      <x:c r="D55" s="24" t="n">
        <x:f aca="0">D31+D32+D41+D42+D43-D197-D198</x:f>
        <x:v>46475.901</x:v>
      </x:c>
      <x:c r="E55" s="24" t="n">
        <x:f aca="0">E31+E32+E41+E42+E43-E197-E198</x:f>
        <x:v>42528.276000000005</x:v>
      </x:c>
      <x:c r="F55" s="24" t="n">
        <x:f aca="0">F31+F32+F41+F42+F43-F197-F198</x:f>
        <x:v>34321.806000000004</x:v>
      </x:c>
      <x:c r="G55" s="24" t="n">
        <x:f aca="0">G31+G32+G41+G42+G43-G197-G198</x:f>
        <x:v>21907.100000000002</x:v>
      </x:c>
      <x:c r="H55" s="24" t="n">
        <x:f aca="0">H31+H32+H41+H42+H43-H197-H198</x:f>
        <x:v>47478.588</x:v>
      </x:c>
    </x:row>
    <x:row r="56" ht="15" hidden="0">
      <x:c r="A56" s="120" t="s">
        <x:v>103</x:v>
      </x:c>
      <x:c r="B56" s="121"/>
      <x:c r="C56" s="24" t="n">
        <x:f aca="0">C31+C32</x:f>
        <x:v>19300.064</x:v>
      </x:c>
      <x:c r="D56" s="24" t="n">
        <x:f aca="0">D31+D32</x:f>
        <x:v>14168.229</x:v>
      </x:c>
      <x:c r="E56" s="24" t="n">
        <x:f aca="0">E31+E32</x:f>
        <x:v>9663.619</x:v>
      </x:c>
      <x:c r="F56" s="24" t="n">
        <x:f aca="0">F31+F32</x:f>
        <x:v>15965.116</x:v>
      </x:c>
      <x:c r="G56" s="24" t="n">
        <x:f aca="0">G31+G32</x:f>
        <x:v>10093.829</x:v>
      </x:c>
      <x:c r="H56" s="24" t="n">
        <x:f aca="0">H31+H32</x:f>
        <x:v>21972</x:v>
      </x:c>
    </x:row>
    <x:row r="57" ht="15" hidden="0">
      <x:c r="A57" s="120"/>
      <x:c r="B57" s="121"/>
      <x:c r="C57" s="24">
        <x:f aca="0"/>
      </x:c>
      <x:c r="D57" s="24">
        <x:f aca="0"/>
      </x:c>
      <x:c r="E57" s="24">
        <x:f aca="0"/>
      </x:c>
      <x:c r="F57" s="24">
        <x:f aca="0"/>
      </x:c>
      <x:c r="G57" s="24">
        <x:f aca="0"/>
      </x:c>
      <x:c r="H57" s="24">
        <x:f aca="0"/>
      </x:c>
    </x:row>
    <x:row r="58" ht="15" hidden="0">
      <x:c r="A58" s="120" t="s">
        <x:v>104</x:v>
      </x:c>
      <x:c r="B58" s="121"/>
      <x:c r="C58" s="24" t="n">
        <x:f aca="0">C55+C29</x:f>
        <x:v>117270.69</x:v>
      </x:c>
      <x:c r="D58" s="24" t="n">
        <x:f aca="0">D55+D29</x:f>
        <x:v>116394.003</x:v>
      </x:c>
      <x:c r="E58" s="24" t="n">
        <x:f aca="0">E55+E29</x:f>
        <x:v>106720.55300000001</x:v>
      </x:c>
      <x:c r="F58" s="24" t="n">
        <x:f aca="0">F55+F29</x:f>
        <x:v>110169.34400000001</x:v>
      </x:c>
      <x:c r="G58" s="24" t="n">
        <x:f aca="0">G55+G29</x:f>
        <x:v>116574.57800000001</x:v>
      </x:c>
      <x:c r="H58" s="24" t="n">
        <x:f aca="0">H55+H29</x:f>
        <x:v>114122.74500000001</x:v>
      </x:c>
    </x:row>
    <x:row r="59" ht="15" hidden="0">
      <x:c r="A59" s="120" t="s">
        <x:v>105</x:v>
      </x:c>
      <x:c r="B59" s="121"/>
      <x:c r="C59" s="24" t="n">
        <x:f aca="0">C24-C22-C21</x:f>
        <x:v>23098.105000000003</x:v>
      </x:c>
      <x:c r="D59" s="24" t="n">
        <x:f aca="0">D24-D22-D21</x:f>
        <x:v>30439.939</x:v>
      </x:c>
      <x:c r="E59" s="24" t="n">
        <x:f aca="0">E24-E22-E21</x:f>
        <x:v>29080.795999999995</x:v>
      </x:c>
      <x:c r="F59" s="24" t="n">
        <x:f aca="0">F24-F22-F21</x:f>
        <x:v>22653.470999999994</x:v>
      </x:c>
      <x:c r="G59" s="24" t="n">
        <x:f aca="0">G24-G22-G21</x:f>
        <x:v>23334.11</x:v>
      </x:c>
      <x:c r="H59" s="24" t="n">
        <x:f aca="0">H24-H22-H21</x:f>
        <x:v>20632.205</x:v>
      </x:c>
    </x:row>
    <x:row r="60" ht="15" hidden="0">
      <x:c r="A60" s="120" t="s">
        <x:v>106</x:v>
      </x:c>
      <x:c r="B60" s="121"/>
      <x:c r="C60" s="24" t="n">
        <x:f aca="0">C48-C41-C42-C43-C44-C40-C45</x:f>
        <x:v>14998.957999999997</x:v>
      </x:c>
      <x:c r="D60" s="24" t="n">
        <x:f aca="0">D48-D41-D42-D43-D44-D40-D45</x:f>
        <x:v>12649.735</x:v>
      </x:c>
      <x:c r="E60" s="24" t="n">
        <x:f aca="0">E48-E41-E42-E43-E44-E40-E45</x:f>
        <x:v>13865.300999999992</x:v>
      </x:c>
      <x:c r="F60" s="24" t="n">
        <x:f aca="0">F48-F41-F42-F43-F44-F40-F45</x:f>
        <x:v>12430.242</x:v>
      </x:c>
      <x:c r="G60" s="24" t="n">
        <x:f aca="0">G48-G41-G42-G43-G44-G40-G45</x:f>
        <x:v>13754.378</x:v>
      </x:c>
      <x:c r="H60" s="24" t="n">
        <x:f aca="0">H48-H41-H42-H43-H44-H40-H45</x:f>
        <x:v>11371.556999999999</x:v>
      </x:c>
    </x:row>
    <x:row r="61">
      <x:c r="A61" s="111"/>
      <x:c r="B61" s="111"/>
    </x:row>
    <x:row r="62" ht="19.5" hidden="0" customHeight="1">
      <x:c r="A62" s="114" t="s">
        <x:v>107</x:v>
      </x:c>
      <x:c r="B62" s="115"/>
      <x:c r="C62" s="6"/>
      <x:c r="D62" s="6"/>
      <x:c r="E62" s="6"/>
      <x:c r="F62" s="6"/>
      <x:c r="G62" s="6"/>
      <x:c r="H62" s="6"/>
    </x:row>
    <x:row r="63" ht="16.5" hidden="0" customHeight="1">
      <x:c r="A63" s="116" t="s">
        <x:v>48</x:v>
      </x:c>
      <x:c r="B63" s="117"/>
      <x:c r="C63" s="19" t="s">
        <x:v>49</x:v>
      </x:c>
      <x:c r="D63" s="19" t="s">
        <x:v>50</x:v>
      </x:c>
      <x:c r="E63" s="19" t="s">
        <x:v>51</x:v>
      </x:c>
      <x:c r="F63" s="19" t="s">
        <x:v>52</x:v>
      </x:c>
      <x:c r="G63" s="19" t="s">
        <x:v>53</x:v>
      </x:c>
      <x:c r="H63" s="19" t="s">
        <x:v>54</x:v>
      </x:c>
    </x:row>
    <x:row r="64" ht="15" hidden="0">
      <x:c r="A64" s="120" t="s">
        <x:v>108</x:v>
      </x:c>
      <x:c r="B64" s="121"/>
      <x:c r="C64" s="24" t="n">
        <x:v>45107.69</x:v>
      </x:c>
      <x:c r="D64" s="24" t="n">
        <x:v>58043.863</x:v>
      </x:c>
      <x:c r="E64" s="24" t="n">
        <x:v>64983.821</x:v>
      </x:c>
      <x:c r="F64" s="24" t="n">
        <x:v>66038.689</x:v>
      </x:c>
      <x:c r="G64" s="24" t="n">
        <x:v>71892.837</x:v>
      </x:c>
      <x:c r="H64" s="24" t="n">
        <x:v>38033.124</x:v>
      </x:c>
    </x:row>
    <x:row r="65" ht="15" hidden="0">
      <x:c r="A65" s="120" t="s">
        <x:v>109</x:v>
      </x:c>
      <x:c r="B65" s="121"/>
      <x:c r="C65" s="24" t="n">
        <x:v>-37035.798</x:v>
      </x:c>
      <x:c r="D65" s="24" t="n">
        <x:v>-47615.551</x:v>
      </x:c>
      <x:c r="E65" s="24" t="n">
        <x:v>-55428.046</x:v>
      </x:c>
      <x:c r="F65" s="24" t="n">
        <x:v>-55510.429</x:v>
      </x:c>
      <x:c r="G65" s="24" t="n">
        <x:v>-53387.166</x:v>
      </x:c>
      <x:c r="H65" s="24" t="n">
        <x:v>-36447.218</x:v>
      </x:c>
    </x:row>
    <x:row r="66" ht="15" hidden="0">
      <x:c r="A66" s="122" t="s">
        <x:v>110</x:v>
      </x:c>
      <x:c r="B66" s="123"/>
      <x:c r="C66" s="27" t="n">
        <x:f aca="0">C64+C65</x:f>
        <x:v>8071.892</x:v>
      </x:c>
      <x:c r="D66" s="27" t="n">
        <x:f aca="0">D64+D65</x:f>
        <x:v>10428.311999999998</x:v>
      </x:c>
      <x:c r="E66" s="27" t="n">
        <x:f aca="0">E64+E65</x:f>
        <x:v>9555.775000000001</x:v>
      </x:c>
      <x:c r="F66" s="27" t="n">
        <x:f aca="0">F64+F65</x:f>
        <x:v>10528.260000000002</x:v>
      </x:c>
      <x:c r="G66" s="27" t="n">
        <x:f aca="0">G64+G65</x:f>
        <x:v>18505.671000000002</x:v>
      </x:c>
      <x:c r="H66" s="27" t="n">
        <x:f aca="0">H64+H65</x:f>
        <x:v>1585.9060000000027</x:v>
      </x:c>
    </x:row>
    <x:row r="67" ht="15" hidden="0">
      <x:c r="A67" s="120" t="s">
        <x:v>111</x:v>
      </x:c>
      <x:c r="B67" s="121"/>
      <x:c r="C67" s="24" t="n">
        <x:v>-1950.056</x:v>
      </x:c>
      <x:c r="D67" s="24" t="n">
        <x:v>-1748.859</x:v>
      </x:c>
      <x:c r="E67" s="24" t="n">
        <x:v>-1818.028</x:v>
      </x:c>
      <x:c r="F67" s="24" t="n">
        <x:v>-2608.537</x:v>
      </x:c>
      <x:c r="G67" s="24" t="n">
        <x:v>-3874.688</x:v>
      </x:c>
      <x:c r="H67" s="24" t="n">
        <x:v>-1783.422</x:v>
      </x:c>
    </x:row>
    <x:row r="68" ht="15" hidden="0">
      <x:c r="A68" s="120" t="s">
        <x:v>112</x:v>
      </x:c>
      <x:c r="B68" s="121"/>
      <x:c r="C68" s="24" t="n">
        <x:v>-646.762</x:v>
      </x:c>
      <x:c r="D68" s="24" t="n">
        <x:v>-751.052</x:v>
      </x:c>
      <x:c r="E68" s="24" t="n">
        <x:v>-879.356</x:v>
      </x:c>
      <x:c r="F68" s="24" t="n">
        <x:v>-1206.105</x:v>
      </x:c>
      <x:c r="G68" s="24" t="n">
        <x:v>-1294.974</x:v>
      </x:c>
      <x:c r="H68" s="24" t="n">
        <x:v>-658.874</x:v>
      </x:c>
    </x:row>
    <x:row r="69" ht="15" hidden="0">
      <x:c r="A69" s="120" t="s">
        <x:v>113</x:v>
      </x:c>
      <x:c r="B69" s="121"/>
      <x:c r="C69" s="24" t="n">
        <x:v>104.703</x:v>
      </x:c>
      <x:c r="D69" s="24" t="n">
        <x:v>-8.99</x:v>
      </x:c>
      <x:c r="E69" s="24" t="n">
        <x:v>-104.094</x:v>
      </x:c>
      <x:c r="F69" s="24" t="n">
        <x:v>-103.367</x:v>
      </x:c>
      <x:c r="G69" s="24" t="n">
        <x:v>-6.899</x:v>
      </x:c>
      <x:c r="H69" s="24" t="n">
        <x:v>-146.447</x:v>
      </x:c>
    </x:row>
    <x:row r="70" ht="15" hidden="0">
      <x:c r="A70" s="120" t="s">
        <x:v>114</x:v>
      </x:c>
      <x:c r="B70" s="121"/>
      <x:c r="C70" s="24" t="n">
        <x:v>-414.315</x:v>
      </x:c>
      <x:c r="D70" s="24" t="n">
        <x:v>-1042.803</x:v>
      </x:c>
      <x:c r="E70" s="24" t="n">
        <x:v>-96.461</x:v>
      </x:c>
      <x:c r="F70" s="24" t="n">
        <x:v>-5.033</x:v>
      </x:c>
      <x:c r="G70" s="24" t="n">
        <x:v>-725.663</x:v>
      </x:c>
      <x:c r="H70" s="24" t="n">
        <x:v>-529.64</x:v>
      </x:c>
    </x:row>
    <x:row r="71" ht="15" hidden="0">
      <x:c r="A71" s="122" t="s">
        <x:v>115</x:v>
      </x:c>
      <x:c r="B71" s="123"/>
      <x:c r="C71" s="27" t="n">
        <x:f aca="0">C66+C67+C68+C69+C70</x:f>
        <x:v>5165.462</x:v>
      </x:c>
      <x:c r="D71" s="27" t="n">
        <x:f aca="0">D66+D67+D68+D69+D70</x:f>
        <x:v>6876.607999999998</x:v>
      </x:c>
      <x:c r="E71" s="27" t="n">
        <x:f aca="0">E66+E67+E68+E69+E70</x:f>
        <x:v>6657.836000000001</x:v>
      </x:c>
      <x:c r="F71" s="27" t="n">
        <x:f aca="0">F66+F67+F68+F69+F70</x:f>
        <x:v>6605.218000000002</x:v>
      </x:c>
      <x:c r="G71" s="27" t="n">
        <x:f aca="0">G66+G67+G68+G69+G70</x:f>
        <x:v>12603.447000000002</x:v>
      </x:c>
      <x:c r="H71" s="27" t="n">
        <x:f aca="0">H66+H67+H68+H69+H70</x:f>
        <x:v>-1532.4769999999974</x:v>
      </x:c>
    </x:row>
    <x:row r="72" ht="15" hidden="0">
      <x:c r="A72" s="120" t="s">
        <x:v>116</x:v>
      </x:c>
      <x:c r="B72" s="121"/>
      <x:c r="C72" s="24" t="n">
        <x:v>2526.818</x:v>
      </x:c>
      <x:c r="D72" s="24" t="n">
        <x:v>2714.34</x:v>
      </x:c>
      <x:c r="E72" s="24" t="n">
        <x:v>3246.999</x:v>
      </x:c>
      <x:c r="F72" s="24" t="n">
        <x:v>4234.797</x:v>
      </x:c>
      <x:c r="G72" s="24" t="n">
        <x:v>4271.57</x:v>
      </x:c>
      <x:c r="H72" s="24" t="n">
        <x:v>2429.575</x:v>
      </x:c>
    </x:row>
    <x:row r="73" ht="15" hidden="0">
      <x:c r="A73" s="120" t="s">
        <x:v>117</x:v>
      </x:c>
      <x:c r="B73" s="121"/>
      <x:c r="C73" s="24" t="n">
        <x:v>0</x:v>
      </x:c>
      <x:c r="D73" s="24" t="n">
        <x:v>0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</x:row>
    <x:row r="74" ht="15" hidden="0">
      <x:c r="A74" s="120" t="s">
        <x:v>118</x:v>
      </x:c>
      <x:c r="B74" s="121"/>
      <x:c r="C74" s="24" t="n">
        <x:v>0</x:v>
      </x:c>
      <x:c r="D74" s="24" t="n">
        <x:v>0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</x:row>
    <x:row r="75" ht="15" hidden="0">
      <x:c r="A75" s="120" t="s">
        <x:v>119</x:v>
      </x:c>
      <x:c r="B75" s="121"/>
      <x:c r="C75" s="24" t="n">
        <x:v>-2920.875</x:v>
      </x:c>
      <x:c r="D75" s="24" t="n">
        <x:v>-3571.187</x:v>
      </x:c>
      <x:c r="E75" s="24" t="n">
        <x:v>-6742.292</x:v>
      </x:c>
      <x:c r="F75" s="24" t="n">
        <x:v>-8001.105</x:v>
      </x:c>
      <x:c r="G75" s="24" t="n">
        <x:v>-3870.405</x:v>
      </x:c>
      <x:c r="H75" s="24" t="n">
        <x:v>-4653.286</x:v>
      </x:c>
    </x:row>
    <x:row r="76" ht="15" hidden="0">
      <x:c r="A76" s="122" t="s">
        <x:v>120</x:v>
      </x:c>
      <x:c r="B76" s="123"/>
      <x:c r="C76" s="27" t="n">
        <x:f aca="0">C71+C72+C73+C74+C75</x:f>
        <x:v>4771.405000000001</x:v>
      </x:c>
      <x:c r="D76" s="27" t="n">
        <x:f aca="0">D71+D72+D73+D74+D75</x:f>
        <x:v>6019.760999999999</x:v>
      </x:c>
      <x:c r="E76" s="27" t="n">
        <x:f aca="0">E71+E72+E73+E74+E75</x:f>
        <x:v>3162.5430000000006</x:v>
      </x:c>
      <x:c r="F76" s="27" t="n">
        <x:f aca="0">F71+F72+F73+F74+F75</x:f>
        <x:v>2838.9100000000017</x:v>
      </x:c>
      <x:c r="G76" s="27" t="n">
        <x:f aca="0">G71+G72+G73+G74+G75</x:f>
        <x:v>13004.612</x:v>
      </x:c>
      <x:c r="H76" s="27" t="n">
        <x:f aca="0">H71+H72+H73+H74+H75</x:f>
        <x:v>-3756.1879999999974</x:v>
      </x:c>
    </x:row>
    <x:row r="77" ht="15" hidden="0">
      <x:c r="A77" s="120" t="s">
        <x:v>121</x:v>
      </x:c>
      <x:c r="B77" s="121"/>
      <x:c r="C77" s="24" t="n">
        <x:v>0</x:v>
      </x:c>
      <x:c r="D77" s="24" t="n">
        <x:v>0</x:v>
      </x:c>
      <x:c r="E77" s="24" t="n">
        <x:v>-364.054</x:v>
      </x:c>
      <x:c r="F77" s="24" t="n">
        <x:v>-520.848</x:v>
      </x:c>
      <x:c r="G77" s="24" t="n">
        <x:v>-577.125</x:v>
      </x:c>
      <x:c r="H77" s="24" t="n">
        <x:v>0</x:v>
      </x:c>
    </x:row>
    <x:row r="78" ht="15" hidden="0">
      <x:c r="A78" s="120" t="s">
        <x:v>122</x:v>
      </x:c>
      <x:c r="B78" s="121"/>
      <x:c r="C78" s="24" t="n">
        <x:v>-1050.132</x:v>
      </x:c>
      <x:c r="D78" s="24" t="n">
        <x:v>-3047.629</x:v>
      </x:c>
      <x:c r="E78" s="24" t="n">
        <x:v>-6434.465</x:v>
      </x:c>
      <x:c r="F78" s="24" t="n">
        <x:v>-1775.666</x:v>
      </x:c>
      <x:c r="G78" s="24" t="n">
        <x:v>-3752.428</x:v>
      </x:c>
      <x:c r="H78" s="24" t="n">
        <x:v>1597.527</x:v>
      </x:c>
    </x:row>
    <x:row r="79" ht="15" hidden="0">
      <x:c r="A79" s="122" t="s">
        <x:v>123</x:v>
      </x:c>
      <x:c r="B79" s="123"/>
      <x:c r="C79" s="27" t="n">
        <x:f aca="0">C76+C77+C78</x:f>
        <x:v>3721.2730000000006</x:v>
      </x:c>
      <x:c r="D79" s="27" t="n">
        <x:f aca="0">D76+D77+D78</x:f>
        <x:v>2972.1319999999987</x:v>
      </x:c>
      <x:c r="E79" s="27" t="n">
        <x:f aca="0">E76+E77+E78</x:f>
        <x:v>-3635.9759999999997</x:v>
      </x:c>
      <x:c r="F79" s="27" t="n">
        <x:f aca="0">F76+F77+F78</x:f>
        <x:v>542.3960000000018</x:v>
      </x:c>
      <x:c r="G79" s="27" t="n">
        <x:f aca="0">G76+G77+G78</x:f>
        <x:v>8675.059</x:v>
      </x:c>
      <x:c r="H79" s="27" t="n">
        <x:f aca="0">H76+H77+H78</x:f>
        <x:v>-2158.6609999999973</x:v>
      </x:c>
    </x:row>
    <x:row r="80" ht="15" hidden="0">
      <x:c r="A80" s="118" t="s">
        <x:v>124</x:v>
      </x:c>
      <x:c r="B80" s="119"/>
      <x:c r="C80" s="21"/>
      <x:c r="D80" s="21"/>
      <x:c r="E80" s="21"/>
      <x:c r="F80" s="21"/>
      <x:c r="G80" s="21"/>
      <x:c r="H80" s="21"/>
    </x:row>
    <x:row r="81" ht="15" hidden="0">
      <x:c r="A81" s="120"/>
      <x:c r="B81" s="121"/>
      <x:c r="C81" s="24"/>
      <x:c r="D81" s="24"/>
      <x:c r="E81" s="24"/>
      <x:c r="F81" s="24"/>
      <x:c r="G81" s="24"/>
      <x:c r="H81" s="24"/>
    </x:row>
    <x:row r="82" ht="15" hidden="0">
      <x:c r="A82" s="120" t="s">
        <x:v>125</x:v>
      </x:c>
      <x:c r="B82" s="121"/>
      <x:c r="C82" s="24" t="n">
        <x:f aca="0">C76-C75</x:f>
        <x:v>7692.280000000001</x:v>
      </x:c>
      <x:c r="D82" s="24" t="n">
        <x:f aca="0">D76-D75</x:f>
        <x:v>9590.947999999999</x:v>
      </x:c>
      <x:c r="E82" s="24" t="n">
        <x:f aca="0">E76-E75</x:f>
        <x:v>9904.835000000001</x:v>
      </x:c>
      <x:c r="F82" s="24" t="n">
        <x:f aca="0">F76-F75</x:f>
        <x:v>10840.015000000001</x:v>
      </x:c>
      <x:c r="G82" s="24" t="n">
        <x:f aca="0">G76-G75</x:f>
        <x:v>16875.017</x:v>
      </x:c>
      <x:c r="H82" s="24" t="n">
        <x:f aca="0">H76-H75</x:f>
        <x:v>897.0980000000027</x:v>
      </x:c>
    </x:row>
    <x:row r="83" ht="15" hidden="0">
      <x:c r="A83" s="120"/>
      <x:c r="B83" s="121"/>
      <x:c r="C83" s="24">
        <x:f aca="0"/>
      </x:c>
      <x:c r="D83" s="24">
        <x:f aca="0"/>
      </x:c>
      <x:c r="E83" s="24">
        <x:f aca="0"/>
      </x:c>
      <x:c r="F83" s="24">
        <x:f aca="0"/>
      </x:c>
      <x:c r="G83" s="24">
        <x:f aca="0"/>
      </x:c>
      <x:c r="H83" s="24">
        <x:f aca="0"/>
      </x:c>
    </x:row>
    <x:row r="84" ht="15" hidden="0">
      <x:c r="A84" s="120" t="s">
        <x:v>126</x:v>
      </x:c>
      <x:c r="B84" s="121"/>
      <x:c r="C84" s="24" t="n">
        <x:v>34.766</x:v>
      </x:c>
      <x:c r="D84" s="24" t="n">
        <x:v>26.53</x:v>
      </x:c>
      <x:c r="E84" s="24" t="n">
        <x:v>38.493</x:v>
      </x:c>
      <x:c r="F84" s="24" t="n">
        <x:v>76.127</x:v>
      </x:c>
      <x:c r="G84" s="24" t="n">
        <x:v>53.669</x:v>
      </x:c>
      <x:c r="H84" s="28"/>
    </x:row>
    <x:row r="85" ht="15" hidden="0">
      <x:c r="A85" s="120" t="s">
        <x:v>127</x:v>
      </x:c>
      <x:c r="B85" s="121"/>
      <x:c r="C85" s="24" t="n">
        <x:f aca="0">-C75-C84</x:f>
        <x:v>2886.109</x:v>
      </x:c>
      <x:c r="D85" s="24" t="n">
        <x:f aca="0">-D75-D84</x:f>
        <x:v>3544.6569999999997</x:v>
      </x:c>
      <x:c r="E85" s="24" t="n">
        <x:f aca="0">-E75-E84</x:f>
        <x:v>6703.799</x:v>
      </x:c>
      <x:c r="F85" s="24" t="n">
        <x:f aca="0">-F75-F84</x:f>
        <x:v>7924.977999999999</x:v>
      </x:c>
      <x:c r="G85" s="24" t="n">
        <x:f aca="0">-G75-G84</x:f>
        <x:v>3816.7360000000003</x:v>
      </x:c>
      <x:c r="H85" s="28"/>
    </x:row>
    <x:row r="86" ht="15" hidden="0">
      <x:c r="A86" s="120" t="s">
        <x:v>128</x:v>
      </x:c>
      <x:c r="B86" s="121"/>
      <x:c r="C86" s="29" t="n">
        <x:f aca="0">IF(C76&lt;=0,"n/m",-(C77+C78)/C76)</x:f>
        <x:v>0.2200886321743805</x:v>
      </x:c>
      <x:c r="D86" s="29" t="n">
        <x:f aca="0">IF(D76&lt;=0,"n/m",-(D77+D78)/D76)</x:f>
        <x:v>0.5062707639057432</x:v>
      </x:c>
      <x:c r="E86" s="29" t="n">
        <x:f aca="0">IF(E76&lt;=0,"n/m",-(E77+E78)/E76)</x:f>
        <x:v>2.1497000989393658</x:v>
      </x:c>
      <x:c r="F86" s="29" t="n">
        <x:f aca="0">IF(F76&lt;=0,"n/m",-(F77+F78)/F76)</x:f>
        <x:v>0.8089421644222602</x:v>
      </x:c>
      <x:c r="G86" s="29" t="n">
        <x:f aca="0">IF(G76&lt;=0,"n/m",-(G77+G78)/G76)</x:f>
        <x:v>0.3329244271186253</x:v>
      </x:c>
      <x:c r="H86" s="28"/>
    </x:row>
    <x:row r="87" ht="15" hidden="0">
      <x:c r="A87" s="120" t="str">
        <x:v>NOPAT tax rate = actual audited ETR (no cap)</x:v>
      </x:c>
      <x:c r="B87" s="121"/>
      <x:c r="C87" s="29" t="n">
        <x:f aca="0">C86</x:f>
        <x:v>0.2200886321743805</x:v>
      </x:c>
      <x:c r="D87" s="29" t="n">
        <x:f aca="0">D86</x:f>
        <x:v>0.5062707639057432</x:v>
      </x:c>
      <x:c r="E87" s="29" t="n">
        <x:f aca="0">E86</x:f>
        <x:v>2.1497000989393658</x:v>
      </x:c>
      <x:c r="F87" s="29" t="n">
        <x:f aca="0">F86</x:f>
        <x:v>0.8089421644222602</x:v>
      </x:c>
      <x:c r="G87" s="29" t="n">
        <x:f aca="0">G86</x:f>
        <x:v>0.3329244271186253</x:v>
      </x:c>
      <x:c r="H87" s="28"/>
    </x:row>
    <x:row r="88" ht="15" hidden="0">
      <x:c r="A88" s="120" t="s">
        <x:v>129</x:v>
      </x:c>
      <x:c r="B88" s="121"/>
      <x:c r="C88" s="24" t="n">
        <x:f aca="0">IF(ISNUMBER(C87),C82*(1-C87),"n/m")</x:f>
        <x:v>5999.296616497657</x:v>
      </x:c>
      <x:c r="D88" s="24" t="n">
        <x:f aca="0">IF(ISNUMBER(D87),D82*(1-D87),"n/m")</x:f>
        <x:v>4735.331429459739</x:v>
      </x:c>
      <x:c r="E88" s="24" t="n">
        <x:f aca="0">IF(ISNUMBER(E87),E82*(1-E87),"n/m")</x:f>
        <x:v>-11387.589779478094</x:v>
      </x:c>
      <x:c r="F88" s="24" t="n">
        <x:f aca="0">IF(ISNUMBER(F87),F82*(1-F87),"n/m")</x:f>
        <x:v>2071.0698035302335</x:v>
      </x:c>
      <x:c r="G88" s="24" t="n">
        <x:f aca="0">IF(ISNUMBER(G87),G82*(1-G87),"n/m")</x:f>
        <x:v>11256.911632657935</x:v>
      </x:c>
      <x:c r="H88" s="28"/>
    </x:row>
    <x:row r="89">
      <x:c r="A89" s="111"/>
      <x:c r="B89" s="111"/>
    </x:row>
    <x:row r="90" ht="19.5" hidden="0" customHeight="1">
      <x:c r="A90" s="114" t="s">
        <x:v>130</x:v>
      </x:c>
      <x:c r="B90" s="115"/>
      <x:c r="C90" s="6"/>
      <x:c r="D90" s="6"/>
      <x:c r="E90" s="6"/>
      <x:c r="F90" s="6"/>
      <x:c r="G90" s="6"/>
      <x:c r="H90" s="6"/>
    </x:row>
    <x:row r="91" ht="16.5" hidden="0" customHeight="1">
      <x:c r="A91" s="116" t="s">
        <x:v>48</x:v>
      </x:c>
      <x:c r="B91" s="117"/>
      <x:c r="C91" s="19" t="s">
        <x:v>49</x:v>
      </x:c>
      <x:c r="D91" s="19" t="s">
        <x:v>50</x:v>
      </x:c>
      <x:c r="E91" s="19" t="s">
        <x:v>51</x:v>
      </x:c>
      <x:c r="F91" s="19" t="s">
        <x:v>52</x:v>
      </x:c>
      <x:c r="G91" s="19" t="s">
        <x:v>53</x:v>
      </x:c>
      <x:c r="H91" s="19" t="s">
        <x:v>54</x:v>
      </x:c>
    </x:row>
    <x:row r="92" ht="15" hidden="0">
      <x:c r="A92" s="120" t="s">
        <x:v>131</x:v>
      </x:c>
      <x:c r="B92" s="121"/>
      <x:c r="C92" s="24" t="n">
        <x:v>10472.429</x:v>
      </x:c>
      <x:c r="D92" s="24" t="n">
        <x:v>941.866</x:v>
      </x:c>
      <x:c r="E92" s="24" t="n">
        <x:v>13397.298</x:v>
      </x:c>
      <x:c r="F92" s="24" t="n">
        <x:v>13222.675</x:v>
      </x:c>
      <x:c r="G92" s="24" t="n">
        <x:v>15811.428</x:v>
      </x:c>
      <x:c r="H92" s="24" t="n">
        <x:v>6062.299</x:v>
      </x:c>
    </x:row>
    <x:row r="93" ht="15" hidden="0">
      <x:c r="A93" s="120" t="s">
        <x:v>132</x:v>
      </x:c>
      <x:c r="B93" s="121"/>
      <x:c r="C93" s="24" t="n">
        <x:v>6161.19</x:v>
      </x:c>
      <x:c r="D93" s="24" t="n">
        <x:v>-3932.479</x:v>
      </x:c>
      <x:c r="E93" s="24" t="n">
        <x:v>6504.234</x:v>
      </x:c>
      <x:c r="F93" s="24" t="n">
        <x:v>6029.545</x:v>
      </x:c>
      <x:c r="G93" s="24" t="n">
        <x:v>10034.132</x:v>
      </x:c>
      <x:c r="H93" s="24" t="n">
        <x:v>-343.131</x:v>
      </x:c>
    </x:row>
    <x:row r="94" ht="15" hidden="0">
      <x:c r="A94" s="120" t="s">
        <x:v>133</x:v>
      </x:c>
      <x:c r="B94" s="121"/>
      <x:c r="C94" s="24" t="n">
        <x:v>-2962.16</x:v>
      </x:c>
      <x:c r="D94" s="24" t="n">
        <x:v>1461.646</x:v>
      </x:c>
      <x:c r="E94" s="24" t="n">
        <x:v>-1747.152</x:v>
      </x:c>
      <x:c r="F94" s="24" t="n">
        <x:v>2277.223</x:v>
      </x:c>
      <x:c r="G94" s="24" t="n">
        <x:v>3000.535</x:v>
      </x:c>
      <x:c r="H94" s="24" t="n">
        <x:v>-5082.796</x:v>
      </x:c>
    </x:row>
    <x:row r="95" ht="15" hidden="0">
      <x:c r="A95" s="120" t="s">
        <x:v>134</x:v>
      </x:c>
      <x:c r="B95" s="121"/>
      <x:c r="C95" s="24" t="n">
        <x:v>2374.853</x:v>
      </x:c>
      <x:c r="D95" s="24" t="n">
        <x:v>-4864.956</x:v>
      </x:c>
      <x:c r="E95" s="24" t="n">
        <x:v>-4883.569</x:v>
      </x:c>
      <x:c r="F95" s="24" t="n">
        <x:v>4051.021</x:v>
      </x:c>
      <x:c r="G95" s="24" t="n">
        <x:v>-9357.687</x:v>
      </x:c>
      <x:c r="H95" s="24" t="n">
        <x:v>2519.577</x:v>
      </x:c>
    </x:row>
    <x:row r="96" ht="15" hidden="0">
      <x:c r="A96" s="120" t="s">
        <x:v>135</x:v>
      </x:c>
      <x:c r="B96" s="121"/>
      <x:c r="C96" s="24" t="n">
        <x:v>-5087.104</x:v>
      </x:c>
      <x:c r="D96" s="24" t="n">
        <x:v>-1739.551</x:v>
      </x:c>
      <x:c r="E96" s="24" t="n">
        <x:v>-3418.069</x:v>
      </x:c>
      <x:c r="F96" s="24" t="n">
        <x:v>-1620.798</x:v>
      </x:c>
      <x:c r="G96" s="24" t="n">
        <x:v>-1211.491</x:v>
      </x:c>
      <x:c r="H96" s="24" t="n">
        <x:v>-7374.428</x:v>
      </x:c>
    </x:row>
    <x:row r="97" ht="15" hidden="0">
      <x:c r="A97" s="120" t="s">
        <x:v>136</x:v>
      </x:c>
      <x:c r="B97" s="121"/>
      <x:c r="C97" s="24" t="n">
        <x:v>-3125.381</x:v>
      </x:c>
      <x:c r="D97" s="24" t="n">
        <x:v>-3195.727</x:v>
      </x:c>
      <x:c r="E97" s="24" t="n">
        <x:v>-5998.599</x:v>
      </x:c>
      <x:c r="F97" s="24" t="n">
        <x:v>-8460.206</x:v>
      </x:c>
      <x:c r="G97" s="24" t="n">
        <x:v>-4921.199</x:v>
      </x:c>
      <x:c r="H97" s="24" t="n">
        <x:v>-4750.58</x:v>
      </x:c>
    </x:row>
    <x:row r="98" ht="15" hidden="0">
      <x:c r="A98" s="120" t="s">
        <x:v>137</x:v>
      </x:c>
      <x:c r="B98" s="121"/>
      <x:c r="C98" s="24" t="n">
        <x:v>-0.32</x:v>
      </x:c>
      <x:c r="D98" s="24" t="n">
        <x:v>-437.124</x:v>
      </x:c>
      <x:c r="E98" s="24" t="n">
        <x:v>-437.927</x:v>
      </x:c>
      <x:c r="F98" s="24" t="n">
        <x:v>-0.502</x:v>
      </x:c>
      <x:c r="G98" s="24" t="n">
        <x:v>-0.048</x:v>
      </x:c>
      <x:c r="H98" s="24" t="n">
        <x:v>-437.72</x:v>
      </x:c>
    </x:row>
    <x:row r="99">
      <x:c r="A99" s="111"/>
      <x:c r="B99" s="111"/>
    </x:row>
    <x:row r="100" ht="19.5" hidden="0" customHeight="1">
      <x:c r="A100" s="114" t="s">
        <x:v>138</x:v>
      </x:c>
      <x:c r="B100" s="115"/>
      <x:c r="C100" s="6"/>
      <x:c r="D100" s="6"/>
      <x:c r="E100" s="6"/>
      <x:c r="F100" s="6"/>
      <x:c r="G100" s="6"/>
      <x:c r="H100" s="6"/>
    </x:row>
    <x:row r="101" ht="16.5" hidden="0" customHeight="1">
      <x:c r="A101" s="116" t="s">
        <x:v>48</x:v>
      </x:c>
      <x:c r="B101" s="117"/>
      <x:c r="C101" s="19" t="s">
        <x:v>49</x:v>
      </x:c>
      <x:c r="D101" s="19" t="s">
        <x:v>50</x:v>
      </x:c>
      <x:c r="E101" s="19" t="s">
        <x:v>51</x:v>
      </x:c>
      <x:c r="F101" s="19" t="s">
        <x:v>52</x:v>
      </x:c>
      <x:c r="G101" s="19" t="s">
        <x:v>53</x:v>
      </x:c>
    </x:row>
    <x:row r="102" ht="15" hidden="0">
      <x:c r="A102" s="120" t="s">
        <x:v>139</x:v>
      </x:c>
      <x:c r="B102" s="121"/>
      <x:c r="C102" s="30" t="n">
        <x:v>10</x:v>
      </x:c>
      <x:c r="D102" s="30" t="n">
        <x:v>10</x:v>
      </x:c>
      <x:c r="E102" s="30" t="n">
        <x:v>10</x:v>
      </x:c>
      <x:c r="F102" s="30" t="n">
        <x:v>10</x:v>
      </x:c>
      <x:c r="G102" s="30" t="n">
        <x:v>10</x:v>
      </x:c>
    </x:row>
    <x:row r="103" ht="15" hidden="0">
      <x:c r="A103" s="120" t="s">
        <x:v>140</x:v>
      </x:c>
      <x:c r="B103" s="121"/>
      <x:c r="C103" s="31" t="n">
        <x:f aca="0">C27/C102-C107</x:f>
        <x:v>438.1191</x:v>
      </x:c>
      <x:c r="D103" s="31" t="n">
        <x:f aca="0">D27/D102-D107</x:f>
        <x:v>438.1191</x:v>
      </x:c>
      <x:c r="E103" s="31" t="n">
        <x:f aca="0">E27/E102-E107</x:f>
        <x:v>438.1191</x:v>
      </x:c>
      <x:c r="F103" s="31" t="n">
        <x:f aca="0">F27/F102-F107</x:f>
        <x:v>438.1191</x:v>
      </x:c>
      <x:c r="G103" s="31" t="n">
        <x:f aca="0">G27/G102-G107</x:f>
        <x:v>438.1191</x:v>
      </x:c>
    </x:row>
    <x:row r="104" ht="15" hidden="0">
      <x:c r="A104" s="120" t="s">
        <x:v>141</x:v>
      </x:c>
      <x:c r="B104" s="121"/>
      <x:c r="C104" s="31" t="n">
        <x:v>438.119118</x:v>
      </x:c>
      <x:c r="D104" s="31" t="n">
        <x:v>438.119118</x:v>
      </x:c>
      <x:c r="E104" s="31" t="n">
        <x:v>438.119118</x:v>
      </x:c>
      <x:c r="F104" s="31" t="n">
        <x:v>438.119118</x:v>
      </x:c>
      <x:c r="G104" s="31" t="n">
        <x:v>438.119118</x:v>
      </x:c>
    </x:row>
    <x:row r="105" ht="15" hidden="0">
      <x:c r="A105" s="120" t="str">
        <x:v>FY-end share price (Rs; last PSX close)</x:v>
      </x:c>
      <x:c r="B105" s="121"/>
      <x:c r="C105" s="30" t="n">
        <x:v>117.92</x:v>
      </x:c>
      <x:c r="D105" s="30" t="n">
        <x:v>62.5</x:v>
      </x:c>
      <x:c r="E105" s="30" t="n">
        <x:v>51.3</x:v>
      </x:c>
      <x:c r="F105" s="30" t="n">
        <x:v>90.27</x:v>
      </x:c>
      <x:c r="G105" s="30" t="n">
        <x:v>165.56</x:v>
      </x:c>
    </x:row>
    <x:row r="106" ht="15" hidden="0">
      <x:c r="A106" s="120" t="s">
        <x:v>142</x:v>
      </x:c>
      <x:c r="B106" s="121"/>
      <x:c r="C106" s="30" t="n">
        <x:v>1</x:v>
      </x:c>
      <x:c r="D106" s="30" t="n">
        <x:v>1</x:v>
      </x:c>
      <x:c r="E106" s="30" t="n">
        <x:v>0</x:v>
      </x:c>
      <x:c r="F106" s="30" t="n">
        <x:v>0</x:v>
      </x:c>
      <x:c r="G106" s="30" t="n">
        <x:v>2</x:v>
      </x:c>
    </x:row>
    <x:row r="107">
      <x:c r="A107" s="120" t="str">
        <x:v>Treasury shares excluded (million)</x:v>
      </x:c>
      <x:c r="B107" s="121"/>
      <x:c r="C107" s="30" t="n">
        <x:v>0</x:v>
      </x:c>
      <x:c r="D107" s="30" t="n">
        <x:v>0</x:v>
      </x:c>
      <x:c r="E107" s="30" t="n">
        <x:v>0</x:v>
      </x:c>
      <x:c r="F107" s="30" t="n">
        <x:v>0</x:v>
      </x:c>
      <x:c r="G107" s="30" t="n">
        <x:v>0</x:v>
      </x:c>
    </x:row>
    <x:row r="108" ht="19.5" hidden="0" customHeight="1">
      <x:c r="A108" s="114" t="s">
        <x:v>143</x:v>
      </x:c>
      <x:c r="B108" s="115"/>
      <x:c r="C108" s="6"/>
      <x:c r="D108" s="6"/>
      <x:c r="E108" s="6"/>
      <x:c r="F108" s="6"/>
      <x:c r="G108" s="6"/>
      <x:c r="H108" s="6"/>
    </x:row>
    <x:row r="109" ht="16.5" hidden="0" customHeight="1">
      <x:c r="A109" s="124" t="s">
        <x:v>144</x:v>
      </x:c>
      <x:c r="B109" s="124" t="s">
        <x:v>145</x:v>
      </x:c>
      <x:c r="C109" s="19" t="s">
        <x:v>49</x:v>
      </x:c>
      <x:c r="D109" s="19" t="s">
        <x:v>50</x:v>
      </x:c>
      <x:c r="E109" s="19" t="s">
        <x:v>51</x:v>
      </x:c>
      <x:c r="F109" s="19" t="s">
        <x:v>52</x:v>
      </x:c>
      <x:c r="G109" s="19" t="s">
        <x:v>53</x:v>
      </x:c>
    </x:row>
    <x:row r="110" ht="22" hidden="0" customHeight="1">
      <x:c r="A110" s="125" t="str">
        <x:v>Liquidity</x:v>
      </x:c>
      <x:c r="B110" s="126"/>
      <x:c r="C110" s="71"/>
      <x:c r="D110" s="71"/>
      <x:c r="E110" s="71"/>
      <x:c r="F110" s="71"/>
      <x:c r="G110" s="71"/>
    </x:row>
    <x:row r="111" ht="15" hidden="0">
      <x:c r="A111" s="134" t="str">
        <x:v>1. Current ratio</x:v>
      </x:c>
      <x:c r="B111" s="128" t="str">
        <x:v>Current Assets / Current Liabilities</x:v>
      </x:c>
      <x:c r="C111" s="63" t="n">
        <x:f>IF(OR((C48)&lt;=0,(C24)&lt;0),"n/m",(C24)/(C48))</x:f>
        <x:v>0.9145250886450902</x:v>
      </x:c>
      <x:c r="D111" s="63" t="n">
        <x:f>IF(OR((D48)&lt;=0,(D24)&lt;0),"n/m",(D24)/(D48))</x:f>
        <x:v>0.8855287714771004</x:v>
      </x:c>
      <x:c r="E111" s="63" t="n">
        <x:f>IF(OR((E48)&lt;=0,(E24)&lt;0),"n/m",(E24)/(E48))</x:f>
        <x:v>0.8017674905738562</x:v>
      </x:c>
      <x:c r="F111" s="63" t="n">
        <x:f>IF(OR((F48)&lt;=0,(F24)&lt;0),"n/m",(F24)/(F48))</x:f>
        <x:v>1.296185931254842</x:v>
      </x:c>
      <x:c r="G111" s="63" t="n">
        <x:f>IF(OR((G48)&lt;=0,(G24)&lt;0),"n/m",(G24)/(G48))</x:f>
        <x:v>1.8489517932979607</x:v>
      </x:c>
    </x:row>
    <x:row r="112" ht="15" hidden="0">
      <x:c r="A112" s="134" t="str">
        <x:v>2. Quick ratio</x:v>
      </x:c>
      <x:c r="B112" s="128" t="str">
        <x:v>(Current Assets - Inventories) / Current Liabilities</x:v>
      </x:c>
      <x:c r="C112" s="63" t="n">
        <x:f>IF(OR((C48)&lt;=0,(C24-C54)&lt;0),"n/m",(C24-C54)/(C48))</x:f>
        <x:v>0.527188307782106</x:v>
      </x:c>
      <x:c r="D112" s="63" t="n">
        <x:f>IF(OR((D48)&lt;=0,(D24-D54)&lt;0),"n/m",(D24-D54)/(D48))</x:f>
        <x:v>0.3909339078966533</x:v>
      </x:c>
      <x:c r="E112" s="63" t="n">
        <x:f>IF(OR((E48)&lt;=0,(E24-E54)&lt;0),"n/m",(E24-E54)/(E48))</x:f>
        <x:v>0.3348993616744587</x:v>
      </x:c>
      <x:c r="F112" s="63" t="n">
        <x:f>IF(OR((F48)&lt;=0,(F24-F54)&lt;0),"n/m",(F24-F54)/(F48))</x:f>
        <x:v>0.6677176492302713</x:v>
      </x:c>
      <x:c r="G112" s="63" t="n">
        <x:f>IF(OR((G48)&lt;=0,(G24-G54)&lt;0),"n/m",(G24-G54)/(G48))</x:f>
        <x:v>1.0579587679634685</x:v>
      </x:c>
    </x:row>
    <x:row r="113" ht="15" hidden="0">
      <x:c r="A113" s="134" t="str">
        <x:v>3. Cash ratio</x:v>
      </x:c>
      <x:c r="B113" s="128" t="str">
        <x:v>Cash and Bank / Current Liabilities</x:v>
      </x:c>
      <x:c r="C113" s="63" t="n">
        <x:f>IF(OR((C48)&lt;=0,(C22)&lt;0),"n/m",(C22)/(C48))</x:f>
        <x:v>0.020011480184397672</x:v>
      </x:c>
      <x:c r="D113" s="63" t="n">
        <x:f>IF(OR((D48)&lt;=0,(D22)&lt;0),"n/m",(D22)/(D48))</x:f>
        <x:v>0.008913248794490819</x:v>
      </x:c>
      <x:c r="E113" s="63" t="n">
        <x:f>IF(OR((E48)&lt;=0,(E22)&lt;0),"n/m",(E22)/(E48))</x:f>
        <x:v>0.013866688142092815</x:v>
      </x:c>
      <x:c r="F113" s="63" t="n">
        <x:f>IF(OR((F48)&lt;=0,(F22)&lt;0),"n/m",(F22)/(F48))</x:f>
        <x:v>0.022719990993528554</x:v>
      </x:c>
      <x:c r="G113" s="63" t="n">
        <x:f>IF(OR((G48)&lt;=0,(G22)&lt;0),"n/m",(G22)/(G48))</x:f>
        <x:v>0.02195336946739058</x:v>
      </x:c>
    </x:row>
    <x:row r="114" ht="15" hidden="0">
      <x:c r="A114" s="134" t="str">
        <x:v>4. Net working capital (PKR m)</x:v>
      </x:c>
      <x:c r="B114" s="128" t="str">
        <x:v>Current Assets - Current Liabilities</x:v>
      </x:c>
      <x:c r="C114" s="64" t="str">
        <x:f>IF(OR((1)&lt;=0,(C24-C48)&lt;0),"n/m",(C24-C48)/(1))</x:f>
        <x:v>n/m</x:v>
      </x:c>
      <x:c r="D114" s="64" t="str">
        <x:f>IF(OR((1)&lt;=0,(D24-D48)&lt;0),"n/m",(D24-D48)/(1))</x:f>
        <x:v>n/m</x:v>
      </x:c>
      <x:c r="E114" s="64" t="str">
        <x:f>IF(OR((1)&lt;=0,(E24-E48)&lt;0),"n/m",(E24-E48)/(1))</x:f>
        <x:v>n/m</x:v>
      </x:c>
      <x:c r="F114" s="64" t="n">
        <x:f>IF(OR((1)&lt;=0,(F24-F48)&lt;0),"n/m",(F24-F48)/(1))</x:f>
        <x:v>9544.803999999993</x:v>
      </x:c>
      <x:c r="G114" s="64" t="n">
        <x:f>IF(OR((1)&lt;=0,(G24-G48)&lt;0),"n/m",(G24-G48)/(1))</x:f>
        <x:v>21997.122</x:v>
      </x:c>
    </x:row>
    <x:row r="115" ht="15" hidden="0">
      <x:c r="A115" s="134" t="str">
        <x:v>5. Net operating working capital (PKR m)</x:v>
      </x:c>
      <x:c r="B115" s="128" t="str">
        <x:v>Operating CA - Operating CL</x:v>
      </x:c>
      <x:c r="C115" s="64" t="n">
        <x:f>IF(OR((1)&lt;=0,(C59-C60)&lt;0),"n/m",(C59-C60)/(1))</x:f>
        <x:v>8099.147000000006</x:v>
      </x:c>
      <x:c r="D115" s="64" t="n">
        <x:f>IF(OR((1)&lt;=0,(D59-D60)&lt;0),"n/m",(D59-D60)/(1))</x:f>
        <x:v>17790.203999999998</x:v>
      </x:c>
      <x:c r="E115" s="64" t="n">
        <x:f>IF(OR((1)&lt;=0,(E59-E60)&lt;0),"n/m",(E59-E60)/(1))</x:f>
        <x:v>15215.495000000003</x:v>
      </x:c>
      <x:c r="F115" s="64" t="n">
        <x:f>IF(OR((1)&lt;=0,(F59-F60)&lt;0),"n/m",(F59-F60)/(1))</x:f>
        <x:v>10223.228999999994</x:v>
      </x:c>
      <x:c r="G115" s="64" t="n">
        <x:f>IF(OR((1)&lt;=0,(G59-G60)&lt;0),"n/m",(G59-G60)/(1))</x:f>
        <x:v>9579.732</x:v>
      </x:c>
    </x:row>
    <x:row r="116" ht="22" hidden="0" customHeight="1">
      <x:c r="A116" s="125" t="str">
        <x:v>Asset Management</x:v>
      </x:c>
      <x:c r="B116" s="126"/>
      <x:c r="C116" s="71"/>
      <x:c r="D116" s="71"/>
      <x:c r="E116" s="71"/>
      <x:c r="F116" s="71"/>
      <x:c r="G116" s="71"/>
    </x:row>
    <x:row r="117" ht="15" hidden="0">
      <x:c r="A117" s="134" t="str">
        <x:v>6. Inventory turnover</x:v>
      </x:c>
      <x:c r="B117" s="128" t="str">
        <x:v>COGS / Average Inventory</x:v>
      </x:c>
      <x:c r="C117" s="63" t="n">
        <x:f>IF(OR((AVERAGE(H54,C54))&lt;=0,(-C65)&lt;0),"n/m",(-C65)/(AVERAGE(H54,C54)))</x:f>
        <x:v>2.626752753172622</x:v>
      </x:c>
      <x:c r="D117" s="63" t="n">
        <x:f>IF(OR((AVERAGE(C54,D54))&lt;=0,(-D65)&lt;0),"n/m",(-D65)/(AVERAGE(C54,D54)))</x:f>
        <x:v>2.479761249901864</x:v>
      </x:c>
      <x:c r="E117" s="63" t="n">
        <x:f>IF(OR((AVERAGE(D54,E54))&lt;=0,(-E65)&lt;0),"n/m",(-E65)/(AVERAGE(D54,E54)))</x:f>
        <x:v>2.4352964976956684</x:v>
      </x:c>
      <x:c r="F117" s="63" t="n">
        <x:f>IF(OR((AVERAGE(E54,F54))&lt;=0,(-F65)&lt;0),"n/m",(-F65)/(AVERAGE(E54,F54)))</x:f>
        <x:v>2.583201095183174</x:v>
      </x:c>
      <x:c r="G117" s="63" t="n">
        <x:f>IF(OR((AVERAGE(F54,G54))&lt;=0,(-G65)&lt;0),"n/m",(-G65)/(AVERAGE(F54,G54)))</x:f>
        <x:v>2.6203448800361673</x:v>
      </x:c>
    </x:row>
    <x:row r="118" ht="15" hidden="0">
      <x:c r="A118" s="134" t="str">
        <x:v>7. Receivables turnover</x:v>
      </x:c>
      <x:c r="B118" s="128" t="str">
        <x:v>Net Sales / Average Trade Debts</x:v>
      </x:c>
      <x:c r="C118" s="63" t="n">
        <x:f>IF(OR((AVERAGE(H20,C20))&lt;=0,(C64)&lt;0),"n/m",(C64)/(AVERAGE(H20,C20)))</x:f>
        <x:v>22.768270883109405</x:v>
      </x:c>
      <x:c r="D118" s="63" t="n">
        <x:f>IF(OR((AVERAGE(C20,D20))&lt;=0,(D64)&lt;0),"n/m",(D64)/(AVERAGE(C20,D20)))</x:f>
        <x:v>36.92232039176783</x:v>
      </x:c>
      <x:c r="E118" s="63" t="n">
        <x:f>IF(OR((AVERAGE(D20,E20))&lt;=0,(E64)&lt;0),"n/m",(E64)/(AVERAGE(D20,E20)))</x:f>
        <x:v>48.836111797909446</x:v>
      </x:c>
      <x:c r="F118" s="63" t="n">
        <x:f>IF(OR((AVERAGE(E20,F20))&lt;=0,(F64)&lt;0),"n/m",(F64)/(AVERAGE(E20,F20)))</x:f>
        <x:v>64.45370786977438</x:v>
      </x:c>
      <x:c r="G118" s="63" t="n">
        <x:f>IF(OR((AVERAGE(F20,G20))&lt;=0,(G64)&lt;0),"n/m",(G64)/(AVERAGE(F20,G20)))</x:f>
        <x:v>61.21607937936548</x:v>
      </x:c>
    </x:row>
    <x:row r="119" ht="15" hidden="0">
      <x:c r="A119" s="134" t="str">
        <x:v>8. Payables turnover</x:v>
      </x:c>
      <x:c r="B119" s="128" t="str">
        <x:v>COGS / Average Trade Creditors</x:v>
      </x:c>
      <x:c r="C119" s="63" t="n">
        <x:f>IF(OR((AVERAGE(H52,C52))&lt;=0,(-C65)&lt;0),"n/m",(-C65)/(AVERAGE(H52,C52)))</x:f>
        <x:v>6.330391634867254</x:v>
      </x:c>
      <x:c r="D119" s="63" t="n">
        <x:f>IF(OR((AVERAGE(C52,D52))&lt;=0,(-D65)&lt;0),"n/m",(-D65)/(AVERAGE(C52,D52)))</x:f>
        <x:v>8.467367491855711</x:v>
      </x:c>
      <x:c r="E119" s="63" t="n">
        <x:f>IF(OR((AVERAGE(D52,E52))&lt;=0,(-E65)&lt;0),"n/m",(-E65)/(AVERAGE(D52,E52)))</x:f>
        <x:v>10.657952462664126</x:v>
      </x:c>
      <x:c r="F119" s="63" t="n">
        <x:f>IF(OR((AVERAGE(E52,F52))&lt;=0,(-F65)&lt;0),"n/m",(-F65)/(AVERAGE(E52,F52)))</x:f>
        <x:v>9.58994930634071</x:v>
      </x:c>
      <x:c r="G119" s="63" t="n">
        <x:f>IF(OR((AVERAGE(F52,G52))&lt;=0,(-G65)&lt;0),"n/m",(-G65)/(AVERAGE(F52,G52)))</x:f>
        <x:v>11.93424527818953</x:v>
      </x:c>
    </x:row>
    <x:row r="120" ht="15" hidden="0">
      <x:c r="A120" s="134" t="str">
        <x:v>9. Days inventory outstanding</x:v>
      </x:c>
      <x:c r="B120" s="128" t="str">
        <x:v>365 / Inventory Turnover</x:v>
      </x:c>
      <x:c r="C120" s="65" t="n">
        <x:f>IF(OR((-C65)&lt;=0,(365*AVERAGE(H54,C54))&lt;0),"n/m",(365*AVERAGE(H54,C54))/(-C65))</x:f>
        <x:v>138.95483675010863</x:v>
      </x:c>
      <x:c r="D120" s="65" t="n">
        <x:f>IF(OR((-D65)&lt;=0,(365*AVERAGE(C54,D54))&lt;0),"n/m",(365*AVERAGE(C54,D54))/(-D65))</x:f>
        <x:v>147.19158951872677</x:v>
      </x:c>
      <x:c r="E120" s="65" t="n">
        <x:f>IF(OR((-E65)&lt;=0,(365*AVERAGE(D54,E54))&lt;0),"n/m",(365*AVERAGE(D54,E54))/(-E65))</x:f>
        <x:v>149.87908057411946</x:v>
      </x:c>
      <x:c r="F120" s="65" t="n">
        <x:f>IF(OR((-F65)&lt;=0,(365*AVERAGE(E54,F54))&lt;0),"n/m",(365*AVERAGE(E54,F54))/(-F65))</x:f>
        <x:v>141.2975554557505</x:v>
      </x:c>
      <x:c r="G120" s="65" t="n">
        <x:f>IF(OR((-G65)&lt;=0,(365*AVERAGE(F54,G54))&lt;0),"n/m",(365*AVERAGE(F54,G54))/(-G65))</x:f>
        <x:v>139.29464124392746</x:v>
      </x:c>
    </x:row>
    <x:row r="121" ht="15" hidden="0">
      <x:c r="A121" s="134" t="str">
        <x:v>10. Days sales outstanding</x:v>
      </x:c>
      <x:c r="B121" s="128" t="str">
        <x:v>365 / Receivables Turnover</x:v>
      </x:c>
      <x:c r="C121" s="65" t="n">
        <x:f>IF(OR((C64)&lt;=0,(365*AVERAGE(H20,C20))&lt;0),"n/m",(365*AVERAGE(H20,C20))/(C64))</x:f>
        <x:v>16.031081230273596</x:v>
      </x:c>
      <x:c r="D121" s="65" t="n">
        <x:f>IF(OR((D64)&lt;=0,(365*AVERAGE(C20,D20))&lt;0),"n/m",(365*AVERAGE(C20,D20))/(D64))</x:f>
        <x:v>9.885619216970449</x:v>
      </x:c>
      <x:c r="E121" s="65" t="n">
        <x:f>IF(OR((E64)&lt;=0,(365*AVERAGE(D20,E20))&lt;0),"n/m",(365*AVERAGE(D20,E20))/(E64))</x:f>
        <x:v>7.4739774843341396</x:v>
      </x:c>
      <x:c r="F121" s="65" t="n">
        <x:f>IF(OR((F64)&lt;=0,(365*AVERAGE(E20,F20))&lt;0),"n/m",(365*AVERAGE(E20,F20))/(F64))</x:f>
        <x:v>5.662979090938646</x:v>
      </x:c>
      <x:c r="G121" s="65" t="n">
        <x:f>IF(OR((G64)&lt;=0,(365*AVERAGE(F20,G20))&lt;0),"n/m",(365*AVERAGE(F20,G20))/(G64))</x:f>
        <x:v>5.962485734149008</x:v>
      </x:c>
    </x:row>
    <x:row r="122" ht="15" hidden="0">
      <x:c r="A122" s="134" t="str">
        <x:v>11. Days payables outstanding</x:v>
      </x:c>
      <x:c r="B122" s="128" t="str">
        <x:v>365 / Payables Turnover</x:v>
      </x:c>
      <x:c r="C122" s="65" t="n">
        <x:f>IF(OR((-C65)&lt;=0,(365*AVERAGE(H52,C52))&lt;0),"n/m",(365*AVERAGE(H52,C52))/(-C65))</x:f>
        <x:v>57.65836002777637</x:v>
      </x:c>
      <x:c r="D122" s="65" t="n">
        <x:f>IF(OR((-D65)&lt;=0,(365*AVERAGE(C52,D52))&lt;0),"n/m",(365*AVERAGE(C52,D52))/(-D65))</x:f>
        <x:v>43.106668082030595</x:v>
      </x:c>
      <x:c r="E122" s="65" t="n">
        <x:f>IF(OR((-E65)&lt;=0,(365*AVERAGE(D52,E52))&lt;0),"n/m",(365*AVERAGE(D52,E52))/(-E65))</x:f>
        <x:v>34.24672809140701</x:v>
      </x:c>
      <x:c r="F122" s="65" t="n">
        <x:f>IF(OR((-F65)&lt;=0,(365*AVERAGE(E52,F52))&lt;0),"n/m",(365*AVERAGE(E52,F52))/(-F65))</x:f>
        <x:v>38.06068085872657</x:v>
      </x:c>
      <x:c r="G122" s="65" t="n">
        <x:f>IF(OR((-G65)&lt;=0,(365*AVERAGE(F52,G52))&lt;0),"n/m",(365*AVERAGE(F52,G52))/(-G65))</x:f>
        <x:v>30.58425493123197</x:v>
      </x:c>
    </x:row>
    <x:row r="123" ht="15" hidden="0">
      <x:c r="A123" s="134" t="str">
        <x:v>12. Operating cycle (days)</x:v>
      </x:c>
      <x:c r="B123" s="128" t="str">
        <x:v>DIO + DSO</x:v>
      </x:c>
      <x:c r="C123" s="65" t="n">
        <x:f>IF(OR((1)&lt;=0,(365*AVERAGE(H54,C54)/(-C65)+365*AVERAGE(H20,C20)/C64)&lt;0),"n/m",(365*AVERAGE(H54,C54)/(-C65)+365*AVERAGE(H20,C20)/C64)/(1))</x:f>
        <x:v>154.98591798038223</x:v>
      </x:c>
      <x:c r="D123" s="65" t="n">
        <x:f>IF(OR((1)&lt;=0,(365*AVERAGE(C54,D54)/(-D65)+365*AVERAGE(C20,D20)/D64)&lt;0),"n/m",(365*AVERAGE(C54,D54)/(-D65)+365*AVERAGE(C20,D20)/D64)/(1))</x:f>
        <x:v>157.0772087356972</x:v>
      </x:c>
      <x:c r="E123" s="65" t="n">
        <x:f>IF(OR((1)&lt;=0,(365*AVERAGE(D54,E54)/(-E65)+365*AVERAGE(D20,E20)/E64)&lt;0),"n/m",(365*AVERAGE(D54,E54)/(-E65)+365*AVERAGE(D20,E20)/E64)/(1))</x:f>
        <x:v>157.3530580584536</x:v>
      </x:c>
      <x:c r="F123" s="65" t="n">
        <x:f>IF(OR((1)&lt;=0,(365*AVERAGE(E54,F54)/(-F65)+365*AVERAGE(E20,F20)/F64)&lt;0),"n/m",(365*AVERAGE(E54,F54)/(-F65)+365*AVERAGE(E20,F20)/F64)/(1))</x:f>
        <x:v>146.96053454668916</x:v>
      </x:c>
      <x:c r="G123" s="65" t="n">
        <x:f>IF(OR((1)&lt;=0,(365*AVERAGE(F54,G54)/(-G65)+365*AVERAGE(F20,G20)/G64)&lt;0),"n/m",(365*AVERAGE(F54,G54)/(-G65)+365*AVERAGE(F20,G20)/G64)/(1))</x:f>
        <x:v>145.25712697807646</x:v>
      </x:c>
    </x:row>
    <x:row r="124" ht="15" hidden="0">
      <x:c r="A124" s="134" t="str">
        <x:v>13. Cash conversion cycle (days)</x:v>
      </x:c>
      <x:c r="B124" s="128" t="str">
        <x:v>DIO + DSO - DPO</x:v>
      </x:c>
      <x:c r="C124" s="65" t="n">
        <x:f>IF(OR((1)&lt;=0,(365*AVERAGE(H54,C54)/(-C65)+365*AVERAGE(H20,C20)/C64-365*AVERAGE(H52,C52)/(-C65))&lt;0),"n/m",(365*AVERAGE(H54,C54)/(-C65)+365*AVERAGE(H20,C20)/C64-365*AVERAGE(H52,C52)/(-C65))/(1))</x:f>
        <x:v>97.32755795260586</x:v>
      </x:c>
      <x:c r="D124" s="65" t="n">
        <x:f>IF(OR((1)&lt;=0,(365*AVERAGE(C54,D54)/(-D65)+365*AVERAGE(C20,D20)/D64-365*AVERAGE(C52,D52)/(-D65))&lt;0),"n/m",(365*AVERAGE(C54,D54)/(-D65)+365*AVERAGE(C20,D20)/D64-365*AVERAGE(C52,D52)/(-D65))/(1))</x:f>
        <x:v>113.97054065366662</x:v>
      </x:c>
      <x:c r="E124" s="65" t="n">
        <x:f>IF(OR((1)&lt;=0,(365*AVERAGE(D54,E54)/(-E65)+365*AVERAGE(D20,E20)/E64-365*AVERAGE(D52,E52)/(-E65))&lt;0),"n/m",(365*AVERAGE(D54,E54)/(-E65)+365*AVERAGE(D20,E20)/E64-365*AVERAGE(D52,E52)/(-E65))/(1))</x:f>
        <x:v>123.10632996704659</x:v>
      </x:c>
      <x:c r="F124" s="65" t="n">
        <x:f>IF(OR((1)&lt;=0,(365*AVERAGE(E54,F54)/(-F65)+365*AVERAGE(E20,F20)/F64-365*AVERAGE(E52,F52)/(-F65))&lt;0),"n/m",(365*AVERAGE(E54,F54)/(-F65)+365*AVERAGE(E20,F20)/F64-365*AVERAGE(E52,F52)/(-F65))/(1))</x:f>
        <x:v>108.89985368796259</x:v>
      </x:c>
      <x:c r="G124" s="65" t="n">
        <x:f>IF(OR((1)&lt;=0,(365*AVERAGE(F54,G54)/(-G65)+365*AVERAGE(F20,G20)/G64-365*AVERAGE(F52,G52)/(-G65))&lt;0),"n/m",(365*AVERAGE(F54,G54)/(-G65)+365*AVERAGE(F20,G20)/G64-365*AVERAGE(F52,G52)/(-G65))/(1))</x:f>
        <x:v>114.67287204684449</x:v>
      </x:c>
    </x:row>
    <x:row r="125" ht="15" hidden="0">
      <x:c r="A125" s="134" t="str">
        <x:v>14. Total asset turnover</x:v>
      </x:c>
      <x:c r="B125" s="128" t="str">
        <x:v>Net Sales / Average Total Assets</x:v>
      </x:c>
      <x:c r="C125" s="63" t="n">
        <x:f>IF(OR((AVERAGE(H25,C25))&lt;=0,(C64)&lt;0),"n/m",(C64)/(AVERAGE(H25,C25)))</x:f>
        <x:v>0.337321560534536</x:v>
      </x:c>
      <x:c r="D125" s="63" t="n">
        <x:f>IF(OR((AVERAGE(C25,D25))&lt;=0,(D64)&lt;0),"n/m",(D64)/(AVERAGE(C25,D25)))</x:f>
        <x:v>0.42297281053904634</x:v>
      </x:c>
      <x:c r="E125" s="63" t="n">
        <x:f>IF(OR((AVERAGE(D25,E25))&lt;=0,(E64)&lt;0),"n/m",(E64)/(AVERAGE(D25,E25)))</x:f>
        <x:v>0.47909875248597583</x:v>
      </x:c>
      <x:c r="F125" s="63" t="n">
        <x:f>IF(OR((AVERAGE(E25,F25))&lt;=0,(F64)&lt;0),"n/m",(F64)/(AVERAGE(E25,F25)))</x:f>
        <x:v>0.48362452491954855</x:v>
      </x:c>
      <x:c r="G125" s="63" t="n">
        <x:f>IF(OR((AVERAGE(F25,G25))&lt;=0,(G64)&lt;0),"n/m",(G64)/(AVERAGE(F25,G25)))</x:f>
        <x:v>0.5057355687914292</x:v>
      </x:c>
    </x:row>
    <x:row r="126" ht="15" hidden="0">
      <x:c r="A126" s="134" t="str">
        <x:v>15. Fixed asset turnover</x:v>
      </x:c>
      <x:c r="B126" s="128" t="str">
        <x:v>Net Sales / Average Operating Fixed Assets</x:v>
      </x:c>
      <x:c r="C126" s="63" t="n">
        <x:f>IF(OR((AVERAGE(H53,C53))&lt;=0,(C64)&lt;0),"n/m",(C64)/(AVERAGE(H53,C53)))</x:f>
        <x:v>0.5840225528925309</x:v>
      </x:c>
      <x:c r="D126" s="63" t="n">
        <x:f>IF(OR((AVERAGE(C53,D53))&lt;=0,(D64)&lt;0),"n/m",(D64)/(AVERAGE(C53,D53)))</x:f>
        <x:v>0.7284023454374957</x:v>
      </x:c>
      <x:c r="E126" s="63" t="n">
        <x:f>IF(OR((AVERAGE(D53,E53))&lt;=0,(E64)&lt;0),"n/m",(E64)/(AVERAGE(D53,E53)))</x:f>
        <x:v>0.8006952973031204</x:v>
      </x:c>
      <x:c r="F126" s="63" t="n">
        <x:f>IF(OR((AVERAGE(E53,F53))&lt;=0,(F64)&lt;0),"n/m",(F64)/(AVERAGE(E53,F53)))</x:f>
        <x:v>0.8318493605276719</x:v>
      </x:c>
      <x:c r="G126" s="63" t="n">
        <x:f>IF(OR((AVERAGE(F53,G53))&lt;=0,(G64)&lt;0),"n/m",(G64)/(AVERAGE(F53,G53)))</x:f>
        <x:v>0.9277030351499571</x:v>
      </x:c>
    </x:row>
    <x:row r="127" ht="22" hidden="0" customHeight="1">
      <x:c r="A127" s="125" t="str">
        <x:v>Debt Management</x:v>
      </x:c>
      <x:c r="B127" s="126"/>
      <x:c r="C127" s="71"/>
      <x:c r="D127" s="71"/>
      <x:c r="E127" s="71"/>
      <x:c r="F127" s="71"/>
      <x:c r="G127" s="71"/>
    </x:row>
    <x:row r="128" ht="15" hidden="0">
      <x:c r="A128" s="134" t="str">
        <x:v>16. Debt ratio</x:v>
      </x:c>
      <x:c r="B128" s="128" t="str">
        <x:v>Total Liabilities / Total Assets</x:v>
      </x:c>
      <x:c r="C128" s="66" t="n">
        <x:f>IF(OR((C25)&lt;=0,(C49)&lt;0),"n/m",(C49)/(C25))</x:f>
        <x:v>0.46714504184305206</x:v>
      </x:c>
      <x:c r="D128" s="66" t="n">
        <x:f>IF(OR((D25)&lt;=0,(D49)&lt;0),"n/m",(D49)/(D25))</x:f>
        <x:v>0.48801207258126744</x:v>
      </x:c>
      <x:c r="E128" s="66" t="n">
        <x:f>IF(OR((E25)&lt;=0,(E49)&lt;0),"n/m",(E49)/(E25))</x:f>
        <x:v>0.5234895224192266</x:v>
      </x:c>
      <x:c r="F128" s="66" t="n">
        <x:f>IF(OR((F25)&lt;=0,(F49)&lt;0),"n/m",(F49)/(F25))</x:f>
        <x:v>0.4519122394636083</x:v>
      </x:c>
      <x:c r="G128" s="66" t="n">
        <x:f>IF(OR((G25)&lt;=0,(G49)&lt;0),"n/m",(G49)/(G25))</x:f>
        <x:v>0.3512559582717703</x:v>
      </x:c>
    </x:row>
    <x:row r="129" ht="15" hidden="0">
      <x:c r="A129" s="134" t="str">
        <x:v>17. Debt-to-equity</x:v>
      </x:c>
      <x:c r="B129" s="128" t="str">
        <x:v>Total Liabilities / Total Equity</x:v>
      </x:c>
      <x:c r="C129" s="63" t="n">
        <x:f>IF(OR((C29)&lt;=0,(C49)&lt;0),"n/m",(C49)/(C29))</x:f>
        <x:v>0.8766832975690517</x:v>
      </x:c>
      <x:c r="D129" s="63" t="n">
        <x:f>IF(OR((D29)&lt;=0,(D49)&lt;0),"n/m",(D49)/(D29))</x:f>
        <x:v>0.9531710543286772</x:v>
      </x:c>
      <x:c r="E129" s="63" t="n">
        <x:f>IF(OR((E29)&lt;=0,(E49)&lt;0),"n/m",(E49)/(E29))</x:f>
        <x:v>1.0985897415665749</x:v>
      </x:c>
      <x:c r="F129" s="63" t="n">
        <x:f>IF(OR((F29)&lt;=0,(F49)&lt;0),"n/m",(F49)/(F29))</x:f>
        <x:v>0.8245253260560679</x:v>
      </x:c>
      <x:c r="G129" s="63" t="n">
        <x:f>IF(OR((G29)&lt;=0,(G49)&lt;0),"n/m",(G49)/(G29))</x:f>
        <x:v>0.5414399758278128</x:v>
      </x:c>
    </x:row>
    <x:row r="130" ht="15" hidden="0">
      <x:c r="A130" s="134" t="str">
        <x:v>18. Total debt-to-capital</x:v>
      </x:c>
      <x:c r="B130" s="128" t="str">
        <x:v>Interest-bearing Debt / (IBD + Equity)</x:v>
      </x:c>
      <x:c r="C130" s="66" t="n">
        <x:f>IF(OR((C55+C29)&lt;=0,(C55)&lt;0),"n/m",(C55)/(C55+C29))</x:f>
        <x:v>0.37343360902882045</x:v>
      </x:c>
      <x:c r="D130" s="66" t="n">
        <x:f>IF(OR((D55+D29)&lt;=0,(D55)&lt;0),"n/m",(D55)/(D55+D29))</x:f>
        <x:v>0.39929807208366225</x:v>
      </x:c>
      <x:c r="E130" s="66" t="n">
        <x:f>IF(OR((E55+E29)&lt;=0,(E55)&lt;0),"n/m",(E55)/(E55+E29))</x:f>
        <x:v>0.39850127088453147</x:v>
      </x:c>
      <x:c r="F130" s="66" t="n">
        <x:f>IF(OR((F55+F29)&lt;=0,(F55)&lt;0),"n/m",(F55)/(F55+F29))</x:f>
        <x:v>0.31153681009483003</x:v>
      </x:c>
      <x:c r="G130" s="66" t="n">
        <x:f>IF(OR((G55+G29)&lt;=0,(G55)&lt;0),"n/m",(G55)/(G55+G29))</x:f>
        <x:v>0.18792347676351873</x:v>
      </x:c>
    </x:row>
    <x:row r="131" ht="15" hidden="0">
      <x:c r="A131" s="134" t="str">
        <x:v>19. Long-term debt ratio</x:v>
      </x:c>
      <x:c r="B131" s="128" t="str">
        <x:v>Long-term IBD / Total Assets</x:v>
      </x:c>
      <x:c r="C131" s="66" t="n">
        <x:f>IF(OR((C25)&lt;=0,(C56)&lt;0),"n/m",(C56)/(C25))</x:f>
        <x:v>0.13996233662270563</x:v>
      </x:c>
      <x:c r="D131" s="66" t="n">
        <x:f>IF(OR((D25)&lt;=0,(D56)&lt;0),"n/m",(D56)/(D25))</x:f>
        <x:v>0.10374941529310935</x:v>
      </x:c>
      <x:c r="E131" s="66" t="n">
        <x:f>IF(OR((E25)&lt;=0,(E56)&lt;0),"n/m",(E56)/(E25))</x:f>
        <x:v>0.07173473071922083</x:v>
      </x:c>
      <x:c r="F131" s="66" t="n">
        <x:f>IF(OR((F25)&lt;=0,(F56)&lt;0),"n/m",(F56)/(F25))</x:f>
        <x:v>0.11536675950040348</x:v>
      </x:c>
      <x:c r="G131" s="66" t="n">
        <x:f>IF(OR((G25)&lt;=0,(G56)&lt;0),"n/m",(G56)/(G25))</x:f>
        <x:v>0.06917171092245233</x:v>
      </x:c>
    </x:row>
    <x:row r="132" ht="15" hidden="0">
      <x:c r="A132" s="134" t="str">
        <x:v>20. Times interest earned</x:v>
      </x:c>
      <x:c r="B132" s="128" t="str">
        <x:v>EBIT / Interest Expense</x:v>
      </x:c>
      <x:c r="C132" s="63" t="n">
        <x:f>IF(OR((C85)&lt;=0,(C82)&lt;0),"n/m",(C82)/(C85))</x:f>
        <x:v>2.665277021761826</x:v>
      </x:c>
      <x:c r="D132" s="63" t="n">
        <x:f>IF(OR((D85)&lt;=0,(D82)&lt;0),"n/m",(D82)/(D85))</x:f>
        <x:v>2.7057478339935286</x:v>
      </x:c>
      <x:c r="E132" s="63" t="n">
        <x:f>IF(OR((E85)&lt;=0,(E82)&lt;0),"n/m",(E82)/(E85))</x:f>
        <x:v>1.4774958199074884</x:v>
      </x:c>
      <x:c r="F132" s="63" t="n">
        <x:f>IF(OR((F85)&lt;=0,(F82)&lt;0),"n/m",(F82)/(F85))</x:f>
        <x:v>1.367829033720977</x:v>
      </x:c>
      <x:c r="G132" s="63" t="n">
        <x:f>IF(OR((G85)&lt;=0,(G82)&lt;0),"n/m",(G82)/(G85))</x:f>
        <x:v>4.421321516604763</x:v>
      </x:c>
    </x:row>
    <x:row r="133" ht="22" hidden="0" customHeight="1">
      <x:c r="A133" s="129" t="str">
        <x:v>Profitability</x:v>
      </x:c>
      <x:c r="B133" s="130" t="s">
        <x:v>146</x:v>
      </x:c>
      <x:c r="C133" s="77" t="str">
        <x:f aca="0">IF(C83&lt;=0,"n/m",C57/C83)</x:f>
        <x:v>n/m</x:v>
      </x:c>
      <x:c r="D133" s="77" t="str">
        <x:f aca="0">IF(D83&lt;=0,"n/m",D57/D83)</x:f>
        <x:v>n/m</x:v>
      </x:c>
      <x:c r="E133" s="77" t="str">
        <x:f aca="0">IF(E83&lt;=0,"n/m",E57/E83)</x:f>
        <x:v>n/m</x:v>
      </x:c>
      <x:c r="F133" s="77" t="str">
        <x:f aca="0">IF(F83&lt;=0,"n/m",F57/F83)</x:f>
        <x:v>n/m</x:v>
      </x:c>
      <x:c r="G133" s="77" t="str">
        <x:f aca="0">IF(G83&lt;=0,"n/m",G57/G83)</x:f>
        <x:v>n/m</x:v>
      </x:c>
    </x:row>
    <x:row r="134" ht="15" hidden="0">
      <x:c r="A134" s="134" t="str">
        <x:v>21. Gross profit margin</x:v>
      </x:c>
      <x:c r="B134" s="128" t="str">
        <x:v>Gross Profit / Net Sales</x:v>
      </x:c>
      <x:c r="C134" s="66" t="n">
        <x:f>IF(OR((C64)&lt;=0,(C66)&lt;0),"n/m",(C66)/(C64))</x:f>
        <x:v>0.1789471373949763</x:v>
      </x:c>
      <x:c r="D134" s="66" t="n">
        <x:f>IF(OR((D64)&lt;=0,(D66)&lt;0),"n/m",(D66)/(D64))</x:f>
        <x:v>0.1796626113599641</x:v>
      </x:c>
      <x:c r="E134" s="66" t="n">
        <x:f>IF(OR((E64)&lt;=0,(E66)&lt;0),"n/m",(E66)/(E64))</x:f>
        <x:v>0.147048524585835</x:v>
      </x:c>
      <x:c r="F134" s="66" t="n">
        <x:f>IF(OR((F64)&lt;=0,(F66)&lt;0),"n/m",(F66)/(F64))</x:f>
        <x:v>0.1594256360843263</x:v>
      </x:c>
      <x:c r="G134" s="66" t="n">
        <x:f>IF(OR((G64)&lt;=0,(G66)&lt;0),"n/m",(G66)/(G64))</x:f>
        <x:v>0.25740632547300923</x:v>
      </x:c>
    </x:row>
    <x:row r="135" ht="15" hidden="0">
      <x:c r="A135" s="134" t="str">
        <x:v>22. Operating margin</x:v>
      </x:c>
      <x:c r="B135" s="128" t="str">
        <x:v>Operating Profit / Net Sales</x:v>
      </x:c>
      <x:c r="C135" s="66" t="n">
        <x:f>IF(OR((C64)&lt;=0,(C71)&lt;0),"n/m",(C71)/(C64))</x:f>
        <x:v>0.11451399971933833</x:v>
      </x:c>
      <x:c r="D135" s="66" t="n">
        <x:f>IF(OR((D64)&lt;=0,(D71)&lt;0),"n/m",(D71)/(D64))</x:f>
        <x:v>0.11847261096319517</x:v>
      </x:c>
      <x:c r="E135" s="66" t="n">
        <x:f>IF(OR((E64)&lt;=0,(E71)&lt;0),"n/m",(E71)/(E64))</x:f>
        <x:v>0.10245374767974941</x:v>
      </x:c>
      <x:c r="F135" s="66" t="n">
        <x:f>IF(OR((F64)&lt;=0,(F71)&lt;0),"n/m",(F71)/(F64))</x:f>
        <x:v>0.1000204289337119</x:v>
      </x:c>
      <x:c r="G135" s="66" t="n">
        <x:f>IF(OR((G64)&lt;=0,(G71)&lt;0),"n/m",(G71)/(G64))</x:f>
        <x:v>0.17530880023555062</x:v>
      </x:c>
    </x:row>
    <x:row r="136" ht="15" hidden="0">
      <x:c r="A136" s="134" t="str">
        <x:v>23. Net profit margin</x:v>
      </x:c>
      <x:c r="B136" s="128" t="str">
        <x:v>Net Profit / Net Sales</x:v>
      </x:c>
      <x:c r="C136" s="66" t="n">
        <x:f>IF(OR((C64)&lt;=0,(C79)&lt;0),"n/m",(C79)/(C64))</x:f>
        <x:v>0.08249752980035112</x:v>
      </x:c>
      <x:c r="D136" s="66" t="n">
        <x:f>IF(OR((D64)&lt;=0,(D79)&lt;0),"n/m",(D79)/(D64))</x:f>
        <x:v>0.05120493100192175</x:v>
      </x:c>
      <x:c r="E136" s="66" t="str">
        <x:f>IF(OR((E64)&lt;=0,(E79)&lt;0),"n/m",(E79)/(E64))</x:f>
        <x:v>n/m</x:v>
      </x:c>
      <x:c r="F136" s="66" t="n">
        <x:f>IF(OR((F64)&lt;=0,(F79)&lt;0),"n/m",(F79)/(F64))</x:f>
        <x:v>0.008213306596683071</x:v>
      </x:c>
      <x:c r="G136" s="66" t="n">
        <x:f>IF(OR((G64)&lt;=0,(G79)&lt;0),"n/m",(G79)/(G64))</x:f>
        <x:v>0.12066652759857006</x:v>
      </x:c>
    </x:row>
    <x:row r="137" ht="15" hidden="0">
      <x:c r="A137" s="134" t="str">
        <x:v>24. Return on assets</x:v>
      </x:c>
      <x:c r="B137" s="128" t="str">
        <x:v>Net Profit / Average Total Assets</x:v>
      </x:c>
      <x:c r="C137" s="66" t="n">
        <x:f>IF(OR((AVERAGE(H25,C25))&lt;=0,(C79)&lt;0),"n/m",(C79)/(AVERAGE(H25,C25)))</x:f>
        <x:v>0.02782819549249883</x:v>
      </x:c>
      <x:c r="D137" s="66" t="n">
        <x:f>IF(OR((AVERAGE(C25,D25))&lt;=0,(D79)&lt;0),"n/m",(D79)/(AVERAGE(C25,D25)))</x:f>
        <x:v>0.02165829357934079</x:v>
      </x:c>
      <x:c r="E137" s="66" t="str">
        <x:f>IF(OR((AVERAGE(D25,E25))&lt;=0,(E79)&lt;0),"n/m",(E79)/(AVERAGE(D25,E25)))</x:f>
        <x:v>n/m</x:v>
      </x:c>
      <x:c r="F137" s="66" t="n">
        <x:f>IF(OR((AVERAGE(E25,F25))&lt;=0,(F79)&lt;0),"n/m",(F79)/(AVERAGE(E25,F25)))</x:f>
        <x:v>0.003972156500839445</x:v>
      </x:c>
      <x:c r="G137" s="66" t="n">
        <x:f>IF(OR((AVERAGE(F25,G25))&lt;=0,(G79)&lt;0),"n/m",(G79)/(AVERAGE(F25,G25)))</x:f>
        <x:v>0.06102535496914953</x:v>
      </x:c>
    </x:row>
    <x:row r="138" ht="15" hidden="0">
      <x:c r="A138" s="134" t="str">
        <x:v>25. Return on equity</x:v>
      </x:c>
      <x:c r="B138" s="128" t="str">
        <x:v>Net Profit / Average Equity</x:v>
      </x:c>
      <x:c r="C138" s="66" t="n">
        <x:f>IF(OR((AVERAGE(H29,C29))&lt;=0,(C79)&lt;0),"n/m",(C79)/(AVERAGE(H29,C29)))</x:f>
        <x:v>0.05311474576838488</x:v>
      </x:c>
      <x:c r="D138" s="66" t="n">
        <x:f>IF(OR((AVERAGE(C29,D29))&lt;=0,(D79)&lt;0),"n/m",(D79)/(AVERAGE(C29,D29)))</x:f>
        <x:v>0.041453492679972344</x:v>
      </x:c>
      <x:c r="E138" s="66" t="str">
        <x:f>IF(OR((AVERAGE(D29,E29))&lt;=0,(E79)&lt;0),"n/m",(E79)/(AVERAGE(D29,E29)))</x:f>
        <x:v>n/m</x:v>
      </x:c>
      <x:c r="F138" s="66" t="n">
        <x:f>IF(OR((AVERAGE(E29,F29))&lt;=0,(F79)&lt;0),"n/m",(F79)/(AVERAGE(E29,F29)))</x:f>
        <x:v>0.007746311290114197</x:v>
      </x:c>
      <x:c r="G138" s="66" t="n">
        <x:f>IF(OR((AVERAGE(F29,G29))&lt;=0,(G79)&lt;0),"n/m",(G79)/(AVERAGE(F29,G29)))</x:f>
        <x:v>0.10175126160150023</x:v>
      </x:c>
    </x:row>
    <x:row r="139" ht="15" hidden="0">
      <x:c r="A139" s="134" t="str">
        <x:v>26. Return on invested capital</x:v>
      </x:c>
      <x:c r="B139" s="128" t="str">
        <x:v>NOPAT / Average Invested Capital</x:v>
      </x:c>
      <x:c r="C139" s="66" t="n">
        <x:f>IF(OR((AVERAGE(H58,C58))&lt;=0,(C88)&lt;0),"n/m",(C88)/(AVERAGE(H58,C58)))</x:f>
        <x:v>0.05185364586076227</x:v>
      </x:c>
      <x:c r="D139" s="66" t="n">
        <x:f>IF(OR((AVERAGE(C58,D58))&lt;=0,(D88)&lt;0),"n/m",(D88)/(AVERAGE(C58,D58)))</x:f>
        <x:v>0.0405309965203835</x:v>
      </x:c>
      <x:c r="E139" s="66" t="str">
        <x:f>IF(OR((AVERAGE(D58,E58))&lt;=0,(E88)&lt;0),"n/m",(E88)/(AVERAGE(D58,E58)))</x:f>
        <x:v>n/m</x:v>
      </x:c>
      <x:c r="F139" s="66" t="n">
        <x:f>IF(OR((AVERAGE(E58,F58))&lt;=0,(F88)&lt;0),"n/m",(F88)/(AVERAGE(E58,F58)))</x:f>
        <x:v>0.01909789097765336</x:v>
      </x:c>
      <x:c r="G139" s="66" t="n">
        <x:f>IF(OR((AVERAGE(F58,G58))&lt;=0,(G88)&lt;0),"n/m",(G88)/(AVERAGE(F58,G58)))</x:f>
        <x:v>0.09929184900187035</x:v>
      </x:c>
    </x:row>
    <x:row r="140" ht="15" hidden="0">
      <x:c r="A140" s="134" t="str">
        <x:v>27. Basic earning power</x:v>
      </x:c>
      <x:c r="B140" s="128" t="str">
        <x:v>EBIT / Average Total Assets</x:v>
      </x:c>
      <x:c r="C140" s="66" t="n">
        <x:f>IF(OR((AVERAGE(H25,C25))&lt;=0,(C82)&lt;0),"n/m",(C82)/(AVERAGE(H25,C25)))</x:f>
        <x:v>0.05752393646556941</x:v>
      </x:c>
      <x:c r="D140" s="66" t="n">
        <x:f>IF(OR((AVERAGE(C25,D25))&lt;=0,(D82)&lt;0),"n/m",(D82)/(AVERAGE(C25,D25)))</x:f>
        <x:v>0.06989042461377605</x:v>
      </x:c>
      <x:c r="E140" s="66" t="n">
        <x:f>IF(OR((AVERAGE(D25,E25))&lt;=0,(E82)&lt;0),"n/m",(E82)/(AVERAGE(D25,E25)))</x:f>
        <x:v>0.07302423924994239</x:v>
      </x:c>
      <x:c r="F140" s="66" t="n">
        <x:f>IF(OR((AVERAGE(E25,F25))&lt;=0,(F82)&lt;0),"n/m",(F82)/(AVERAGE(E25,F25)))</x:f>
        <x:v>0.07938523892404618</x:v>
      </x:c>
      <x:c r="G140" s="66" t="n">
        <x:f>IF(OR((AVERAGE(F25,G25))&lt;=0,(G82)&lt;0),"n/m",(G82)/(AVERAGE(F25,G25)))</x:f>
        <x:v>0.11870857622241335</x:v>
      </x:c>
    </x:row>
    <x:row r="141" ht="22" hidden="0" customHeight="1">
      <x:c r="A141" s="129" t="str">
        <x:v>Market Value</x:v>
      </x:c>
      <x:c r="B141" s="130" t="s">
        <x:v>147</x:v>
      </x:c>
      <x:c r="C141" s="79" t="n">
        <x:f aca="0">C82/AVERAGE(H25,C25)</x:f>
        <x:v>0.05752393646556941</x:v>
      </x:c>
      <x:c r="D141" s="79" t="n">
        <x:f aca="0">D82/AVERAGE(C25,D25)</x:f>
        <x:v>0.06989042461377605</x:v>
      </x:c>
      <x:c r="E141" s="79" t="n">
        <x:f aca="0">E82/AVERAGE(D25,E25)</x:f>
        <x:v>0.07302423924994239</x:v>
      </x:c>
      <x:c r="F141" s="79" t="n">
        <x:f aca="0">F82/AVERAGE(E25,F25)</x:f>
        <x:v>0.07938523892404618</x:v>
      </x:c>
      <x:c r="G141" s="79" t="n">
        <x:f aca="0">G82/AVERAGE(F25,G25)</x:f>
        <x:v>0.11870857622241335</x:v>
      </x:c>
    </x:row>
    <x:row r="142" ht="15" hidden="0">
      <x:c r="A142" s="134" t="str">
        <x:v>28. Book value per share (Rs)</x:v>
      </x:c>
      <x:c r="B142" s="128" t="str">
        <x:v>Total Equity / Shares Outstanding</x:v>
      </x:c>
      <x:c r="C142" s="67" t="n">
        <x:f>IF(OR((C103)&lt;=0,(C29)&lt;0),"n/m",(C29)/(C103))</x:f>
        <x:v>167.71209700741193</x:v>
      </x:c>
      <x:c r="D142" s="67" t="n">
        <x:f>IF(OR((D103)&lt;=0,(D29)&lt;0),"n/m",(D29)/(D103))</x:f>
        <x:v>159.58697532246367</x:v>
      </x:c>
      <x:c r="E142" s="67" t="n">
        <x:f>IF(OR((E103)&lt;=0,(E29)&lt;0),"n/m",(E29)/(E103))</x:f>
        <x:v>146.51786922779672</x:v>
      </x:c>
      <x:c r="F142" s="67" t="n">
        <x:f>IF(OR((F103)&lt;=0,(F29)&lt;0),"n/m",(F29)/(F103))</x:f>
        <x:v>173.12082034314415</x:v>
      </x:c>
      <x:c r="G142" s="67" t="n">
        <x:f>IF(OR((G103)&lt;=0,(G29)&lt;0),"n/m",(G29)/(G103))</x:f>
        <x:v>216.07703932560804</x:v>
      </x:c>
    </x:row>
    <x:row r="143" ht="15" hidden="0">
      <x:c r="A143" s="134" t="str">
        <x:v>29. Market-to-book ratio</x:v>
      </x:c>
      <x:c r="B143" s="128" t="str">
        <x:v>Share Price / BVPS</x:v>
      </x:c>
      <x:c r="C143" s="63" t="n">
        <x:f>IF(OR((C29/C103)&lt;=0,(C105)&lt;0),"n/m",(C105)/(C29/C103))</x:f>
        <x:v>0.7031096868032638</x:v>
      </x:c>
      <x:c r="D143" s="63" t="n">
        <x:f>IF(OR((D29/D103)&lt;=0,(D105)&lt;0),"n/m",(D105)/(D29/D103))</x:f>
        <x:v>0.3916359707533251</x:v>
      </x:c>
      <x:c r="E143" s="63" t="n">
        <x:f>IF(OR((E29/E103)&lt;=0,(E105)&lt;0),"n/m",(E105)/(E29/E103))</x:f>
        <x:v>0.35012794187063967</x:v>
      </x:c>
      <x:c r="F143" s="63" t="n">
        <x:f>IF(OR((F29/F103)&lt;=0,(F105)&lt;0),"n/m",(F105)/(F29/F103))</x:f>
        <x:v>0.5214277509838222</x:v>
      </x:c>
      <x:c r="G143" s="63" t="n">
        <x:f>IF(OR((G29/G103)&lt;=0,(G105)&lt;0),"n/m",(G105)/(G29/G103))</x:f>
        <x:v>0.7662082029480072</x:v>
      </x:c>
    </x:row>
    <x:row r="144" ht="15" hidden="0">
      <x:c r="A144" s="134" t="str">
        <x:v>30. Earnings per share (Rs)</x:v>
      </x:c>
      <x:c r="B144" s="128" t="str">
        <x:v>Net Profit / Weighted Average Shares</x:v>
      </x:c>
      <x:c r="C144" s="67" t="n">
        <x:f>IF(OR((C104)&lt;=0,(C79)&lt;0),"n/m",(C79)/(C104))</x:f>
        <x:v>8.493747127465003</x:v>
      </x:c>
      <x:c r="D144" s="67" t="n">
        <x:f>IF(OR((D104)&lt;=0,(D79)&lt;0),"n/m",(D79)/(D104))</x:f>
        <x:v>6.783844570781772</x:v>
      </x:c>
      <x:c r="E144" s="67" t="str">
        <x:f>IF(OR((E104)&lt;=0,(E79)&lt;0),"n/m",(E79)/(E104))</x:f>
        <x:v>n/m</x:v>
      </x:c>
      <x:c r="F144" s="67" t="n">
        <x:f>IF(OR((F104)&lt;=0,(F79)&lt;0),"n/m",(F79)/(F104))</x:f>
        <x:v>1.2380103440270365</x:v>
      </x:c>
      <x:c r="G144" s="67" t="n">
        <x:f>IF(OR((G104)&lt;=0,(G79)&lt;0),"n/m",(G79)/(G104))</x:f>
        <x:v>19.800685803443983</x:v>
      </x:c>
    </x:row>
    <x:row r="145" ht="15" hidden="0">
      <x:c r="A145" s="134" t="str">
        <x:v>31. Price-to-earnings ratio</x:v>
      </x:c>
      <x:c r="B145" s="128" t="str">
        <x:v>Share Price / EPS</x:v>
      </x:c>
      <x:c r="C145" s="63" t="n">
        <x:f>IF(OR((C79/C104)&lt;=0,(C105)&lt;0),"n/m",(C105)/(C79/C104))</x:f>
        <x:v>13.883154069739035</x:v>
      </x:c>
      <x:c r="D145" s="63" t="n">
        <x:f>IF(OR((D79/D104)&lt;=0,(D105)&lt;0),"n/m",(D105)/(D79/D104))</x:f>
        <x:v>9.213064855464028</x:v>
      </x:c>
      <x:c r="E145" s="63" t="str">
        <x:f>IF(OR((E79/E104)&lt;=0,(E105)&lt;0),"n/m",(E105)/(E79/E104))</x:f>
        <x:v>n/m</x:v>
      </x:c>
      <x:c r="F145" s="63" t="n">
        <x:f>IF(OR((F79/F104)&lt;=0,(F105)&lt;0),"n/m",(F105)/(F79/F104))</x:f>
        <x:v>72.91538429829842</x:v>
      </x:c>
      <x:c r="G145" s="63" t="n">
        <x:f>IF(OR((G79/G104)&lt;=0,(G105)&lt;0),"n/m",(G105)/(G79/G104))</x:f>
        <x:v>8.361326554214791</x:v>
      </x:c>
    </x:row>
    <x:row r="146" ht="15" hidden="0">
      <x:c r="A146" s="134" t="str">
        <x:v>32. Dividend yield</x:v>
      </x:c>
      <x:c r="B146" s="128" t="str">
        <x:v>DPS / Share Price</x:v>
      </x:c>
      <x:c r="C146" s="66" t="n">
        <x:f>IF(OR((C105)&lt;=0,(C106)&lt;0),"n/m",(C106)/(C105))</x:f>
        <x:v>0.008480325644504749</x:v>
      </x:c>
      <x:c r="D146" s="66" t="n">
        <x:f>IF(OR((D105)&lt;=0,(D106)&lt;0),"n/m",(D106)/(D105))</x:f>
        <x:v>0.016</x:v>
      </x:c>
      <x:c r="E146" s="66" t="n">
        <x:f>IF(OR((E105)&lt;=0,(E106)&lt;0),"n/m",(E106)/(E105))</x:f>
        <x:v>0</x:v>
      </x:c>
      <x:c r="F146" s="66" t="n">
        <x:f>IF(OR((F105)&lt;=0,(F106)&lt;0),"n/m",(F106)/(F105))</x:f>
        <x:v>0</x:v>
      </x:c>
      <x:c r="G146" s="66" t="n">
        <x:f>IF(OR((G105)&lt;=0,(G106)&lt;0),"n/m",(G106)/(G105))</x:f>
        <x:v>0.012080212611741966</x:v>
      </x:c>
    </x:row>
    <x:row r="147" ht="15" hidden="0">
      <x:c r="A147" s="134" t="str">
        <x:v>33. Dividend payout ratio</x:v>
      </x:c>
      <x:c r="B147" s="128" t="str">
        <x:v>DPS / EPS</x:v>
      </x:c>
      <x:c r="C147" s="66" t="n">
        <x:f>IF(OR((C79/C104)&lt;=0,(C106)&lt;0),"n/m",(C106)/(C79/C104))</x:f>
        <x:v>0.11773366748421842</x:v>
      </x:c>
      <x:c r="D147" s="66" t="n">
        <x:f>IF(OR((D79/D104)&lt;=0,(D106)&lt;0),"n/m",(D106)/(D79/D104))</x:f>
        <x:v>0.14740903768742444</x:v>
      </x:c>
      <x:c r="E147" s="66" t="str">
        <x:f>IF(OR((E79/E104)&lt;=0,(E106)&lt;0),"n/m",(E106)/(E79/E104))</x:f>
        <x:v>n/m</x:v>
      </x:c>
      <x:c r="F147" s="66" t="n">
        <x:f>IF(OR((F79/F104)&lt;=0,(F106)&lt;0),"n/m",(F106)/(F79/F104))</x:f>
        <x:v>0</x:v>
      </x:c>
      <x:c r="G147" s="66" t="n">
        <x:f>IF(OR((G79/G104)&lt;=0,(G106)&lt;0),"n/m",(G106)/(G79/G104))</x:f>
        <x:v>0.10100660249111851</x:v>
      </x:c>
    </x:row>
    <x:row r="148" ht="15" hidden="0">
      <x:c r="A148" s="111"/>
      <x:c r="B148" s="111"/>
      <x:c r="C148">
        <x:f aca="0"/>
      </x:c>
      <x:c r="D148">
        <x:f aca="0"/>
      </x:c>
      <x:c r="E148">
        <x:f aca="0"/>
      </x:c>
      <x:c r="F148">
        <x:f aca="0"/>
      </x:c>
      <x:c r="G148">
        <x:f aca="0"/>
      </x:c>
    </x:row>
    <x:row r="149" ht="15" hidden="0">
      <x:c r="A149" s="131" t="str">
        <x:v>33 measures: 19 mandatory ratios and 14 additional measures. Ratios use one method across all five companies.</x:v>
      </x:c>
      <x:c r="B149" s="131"/>
      <x:c r="C149" s="80">
        <x:f aca="0"/>
      </x:c>
      <x:c r="D149" s="80">
        <x:f aca="0"/>
      </x:c>
      <x:c r="E149" s="80">
        <x:f aca="0"/>
      </x:c>
      <x:c r="F149" s="80">
        <x:f aca="0"/>
      </x:c>
      <x:c r="G149" s="80">
        <x:f aca="0"/>
      </x:c>
    </x:row>
    <x:row r="150" ht="15" hidden="0">
      <x:c r="A150" s="131" t="str">
        <x:v>n/m: negative calculated measures or non-positive denominators. Signed accounting inputs and raw workings are retained in the audit workbook.</x:v>
      </x:c>
      <x:c r="B150" s="131"/>
      <x:c r="C150" s="80"/>
      <x:c r="D150" s="80"/>
      <x:c r="E150" s="80"/>
      <x:c r="F150" s="80"/>
      <x:c r="G150" s="80"/>
    </x:row>
    <x:row r="151" ht="15" hidden="0">
      <x:c r="A151" s="131" t="str">
        <x:v>DIO includes stores and stock; supplier payables include identified related operating suppliers, excluding contractor retentions, taxes and accruals.</x:v>
      </x:c>
      <x:c r="B151" s="131"/>
      <x:c r="C151" s="80">
        <x:f aca="0"/>
      </x:c>
      <x:c r="D151" s="80">
        <x:f aca="0"/>
      </x:c>
      <x:c r="E151" s="80">
        <x:f aca="0"/>
      </x:c>
      <x:c r="F151" s="80">
        <x:f aca="0"/>
      </x:c>
      <x:c r="G151" s="80">
        <x:f aca="0"/>
      </x:c>
    </x:row>
    <x:row r="152">
      <x:c r="A152" s="111"/>
      <x:c r="B152" s="111"/>
    </x:row>
    <x:row r="153" ht="19.5" hidden="0" customHeight="1">
      <x:c r="A153" s="114" t="s">
        <x:v>148</x:v>
      </x:c>
      <x:c r="B153" s="115"/>
      <x:c r="C153" s="6"/>
      <x:c r="D153" s="6"/>
      <x:c r="E153" s="6"/>
      <x:c r="F153" s="6"/>
      <x:c r="G153" s="6"/>
    </x:row>
    <x:row r="154" ht="15" hidden="0">
      <x:c r="A154" s="132" t="s">
        <x:v>149</x:v>
      </x:c>
      <x:c r="B154" s="132"/>
      <x:c r="C154" s="41" t="s">
        <x:v>49</x:v>
      </x:c>
      <x:c r="D154" s="41" t="s">
        <x:v>50</x:v>
      </x:c>
      <x:c r="E154" s="41" t="s">
        <x:v>51</x:v>
      </x:c>
      <x:c r="F154" s="41" t="s">
        <x:v>52</x:v>
      </x:c>
      <x:c r="G154" s="41" t="s">
        <x:v>53</x:v>
      </x:c>
    </x:row>
    <x:row r="155" ht="15" hidden="0">
      <x:c r="A155" s="127" t="s">
        <x:v>56</x:v>
      </x:c>
      <x:c r="B155" s="127"/>
      <x:c r="C155" s="42" t="n">
        <x:f aca="0">C9/C25</x:f>
        <x:v>0.6165582205093789</x:v>
      </x:c>
      <x:c r="D155" s="42" t="n">
        <x:f aca="0">D9/D25</x:f>
        <x:v>0.6063462172309952</x:v>
      </x:c>
      <x:c r="E155" s="42" t="n">
        <x:f aca="0">E9/E25</x:f>
        <x:v>0.6105238167582232</x:v>
      </x:c>
      <x:c r="F155" s="42" t="n">
        <x:f aca="0">F9/F25</x:f>
        <x:v>0.5772114303037291</x:v>
      </x:c>
      <x:c r="G155" s="42" t="n">
        <x:f aca="0">G9/G25</x:f>
        <x:v>0.5294018433607002</x:v>
      </x:c>
    </x:row>
    <x:row r="156" ht="15" hidden="0">
      <x:c r="A156" s="127" t="s">
        <x:v>63</x:v>
      </x:c>
      <x:c r="B156" s="127"/>
      <x:c r="C156" s="42" t="n">
        <x:f aca="0">C16/C25</x:f>
        <x:v>0.7327579319457078</x:v>
      </x:c>
      <x:c r="D156" s="42" t="n">
        <x:f aca="0">D16/D25</x:f>
        <x:v>0.7011382440591294</x:v>
      </x:c>
      <x:c r="E156" s="42" t="n">
        <x:f aca="0">E16/E25</x:f>
        <x:v>0.710298245783596</x:v>
      </x:c>
      <x:c r="F156" s="42" t="n">
        <x:f aca="0">F16/F25</x:f>
        <x:v>0.6981588075893996</x:v>
      </x:c>
      <x:c r="G156" s="42" t="n">
        <x:f aca="0">G16/G25</x:f>
        <x:v>0.671692354597576</x:v>
      </x:c>
    </x:row>
    <x:row r="157" ht="15" hidden="0">
      <x:c r="A157" s="127" t="s">
        <x:v>150</x:v>
      </x:c>
      <x:c r="B157" s="127"/>
      <x:c r="C157" s="42" t="n">
        <x:f aca="0">C54/C25</x:f>
        <x:v>0.11318736209268437</x:v>
      </x:c>
      <x:c r="D157" s="42" t="n">
        <x:f aca="0">D54/D25</x:f>
        <x:v>0.16692341815435893</x:v>
      </x:c>
      <x:c r="E157" s="42" t="n">
        <x:f aca="0">E54/E25</x:f>
        <x:v>0.16869294093363668</x:v>
      </x:c>
      <x:c r="F157" s="42" t="n">
        <x:f aca="0">F54/F25</x:f>
        <x:v>0.14635062074380864</x:v>
      </x:c>
      <x:c r="G157" s="42" t="n">
        <x:f aca="0">G54/G25</x:f>
        <x:v>0.14045204348681356</x:v>
      </x:c>
    </x:row>
    <x:row r="158" ht="15" hidden="0">
      <x:c r="A158" s="127" t="s">
        <x:v>67</x:v>
      </x:c>
      <x:c r="B158" s="127"/>
      <x:c r="C158" s="42" t="n">
        <x:f aca="0">C20/C25</x:f>
        <x:v>0.012155978703082394</x:v>
      </x:c>
      <x:c r="D158" s="42" t="n">
        <x:f aca="0">D20/D25</x:f>
        <x:v>0.010748684555492017</x:v>
      </x:c>
      <x:c r="E158" s="42" t="n">
        <x:f aca="0">E20/E25</x:f>
        <x:v>0.008859113446996091</x:v>
      </x:c>
      <x:c r="F158" s="42" t="n">
        <x:f aca="0">F20/F25</x:f>
        <x:v>0.00618374345093354</x:v>
      </x:c>
      <x:c r="G158" s="42" t="n">
        <x:f aca="0">G20/G25</x:f>
        <x:v>0.010231885060079294</x:v>
      </x:c>
    </x:row>
    <x:row r="159" ht="15" hidden="0">
      <x:c r="A159" s="127" t="s">
        <x:v>68</x:v>
      </x:c>
      <x:c r="B159" s="127"/>
      <x:c r="C159" s="42" t="n">
        <x:f aca="0">C21/C25</x:f>
        <x:v>0.09388893323432154</x:v>
      </x:c>
      <x:c r="D159" s="42" t="n">
        <x:f aca="0">D21/D25</x:f>
        <x:v>0.07295162674557236</x:v>
      </x:c>
      <x:c r="E159" s="42" t="n">
        <x:f aca="0">E21/E25</x:f>
        <x:v>0.06881949418280697</x:v>
      </x:c>
      <x:c r="F159" s="42" t="n">
        <x:f aca="0">F21/F25</x:f>
        <x:v>0.13285241774236387</x:v>
      </x:c>
      <x:c r="G159" s="42" t="n">
        <x:f aca="0">G21/G25</x:f>
        <x:v>0.16450386051364257</x:v>
      </x:c>
    </x:row>
    <x:row r="160" ht="15" hidden="0">
      <x:c r="A160" s="127" t="s">
        <x:v>69</x:v>
      </x:c>
      <x:c r="B160" s="127"/>
      <x:c r="C160" s="42" t="n">
        <x:f aca="0">C22/C25</x:f>
        <x:v>0.005847744819367492</x:v>
      </x:c>
      <x:c r="D160" s="42" t="n">
        <x:f aca="0">D22/D25</x:f>
        <x:v>0.0030081791486187303</x:v>
      </x:c>
      <x:c r="E160" s="42" t="n">
        <x:f aca="0">E22/E25</x:f>
        <x:v>0.005010434979174357</x:v>
      </x:c>
      <x:c r="F160" s="42" t="n">
        <x:f aca="0">F22/F25</x:f>
        <x:v>0.0052907758120825064</x:v>
      </x:c>
      <x:c r="G160" s="42" t="n">
        <x:f aca="0">G22/G25</x:f>
        <x:v>0.00389813247950212</x:v>
      </x:c>
    </x:row>
    <x:row r="161" ht="15" hidden="0">
      <x:c r="A161" s="127" t="s">
        <x:v>71</x:v>
      </x:c>
      <x:c r="B161" s="127"/>
      <x:c r="C161" s="42" t="n">
        <x:f aca="0">C24/C25</x:f>
        <x:v>0.2672420680542922</x:v>
      </x:c>
      <x:c r="D161" s="42" t="n">
        <x:f aca="0">D24/D25</x:f>
        <x:v>0.2988617559408706</x:v>
      </x:c>
      <x:c r="E161" s="42" t="n">
        <x:f aca="0">E24/E25</x:f>
        <x:v>0.28970175421640393</x:v>
      </x:c>
      <x:c r="F161" s="42" t="n">
        <x:f aca="0">F24/F25</x:f>
        <x:v>0.3018411924106002</x:v>
      </x:c>
      <x:c r="G161" s="42" t="n">
        <x:f aca="0">G24/G25</x:f>
        <x:v>0.32830764540242413</x:v>
      </x:c>
    </x:row>
    <x:row r="162" ht="15" hidden="0">
      <x:c r="A162" s="127" t="s">
        <x:v>76</x:v>
      </x:c>
      <x:c r="B162" s="127"/>
      <x:c r="C162" s="42" t="n">
        <x:f aca="0">C29/C25</x:f>
        <x:v>0.5328549581569478</x:v>
      </x:c>
      <x:c r="D162" s="42" t="n">
        <x:f aca="0">D29/D25</x:f>
        <x:v>0.5119879274187324</x:v>
      </x:c>
      <x:c r="E162" s="42" t="n">
        <x:f aca="0">E29/E25</x:f>
        <x:v>0.47651047758077314</x:v>
      </x:c>
      <x:c r="F162" s="42" t="n">
        <x:f aca="0">F29/F25</x:f>
        <x:v>0.5480877605363915</x:v>
      </x:c>
      <x:c r="G162" s="42" t="n">
        <x:f aca="0">G29/G25</x:f>
        <x:v>0.6487440417282297</x:v>
      </x:c>
    </x:row>
    <x:row r="163" ht="15" hidden="0">
      <x:c r="A163" s="127" t="s">
        <x:v>83</x:v>
      </x:c>
      <x:c r="B163" s="127"/>
      <x:c r="C163" s="42" t="n">
        <x:f aca="0">C36/C25</x:f>
        <x:v>0.1749255375643633</x:v>
      </x:c>
      <x:c r="D163" s="42" t="n">
        <x:f aca="0">D36/D25</x:f>
        <x:v>0.1505168205158194</x:v>
      </x:c>
      <x:c r="E163" s="42" t="n">
        <x:f aca="0">E36/E25</x:f>
        <x:v>0.16216063639885053</x:v>
      </x:c>
      <x:c r="F163" s="42" t="n">
        <x:f aca="0">F36/F25</x:f>
        <x:v>0.21904349345092264</x:v>
      </x:c>
      <x:c r="G163" s="42" t="n">
        <x:f aca="0">G36/G25</x:f>
        <x:v>0.17369175860336017</x:v>
      </x:c>
    </x:row>
    <x:row r="164" ht="15" hidden="0">
      <x:c r="A164" s="127" t="s">
        <x:v>95</x:v>
      </x:c>
      <x:c r="B164" s="127"/>
      <x:c r="C164" s="42" t="n">
        <x:f aca="0">C48/C25</x:f>
        <x:v>0.29221950427868876</x:v>
      </x:c>
      <x:c r="D164" s="42" t="n">
        <x:f aca="0">D48/D25</x:f>
        <x:v>0.3374952520654481</x:v>
      </x:c>
      <x:c r="E164" s="42" t="n">
        <x:f aca="0">E48/E25</x:f>
        <x:v>0.3613288860203762</x:v>
      </x:c>
      <x:c r="F164" s="42" t="n">
        <x:f aca="0">F48/F25</x:f>
        <x:v>0.23286874601268565</x:v>
      </x:c>
      <x:c r="G164" s="42" t="n">
        <x:f aca="0">G48/G25</x:f>
        <x:v>0.17756419966841014</x:v>
      </x:c>
    </x:row>
    <x:row r="165" ht="15" hidden="0">
      <x:c r="A165" s="127" t="s">
        <x:v>102</x:v>
      </x:c>
      <x:c r="B165" s="127"/>
      <x:c r="C165" s="42" t="n">
        <x:f aca="0">C55/C25</x:f>
        <x:v>0.31758158908750495</x:v>
      </x:c>
      <x:c r="D165" s="42" t="n">
        <x:f aca="0">D55/D25</x:f>
        <x:v>0.34032817749984395</x:v>
      </x:c>
      <x:c r="E165" s="42" t="n">
        <x:f aca="0">E55/E25</x:f>
        <x:v>0.3156948164877674</x:v>
      </x:c>
      <x:c r="F165" s="42" t="n">
        <x:f aca="0">F55/F25</x:f>
        <x:v>0.2480154568511438</x:v>
      </x:c>
      <x:c r="G165" s="42" t="n">
        <x:f aca="0">G55/G25</x:f>
        <x:v>0.15012653655508287</x:v>
      </x:c>
    </x:row>
    <x:row r="166" ht="15" hidden="0">
      <x:c r="A166" s="132" t="s">
        <x:v>151</x:v>
      </x:c>
      <x:c r="B166" s="132"/>
      <x:c r="C166" s="41" t="s">
        <x:v>49</x:v>
      </x:c>
      <x:c r="D166" s="41" t="s">
        <x:v>50</x:v>
      </x:c>
      <x:c r="E166" s="41" t="s">
        <x:v>51</x:v>
      </x:c>
      <x:c r="F166" s="41" t="s">
        <x:v>52</x:v>
      </x:c>
      <x:c r="G166" s="41" t="s">
        <x:v>53</x:v>
      </x:c>
    </x:row>
    <x:row r="167" ht="15" hidden="0">
      <x:c r="A167" s="127" t="s">
        <x:v>109</x:v>
      </x:c>
      <x:c r="B167" s="127"/>
      <x:c r="C167" s="42" t="n">
        <x:f aca="0">C65/C64</x:f>
        <x:v>-0.8210528626050236</x:v>
      </x:c>
      <x:c r="D167" s="42" t="n">
        <x:f aca="0">D65/D64</x:f>
        <x:v>-0.8203373886400359</x:v>
      </x:c>
      <x:c r="E167" s="42" t="n">
        <x:f aca="0">E65/E64</x:f>
        <x:v>-0.852951475414165</x:v>
      </x:c>
      <x:c r="F167" s="42" t="n">
        <x:f aca="0">F65/F64</x:f>
        <x:v>-0.8405743639156738</x:v>
      </x:c>
      <x:c r="G167" s="42" t="n">
        <x:f aca="0">G65/G64</x:f>
        <x:v>-0.7425936745269908</x:v>
      </x:c>
    </x:row>
    <x:row r="168" ht="15" hidden="0">
      <x:c r="A168" s="127" t="s">
        <x:v>110</x:v>
      </x:c>
      <x:c r="B168" s="127"/>
      <x:c r="C168" s="42" t="n">
        <x:f aca="0">C66/C64</x:f>
        <x:v>0.1789471373949763</x:v>
      </x:c>
      <x:c r="D168" s="42" t="n">
        <x:f aca="0">D66/D64</x:f>
        <x:v>0.1796626113599641</x:v>
      </x:c>
      <x:c r="E168" s="42" t="n">
        <x:f aca="0">E66/E64</x:f>
        <x:v>0.147048524585835</x:v>
      </x:c>
      <x:c r="F168" s="42" t="n">
        <x:f aca="0">F66/F64</x:f>
        <x:v>0.1594256360843263</x:v>
      </x:c>
      <x:c r="G168" s="42" t="n">
        <x:f aca="0">G66/G64</x:f>
        <x:v>0.25740632547300923</x:v>
      </x:c>
    </x:row>
    <x:row r="169" ht="15" hidden="0">
      <x:c r="A169" s="127" t="s">
        <x:v>152</x:v>
      </x:c>
      <x:c r="B169" s="127"/>
      <x:c r="C169" s="42" t="n">
        <x:f aca="0">(C67+C68+C69+C70)/C64</x:f>
        <x:v>-0.06443313767563802</x:v>
      </x:c>
      <x:c r="D169" s="42" t="n">
        <x:f aca="0">(D67+D68+D69+D70)/D64</x:f>
        <x:v>-0.061190000396768904</x:v>
      </x:c>
      <x:c r="E169" s="42" t="n">
        <x:f aca="0">(E67+E68+E69+E70)/E64</x:f>
        <x:v>-0.04459477690608559</x:v>
      </x:c>
      <x:c r="F169" s="42" t="n">
        <x:f aca="0">(F67+F68+F69+F70)/F64</x:f>
        <x:v>-0.05940520715061439</x:v>
      </x:c>
      <x:c r="G169" s="42" t="n">
        <x:f aca="0">(G67+G68+G69+G70)/G64</x:f>
        <x:v>-0.08209752523745864</x:v>
      </x:c>
    </x:row>
    <x:row r="170" ht="15" hidden="0">
      <x:c r="A170" s="127" t="s">
        <x:v>115</x:v>
      </x:c>
      <x:c r="B170" s="127"/>
      <x:c r="C170" s="42" t="n">
        <x:f aca="0">C71/C64</x:f>
        <x:v>0.11451399971933833</x:v>
      </x:c>
      <x:c r="D170" s="42" t="n">
        <x:f aca="0">D71/D64</x:f>
        <x:v>0.11847261096319517</x:v>
      </x:c>
      <x:c r="E170" s="42" t="n">
        <x:f aca="0">E71/E64</x:f>
        <x:v>0.10245374767974941</x:v>
      </x:c>
      <x:c r="F170" s="42" t="n">
        <x:f aca="0">F71/F64</x:f>
        <x:v>0.1000204289337119</x:v>
      </x:c>
      <x:c r="G170" s="42" t="n">
        <x:f aca="0">G71/G64</x:f>
        <x:v>0.17530880023555062</x:v>
      </x:c>
    </x:row>
    <x:row r="171" ht="15" hidden="0">
      <x:c r="A171" s="127" t="s">
        <x:v>116</x:v>
      </x:c>
      <x:c r="B171" s="127"/>
      <x:c r="C171" s="42" t="n">
        <x:f aca="0">(C72+C73+C74)/C64</x:f>
        <x:v>0.0560174551168548</x:v>
      </x:c>
      <x:c r="D171" s="42" t="n">
        <x:f aca="0">(D72+D73+D74)/D64</x:f>
        <x:v>0.04676360014149989</x:v>
      </x:c>
      <x:c r="E171" s="42" t="n">
        <x:f aca="0">(E72+E73+E74)/E64</x:f>
        <x:v>0.04996626775763154</x:v>
      </x:c>
      <x:c r="F171" s="42" t="n">
        <x:f aca="0">(F72+F73+F74)/F64</x:f>
        <x:v>0.06412600044195305</x:v>
      </x:c>
      <x:c r="G171" s="42" t="n">
        <x:f aca="0">(G72+G73+G74)/G64</x:f>
        <x:v>0.05941579409364524</x:v>
      </x:c>
    </x:row>
    <x:row r="172" ht="15" hidden="0">
      <x:c r="A172" s="127" t="s">
        <x:v>119</x:v>
      </x:c>
      <x:c r="B172" s="127"/>
      <x:c r="C172" s="42" t="n">
        <x:f aca="0">C75/C64</x:f>
        <x:v>-0.06475337132094328</x:v>
      </x:c>
      <x:c r="D172" s="42" t="n">
        <x:f aca="0">D75/D64</x:f>
        <x:v>-0.06152566034414353</x:v>
      </x:c>
      <x:c r="E172" s="42" t="n">
        <x:f aca="0">E75/E64</x:f>
        <x:v>-0.10375339424870077</x:v>
      </x:c>
      <x:c r="F172" s="42" t="n">
        <x:f aca="0">F75/F64</x:f>
        <x:v>-0.12115784127695206</x:v>
      </x:c>
      <x:c r="G172" s="42" t="n">
        <x:f aca="0">G75/G64</x:f>
        <x:v>-0.05383575278855667</x:v>
      </x:c>
    </x:row>
    <x:row r="173" ht="15" hidden="0">
      <x:c r="A173" s="127" t="s">
        <x:v>120</x:v>
      </x:c>
      <x:c r="B173" s="127"/>
      <x:c r="C173" s="42" t="n">
        <x:f aca="0">C76/C64</x:f>
        <x:v>0.10577808351524985</x:v>
      </x:c>
      <x:c r="D173" s="42" t="n">
        <x:f aca="0">D76/D64</x:f>
        <x:v>0.10371055076055154</x:v>
      </x:c>
      <x:c r="E173" s="42" t="n">
        <x:f aca="0">E76/E64</x:f>
        <x:v>0.04866662118868018</x:v>
      </x:c>
      <x:c r="F173" s="42" t="n">
        <x:f aca="0">F76/F64</x:f>
        <x:v>0.042988588098712886</x:v>
      </x:c>
      <x:c r="G173" s="42" t="n">
        <x:f aca="0">G76/G64</x:f>
        <x:v>0.18088884154063914</x:v>
      </x:c>
    </x:row>
    <x:row r="174" ht="15" hidden="0">
      <x:c r="A174" s="127" t="s">
        <x:v>153</x:v>
      </x:c>
      <x:c r="B174" s="127"/>
      <x:c r="C174" s="42" t="n">
        <x:f aca="0">(C77+C78)/C64</x:f>
        <x:v>-0.023280553714898723</x:v>
      </x:c>
      <x:c r="D174" s="42" t="n">
        <x:f aca="0">(D77+D78)/D64</x:f>
        <x:v>-0.05250561975862978</x:v>
      </x:c>
      <x:c r="E174" s="42" t="n">
        <x:f aca="0">(E77+E78)/E64</x:f>
        <x:v>-0.10461864038435044</x:v>
      </x:c>
      <x:c r="F174" s="42" t="n">
        <x:f aca="0">(F77+F78)/F64</x:f>
        <x:v>-0.03477528150202982</x:v>
      </x:c>
      <x:c r="G174" s="42" t="n">
        <x:f aca="0">(G77+G78)/G64</x:f>
        <x:v>-0.06022231394206908</x:v>
      </x:c>
    </x:row>
    <x:row r="175" ht="15" hidden="0">
      <x:c r="A175" s="127" t="s">
        <x:v>123</x:v>
      </x:c>
      <x:c r="B175" s="127"/>
      <x:c r="C175" s="42" t="n">
        <x:f aca="0">C79/C64</x:f>
        <x:v>0.08249752980035112</x:v>
      </x:c>
      <x:c r="D175" s="42" t="n">
        <x:f aca="0">D79/D64</x:f>
        <x:v>0.05120493100192175</x:v>
      </x:c>
      <x:c r="E175" s="42" t="n">
        <x:f aca="0">E79/E64</x:f>
        <x:v>-0.05595201919567025</x:v>
      </x:c>
      <x:c r="F175" s="42" t="n">
        <x:f aca="0">F79/F64</x:f>
        <x:v>0.008213306596683071</x:v>
      </x:c>
      <x:c r="G175" s="42" t="n">
        <x:f aca="0">G79/G64</x:f>
        <x:v>0.12066652759857006</x:v>
      </x:c>
    </x:row>
    <x:row r="176" ht="15" hidden="0">
      <x:c r="A176" s="127"/>
      <x:c r="B176" s="127"/>
      <x:c r="C176" s="42">
        <x:f aca="0"/>
      </x:c>
      <x:c r="D176" s="42">
        <x:f aca="0"/>
      </x:c>
      <x:c r="E176" s="42">
        <x:f aca="0"/>
      </x:c>
      <x:c r="F176" s="42">
        <x:f aca="0"/>
      </x:c>
      <x:c r="G176" s="42">
        <x:f aca="0"/>
      </x:c>
    </x:row>
    <x:row r="177">
      <x:c r="A177" s="111"/>
      <x:c r="B177" s="111"/>
    </x:row>
    <x:row r="178" ht="19.5" hidden="0" customHeight="1">
      <x:c r="A178" s="114" t="s">
        <x:v>154</x:v>
      </x:c>
      <x:c r="B178" s="115"/>
      <x:c r="C178" s="6"/>
      <x:c r="D178" s="6"/>
      <x:c r="E178" s="6"/>
      <x:c r="F178" s="6"/>
      <x:c r="G178" s="6"/>
    </x:row>
    <x:row r="179" ht="15" hidden="0">
      <x:c r="A179" s="132" t="s">
        <x:v>155</x:v>
      </x:c>
      <x:c r="B179" s="132"/>
      <x:c r="C179" s="41" t="s">
        <x:v>49</x:v>
      </x:c>
      <x:c r="D179" s="41" t="s">
        <x:v>50</x:v>
      </x:c>
      <x:c r="E179" s="41" t="s">
        <x:v>51</x:v>
      </x:c>
      <x:c r="F179" s="41" t="s">
        <x:v>52</x:v>
      </x:c>
      <x:c r="G179" s="41" t="s">
        <x:v>53</x:v>
      </x:c>
    </x:row>
    <x:row r="180" ht="15" hidden="0">
      <x:c r="A180" s="127" t="s">
        <x:v>108</x:v>
      </x:c>
      <x:c r="B180" s="127"/>
      <x:c r="C180" s="38" t="n">
        <x:f aca="0">IF(OR(H64&lt;=0,C64&lt;H64),"n/m",C64/H64-1)</x:f>
        <x:v>0.18601064692976577</x:v>
      </x:c>
      <x:c r="D180" s="38" t="n">
        <x:f aca="0">IF(OR(C64&lt;=0,D64&lt;C64),"n/m",D64/C64-1)</x:f>
        <x:v>0.28678420464448506</x:v>
      </x:c>
      <x:c r="E180" s="38" t="n">
        <x:f aca="0">IF(OR(D64&lt;=0,E64&lt;D64),"n/m",E64/D64-1)</x:f>
        <x:v>0.1195640269497571</x:v>
      </x:c>
      <x:c r="F180" s="38" t="n">
        <x:f aca="0">IF(OR(E64&lt;=0,F64&lt;E64),"n/m",F64/E64-1)</x:f>
        <x:v>0.01623277892508046</x:v>
      </x:c>
      <x:c r="G180" s="38" t="n">
        <x:f aca="0">IF(OR(F64&lt;=0,G64&lt;F64),"n/m",G64/F64-1)</x:f>
        <x:v>0.08864724737342988</x:v>
      </x:c>
    </x:row>
    <x:row r="181" ht="15" hidden="0">
      <x:c r="A181" s="127" t="s">
        <x:v>110</x:v>
      </x:c>
      <x:c r="B181" s="127"/>
      <x:c r="C181" s="38" t="n">
        <x:f aca="0">IF(OR(H66&lt;=0,C66&lt;H66),"n/m",C66/H66-1)</x:f>
        <x:v>4.08976698492848</x:v>
      </x:c>
      <x:c r="D181" s="38" t="n">
        <x:f aca="0">IF(OR(C66&lt;=0,D66&lt;C66),"n/m",D66/C66-1)</x:f>
        <x:v>0.2919290793286131</x:v>
      </x:c>
      <x:c r="E181" s="38" t="str">
        <x:f aca="0">IF(OR(D66&lt;=0,E66&lt;D66),"n/m",E66/D66-1)</x:f>
        <x:v>n/m</x:v>
      </x:c>
      <x:c r="F181" s="38" t="n">
        <x:f aca="0">IF(OR(E66&lt;=0,F66&lt;E66),"n/m",F66/E66-1)</x:f>
        <x:v>0.10176934890158051</x:v>
      </x:c>
      <x:c r="G181" s="38" t="n">
        <x:f aca="0">IF(OR(F66&lt;=0,G66&lt;F66),"n/m",G66/F66-1)</x:f>
        <x:v>0.7577140952066153</x:v>
      </x:c>
    </x:row>
    <x:row r="182" ht="15" hidden="0">
      <x:c r="A182" s="127" t="s">
        <x:v>115</x:v>
      </x:c>
      <x:c r="B182" s="127"/>
      <x:c r="C182" s="38" t="str">
        <x:f aca="0">IF(OR(H71&lt;=0,C71&lt;H71),"n/m",C71/H71-1)</x:f>
        <x:v>n/m</x:v>
      </x:c>
      <x:c r="D182" s="38" t="n">
        <x:f aca="0">IF(OR(C71&lt;=0,D71&lt;C71),"n/m",D71/C71-1)</x:f>
        <x:v>0.33126678697858924</x:v>
      </x:c>
      <x:c r="E182" s="38" t="str">
        <x:f aca="0">IF(OR(D71&lt;=0,E71&lt;D71),"n/m",E71/D71-1)</x:f>
        <x:v>n/m</x:v>
      </x:c>
      <x:c r="F182" s="38" t="str">
        <x:f aca="0">IF(OR(E71&lt;=0,F71&lt;E71),"n/m",F71/E71-1)</x:f>
        <x:v>n/m</x:v>
      </x:c>
      <x:c r="G182" s="38" t="n">
        <x:f aca="0">IF(OR(F71&lt;=0,G71&lt;F71),"n/m",G71/F71-1)</x:f>
        <x:v>0.9081046227391736</x:v>
      </x:c>
    </x:row>
    <x:row r="183" ht="15" hidden="0">
      <x:c r="A183" s="127"/>
      <x:c r="B183" s="127"/>
      <x:c r="C183" s="38">
        <x:f aca="0"/>
      </x:c>
      <x:c r="D183" s="38">
        <x:f aca="0"/>
      </x:c>
      <x:c r="E183" s="38">
        <x:f aca="0"/>
      </x:c>
      <x:c r="F183" s="38">
        <x:f aca="0"/>
      </x:c>
      <x:c r="G183" s="38">
        <x:f aca="0"/>
      </x:c>
    </x:row>
    <x:row r="184" ht="15" hidden="0">
      <x:c r="A184" s="127" t="s">
        <x:v>123</x:v>
      </x:c>
      <x:c r="B184" s="127"/>
      <x:c r="C184" s="38" t="str">
        <x:f aca="0">IF(OR(H79&lt;=0,C79&lt;H79),"n/m",C79/H79-1)</x:f>
        <x:v>n/m</x:v>
      </x:c>
      <x:c r="D184" s="38" t="str">
        <x:f aca="0">IF(OR(C79&lt;=0,D79&lt;C79),"n/m",D79/C79-1)</x:f>
        <x:v>n/m</x:v>
      </x:c>
      <x:c r="E184" s="38" t="str">
        <x:f aca="0">IF(OR(D79&lt;=0,E79&lt;D79),"n/m",E79/D79-1)</x:f>
        <x:v>n/m</x:v>
      </x:c>
      <x:c r="F184" s="38" t="str">
        <x:f aca="0">IF(OR(E79&lt;=0,F79&lt;E79),"n/m",F79/E79-1)</x:f>
        <x:v>n/m</x:v>
      </x:c>
      <x:c r="G184" s="38" t="n">
        <x:f aca="0">IF(OR(F79&lt;=0,G79&lt;F79),"n/m",G79/F79-1)</x:f>
        <x:v>14.993958288777888</x:v>
      </x:c>
    </x:row>
    <x:row r="185" ht="15" hidden="0">
      <x:c r="A185" s="127" t="s">
        <x:v>132</x:v>
      </x:c>
      <x:c r="B185" s="127"/>
      <x:c r="C185" s="38" t="str">
        <x:f aca="0">IF(OR(H93&lt;=0,C93&lt;H93),"n/m",C93/H93-1)</x:f>
        <x:v>n/m</x:v>
      </x:c>
      <x:c r="D185" s="38" t="str">
        <x:f aca="0">IF(OR(C93&lt;=0,D93&lt;C93),"n/m",D93/C93-1)</x:f>
        <x:v>n/m</x:v>
      </x:c>
      <x:c r="E185" s="38" t="str">
        <x:f aca="0">IF(OR(D93&lt;=0,E93&lt;D93),"n/m",E93/D93-1)</x:f>
        <x:v>n/m</x:v>
      </x:c>
      <x:c r="F185" s="38" t="str">
        <x:f aca="0">IF(OR(E93&lt;=0,F93&lt;E93),"n/m",F93/E93-1)</x:f>
        <x:v>n/m</x:v>
      </x:c>
      <x:c r="G185" s="38" t="n">
        <x:f aca="0">IF(OR(F93&lt;=0,G93&lt;F93),"n/m",G93/F93-1)</x:f>
        <x:v>0.664160728545852</x:v>
      </x:c>
    </x:row>
    <x:row r="186" ht="15" hidden="0">
      <x:c r="A186" s="127" t="s">
        <x:v>156</x:v>
      </x:c>
      <x:c r="B186" s="127"/>
      <x:c r="C186" s="38" t="n">
        <x:f aca="0">IF(OR(H25&lt;=0,C25&lt;H25),"n/m",C25/H25-1)</x:f>
        <x:v>0.06440034125724847</x:v>
      </x:c>
      <x:c r="D186" s="38" t="str">
        <x:f aca="0">IF(OR(C25&lt;=0,D25&lt;C25),"n/m",D25/C25-1)</x:f>
        <x:v>n/m</x:v>
      </x:c>
      <x:c r="E186" s="38" t="str">
        <x:f aca="0">IF(OR(D25&lt;=0,E25&lt;D25),"n/m",E25/D25-1)</x:f>
        <x:v>n/m</x:v>
      </x:c>
      <x:c r="F186" s="38" t="n">
        <x:f aca="0">IF(OR(E25&lt;=0,F25&lt;E25),"n/m",F25/E25-1)</x:f>
        <x:v>0.02726160857193749</x:v>
      </x:c>
      <x:c r="G186" s="38" t="n">
        <x:f aca="0">IF(OR(F25&lt;=0,G25&lt;F25),"n/m",G25/F25-1)</x:f>
        <x:v>0.05447440059473152</x:v>
      </x:c>
    </x:row>
    <x:row r="187" ht="15" hidden="0">
      <x:c r="A187" s="127" t="s">
        <x:v>76</x:v>
      </x:c>
      <x:c r="B187" s="127"/>
      <x:c r="C187" s="38" t="n">
        <x:f aca="0">IF(OR(H29&lt;=0,C29&lt;H29),"n/m",C29/H29-1)</x:f>
        <x:v>0.1025403622406087</x:v>
      </x:c>
      <x:c r="D187" s="38" t="str">
        <x:f aca="0">IF(OR(C29&lt;=0,D29&lt;C29),"n/m",D29/C29-1)</x:f>
        <x:v>n/m</x:v>
      </x:c>
      <x:c r="E187" s="38" t="str">
        <x:f aca="0">IF(OR(D29&lt;=0,E29&lt;D29),"n/m",E29/D29-1)</x:f>
        <x:v>n/m</x:v>
      </x:c>
      <x:c r="F187" s="38" t="n">
        <x:f aca="0">IF(OR(E29&lt;=0,F29&lt;E29),"n/m",F29/E29-1)</x:f>
        <x:v>0.18156796338600034</x:v>
      </x:c>
      <x:c r="G187" s="38" t="n">
        <x:f aca="0">IF(OR(F29&lt;=0,G29&lt;F29),"n/m",G29/F29-1)</x:f>
        <x:v>0.24812855494399844</x:v>
      </x:c>
    </x:row>
    <x:row r="188" ht="15" hidden="0">
      <x:c r="A188" s="127" t="s">
        <x:v>102</x:v>
      </x:c>
      <x:c r="B188" s="127"/>
      <x:c r="C188" s="38" t="str">
        <x:f aca="0">IF(OR(H55&lt;=0,C55&lt;H55),"n/m",C55/H55-1)</x:f>
        <x:v>n/m</x:v>
      </x:c>
      <x:c r="D188" s="38" t="n">
        <x:f aca="0">IF(OR(C55&lt;=0,D55&lt;C55),"n/m",D55/C55-1)</x:f>
        <x:v>0.06126767318941817</x:v>
      </x:c>
      <x:c r="E188" s="38" t="str">
        <x:f aca="0">IF(OR(D55&lt;=0,E55&lt;D55),"n/m",E55/D55-1)</x:f>
        <x:v>n/m</x:v>
      </x:c>
      <x:c r="F188" s="38" t="str">
        <x:f aca="0">IF(OR(E55&lt;=0,F55&lt;E55),"n/m",F55/E55-1)</x:f>
        <x:v>n/m</x:v>
      </x:c>
      <x:c r="G188" s="38" t="str">
        <x:f aca="0">IF(OR(F55&lt;=0,G55&lt;F55),"n/m",G55/F55-1)</x:f>
        <x:v>n/m</x:v>
      </x:c>
    </x:row>
    <x:row r="189" ht="15" hidden="0">
      <x:c r="A189" s="127" t="s">
        <x:v>150</x:v>
      </x:c>
      <x:c r="B189" s="127"/>
      <x:c r="C189" s="38" t="n">
        <x:f aca="0">IF(OR(H54&lt;=0,C54&lt;H54),"n/m",C54/H54-1)</x:f>
        <x:v>0.23961207165285314</x:v>
      </x:c>
      <x:c r="D189" s="38" t="n">
        <x:f aca="0">IF(OR(C54&lt;=0,D54&lt;C54),"n/m",D54/C54-1)</x:f>
        <x:v>0.4605003851566034</x:v>
      </x:c>
      <x:c r="E189" s="38" t="str">
        <x:f aca="0">IF(OR(D54&lt;=0,E54&lt;D54),"n/m",E54/D54-1)</x:f>
        <x:v>n/m</x:v>
      </x:c>
      <x:c r="F189" s="38" t="str">
        <x:f aca="0">IF(OR(E54&lt;=0,F54&lt;E54),"n/m",F54/E54-1)</x:f>
        <x:v>n/m</x:v>
      </x:c>
      <x:c r="G189" s="38" t="n">
        <x:f aca="0">IF(OR(F54&lt;=0,G54&lt;F54),"n/m",G54/F54-1)</x:f>
        <x:v>0.011974418798824216</x:v>
      </x:c>
    </x:row>
    <x:row r="190" ht="15" hidden="0">
      <x:c r="A190" s="127" t="s">
        <x:v>67</x:v>
      </x:c>
      <x:c r="B190" s="127"/>
      <x:c r="C190" s="38" t="str">
        <x:f aca="0">IF(OR(H20&lt;=0,C20&lt;H20),"n/m",C20/H20-1)</x:f>
        <x:v>n/m</x:v>
      </x:c>
      <x:c r="D190" s="38" t="str">
        <x:f aca="0">IF(OR(C20&lt;=0,D20&lt;C20),"n/m",D20/C20-1)</x:f>
        <x:v>n/m</x:v>
      </x:c>
      <x:c r="E190" s="38" t="str">
        <x:f aca="0">IF(OR(D20&lt;=0,E20&lt;D20),"n/m",E20/D20-1)</x:f>
        <x:v>n/m</x:v>
      </x:c>
      <x:c r="F190" s="38" t="str">
        <x:f aca="0">IF(OR(E20&lt;=0,F20&lt;E20),"n/m",F20/E20-1)</x:f>
        <x:v>n/m</x:v>
      </x:c>
      <x:c r="G190" s="38" t="n">
        <x:f aca="0">IF(OR(F20&lt;=0,G20&lt;F20),"n/m",G20/F20-1)</x:f>
        <x:v>0.7447782158641272</x:v>
      </x:c>
    </x:row>
    <x:row r="191" ht="15" hidden="0">
      <x:c r="A191" s="127" t="s">
        <x:v>69</x:v>
      </x:c>
      <x:c r="B191" s="127"/>
      <x:c r="C191" s="38" t="n">
        <x:f aca="0">IF(OR(H22&lt;=0,C22&lt;H22),"n/m",C22/H22-1)</x:f>
        <x:v>1.3182696343658185</x:v>
      </x:c>
      <x:c r="D191" s="38" t="str">
        <x:f aca="0">IF(OR(C22&lt;=0,D22&lt;C22),"n/m",D22/C22-1)</x:f>
        <x:v>n/m</x:v>
      </x:c>
      <x:c r="E191" s="38" t="n">
        <x:f aca="0">IF(OR(D22&lt;=0,E22&lt;D22),"n/m",E22/D22-1)</x:f>
        <x:v>0.6430551870361219</x:v>
      </x:c>
      <x:c r="F191" s="38" t="n">
        <x:f aca="0">IF(OR(E22&lt;=0,F22&lt;E22),"n/m",F22/E22-1)</x:f>
        <x:v>0.08473832988627672</x:v>
      </x:c>
      <x:c r="G191" s="38" t="str">
        <x:f aca="0">IF(OR(F22&lt;=0,G22&lt;F22),"n/m",G22/F22-1)</x:f>
        <x:v>n/m</x:v>
      </x:c>
    </x:row>
    <x:row r="192">
      <x:c r="A192" s="111"/>
      <x:c r="B192" s="111"/>
    </x:row>
    <x:row r="193" ht="15" hidden="0">
      <x:c r="A193" s="113" t="str">
        <x:v>n/m covers negative/undefined measures and growth percentages. Signed financial statements and common-size expense presentation preserve accounting signs.</x:v>
      </x:c>
      <x:c r="B193" s="111"/>
    </x:row>
    <x:row r="194">
      <x:c r="A194" s="111"/>
      <x:c r="B194" s="111"/>
    </x:row>
    <x:row r="195">
      <x:c r="A195" s="111"/>
      <x:c r="B195" s="111"/>
    </x:row>
    <x:row r="196" ht="22" customHeight="1">
      <x:c r="A196" s="126" t="str">
        <x:v>Financing classification (PKR million)</x:v>
      </x:c>
      <x:c r="B196" s="126"/>
      <x:c r="C196" s="71"/>
      <x:c r="D196" s="71"/>
      <x:c r="E196" s="71"/>
      <x:c r="F196" s="71"/>
      <x:c r="G196" s="71"/>
    </x:row>
    <x:row r="197">
      <x:c r="A197" s="111" t="str">
        <x:v>Interest-free parent loan excluded from IBD</x:v>
      </x:c>
      <x:c r="B197" s="111"/>
      <x:c r="C197" s="81" t="n">
        <x:v>0</x:v>
      </x:c>
      <x:c r="D197" s="81" t="n">
        <x:v>0</x:v>
      </x:c>
      <x:c r="E197" s="81" t="n">
        <x:v>0</x:v>
      </x:c>
      <x:c r="F197" s="81" t="n">
        <x:v>0</x:v>
      </x:c>
      <x:c r="G197" s="81" t="n">
        <x:v>0</x:v>
      </x:c>
      <x:c r="H197" s="81" t="n">
        <x:v>0</x:v>
      </x:c>
    </x:row>
    <x:row r="198">
      <x:c r="A198" s="111" t="str">
        <x:v>Accrued interest within financing balances</x:v>
      </x:c>
      <x:c r="B198" s="111"/>
      <x:c r="C198" s="81" t="n">
        <x:v>0</x:v>
      </x:c>
      <x:c r="D198" s="81" t="n">
        <x:v>0</x:v>
      </x:c>
      <x:c r="E198" s="81" t="n">
        <x:v>0</x:v>
      </x:c>
      <x:c r="F198" s="81" t="n">
        <x:v>0</x:v>
      </x:c>
      <x:c r="G198" s="81" t="n">
        <x:v>0</x:v>
      </x:c>
      <x:c r="H198" s="81" t="n">
        <x:v>0</x:v>
      </x:c>
    </x:row>
    <x:row r="199">
      <x:c r="A199" s="111" t="str">
        <x:v>Related operating supplier payable (included above)</x:v>
      </x:c>
      <x:c r="B199" s="111"/>
      <x:c r="C199" s="81" t="n">
        <x:v>0</x:v>
      </x:c>
      <x:c r="D199" s="81" t="n">
        <x:v>0</x:v>
      </x:c>
      <x:c r="E199" s="81" t="n">
        <x:v>0</x:v>
      </x:c>
      <x:c r="F199" s="81" t="n">
        <x:v>0</x:v>
      </x:c>
      <x:c r="G199" s="81" t="n">
        <x:v>0</x:v>
      </x:c>
      <x:c r="H199" s="81" t="n">
        <x:v>0</x:v>
      </x:c>
    </x:row>
    <x:row r="200">
      <x:c r="A200" s="111"/>
      <x:c r="B200" s="111"/>
      <x:c r="C200" s="81"/>
      <x:c r="D200" s="81"/>
      <x:c r="E200" s="81"/>
      <x:c r="F200" s="81"/>
      <x:c r="G200" s="81"/>
      <x:c r="H200" s="81"/>
    </x:row>
    <x:row r="201">
      <x:c r="A201" s="111"/>
      <x:c r="B201" s="111"/>
      <x:c r="C201" s="81"/>
      <x:c r="D201" s="81"/>
      <x:c r="E201" s="81"/>
      <x:c r="F201" s="81"/>
      <x:c r="G201" s="81"/>
      <x:c r="H201" s="81"/>
    </x:row>
    <x:row r="202">
      <x:c r="A202" s="111"/>
      <x:c r="B202" s="111"/>
      <x:c r="C202" s="81"/>
      <x:c r="D202" s="81"/>
      <x:c r="E202" s="81"/>
      <x:c r="F202" s="81"/>
      <x:c r="G202" s="81"/>
      <x:c r="H202" s="81"/>
    </x:row>
    <x:row r="203">
      <x:c r="A203" s="131" t="str">
        <x:v>Sources: KOHC FY2025 note 6.1 (PDF p89); FCCL FY2025 note 11 (PDF p268), FY2024 note 10; MLCF trade-payable and related-party notes.</x:v>
      </x:c>
      <x:c r="B203" s="131"/>
      <x:c r="C203" s="82"/>
      <x:c r="D203" s="82"/>
      <x:c r="E203" s="82"/>
      <x:c r="F203" s="82"/>
      <x:c r="G203" s="82"/>
      <x:c r="H203" s="81"/>
    </x:row>
    <x:row r="204">
      <x:c r="A204" s="111"/>
      <x:c r="B204" s="111"/>
    </x:row>
    <x:row r="205" ht="23" customHeight="1">
      <x:c r="A205" s="133" t="str">
        <x:v>NWC n/m FY2021-23: CA&lt;CL. FY2023 loss and negative NOPAT cause n/m earnings/returns; P/E is undefined with a loss. Actual ETR214.97% retained.</x:v>
      </x:c>
      <x:c r="B205" s="133"/>
      <x:c r="C205" s="109"/>
      <x:c r="D205" s="109"/>
      <x:c r="E205" s="109"/>
      <x:c r="F205" s="109"/>
      <x:c r="G205" s="109"/>
    </x:row>
    <x:row r="206" ht="23" customHeight="1">
      <x:c r="A206" s="133"/>
      <x:c r="B206" s="133"/>
      <x:c r="C206" s="109"/>
      <x:c r="D206" s="109"/>
      <x:c r="E206" s="109"/>
      <x:c r="F206" s="109"/>
      <x:c r="G206" s="109"/>
    </x:row>
    <x:row r="207">
      <x:c r="A207" s="111"/>
      <x:c r="B207" s="111"/>
    </x:row>
    <x:row r="208">
      <x:c r="A208" s="111"/>
      <x:c r="B208" s="111"/>
    </x:row>
  </x:sheetData>
  <x:mergeCells>
    <x:mergeCell ref="A110:G110"/>
    <x:mergeCell ref="A116:G116"/>
    <x:mergeCell ref="A127:G127"/>
    <x:mergeCell ref="A133:G133"/>
    <x:mergeCell ref="A141:G141"/>
    <x:mergeCell ref="A196:G196"/>
    <x:mergeCell ref="A205:G20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FA98A"/>
  </x:sheetPr>
  <x:sheetViews>
    <x:sheetView showGridLines="0" workbookViewId="0">
      <x:pane xSplit="2" ySplit="5" topLeftCell="C6" activePane="bottomRight" state="frozen"/>
    </x:sheetView>
  </x:sheetViews>
  <x:sheetFormatPr defaultColWidth="8.6796875" defaultRowHeight="15"/>
  <x:cols>
    <x:col min="1" max="1" width="44" hidden="0" customWidth="1"/>
    <x:col min="2" max="2" width="36" hidden="0" customWidth="1"/>
    <x:col min="3" max="8" width="12" hidden="0" customWidth="1"/>
  </x:cols>
  <x:sheetData>
    <x:row r="1" ht="19.700000762939453" hidden="0">
      <x:c r="A1" s="110" t="s">
        <x:v>161</x:v>
      </x:c>
      <x:c r="B1" s="111"/>
    </x:row>
    <x:row r="2" ht="15" hidden="0">
      <x:c r="A2" s="112" t="s">
        <x:v>162</x:v>
      </x:c>
      <x:c r="B2" s="111"/>
    </x:row>
    <x:row r="3" ht="15" hidden="0">
      <x:c r="A3" s="113" t="s">
        <x:v>46</x:v>
      </x:c>
      <x:c r="B3" s="111"/>
    </x:row>
    <x:row r="4">
      <x:c r="A4" s="111"/>
      <x:c r="B4" s="111"/>
    </x:row>
    <x:row r="5">
      <x:c r="A5" s="111"/>
      <x:c r="B5" s="111"/>
    </x:row>
    <x:row r="6" ht="19.5" hidden="0" customHeight="1">
      <x:c r="A6" s="114" t="s">
        <x:v>47</x:v>
      </x:c>
      <x:c r="B6" s="115"/>
      <x:c r="C6" s="6"/>
      <x:c r="D6" s="6"/>
      <x:c r="E6" s="6"/>
      <x:c r="F6" s="6"/>
      <x:c r="G6" s="6"/>
      <x:c r="H6" s="6"/>
    </x:row>
    <x:row r="7" ht="16.5" hidden="0" customHeight="1">
      <x:c r="A7" s="116" t="s">
        <x:v>48</x:v>
      </x:c>
      <x:c r="B7" s="117"/>
      <x:c r="C7" s="19" t="s">
        <x:v>49</x:v>
      </x:c>
      <x:c r="D7" s="19" t="s">
        <x:v>50</x:v>
      </x:c>
      <x:c r="E7" s="19" t="s">
        <x:v>51</x:v>
      </x:c>
      <x:c r="F7" s="19" t="s">
        <x:v>52</x:v>
      </x:c>
      <x:c r="G7" s="19" t="s">
        <x:v>53</x:v>
      </x:c>
      <x:c r="H7" s="19" t="s">
        <x:v>54</x:v>
      </x:c>
    </x:row>
    <x:row r="8" ht="15" hidden="0">
      <x:c r="A8" s="118" t="s">
        <x:v>55</x:v>
      </x:c>
      <x:c r="B8" s="119"/>
      <x:c r="C8" s="21"/>
      <x:c r="D8" s="21"/>
      <x:c r="E8" s="21"/>
      <x:c r="F8" s="21"/>
      <x:c r="G8" s="21"/>
      <x:c r="H8" s="21"/>
    </x:row>
    <x:row r="9" ht="15" hidden="0">
      <x:c r="A9" s="120" t="s">
        <x:v>56</x:v>
      </x:c>
      <x:c r="B9" s="121"/>
      <x:c r="C9" s="24" t="n">
        <x:v>44215.539</x:v>
      </x:c>
      <x:c r="D9" s="24" t="n">
        <x:v>56784.84</x:v>
      </x:c>
      <x:c r="E9" s="24" t="n">
        <x:v>62354.608</x:v>
      </x:c>
      <x:c r="F9" s="24" t="n">
        <x:v>65995.598</x:v>
      </x:c>
      <x:c r="G9" s="24" t="n">
        <x:v>62836.212</x:v>
      </x:c>
      <x:c r="H9" s="24" t="n">
        <x:v>44297.941</x:v>
      </x:c>
    </x:row>
    <x:row r="10" ht="15" hidden="0">
      <x:c r="A10" s="120" t="s">
        <x:v>57</x:v>
      </x:c>
      <x:c r="B10" s="121"/>
      <x:c r="C10" s="24" t="n">
        <x:v>2854.293</x:v>
      </x:c>
      <x:c r="D10" s="24" t="n">
        <x:v>15352.8</x:v>
      </x:c>
      <x:c r="E10" s="24" t="n">
        <x:v>1676.796</x:v>
      </x:c>
      <x:c r="F10" s="24" t="n">
        <x:v>471.174</x:v>
      </x:c>
      <x:c r="G10" s="24" t="n">
        <x:v>125.704</x:v>
      </x:c>
      <x:c r="H10" s="24" t="n">
        <x:v>871.386</x:v>
      </x:c>
    </x:row>
    <x:row r="11" ht="15" hidden="0">
      <x:c r="A11" s="120" t="s">
        <x:v>58</x:v>
      </x:c>
      <x:c r="B11" s="121"/>
      <x:c r="C11" s="24" t="n">
        <x:v>0</x:v>
      </x:c>
      <x:c r="D11" s="24" t="n">
        <x:v>0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</x:row>
    <x:row r="12" ht="15" hidden="0">
      <x:c r="A12" s="120" t="s">
        <x:v>59</x:v>
      </x:c>
      <x:c r="B12" s="121"/>
      <x:c r="C12" s="24" t="n">
        <x:v>6.017</x:v>
      </x:c>
      <x:c r="D12" s="24" t="n">
        <x:v>10.415</x:v>
      </x:c>
      <x:c r="E12" s="24" t="n">
        <x:v>6.946</x:v>
      </x:c>
      <x:c r="F12" s="24" t="n">
        <x:v>84.81</x:v>
      </x:c>
      <x:c r="G12" s="24" t="n">
        <x:v>62.426</x:v>
      </x:c>
      <x:c r="H12" s="24" t="n">
        <x:v>9.023</x:v>
      </x:c>
    </x:row>
    <x:row r="13" ht="15" hidden="0">
      <x:c r="A13" s="120" t="s">
        <x:v>60</x:v>
      </x:c>
      <x:c r="B13" s="121"/>
      <x:c r="C13" s="24" t="n">
        <x:v>0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</x:row>
    <x:row r="14" ht="15" hidden="0">
      <x:c r="A14" s="120" t="s">
        <x:v>61</x:v>
      </x:c>
      <x:c r="B14" s="121"/>
      <x:c r="C14" s="24" t="n">
        <x:v>5020</x:v>
      </x:c>
      <x:c r="D14" s="24" t="n">
        <x:v>5020</x:v>
      </x:c>
      <x:c r="E14" s="24" t="n">
        <x:v>5030</x:v>
      </x:c>
      <x:c r="F14" s="24" t="n">
        <x:v>6322</x:v>
      </x:c>
      <x:c r="G14" s="24" t="n">
        <x:v>20371.11</x:v>
      </x:c>
      <x:c r="H14" s="24" t="n">
        <x:v>5020</x:v>
      </x:c>
    </x:row>
    <x:row r="15" ht="15" hidden="0">
      <x:c r="A15" s="120" t="s">
        <x:v>62</x:v>
      </x:c>
      <x:c r="B15" s="121"/>
      <x:c r="C15" s="24" t="n">
        <x:v>74.306</x:v>
      </x:c>
      <x:c r="D15" s="24" t="n">
        <x:v>76.966</x:v>
      </x:c>
      <x:c r="E15" s="24" t="n">
        <x:v>76.49</x:v>
      </x:c>
      <x:c r="F15" s="24" t="n">
        <x:v>95.437</x:v>
      </x:c>
      <x:c r="G15" s="24" t="n">
        <x:v>83.919</x:v>
      </x:c>
      <x:c r="H15" s="24" t="n">
        <x:v>75.616</x:v>
      </x:c>
    </x:row>
    <x:row r="16" ht="15" hidden="0">
      <x:c r="A16" s="122" t="s">
        <x:v>63</x:v>
      </x:c>
      <x:c r="B16" s="123"/>
      <x:c r="C16" s="27" t="n">
        <x:f aca="0">C9+C11+C12+C13+C14+C15</x:f>
        <x:v>49315.861999999994</x:v>
      </x:c>
      <x:c r="D16" s="27" t="n">
        <x:f aca="0">D9+D11+D12+D13+D14+D15</x:f>
        <x:v>61892.221</x:v>
      </x:c>
      <x:c r="E16" s="27" t="n">
        <x:f aca="0">E9+E11+E12+E13+E14+E15</x:f>
        <x:v>67468.04400000001</x:v>
      </x:c>
      <x:c r="F16" s="27" t="n">
        <x:f aca="0">F9+F11+F12+F13+F14+F15</x:f>
        <x:v>72497.845</x:v>
      </x:c>
      <x:c r="G16" s="27" t="n">
        <x:f aca="0">G9+G11+G12+G13+G14+G15</x:f>
        <x:v>83353.66699999999</x:v>
      </x:c>
      <x:c r="H16" s="27" t="n">
        <x:f aca="0">H9+H11+H12+H13+H14+H15</x:f>
        <x:v>49402.58</x:v>
      </x:c>
    </x:row>
    <x:row r="17" ht="15" hidden="0">
      <x:c r="A17" s="118" t="s">
        <x:v>64</x:v>
      </x:c>
      <x:c r="B17" s="119"/>
      <x:c r="C17" s="21"/>
      <x:c r="D17" s="21"/>
      <x:c r="E17" s="21"/>
      <x:c r="F17" s="21"/>
      <x:c r="G17" s="21"/>
      <x:c r="H17" s="21"/>
    </x:row>
    <x:row r="18" ht="15" hidden="0">
      <x:c r="A18" s="120" t="s">
        <x:v>65</x:v>
      </x:c>
      <x:c r="B18" s="121"/>
      <x:c r="C18" s="24" t="n">
        <x:v>9738.717</x:v>
      </x:c>
      <x:c r="D18" s="24" t="n">
        <x:v>12853.605</x:v>
      </x:c>
      <x:c r="E18" s="24" t="n">
        <x:v>9925.855</x:v>
      </x:c>
      <x:c r="F18" s="24" t="n">
        <x:v>12277.288</x:v>
      </x:c>
      <x:c r="G18" s="24" t="n">
        <x:v>12461.312</x:v>
      </x:c>
      <x:c r="H18" s="24" t="n">
        <x:v>8395.61</x:v>
      </x:c>
    </x:row>
    <x:row r="19" ht="15" hidden="0">
      <x:c r="A19" s="120" t="s">
        <x:v>66</x:v>
      </x:c>
      <x:c r="B19" s="121"/>
      <x:c r="C19" s="24" t="n">
        <x:v>2150.183</x:v>
      </x:c>
      <x:c r="D19" s="24" t="n">
        <x:v>2695.621</x:v>
      </x:c>
      <x:c r="E19" s="24" t="n">
        <x:v>3874.605</x:v>
      </x:c>
      <x:c r="F19" s="24" t="n">
        <x:v>3256.553</x:v>
      </x:c>
      <x:c r="G19" s="24" t="n">
        <x:v>4442.989</x:v>
      </x:c>
      <x:c r="H19" s="24" t="n">
        <x:v>1779.404</x:v>
      </x:c>
    </x:row>
    <x:row r="20" ht="15" hidden="0">
      <x:c r="A20" s="120" t="s">
        <x:v>67</x:v>
      </x:c>
      <x:c r="B20" s="121"/>
      <x:c r="C20" s="24" t="n">
        <x:v>1679.704</x:v>
      </x:c>
      <x:c r="D20" s="24" t="n">
        <x:v>2066.212</x:v>
      </x:c>
      <x:c r="E20" s="24" t="n">
        <x:v>2600.985</x:v>
      </x:c>
      <x:c r="F20" s="24" t="n">
        <x:v>4188.745</x:v>
      </x:c>
      <x:c r="G20" s="24" t="n">
        <x:v>4610.182</x:v>
      </x:c>
      <x:c r="H20" s="24" t="n">
        <x:v>3052.13</x:v>
      </x:c>
    </x:row>
    <x:row r="21" ht="15" hidden="0">
      <x:c r="A21" s="120" t="s">
        <x:v>68</x:v>
      </x:c>
      <x:c r="B21" s="121"/>
      <x:c r="C21" s="24" t="n">
        <x:v>149.148</x:v>
      </x:c>
      <x:c r="D21" s="24" t="n">
        <x:v>198.346</x:v>
      </x:c>
      <x:c r="E21" s="24" t="n">
        <x:v>3689.556</x:v>
      </x:c>
      <x:c r="F21" s="24" t="n">
        <x:v>4220.262</x:v>
      </x:c>
      <x:c r="G21" s="24" t="n">
        <x:v>11102.413</x:v>
      </x:c>
      <x:c r="H21" s="24" t="n">
        <x:v>75.245</x:v>
      </x:c>
    </x:row>
    <x:row r="22" ht="15" hidden="0">
      <x:c r="A22" s="120" t="s">
        <x:v>69</x:v>
      </x:c>
      <x:c r="B22" s="121"/>
      <x:c r="C22" s="24" t="n">
        <x:v>490.329</x:v>
      </x:c>
      <x:c r="D22" s="24" t="n">
        <x:v>793.576</x:v>
      </x:c>
      <x:c r="E22" s="24" t="n">
        <x:v>740.707</x:v>
      </x:c>
      <x:c r="F22" s="24" t="n">
        <x:v>1133.412</x:v>
      </x:c>
      <x:c r="G22" s="24" t="n">
        <x:v>1615.481</x:v>
      </x:c>
      <x:c r="H22" s="24" t="n">
        <x:v>1046.267</x:v>
      </x:c>
    </x:row>
    <x:row r="23" ht="15" hidden="0">
      <x:c r="A23" s="120" t="s">
        <x:v>70</x:v>
      </x:c>
      <x:c r="B23" s="121"/>
      <x:c r="C23" s="24" t="n">
        <x:v>2715.335</x:v>
      </x:c>
      <x:c r="D23" s="24" t="n">
        <x:v>1714.629</x:v>
      </x:c>
      <x:c r="E23" s="24" t="n">
        <x:v>1407.959</x:v>
      </x:c>
      <x:c r="F23" s="24" t="n">
        <x:v>1791.577</x:v>
      </x:c>
      <x:c r="G23" s="24" t="n">
        <x:v>1520.227</x:v>
      </x:c>
      <x:c r="H23" s="24" t="n">
        <x:v>2258.535</x:v>
      </x:c>
    </x:row>
    <x:row r="24" ht="15" hidden="0">
      <x:c r="A24" s="122" t="s">
        <x:v>71</x:v>
      </x:c>
      <x:c r="B24" s="123"/>
      <x:c r="C24" s="27" t="n">
        <x:f aca="0">C18+C19+C20+C21+C22+C23</x:f>
        <x:v>16923.416</x:v>
      </x:c>
      <x:c r="D24" s="27" t="n">
        <x:f aca="0">D18+D19+D20+D21+D22+D23</x:f>
        <x:v>20321.989</x:v>
      </x:c>
      <x:c r="E24" s="27" t="n">
        <x:f aca="0">E18+E19+E20+E21+E22+E23</x:f>
        <x:v>22239.666999999998</x:v>
      </x:c>
      <x:c r="F24" s="27" t="n">
        <x:f aca="0">F18+F19+F20+F21+F22+F23</x:f>
        <x:v>26867.837</x:v>
      </x:c>
      <x:c r="G24" s="27" t="n">
        <x:f aca="0">G18+G19+G20+G21+G22+G23</x:f>
        <x:v>35752.604</x:v>
      </x:c>
      <x:c r="H24" s="27" t="n">
        <x:f aca="0">H18+H19+H20+H21+H22+H23</x:f>
        <x:v>16607.191</x:v>
      </x:c>
    </x:row>
    <x:row r="25" ht="15" hidden="0">
      <x:c r="A25" s="122" t="s">
        <x:v>72</x:v>
      </x:c>
      <x:c r="B25" s="123"/>
      <x:c r="C25" s="27" t="n">
        <x:f aca="0">C16+C24</x:f>
        <x:v>66239.27799999999</x:v>
      </x:c>
      <x:c r="D25" s="27" t="n">
        <x:f aca="0">D16+D24</x:f>
        <x:v>82214.20999999999</x:v>
      </x:c>
      <x:c r="E25" s="27" t="n">
        <x:f aca="0">E16+E24</x:f>
        <x:v>89707.71100000001</x:v>
      </x:c>
      <x:c r="F25" s="27" t="n">
        <x:f aca="0">F16+F24</x:f>
        <x:v>99365.682</x:v>
      </x:c>
      <x:c r="G25" s="27" t="n">
        <x:f aca="0">G16+G24</x:f>
        <x:v>119106.27099999998</x:v>
      </x:c>
      <x:c r="H25" s="27" t="n">
        <x:f aca="0">H16+H24</x:f>
        <x:v>66009.77100000001</x:v>
      </x:c>
    </x:row>
    <x:row r="26" ht="15" hidden="0">
      <x:c r="A26" s="118" t="s">
        <x:v>73</x:v>
      </x:c>
      <x:c r="B26" s="119"/>
      <x:c r="C26" s="21"/>
      <x:c r="D26" s="21"/>
      <x:c r="E26" s="21"/>
      <x:c r="F26" s="21"/>
      <x:c r="G26" s="21"/>
      <x:c r="H26" s="21"/>
    </x:row>
    <x:row r="27" ht="15" hidden="0">
      <x:c r="A27" s="120" t="s">
        <x:v>74</x:v>
      </x:c>
      <x:c r="B27" s="121"/>
      <x:c r="C27" s="24" t="n">
        <x:v>10983.462</x:v>
      </x:c>
      <x:c r="D27" s="24" t="n">
        <x:v>10983.462</x:v>
      </x:c>
      <x:c r="E27" s="24" t="n">
        <x:v>10733.462</x:v>
      </x:c>
      <x:c r="F27" s="24" t="n">
        <x:v>10475.626</x:v>
      </x:c>
      <x:c r="G27" s="24" t="n">
        <x:v>10475.626</x:v>
      </x:c>
      <x:c r="H27" s="24" t="n">
        <x:v>10983.462</x:v>
      </x:c>
    </x:row>
    <x:row r="28" ht="15" hidden="0">
      <x:c r="A28" s="120" t="s">
        <x:v>75</x:v>
      </x:c>
      <x:c r="B28" s="121"/>
      <x:c r="C28" s="24" t="n">
        <x:v>26559.079</x:v>
      </x:c>
      <x:c r="D28" s="24" t="n">
        <x:v>29575.553</x:v>
      </x:c>
      <x:c r="E28" s="24" t="n">
        <x:v>34179.652</x:v>
      </x:c>
      <x:c r="F28" s="24" t="n">
        <x:v>42140.282</x:v>
      </x:c>
      <x:c r="G28" s="24" t="n">
        <x:v>60985.966</x:v>
      </x:c>
      <x:c r="H28" s="24" t="n">
        <x:v>20337.369</x:v>
      </x:c>
    </x:row>
    <x:row r="29" ht="15" hidden="0">
      <x:c r="A29" s="122" t="s">
        <x:v>76</x:v>
      </x:c>
      <x:c r="B29" s="123"/>
      <x:c r="C29" s="27" t="n">
        <x:f aca="0">C27+C28</x:f>
        <x:v>37542.541</x:v>
      </x:c>
      <x:c r="D29" s="27" t="n">
        <x:f aca="0">D27+D28</x:f>
        <x:v>40559.015</x:v>
      </x:c>
      <x:c r="E29" s="27" t="n">
        <x:f aca="0">E27+E28</x:f>
        <x:v>44913.114</x:v>
      </x:c>
      <x:c r="F29" s="27" t="n">
        <x:f aca="0">F27+F28</x:f>
        <x:v>52615.907999999996</x:v>
      </x:c>
      <x:c r="G29" s="27" t="n">
        <x:f aca="0">G27+G28</x:f>
        <x:v>71461.592</x:v>
      </x:c>
      <x:c r="H29" s="27" t="n">
        <x:f aca="0">H27+H28</x:f>
        <x:v>31320.831</x:v>
      </x:c>
    </x:row>
    <x:row r="30" ht="15" hidden="0">
      <x:c r="A30" s="118" t="s">
        <x:v>77</x:v>
      </x:c>
      <x:c r="B30" s="119"/>
      <x:c r="C30" s="21"/>
      <x:c r="D30" s="21"/>
      <x:c r="E30" s="21"/>
      <x:c r="F30" s="21"/>
      <x:c r="G30" s="21"/>
      <x:c r="H30" s="21"/>
    </x:row>
    <x:row r="31" ht="15" hidden="0">
      <x:c r="A31" s="120" t="s">
        <x:v>78</x:v>
      </x:c>
      <x:c r="B31" s="121"/>
      <x:c r="C31" s="24" t="n">
        <x:v>12636.749</x:v>
      </x:c>
      <x:c r="D31" s="24" t="n">
        <x:v>18747.868</x:v>
      </x:c>
      <x:c r="E31" s="24" t="n">
        <x:v>17233.337</x:v>
      </x:c>
      <x:c r="F31" s="24" t="n">
        <x:v>14285.786</x:v>
      </x:c>
      <x:c r="G31" s="24" t="n">
        <x:v>9781.639</x:v>
      </x:c>
      <x:c r="H31" s="24" t="n">
        <x:v>15173.102</x:v>
      </x:c>
    </x:row>
    <x:row r="32" ht="15" hidden="0">
      <x:c r="A32" s="120" t="s">
        <x:v>79</x:v>
      </x:c>
      <x:c r="B32" s="121"/>
      <x:c r="C32" s="24" t="n">
        <x:v>0</x:v>
      </x:c>
      <x:c r="D32" s="24" t="n">
        <x:v>27.136</x:v>
      </x:c>
      <x:c r="E32" s="24" t="n">
        <x:v>31.408</x:v>
      </x:c>
      <x:c r="F32" s="24" t="n">
        <x:v>34.67</x:v>
      </x:c>
      <x:c r="G32" s="24" t="n">
        <x:v>28.495</x:v>
      </x:c>
      <x:c r="H32" s="24" t="n">
        <x:v>0</x:v>
      </x:c>
    </x:row>
    <x:row r="33" ht="15" hidden="0">
      <x:c r="A33" s="120" t="s">
        <x:v>80</x:v>
      </x:c>
      <x:c r="B33" s="121"/>
      <x:c r="C33" s="24" t="n">
        <x:v>49.569</x:v>
      </x:c>
      <x:c r="D33" s="24" t="n">
        <x:v>786.758</x:v>
      </x:c>
      <x:c r="E33" s="24" t="n">
        <x:v>605.926</x:v>
      </x:c>
      <x:c r="F33" s="24" t="n">
        <x:v>450.487</x:v>
      </x:c>
      <x:c r="G33" s="24" t="n">
        <x:v>322.304</x:v>
      </x:c>
      <x:c r="H33" s="24" t="n">
        <x:v>0</x:v>
      </x:c>
    </x:row>
    <x:row r="34" ht="15" hidden="0">
      <x:c r="A34" s="120" t="s">
        <x:v>81</x:v>
      </x:c>
      <x:c r="B34" s="121"/>
      <x:c r="C34" s="24" t="n">
        <x:v>3889.907</x:v>
      </x:c>
      <x:c r="D34" s="24" t="n">
        <x:v>5656.499</x:v>
      </x:c>
      <x:c r="E34" s="24" t="n">
        <x:v>8669.211</x:v>
      </x:c>
      <x:c r="F34" s="24" t="n">
        <x:v>13044.29</x:v>
      </x:c>
      <x:c r="G34" s="24" t="n">
        <x:v>13822.898</x:v>
      </x:c>
      <x:c r="H34" s="24" t="n">
        <x:v>3379.44</x:v>
      </x:c>
    </x:row>
    <x:row r="35" ht="15" hidden="0">
      <x:c r="A35" s="120" t="s">
        <x:v>82</x:v>
      </x:c>
      <x:c r="B35" s="121"/>
      <x:c r="C35" s="24" t="n">
        <x:v>671.064</x:v>
      </x:c>
      <x:c r="D35" s="24" t="n">
        <x:v>243.543</x:v>
      </x:c>
      <x:c r="E35" s="24" t="n">
        <x:v>2039.694</x:v>
      </x:c>
      <x:c r="F35" s="24" t="n">
        <x:v>336.741</x:v>
      </x:c>
      <x:c r="G35" s="24" t="n">
        <x:v>358.852</x:v>
      </x:c>
      <x:c r="H35" s="24" t="n">
        <x:v>822.623</x:v>
      </x:c>
    </x:row>
    <x:row r="36" ht="15" hidden="0">
      <x:c r="A36" s="122" t="s">
        <x:v>83</x:v>
      </x:c>
      <x:c r="B36" s="123"/>
      <x:c r="C36" s="27" t="n">
        <x:f aca="0">C31+C32+C33+C34+C35</x:f>
        <x:v>17247.288999999997</x:v>
      </x:c>
      <x:c r="D36" s="27" t="n">
        <x:f aca="0">D31+D32+D33+D34+D35</x:f>
        <x:v>25461.804</x:v>
      </x:c>
      <x:c r="E36" s="27" t="n">
        <x:f aca="0">E31+E32+E33+E34+E35</x:f>
        <x:v>28579.575999999997</x:v>
      </x:c>
      <x:c r="F36" s="27" t="n">
        <x:f aca="0">F31+F32+F33+F34+F35</x:f>
        <x:v>28151.974000000002</x:v>
      </x:c>
      <x:c r="G36" s="27" t="n">
        <x:f aca="0">G31+G32+G33+G34+G35</x:f>
        <x:v>24314.188</x:v>
      </x:c>
      <x:c r="H36" s="27" t="n">
        <x:f aca="0">H31+H32+H33+H34+H35</x:f>
        <x:v>19375.165</x:v>
      </x:c>
    </x:row>
    <x:row r="37" ht="15" hidden="0">
      <x:c r="A37" s="118" t="s">
        <x:v>84</x:v>
      </x:c>
      <x:c r="B37" s="119"/>
      <x:c r="C37" s="21"/>
      <x:c r="D37" s="21"/>
      <x:c r="E37" s="21"/>
      <x:c r="F37" s="21"/>
      <x:c r="G37" s="21"/>
      <x:c r="H37" s="21"/>
    </x:row>
    <x:row r="38" ht="15" hidden="0">
      <x:c r="A38" s="120" t="s">
        <x:v>85</x:v>
      </x:c>
      <x:c r="B38" s="121"/>
      <x:c r="C38" s="24" t="n">
        <x:v>7511.637</x:v>
      </x:c>
      <x:c r="D38" s="24" t="n">
        <x:v>9117.414</x:v>
      </x:c>
      <x:c r="E38" s="24" t="n">
        <x:v>12518.18</x:v>
      </x:c>
      <x:c r="F38" s="24" t="n">
        <x:v>12482.233</x:v>
      </x:c>
      <x:c r="G38" s="24" t="n">
        <x:v>17926.267</x:v>
      </x:c>
      <x:c r="H38" s="24" t="n">
        <x:v>7951.221</x:v>
      </x:c>
    </x:row>
    <x:row r="39" ht="15" hidden="0">
      <x:c r="A39" s="120" t="s">
        <x:v>86</x:v>
      </x:c>
      <x:c r="B39" s="121"/>
      <x:c r="C39" s="24" t="n">
        <x:v>0</x:v>
      </x:c>
      <x:c r="D39" s="24" t="n">
        <x:v>0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</x:row>
    <x:row r="40" ht="15" hidden="0">
      <x:c r="A40" s="120" t="s">
        <x:v>87</x:v>
      </x:c>
      <x:c r="B40" s="121"/>
      <x:c r="C40" s="24" t="n">
        <x:v>260.953</x:v>
      </x:c>
      <x:c r="D40" s="24" t="n">
        <x:v>665.122</x:v>
      </x:c>
      <x:c r="E40" s="24" t="n">
        <x:v>880.039</x:v>
      </x:c>
      <x:c r="F40" s="24" t="n">
        <x:v>865.945</x:v>
      </x:c>
      <x:c r="G40" s="24" t="n">
        <x:v>320.434</x:v>
      </x:c>
      <x:c r="H40" s="24" t="n">
        <x:v>547.189</x:v>
      </x:c>
    </x:row>
    <x:row r="41" ht="15" hidden="0">
      <x:c r="A41" s="120" t="s">
        <x:v>88</x:v>
      </x:c>
      <x:c r="B41" s="121"/>
      <x:c r="C41" s="24" t="n">
        <x:v>1894.115</x:v>
      </x:c>
      <x:c r="D41" s="24" t="n">
        <x:v>3572.073</x:v>
      </x:c>
      <x:c r="E41" s="24" t="n">
        <x:v>0</x:v>
      </x:c>
      <x:c r="F41" s="24" t="n">
        <x:v>1645.316</x:v>
      </x:c>
      <x:c r="G41" s="24" t="n">
        <x:v>822.285</x:v>
      </x:c>
      <x:c r="H41" s="24" t="n">
        <x:v>6642.312</x:v>
      </x:c>
    </x:row>
    <x:row r="42" ht="15" hidden="0">
      <x:c r="A42" s="120" t="s">
        <x:v>89</x:v>
      </x:c>
      <x:c r="B42" s="121"/>
      <x:c r="C42" s="24" t="n">
        <x:v>1704.612</x:v>
      </x:c>
      <x:c r="D42" s="24" t="n">
        <x:v>2619.8</x:v>
      </x:c>
      <x:c r="E42" s="24" t="n">
        <x:v>2599.401</x:v>
      </x:c>
      <x:c r="F42" s="24" t="n">
        <x:v>3407.702</x:v>
      </x:c>
      <x:c r="G42" s="24" t="n">
        <x:v>3933.328</x:v>
      </x:c>
      <x:c r="H42" s="24" t="n">
        <x:v>125</x:v>
      </x:c>
    </x:row>
    <x:row r="43" ht="15" hidden="0">
      <x:c r="A43" s="120" t="s">
        <x:v>90</x:v>
      </x:c>
      <x:c r="B43" s="121"/>
      <x:c r="C43" s="24" t="n">
        <x:v>0</x:v>
      </x:c>
      <x:c r="D43" s="24" t="n">
        <x:v>6.837</x:v>
      </x:c>
      <x:c r="E43" s="24" t="n">
        <x:v>10.257</x:v>
      </x:c>
      <x:c r="F43" s="24" t="n">
        <x:v>13.909</x:v>
      </x:c>
      <x:c r="G43" s="24" t="n">
        <x:v>14.323</x:v>
      </x:c>
      <x:c r="H43" s="24" t="n">
        <x:v>0</x:v>
      </x:c>
    </x:row>
    <x:row r="44" ht="15" hidden="0">
      <x:c r="A44" s="120" t="s">
        <x:v>91</x:v>
      </x:c>
      <x:c r="B44" s="121"/>
      <x:c r="C44" s="24" t="n">
        <x:v>49.997</x:v>
      </x:c>
      <x:c r="D44" s="24" t="n">
        <x:v>184.576</x:v>
      </x:c>
      <x:c r="E44" s="24" t="n">
        <x:v>179.766</x:v>
      </x:c>
      <x:c r="F44" s="24" t="n">
        <x:v>155.439</x:v>
      </x:c>
      <x:c r="G44" s="24" t="n">
        <x:v>128.183</x:v>
      </x:c>
      <x:c r="H44" s="24" t="n">
        <x:v>0</x:v>
      </x:c>
    </x:row>
    <x:row r="45" ht="15" hidden="0">
      <x:c r="A45" s="120" t="s">
        <x:v>92</x:v>
      </x:c>
      <x:c r="B45" s="121"/>
      <x:c r="C45" s="24" t="n">
        <x:v>28.134</x:v>
      </x:c>
      <x:c r="D45" s="24" t="n">
        <x:v>27.569</x:v>
      </x:c>
      <x:c r="E45" s="24" t="n">
        <x:v>27.378</x:v>
      </x:c>
      <x:c r="F45" s="24" t="n">
        <x:v>27.256</x:v>
      </x:c>
      <x:c r="G45" s="24" t="n">
        <x:v>26.877</x:v>
      </x:c>
      <x:c r="H45" s="24" t="n">
        <x:v>48.053</x:v>
      </x:c>
    </x:row>
    <x:row r="46" ht="15" hidden="0">
      <x:c r="A46" s="120" t="s">
        <x:v>93</x:v>
      </x:c>
      <x:c r="B46" s="121"/>
      <x:c r="C46" s="24" t="n">
        <x:v>0</x:v>
      </x:c>
      <x:c r="D46" s="24" t="n">
        <x:v>0</x:v>
      </x:c>
      <x:c r="E46" s="24" t="n">
        <x:v>0</x:v>
      </x:c>
      <x:c r="F46" s="24" t="n">
        <x:v>0</x:v>
      </x:c>
      <x:c r="G46" s="24" t="n">
        <x:v>158.794</x:v>
      </x:c>
      <x:c r="H46" s="24" t="n">
        <x:v>0</x:v>
      </x:c>
    </x:row>
    <x:row r="47" ht="15" hidden="0">
      <x:c r="A47" s="120" t="s">
        <x:v>94</x:v>
      </x:c>
      <x:c r="B47" s="121"/>
      <x:c r="C47" s="24" t="n">
        <x:v>0</x:v>
      </x:c>
      <x:c r="D47" s="24" t="n">
        <x:v>0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</x:row>
    <x:row r="48" ht="15" hidden="0">
      <x:c r="A48" s="122" t="s">
        <x:v>95</x:v>
      </x:c>
      <x:c r="B48" s="123"/>
      <x:c r="C48" s="27" t="n">
        <x:f aca="0">C38+C39+C40+C41+C42+C43+C44+C45+C46+C47</x:f>
        <x:v>11449.447999999999</x:v>
      </x:c>
      <x:c r="D48" s="27" t="n">
        <x:f aca="0">D38+D39+D40+D41+D42+D43+D44+D45+D46+D47</x:f>
        <x:v>16193.390999999998</x:v>
      </x:c>
      <x:c r="E48" s="27" t="n">
        <x:f aca="0">E38+E39+E40+E41+E42+E43+E44+E45+E46+E47</x:f>
        <x:v>16215.021</x:v>
      </x:c>
      <x:c r="F48" s="27" t="n">
        <x:f aca="0">F38+F39+F40+F41+F42+F43+F44+F45+F46+F47</x:f>
        <x:v>18597.8</x:v>
      </x:c>
      <x:c r="G48" s="27" t="n">
        <x:f aca="0">G38+G39+G40+G41+G42+G43+G44+G45+G46+G47</x:f>
        <x:v>23330.491000000005</x:v>
      </x:c>
      <x:c r="H48" s="27" t="n">
        <x:f aca="0">H38+H39+H40+H41+H42+H43+H44+H45+H46+H47</x:f>
        <x:v>15313.775</x:v>
      </x:c>
    </x:row>
    <x:row r="49" ht="15" hidden="0">
      <x:c r="A49" s="122" t="s">
        <x:v>96</x:v>
      </x:c>
      <x:c r="B49" s="123"/>
      <x:c r="C49" s="27" t="n">
        <x:f aca="0">C36+C48</x:f>
        <x:v>28696.736999999994</x:v>
      </x:c>
      <x:c r="D49" s="27" t="n">
        <x:f aca="0">D36+D48</x:f>
        <x:v>41655.195</x:v>
      </x:c>
      <x:c r="E49" s="27" t="n">
        <x:f aca="0">E36+E48</x:f>
        <x:v>44794.596999999994</x:v>
      </x:c>
      <x:c r="F49" s="27" t="n">
        <x:f aca="0">F36+F48</x:f>
        <x:v>46749.774000000005</x:v>
      </x:c>
      <x:c r="G49" s="27" t="n">
        <x:f aca="0">G36+G48</x:f>
        <x:v>47644.679000000004</x:v>
      </x:c>
      <x:c r="H49" s="27" t="n">
        <x:f aca="0">H36+H48</x:f>
        <x:v>34688.94</x:v>
      </x:c>
    </x:row>
    <x:row r="50" ht="15" hidden="0">
      <x:c r="A50" s="122" t="s">
        <x:v>97</x:v>
      </x:c>
      <x:c r="B50" s="123"/>
      <x:c r="C50" s="27" t="n">
        <x:f aca="0">C29+C49</x:f>
        <x:v>66239.27799999999</x:v>
      </x:c>
      <x:c r="D50" s="27" t="n">
        <x:f aca="0">D29+D49</x:f>
        <x:v>82214.20999999999</x:v>
      </x:c>
      <x:c r="E50" s="27" t="n">
        <x:f aca="0">E29+E49</x:f>
        <x:v>89707.711</x:v>
      </x:c>
      <x:c r="F50" s="27" t="n">
        <x:f aca="0">F29+F49</x:f>
        <x:v>99365.682</x:v>
      </x:c>
      <x:c r="G50" s="27" t="n">
        <x:f aca="0">G29+G49</x:f>
        <x:v>119106.27100000001</x:v>
      </x:c>
      <x:c r="H50" s="27" t="n">
        <x:f aca="0">H29+H49</x:f>
        <x:v>66009.77100000001</x:v>
      </x:c>
    </x:row>
    <x:row r="51" ht="15" hidden="0">
      <x:c r="A51" s="118" t="s">
        <x:v>98</x:v>
      </x:c>
      <x:c r="B51" s="119"/>
      <x:c r="C51" s="21"/>
      <x:c r="D51" s="21"/>
      <x:c r="E51" s="21"/>
      <x:c r="F51" s="21"/>
      <x:c r="G51" s="21"/>
      <x:c r="H51" s="21"/>
    </x:row>
    <x:row r="52" ht="15" hidden="0">
      <x:c r="A52" s="120" t="s">
        <x:v>99</x:v>
      </x:c>
      <x:c r="B52" s="121"/>
      <x:c r="C52" s="24" t="n">
        <x:f>3515.408+C199</x:f>
        <x:v>3576.632</x:v>
      </x:c>
      <x:c r="D52" s="24" t="n">
        <x:f>3975.712+D199</x:f>
        <x:v>4108.307</x:v>
      </x:c>
      <x:c r="E52" s="24" t="n">
        <x:f>4804.356+E199</x:f>
        <x:v>6676.221</x:v>
      </x:c>
      <x:c r="F52" s="24" t="n">
        <x:f>4575.18+F199</x:f>
        <x:v>5396.6050000000005</x:v>
      </x:c>
      <x:c r="G52" s="24" t="n">
        <x:f>5869.802+G199</x:f>
        <x:v>7322.782999999999</x:v>
      </x:c>
      <x:c r="H52" s="24" t="n">
        <x:f>3886.684+H199</x:f>
        <x:v>4173.943</x:v>
      </x:c>
    </x:row>
    <x:row r="53" ht="15" hidden="0">
      <x:c r="A53" s="120" t="s">
        <x:v>100</x:v>
      </x:c>
      <x:c r="B53" s="121"/>
      <x:c r="C53" s="24" t="n">
        <x:f aca="0">C9-C10</x:f>
        <x:v>41361.246</x:v>
      </x:c>
      <x:c r="D53" s="24" t="n">
        <x:f aca="0">D9-D10</x:f>
        <x:v>41432.03999999999</x:v>
      </x:c>
      <x:c r="E53" s="24" t="n">
        <x:f aca="0">E9-E10</x:f>
        <x:v>60677.812</x:v>
      </x:c>
      <x:c r="F53" s="24" t="n">
        <x:f aca="0">F9-F10</x:f>
        <x:v>65524.424</x:v>
      </x:c>
      <x:c r="G53" s="24" t="n">
        <x:f aca="0">G9-G10</x:f>
        <x:v>62710.508</x:v>
      </x:c>
      <x:c r="H53" s="24" t="n">
        <x:f aca="0">H9-H10</x:f>
        <x:v>43426.555</x:v>
      </x:c>
    </x:row>
    <x:row r="54" ht="15" hidden="0">
      <x:c r="A54" s="120" t="s">
        <x:v>101</x:v>
      </x:c>
      <x:c r="B54" s="121"/>
      <x:c r="C54" s="24" t="n">
        <x:f aca="0">C18+C19</x:f>
        <x:v>11888.900000000001</x:v>
      </x:c>
      <x:c r="D54" s="24" t="n">
        <x:f aca="0">D18+D19</x:f>
        <x:v>15549.225999999999</x:v>
      </x:c>
      <x:c r="E54" s="24" t="n">
        <x:f aca="0">E18+E19</x:f>
        <x:v>13800.46</x:v>
      </x:c>
      <x:c r="F54" s="24" t="n">
        <x:f aca="0">F18+F19</x:f>
        <x:v>15533.841</x:v>
      </x:c>
      <x:c r="G54" s="24" t="n">
        <x:f aca="0">G18+G19</x:f>
        <x:v>16904.301</x:v>
      </x:c>
      <x:c r="H54" s="24" t="n">
        <x:f aca="0">H18+H19</x:f>
        <x:v>10175.014000000001</x:v>
      </x:c>
    </x:row>
    <x:row r="55" ht="15" hidden="0">
      <x:c r="A55" s="120" t="s">
        <x:v>102</x:v>
      </x:c>
      <x:c r="B55" s="121"/>
      <x:c r="C55" s="24" t="n">
        <x:f aca="0">C31+C32+C41+C42+C43-C197-C198</x:f>
        <x:v>16235.475999999999</x:v>
      </x:c>
      <x:c r="D55" s="24" t="n">
        <x:f aca="0">D31+D32+D41+D42+D43-D197-D198</x:f>
        <x:v>24973.713999999996</x:v>
      </x:c>
      <x:c r="E55" s="24" t="n">
        <x:f aca="0">E31+E32+E41+E42+E43-E197-E198</x:f>
        <x:v>19874.403000000002</x:v>
      </x:c>
      <x:c r="F55" s="24" t="n">
        <x:f aca="0">F31+F32+F41+F42+F43-F197-F198</x:f>
        <x:v>19387.383</x:v>
      </x:c>
      <x:c r="G55" s="24" t="n">
        <x:f aca="0">G31+G32+G41+G42+G43-G197-G198</x:f>
        <x:v>14580.07</x:v>
      </x:c>
      <x:c r="H55" s="24" t="n">
        <x:f aca="0">H31+H32+H41+H42+H43-H197-H198</x:f>
        <x:v>21940.414</x:v>
      </x:c>
    </x:row>
    <x:row r="56" ht="15" hidden="0">
      <x:c r="A56" s="120" t="s">
        <x:v>103</x:v>
      </x:c>
      <x:c r="B56" s="121"/>
      <x:c r="C56" s="24" t="n">
        <x:f aca="0">C31+C32</x:f>
        <x:v>12636.749</x:v>
      </x:c>
      <x:c r="D56" s="24" t="n">
        <x:f aca="0">D31+D32</x:f>
        <x:v>18775.003999999997</x:v>
      </x:c>
      <x:c r="E56" s="24" t="n">
        <x:f aca="0">E31+E32</x:f>
        <x:v>17264.745</x:v>
      </x:c>
      <x:c r="F56" s="24" t="n">
        <x:f aca="0">F31+F32</x:f>
        <x:v>14320.456</x:v>
      </x:c>
      <x:c r="G56" s="24" t="n">
        <x:f aca="0">G31+G32</x:f>
        <x:v>9810.134</x:v>
      </x:c>
      <x:c r="H56" s="24" t="n">
        <x:f aca="0">H31+H32</x:f>
        <x:v>15173.102</x:v>
      </x:c>
    </x:row>
    <x:row r="57" ht="15" hidden="0">
      <x:c r="A57" s="120"/>
      <x:c r="B57" s="121"/>
      <x:c r="C57" s="24">
        <x:f aca="0"/>
      </x:c>
      <x:c r="D57" s="24">
        <x:f aca="0"/>
      </x:c>
      <x:c r="E57" s="24">
        <x:f aca="0"/>
      </x:c>
      <x:c r="F57" s="24">
        <x:f aca="0"/>
      </x:c>
      <x:c r="G57" s="24">
        <x:f aca="0"/>
      </x:c>
      <x:c r="H57" s="24">
        <x:f aca="0"/>
      </x:c>
    </x:row>
    <x:row r="58" ht="15" hidden="0">
      <x:c r="A58" s="120" t="s">
        <x:v>104</x:v>
      </x:c>
      <x:c r="B58" s="121"/>
      <x:c r="C58" s="24" t="n">
        <x:f aca="0">C55+C29</x:f>
        <x:v>53778.01699999999</x:v>
      </x:c>
      <x:c r="D58" s="24" t="n">
        <x:f aca="0">D55+D29</x:f>
        <x:v>65532.72899999999</x:v>
      </x:c>
      <x:c r="E58" s="24" t="n">
        <x:f aca="0">E55+E29</x:f>
        <x:v>64787.51700000001</x:v>
      </x:c>
      <x:c r="F58" s="24" t="n">
        <x:f aca="0">F55+F29</x:f>
        <x:v>72003.291</x:v>
      </x:c>
      <x:c r="G58" s="24" t="n">
        <x:f aca="0">G55+G29</x:f>
        <x:v>86041.66200000001</x:v>
      </x:c>
      <x:c r="H58" s="24" t="n">
        <x:f aca="0">H55+H29</x:f>
        <x:v>53261.244999999995</x:v>
      </x:c>
    </x:row>
    <x:row r="59" ht="15" hidden="0">
      <x:c r="A59" s="120" t="s">
        <x:v>105</x:v>
      </x:c>
      <x:c r="B59" s="121"/>
      <x:c r="C59" s="24" t="n">
        <x:f aca="0">C24-C22-C21</x:f>
        <x:v>16283.939</x:v>
      </x:c>
      <x:c r="D59" s="24" t="n">
        <x:f aca="0">D24-D22-D21</x:f>
        <x:v>19330.067</x:v>
      </x:c>
      <x:c r="E59" s="24" t="n">
        <x:f aca="0">E24-E22-E21</x:f>
        <x:v>17809.404</x:v>
      </x:c>
      <x:c r="F59" s="24" t="n">
        <x:f aca="0">F24-F22-F21</x:f>
        <x:v>21514.163</x:v>
      </x:c>
      <x:c r="G59" s="24" t="n">
        <x:f aca="0">G24-G22-G21</x:f>
        <x:v>23034.71</x:v>
      </x:c>
      <x:c r="H59" s="24" t="n">
        <x:f aca="0">H24-H22-H21</x:f>
        <x:v>15485.678999999998</x:v>
      </x:c>
    </x:row>
    <x:row r="60" ht="15" hidden="0">
      <x:c r="A60" s="120" t="s">
        <x:v>106</x:v>
      </x:c>
      <x:c r="B60" s="121"/>
      <x:c r="C60" s="24" t="n">
        <x:f aca="0">C48-C41-C42-C43-C44-C40-C45</x:f>
        <x:v>7511.636999999999</x:v>
      </x:c>
      <x:c r="D60" s="24" t="n">
        <x:f aca="0">D48-D41-D42-D43-D44-D40-D45</x:f>
        <x:v>9117.413999999999</x:v>
      </x:c>
      <x:c r="E60" s="24" t="n">
        <x:f aca="0">E48-E41-E42-E43-E44-E40-E45</x:f>
        <x:v>12518.18</x:v>
      </x:c>
      <x:c r="F60" s="24" t="n">
        <x:f aca="0">F48-F41-F42-F43-F44-F40-F45</x:f>
        <x:v>12482.233</x:v>
      </x:c>
      <x:c r="G60" s="24" t="n">
        <x:f aca="0">G48-G41-G42-G43-G44-G40-G45</x:f>
        <x:v>18085.061</x:v>
      </x:c>
      <x:c r="H60" s="24" t="n">
        <x:f aca="0">H48-H41-H42-H43-H44-H40-H45</x:f>
        <x:v>7951.221</x:v>
      </x:c>
    </x:row>
    <x:row r="61">
      <x:c r="A61" s="111"/>
      <x:c r="B61" s="111"/>
    </x:row>
    <x:row r="62" ht="19.5" hidden="0" customHeight="1">
      <x:c r="A62" s="114" t="s">
        <x:v>107</x:v>
      </x:c>
      <x:c r="B62" s="115"/>
      <x:c r="C62" s="6"/>
      <x:c r="D62" s="6"/>
      <x:c r="E62" s="6"/>
      <x:c r="F62" s="6"/>
      <x:c r="G62" s="6"/>
      <x:c r="H62" s="6"/>
    </x:row>
    <x:row r="63" ht="16.5" hidden="0" customHeight="1">
      <x:c r="A63" s="116" t="s">
        <x:v>48</x:v>
      </x:c>
      <x:c r="B63" s="117"/>
      <x:c r="C63" s="19" t="s">
        <x:v>49</x:v>
      </x:c>
      <x:c r="D63" s="19" t="s">
        <x:v>50</x:v>
      </x:c>
      <x:c r="E63" s="19" t="s">
        <x:v>51</x:v>
      </x:c>
      <x:c r="F63" s="19" t="s">
        <x:v>52</x:v>
      </x:c>
      <x:c r="G63" s="19" t="s">
        <x:v>53</x:v>
      </x:c>
      <x:c r="H63" s="19" t="s">
        <x:v>54</x:v>
      </x:c>
    </x:row>
    <x:row r="64" ht="15" hidden="0">
      <x:c r="A64" s="120" t="s">
        <x:v>108</x:v>
      </x:c>
      <x:c r="B64" s="121"/>
      <x:c r="C64" s="24" t="n">
        <x:v>35538.301</x:v>
      </x:c>
      <x:c r="D64" s="24" t="n">
        <x:v>48519.622</x:v>
      </x:c>
      <x:c r="E64" s="24" t="n">
        <x:v>62075.259</x:v>
      </x:c>
      <x:c r="F64" s="24" t="n">
        <x:v>66452.348</x:v>
      </x:c>
      <x:c r="G64" s="24" t="n">
        <x:v>68942.446</x:v>
      </x:c>
      <x:c r="H64" s="24" t="n">
        <x:v>29117.734</x:v>
      </x:c>
    </x:row>
    <x:row r="65" ht="15" hidden="0">
      <x:c r="A65" s="120" t="s">
        <x:v>109</x:v>
      </x:c>
      <x:c r="B65" s="121"/>
      <x:c r="C65" s="24" t="n">
        <x:v>-28135.419</x:v>
      </x:c>
      <x:c r="D65" s="24" t="n">
        <x:v>-36244.156</x:v>
      </x:c>
      <x:c r="E65" s="24" t="n">
        <x:v>-43901.906</x:v>
      </x:c>
      <x:c r="F65" s="24" t="n">
        <x:v>-45488.064</x:v>
      </x:c>
      <x:c r="G65" s="24" t="n">
        <x:v>-45195.63</x:v>
      </x:c>
      <x:c r="H65" s="24" t="n">
        <x:v>-29816.947</x:v>
      </x:c>
    </x:row>
    <x:row r="66" ht="15" hidden="0">
      <x:c r="A66" s="122" t="s">
        <x:v>110</x:v>
      </x:c>
      <x:c r="B66" s="123"/>
      <x:c r="C66" s="27" t="n">
        <x:f aca="0">C64+C65</x:f>
        <x:v>7402.881999999998</x:v>
      </x:c>
      <x:c r="D66" s="27" t="n">
        <x:f aca="0">D64+D65</x:f>
        <x:v>12275.466</x:v>
      </x:c>
      <x:c r="E66" s="27" t="n">
        <x:f aca="0">E64+E65</x:f>
        <x:v>18173.352999999996</x:v>
      </x:c>
      <x:c r="F66" s="27" t="n">
        <x:f aca="0">F64+F65</x:f>
        <x:v>20964.284</x:v>
      </x:c>
      <x:c r="G66" s="27" t="n">
        <x:f aca="0">G64+G65</x:f>
        <x:v>23746.816</x:v>
      </x:c>
      <x:c r="H66" s="27" t="n">
        <x:f aca="0">H64+H65</x:f>
        <x:v>-699.2129999999997</x:v>
      </x:c>
    </x:row>
    <x:row r="67" ht="15" hidden="0">
      <x:c r="A67" s="120" t="s">
        <x:v>111</x:v>
      </x:c>
      <x:c r="B67" s="121"/>
      <x:c r="C67" s="24" t="n">
        <x:v>-1013.852</x:v>
      </x:c>
      <x:c r="D67" s="24" t="n">
        <x:v>-1483.876</x:v>
      </x:c>
      <x:c r="E67" s="24" t="n">
        <x:v>-3751.096</x:v>
      </x:c>
      <x:c r="F67" s="24" t="n">
        <x:v>-5471.808</x:v>
      </x:c>
      <x:c r="G67" s="24" t="n">
        <x:v>-4123.754</x:v>
      </x:c>
      <x:c r="H67" s="24" t="n">
        <x:v>-845.379</x:v>
      </x:c>
    </x:row>
    <x:row r="68" ht="15" hidden="0">
      <x:c r="A68" s="120" t="s">
        <x:v>112</x:v>
      </x:c>
      <x:c r="B68" s="121"/>
      <x:c r="C68" s="24" t="n">
        <x:v>-813.489</x:v>
      </x:c>
      <x:c r="D68" s="24" t="n">
        <x:v>-971.453</x:v>
      </x:c>
      <x:c r="E68" s="24" t="n">
        <x:v>-1380.607</x:v>
      </x:c>
      <x:c r="F68" s="24" t="n">
        <x:v>-1852.148</x:v>
      </x:c>
      <x:c r="G68" s="24" t="n">
        <x:v>-2176.32</x:v>
      </x:c>
      <x:c r="H68" s="24" t="n">
        <x:v>-784.706</x:v>
      </x:c>
    </x:row>
    <x:row r="69" ht="15" hidden="0">
      <x:c r="A69" s="120" t="s">
        <x:v>113</x:v>
      </x:c>
      <x:c r="B69" s="121"/>
      <x:c r="C69" s="24" t="n">
        <x:v>0</x:v>
      </x:c>
      <x:c r="D69" s="24" t="n">
        <x:v>-209.92</x:v>
      </x:c>
      <x:c r="E69" s="24" t="n">
        <x:v>-191.421</x:v>
      </x:c>
      <x:c r="F69" s="24" t="n">
        <x:v>-357.191</x:v>
      </x:c>
      <x:c r="G69" s="24" t="n">
        <x:v>-514.43</x:v>
      </x:c>
      <x:c r="H69" s="24" t="n">
        <x:v>0</x:v>
      </x:c>
    </x:row>
    <x:row r="70" ht="15" hidden="0">
      <x:c r="A70" s="120" t="s">
        <x:v>114</x:v>
      </x:c>
      <x:c r="B70" s="121"/>
      <x:c r="C70" s="24" t="n">
        <x:v>-524.142</x:v>
      </x:c>
      <x:c r="D70" s="24" t="n">
        <x:v>-742.28</x:v>
      </x:c>
      <x:c r="E70" s="24" t="n">
        <x:v>-995.46</x:v>
      </x:c>
      <x:c r="F70" s="24" t="n">
        <x:v>-569.545</x:v>
      </x:c>
      <x:c r="G70" s="24" t="n">
        <x:v>-1207.018</x:v>
      </x:c>
      <x:c r="H70" s="24" t="n">
        <x:v>-89.999</x:v>
      </x:c>
    </x:row>
    <x:row r="71" ht="15" hidden="0">
      <x:c r="A71" s="122" t="s">
        <x:v>115</x:v>
      </x:c>
      <x:c r="B71" s="123"/>
      <x:c r="C71" s="27" t="n">
        <x:f aca="0">C66+C67+C68+C69+C70</x:f>
        <x:v>5051.398999999998</x:v>
      </x:c>
      <x:c r="D71" s="27" t="n">
        <x:f aca="0">D66+D67+D68+D69+D70</x:f>
        <x:v>8867.937</x:v>
      </x:c>
      <x:c r="E71" s="27" t="n">
        <x:f aca="0">E66+E67+E68+E69+E70</x:f>
        <x:v>11854.768999999997</x:v>
      </x:c>
      <x:c r="F71" s="27" t="n">
        <x:f aca="0">F66+F67+F68+F69+F70</x:f>
        <x:v>12713.591999999999</x:v>
      </x:c>
      <x:c r="G71" s="27" t="n">
        <x:f aca="0">G66+G67+G68+G69+G70</x:f>
        <x:v>15725.293999999998</x:v>
      </x:c>
      <x:c r="H71" s="27" t="n">
        <x:f aca="0">H66+H67+H68+H69+H70</x:f>
        <x:v>-2419.2969999999996</x:v>
      </x:c>
    </x:row>
    <x:row r="72" ht="15" hidden="0">
      <x:c r="A72" s="120" t="s">
        <x:v>116</x:v>
      </x:c>
      <x:c r="B72" s="121"/>
      <x:c r="C72" s="24" t="n">
        <x:v>3732.132</x:v>
      </x:c>
      <x:c r="D72" s="24" t="n">
        <x:v>56.601</x:v>
      </x:c>
      <x:c r="E72" s="24" t="n">
        <x:v>146.646</x:v>
      </x:c>
      <x:c r="F72" s="24" t="n">
        <x:v>238.451</x:v>
      </x:c>
      <x:c r="G72" s="24" t="n">
        <x:v>8462.656</x:v>
      </x:c>
      <x:c r="H72" s="24" t="n">
        <x:v>131.978</x:v>
      </x:c>
    </x:row>
    <x:row r="73" ht="15" hidden="0">
      <x:c r="A73" s="120" t="s">
        <x:v>117</x:v>
      </x:c>
      <x:c r="B73" s="121"/>
      <x:c r="C73" s="24" t="n">
        <x:v>0</x:v>
      </x:c>
      <x:c r="D73" s="24" t="n">
        <x:v>0</x:v>
      </x:c>
      <x:c r="E73" s="24" t="n">
        <x:v>0</x:v>
      </x:c>
      <x:c r="F73" s="24" t="n">
        <x:v>117.691</x:v>
      </x:c>
      <x:c r="G73" s="24" t="n">
        <x:v>1031.075</x:v>
      </x:c>
      <x:c r="H73" s="24" t="n">
        <x:v>0</x:v>
      </x:c>
    </x:row>
    <x:row r="74" ht="15" hidden="0">
      <x:c r="A74" s="120" t="s">
        <x:v>118</x:v>
      </x:c>
      <x:c r="B74" s="121"/>
      <x:c r="C74" s="24" t="n">
        <x:v>0</x:v>
      </x:c>
      <x:c r="D74" s="24" t="n">
        <x:v>0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</x:row>
    <x:row r="75" ht="15" hidden="0">
      <x:c r="A75" s="120" t="s">
        <x:v>119</x:v>
      </x:c>
      <x:c r="B75" s="121"/>
      <x:c r="C75" s="24" t="n">
        <x:v>-1493.93</x:v>
      </x:c>
      <x:c r="D75" s="24" t="n">
        <x:v>-1741.026</x:v>
      </x:c>
      <x:c r="E75" s="24" t="n">
        <x:v>-2750.748</x:v>
      </x:c>
      <x:c r="F75" s="24" t="n">
        <x:v>-4138.286</x:v>
      </x:c>
      <x:c r="G75" s="24" t="n">
        <x:v>-3554.788</x:v>
      </x:c>
      <x:c r="H75" s="24" t="n">
        <x:v>-2981.722</x:v>
      </x:c>
    </x:row>
    <x:row r="76" ht="15" hidden="0">
      <x:c r="A76" s="122" t="s">
        <x:v>120</x:v>
      </x:c>
      <x:c r="B76" s="123"/>
      <x:c r="C76" s="27" t="n">
        <x:f aca="0">C71+C72+C73+C74+C75</x:f>
        <x:v>7289.600999999997</x:v>
      </x:c>
      <x:c r="D76" s="27" t="n">
        <x:f aca="0">D71+D72+D73+D74+D75</x:f>
        <x:v>7183.512000000001</x:v>
      </x:c>
      <x:c r="E76" s="27" t="n">
        <x:f aca="0">E71+E72+E73+E74+E75</x:f>
        <x:v>9250.666999999998</x:v>
      </x:c>
      <x:c r="F76" s="27" t="n">
        <x:f aca="0">F71+F72+F73+F74+F75</x:f>
        <x:v>8931.447999999999</x:v>
      </x:c>
      <x:c r="G76" s="27" t="n">
        <x:f aca="0">G71+G72+G73+G74+G75</x:f>
        <x:v>21664.236999999997</x:v>
      </x:c>
      <x:c r="H76" s="27" t="n">
        <x:f aca="0">H71+H72+H73+H74+H75</x:f>
        <x:v>-5269.040999999999</x:v>
      </x:c>
    </x:row>
    <x:row r="77" ht="15" hidden="0">
      <x:c r="A77" s="120" t="s">
        <x:v>121</x:v>
      </x:c>
      <x:c r="B77" s="121"/>
      <x:c r="C77" s="24" t="n">
        <x:v>0</x:v>
      </x:c>
      <x:c r="D77" s="24" t="n">
        <x:v>0</x:v>
      </x:c>
      <x:c r="E77" s="24" t="n">
        <x:v>-12.192</x:v>
      </x:c>
      <x:c r="F77" s="24" t="n">
        <x:v>-45.804</x:v>
      </x:c>
      <x:c r="G77" s="24" t="n">
        <x:v>-38.972</x:v>
      </x:c>
      <x:c r="H77" s="24" t="n">
        <x:v>0</x:v>
      </x:c>
    </x:row>
    <x:row r="78" ht="15" hidden="0">
      <x:c r="A78" s="120" t="s">
        <x:v>122</x:v>
      </x:c>
      <x:c r="B78" s="121"/>
      <x:c r="C78" s="24" t="n">
        <x:v>-1035.492</x:v>
      </x:c>
      <x:c r="D78" s="24" t="n">
        <x:v>-3557.172</x:v>
      </x:c>
      <x:c r="E78" s="24" t="n">
        <x:v>-4746.806</x:v>
      </x:c>
      <x:c r="F78" s="24" t="n">
        <x:v>-3613.117</x:v>
      </x:c>
      <x:c r="G78" s="24" t="n">
        <x:v>-4588.891</x:v>
      </x:c>
      <x:c r="H78" s="24" t="n">
        <x:v>425.776</x:v>
      </x:c>
    </x:row>
    <x:row r="79" ht="15" hidden="0">
      <x:c r="A79" s="122" t="s">
        <x:v>123</x:v>
      </x:c>
      <x:c r="B79" s="123"/>
      <x:c r="C79" s="27" t="n">
        <x:f aca="0">C76+C77+C78</x:f>
        <x:v>6254.108999999997</x:v>
      </x:c>
      <x:c r="D79" s="27" t="n">
        <x:f aca="0">D76+D77+D78</x:f>
        <x:v>3626.3400000000006</x:v>
      </x:c>
      <x:c r="E79" s="27" t="n">
        <x:f aca="0">E76+E77+E78</x:f>
        <x:v>4491.668999999999</x:v>
      </x:c>
      <x:c r="F79" s="27" t="n">
        <x:f aca="0">F76+F77+F78</x:f>
        <x:v>5272.526999999998</x:v>
      </x:c>
      <x:c r="G79" s="27" t="n">
        <x:f aca="0">G76+G77+G78</x:f>
        <x:v>17036.373999999996</x:v>
      </x:c>
      <x:c r="H79" s="27" t="n">
        <x:f aca="0">H76+H77+H78</x:f>
        <x:v>-4843.264999999999</x:v>
      </x:c>
    </x:row>
    <x:row r="80" ht="15" hidden="0">
      <x:c r="A80" s="118" t="s">
        <x:v>124</x:v>
      </x:c>
      <x:c r="B80" s="119"/>
      <x:c r="C80" s="21"/>
      <x:c r="D80" s="21"/>
      <x:c r="E80" s="21"/>
      <x:c r="F80" s="21"/>
      <x:c r="G80" s="21"/>
      <x:c r="H80" s="21"/>
    </x:row>
    <x:row r="81" ht="15" hidden="0">
      <x:c r="A81" s="120"/>
      <x:c r="B81" s="121"/>
      <x:c r="C81" s="24"/>
      <x:c r="D81" s="24"/>
      <x:c r="E81" s="24"/>
      <x:c r="F81" s="24"/>
      <x:c r="G81" s="24"/>
      <x:c r="H81" s="24"/>
    </x:row>
    <x:row r="82" ht="15" hidden="0">
      <x:c r="A82" s="120" t="s">
        <x:v>125</x:v>
      </x:c>
      <x:c r="B82" s="121"/>
      <x:c r="C82" s="24" t="n">
        <x:f aca="0">C76-C75</x:f>
        <x:v>8783.530999999997</x:v>
      </x:c>
      <x:c r="D82" s="24" t="n">
        <x:f aca="0">D76-D75</x:f>
        <x:v>8924.538</x:v>
      </x:c>
      <x:c r="E82" s="24" t="n">
        <x:f aca="0">E76-E75</x:f>
        <x:v>12001.414999999997</x:v>
      </x:c>
      <x:c r="F82" s="24" t="n">
        <x:f aca="0">F76-F75</x:f>
        <x:v>13069.733999999999</x:v>
      </x:c>
      <x:c r="G82" s="24" t="n">
        <x:f aca="0">G76-G75</x:f>
        <x:v>25219.024999999998</x:v>
      </x:c>
      <x:c r="H82" s="24" t="n">
        <x:f aca="0">H76-H75</x:f>
        <x:v>-2287.318999999999</x:v>
      </x:c>
    </x:row>
    <x:row r="83" ht="15" hidden="0">
      <x:c r="A83" s="120"/>
      <x:c r="B83" s="121"/>
      <x:c r="C83" s="24">
        <x:f aca="0"/>
      </x:c>
      <x:c r="D83" s="24">
        <x:f aca="0"/>
      </x:c>
      <x:c r="E83" s="24">
        <x:f aca="0"/>
      </x:c>
      <x:c r="F83" s="24">
        <x:f aca="0"/>
      </x:c>
      <x:c r="G83" s="24">
        <x:f aca="0"/>
      </x:c>
      <x:c r="H83" s="24">
        <x:f aca="0"/>
      </x:c>
    </x:row>
    <x:row r="84" ht="15" hidden="0">
      <x:c r="A84" s="120" t="s">
        <x:v>126</x:v>
      </x:c>
      <x:c r="B84" s="121"/>
      <x:c r="C84" s="24" t="n">
        <x:v>46.652</x:v>
      </x:c>
      <x:c r="D84" s="24" t="n">
        <x:v>51.001</x:v>
      </x:c>
      <x:c r="E84" s="24" t="n">
        <x:v>67.573</x:v>
      </x:c>
      <x:c r="F84" s="24" t="n">
        <x:v>82.866</x:v>
      </x:c>
      <x:c r="G84" s="24" t="n">
        <x:v>140.834</x:v>
      </x:c>
      <x:c r="H84" s="28"/>
    </x:row>
    <x:row r="85" ht="15" hidden="0">
      <x:c r="A85" s="120" t="s">
        <x:v>127</x:v>
      </x:c>
      <x:c r="B85" s="121"/>
      <x:c r="C85" s="24" t="n">
        <x:f aca="0">-C75-C84</x:f>
        <x:v>1447.278</x:v>
      </x:c>
      <x:c r="D85" s="24" t="n">
        <x:f aca="0">-D75-D84</x:f>
        <x:v>1690.025</x:v>
      </x:c>
      <x:c r="E85" s="24" t="n">
        <x:f aca="0">-E75-E84</x:f>
        <x:v>2683.175</x:v>
      </x:c>
      <x:c r="F85" s="24" t="n">
        <x:f aca="0">-F75-F84</x:f>
        <x:v>4055.42</x:v>
      </x:c>
      <x:c r="G85" s="24" t="n">
        <x:f aca="0">-G75-G84</x:f>
        <x:v>3413.954</x:v>
      </x:c>
      <x:c r="H85" s="28"/>
    </x:row>
    <x:row r="86" ht="15" hidden="0">
      <x:c r="A86" s="120" t="s">
        <x:v>128</x:v>
      </x:c>
      <x:c r="B86" s="121"/>
      <x:c r="C86" s="29" t="n">
        <x:f aca="0">IF(C76&lt;=0,"n/m",-(C77+C78)/C76)</x:f>
        <x:v>0.14205057313836525</x:v>
      </x:c>
      <x:c r="D86" s="29" t="n">
        <x:f aca="0">IF(D76&lt;=0,"n/m",-(D77+D78)/D76)</x:f>
        <x:v>0.4951856417863574</x:v>
      </x:c>
      <x:c r="E86" s="29" t="n">
        <x:f aca="0">IF(E76&lt;=0,"n/m",-(E77+E78)/E76)</x:f>
        <x:v>0.5144491743135928</x:v>
      </x:c>
      <x:c r="F86" s="29" t="n">
        <x:f aca="0">IF(F76&lt;=0,"n/m",-(F77+F78)/F76)</x:f>
        <x:v>0.4096671670707819</x:v>
      </x:c>
      <x:c r="G86" s="29" t="n">
        <x:f aca="0">IF(G76&lt;=0,"n/m",-(G77+G78)/G76)</x:f>
        <x:v>0.2136176316756505</x:v>
      </x:c>
      <x:c r="H86" s="28"/>
    </x:row>
    <x:row r="87" ht="15" hidden="0">
      <x:c r="A87" s="120" t="str">
        <x:v>NOPAT tax rate = actual audited ETR (no cap)</x:v>
      </x:c>
      <x:c r="B87" s="121"/>
      <x:c r="C87" s="29" t="n">
        <x:f aca="0">C86</x:f>
        <x:v>0.14205057313836525</x:v>
      </x:c>
      <x:c r="D87" s="29" t="n">
        <x:f aca="0">D86</x:f>
        <x:v>0.4951856417863574</x:v>
      </x:c>
      <x:c r="E87" s="29" t="n">
        <x:f aca="0">E86</x:f>
        <x:v>0.5144491743135928</x:v>
      </x:c>
      <x:c r="F87" s="29" t="n">
        <x:f aca="0">F86</x:f>
        <x:v>0.4096671670707819</x:v>
      </x:c>
      <x:c r="G87" s="29" t="n">
        <x:f aca="0">G86</x:f>
        <x:v>0.2136176316756505</x:v>
      </x:c>
      <x:c r="H87" s="28"/>
    </x:row>
    <x:row r="88" ht="15" hidden="0">
      <x:c r="A88" s="120" t="s">
        <x:v>129</x:v>
      </x:c>
      <x:c r="B88" s="121"/>
      <x:c r="C88" s="24" t="n">
        <x:f aca="0">IF(ISNUMBER(C87),C82*(1-C87),"n/m")</x:f>
        <x:v>7535.825387271399</x:v>
      </x:c>
      <x:c r="D88" s="24" t="n">
        <x:f aca="0">IF(ISNUMBER(D87),D82*(1-D87),"n/m")</x:f>
        <x:v>4505.234922823266</x:v>
      </x:c>
      <x:c r="E88" s="24" t="n">
        <x:f aca="0">IF(ISNUMBER(E87),E82*(1-E87),"n/m")</x:f>
        <x:v>5827.296962655231</x:v>
      </x:c>
      <x:c r="F88" s="24" t="n">
        <x:f aca="0">IF(ISNUMBER(F87),F82*(1-F87),"n/m")</x:f>
        <x:v>7715.493097851321</x:v>
      </x:c>
      <x:c r="G88" s="24" t="n">
        <x:f aca="0">IF(ISNUMBER(G87),G82*(1-G87),"n/m")</x:f>
        <x:v>19831.796606330976</x:v>
      </x:c>
      <x:c r="H88" s="28"/>
    </x:row>
    <x:row r="89">
      <x:c r="A89" s="111"/>
      <x:c r="B89" s="111"/>
    </x:row>
    <x:row r="90" ht="19.5" hidden="0" customHeight="1">
      <x:c r="A90" s="114" t="s">
        <x:v>130</x:v>
      </x:c>
      <x:c r="B90" s="115"/>
      <x:c r="C90" s="6"/>
      <x:c r="D90" s="6"/>
      <x:c r="E90" s="6"/>
      <x:c r="F90" s="6"/>
      <x:c r="G90" s="6"/>
      <x:c r="H90" s="6"/>
    </x:row>
    <x:row r="91" ht="16.5" hidden="0" customHeight="1">
      <x:c r="A91" s="116" t="s">
        <x:v>48</x:v>
      </x:c>
      <x:c r="B91" s="117"/>
      <x:c r="C91" s="19" t="s">
        <x:v>49</x:v>
      </x:c>
      <x:c r="D91" s="19" t="s">
        <x:v>50</x:v>
      </x:c>
      <x:c r="E91" s="19" t="s">
        <x:v>51</x:v>
      </x:c>
      <x:c r="F91" s="19" t="s">
        <x:v>52</x:v>
      </x:c>
      <x:c r="G91" s="19" t="s">
        <x:v>53</x:v>
      </x:c>
      <x:c r="H91" s="19" t="s">
        <x:v>54</x:v>
      </x:c>
    </x:row>
    <x:row r="92" ht="15" hidden="0">
      <x:c r="A92" s="120" t="s">
        <x:v>131</x:v>
      </x:c>
      <x:c r="B92" s="121"/>
      <x:c r="C92" s="24" t="n">
        <x:v>9013.169</x:v>
      </x:c>
      <x:c r="D92" s="24" t="n">
        <x:v>12905.198</x:v>
      </x:c>
      <x:c r="E92" s="24" t="n">
        <x:v>19906.827</x:v>
      </x:c>
      <x:c r="F92" s="24" t="n">
        <x:v>12810.292</x:v>
      </x:c>
      <x:c r="G92" s="24" t="n">
        <x:v>23320.309</x:v>
      </x:c>
      <x:c r="H92" s="24" t="n">
        <x:v>1047.196</x:v>
      </x:c>
    </x:row>
    <x:row r="93" ht="15" hidden="0">
      <x:c r="A93" s="120" t="s">
        <x:v>132</x:v>
      </x:c>
      <x:c r="B93" s="121"/>
      <x:c r="C93" s="24" t="n">
        <x:v>6551.967</x:v>
      </x:c>
      <x:c r="D93" s="24" t="n">
        <x:v>8330.107</x:v>
      </x:c>
      <x:c r="E93" s="24" t="n">
        <x:v>20143.665</x:v>
      </x:c>
      <x:c r="F93" s="24" t="n">
        <x:v>9496.243</x:v>
      </x:c>
      <x:c r="G93" s="24" t="n">
        <x:v>19316.637</x:v>
      </x:c>
      <x:c r="H93" s="24" t="n">
        <x:v>-937.724</x:v>
      </x:c>
    </x:row>
    <x:row r="94" ht="15" hidden="0">
      <x:c r="A94" s="120" t="s">
        <x:v>133</x:v>
      </x:c>
      <x:c r="B94" s="121"/>
      <x:c r="C94" s="24" t="n">
        <x:v>251.007</x:v>
      </x:c>
      <x:c r="D94" s="24" t="n">
        <x:v>-15819.32</x:v>
      </x:c>
      <x:c r="E94" s="24" t="n">
        <x:v>-12174.483</x:v>
      </x:c>
      <x:c r="F94" s="24" t="n">
        <x:v>-3030.885</x:v>
      </x:c>
      <x:c r="G94" s="24" t="n">
        <x:v>-9999.04</x:v>
      </x:c>
      <x:c r="H94" s="24" t="n">
        <x:v>-823.587</x:v>
      </x:c>
    </x:row>
    <x:row r="95" ht="15" hidden="0">
      <x:c r="A95" s="120" t="s">
        <x:v>134</x:v>
      </x:c>
      <x:c r="B95" s="121"/>
      <x:c r="C95" s="24" t="n">
        <x:v>-6732.688</x:v>
      </x:c>
      <x:c r="D95" s="24" t="n">
        <x:v>6601.516</x:v>
      </x:c>
      <x:c r="E95" s="24" t="n">
        <x:v>-6632.403</x:v>
      </x:c>
      <x:c r="F95" s="24" t="n">
        <x:v>-7482.362</x:v>
      </x:c>
      <x:c r="G95" s="24" t="n">
        <x:v>-7569.161</x:v>
      </x:c>
      <x:c r="H95" s="24" t="n">
        <x:v>2786.392</x:v>
      </x:c>
    </x:row>
    <x:row r="96" ht="15" hidden="0">
      <x:c r="A96" s="120" t="s">
        <x:v>135</x:v>
      </x:c>
      <x:c r="B96" s="121"/>
      <x:c r="C96" s="24" t="n">
        <x:v>-3285.3</x:v>
      </x:c>
      <x:c r="D96" s="24" t="n">
        <x:v>-15790.494</x:v>
      </x:c>
      <x:c r="E96" s="24" t="n">
        <x:v>-9071.126</x:v>
      </x:c>
      <x:c r="F96" s="24" t="n">
        <x:v>-3099.319</x:v>
      </x:c>
      <x:c r="G96" s="24" t="n">
        <x:v>-423.781</x:v>
      </x:c>
      <x:c r="H96" s="24" t="n">
        <x:v>-855.476</x:v>
      </x:c>
    </x:row>
    <x:row r="97" ht="15" hidden="0">
      <x:c r="A97" s="120" t="s">
        <x:v>136</x:v>
      </x:c>
      <x:c r="B97" s="121"/>
      <x:c r="C97" s="24" t="n">
        <x:v>-1733.621</x:v>
      </x:c>
      <x:c r="D97" s="24" t="n">
        <x:v>-1296.781</x:v>
      </x:c>
      <x:c r="E97" s="24" t="n">
        <x:v>-2527.786</x:v>
      </x:c>
      <x:c r="F97" s="24" t="n">
        <x:v>-4145.538</x:v>
      </x:c>
      <x:c r="G97" s="24" t="n">
        <x:v>-4093.012</x:v>
      </x:c>
      <x:c r="H97" s="24" t="n">
        <x:v>-3011.992</x:v>
      </x:c>
    </x:row>
    <x:row r="98" ht="15" hidden="0">
      <x:c r="A98" s="120" t="s">
        <x:v>137</x:v>
      </x:c>
      <x:c r="B98" s="121"/>
      <x:c r="C98" s="24" t="n">
        <x:v>-19.919</x:v>
      </x:c>
      <x:c r="D98" s="24" t="n">
        <x:v>-0.565</x:v>
      </x:c>
      <x:c r="E98" s="24" t="n">
        <x:v>-0.191</x:v>
      </x:c>
      <x:c r="F98" s="24" t="n">
        <x:v>-0.122</x:v>
      </x:c>
      <x:c r="G98" s="24" t="n">
        <x:v>-0.379</x:v>
      </x:c>
      <x:c r="H98" s="24" t="n">
        <x:v>-289.361</x:v>
      </x:c>
    </x:row>
    <x:row r="99">
      <x:c r="A99" s="111"/>
      <x:c r="B99" s="111"/>
    </x:row>
    <x:row r="100" ht="19.5" hidden="0" customHeight="1">
      <x:c r="A100" s="114" t="s">
        <x:v>138</x:v>
      </x:c>
      <x:c r="B100" s="115"/>
      <x:c r="C100" s="6"/>
      <x:c r="D100" s="6"/>
      <x:c r="E100" s="6"/>
      <x:c r="F100" s="6"/>
      <x:c r="G100" s="6"/>
      <x:c r="H100" s="6"/>
    </x:row>
    <x:row r="101" ht="16.5" hidden="0" customHeight="1">
      <x:c r="A101" s="116" t="s">
        <x:v>48</x:v>
      </x:c>
      <x:c r="B101" s="117"/>
      <x:c r="C101" s="19" t="s">
        <x:v>49</x:v>
      </x:c>
      <x:c r="D101" s="19" t="s">
        <x:v>50</x:v>
      </x:c>
      <x:c r="E101" s="19" t="s">
        <x:v>51</x:v>
      </x:c>
      <x:c r="F101" s="19" t="s">
        <x:v>52</x:v>
      </x:c>
      <x:c r="G101" s="19" t="s">
        <x:v>53</x:v>
      </x:c>
    </x:row>
    <x:row r="102" ht="15" hidden="0">
      <x:c r="A102" s="120" t="s">
        <x:v>139</x:v>
      </x:c>
      <x:c r="B102" s="121"/>
      <x:c r="C102" s="30" t="n">
        <x:v>10</x:v>
      </x:c>
      <x:c r="D102" s="30" t="n">
        <x:v>10</x:v>
      </x:c>
      <x:c r="E102" s="30" t="n">
        <x:v>10</x:v>
      </x:c>
      <x:c r="F102" s="30" t="n">
        <x:v>10</x:v>
      </x:c>
      <x:c r="G102" s="30" t="n">
        <x:v>10</x:v>
      </x:c>
    </x:row>
    <x:row r="103" ht="15" hidden="0">
      <x:c r="A103" s="120" t="s">
        <x:v>140</x:v>
      </x:c>
      <x:c r="B103" s="121"/>
      <x:c r="C103" s="31" t="n">
        <x:f aca="0">C27/C102-C107</x:f>
        <x:v>1098.3462</x:v>
      </x:c>
      <x:c r="D103" s="31" t="n">
        <x:f aca="0">D27/D102-D107</x:f>
        <x:v>1079.8011999999999</x:v>
      </x:c>
      <x:c r="E103" s="31" t="n">
        <x:f aca="0">E27/E102-E107</x:f>
        <x:v>1073.3462</x:v>
      </x:c>
      <x:c r="F103" s="31" t="n">
        <x:f aca="0">F27/F102-F107</x:f>
        <x:v>1047.5626</x:v>
      </x:c>
      <x:c r="G103" s="31" t="n">
        <x:f aca="0">G27/G102-G107</x:f>
        <x:v>1047.5626</x:v>
      </x:c>
    </x:row>
    <x:row r="104" ht="15" hidden="0">
      <x:c r="A104" s="120" t="s">
        <x:v>141</x:v>
      </x:c>
      <x:c r="B104" s="121"/>
      <x:c r="C104" s="31" t="n">
        <x:v>1098.346</x:v>
      </x:c>
      <x:c r="D104" s="31" t="n">
        <x:v>1097.524</x:v>
      </x:c>
      <x:c r="E104" s="31" t="n">
        <x:v>1073.405</x:v>
      </x:c>
      <x:c r="F104" s="31" t="n">
        <x:v>1058.911</x:v>
      </x:c>
      <x:c r="G104" s="31" t="n">
        <x:v>1047.563</x:v>
      </x:c>
    </x:row>
    <x:row r="105" ht="15" hidden="0">
      <x:c r="A105" s="120" t="str">
        <x:v>FY-end share price (Rs; last PSX close)</x:v>
      </x:c>
      <x:c r="B105" s="121"/>
      <x:c r="C105" s="30" t="n">
        <x:v>46.98</x:v>
      </x:c>
      <x:c r="D105" s="30" t="n">
        <x:v>27.35</x:v>
      </x:c>
      <x:c r="E105" s="30" t="n">
        <x:v>28.33</x:v>
      </x:c>
      <x:c r="F105" s="30" t="n">
        <x:v>38</x:v>
      </x:c>
      <x:c r="G105" s="30" t="n">
        <x:v>84.28</x:v>
      </x:c>
    </x:row>
    <x:row r="106" ht="15" hidden="0">
      <x:c r="A106" s="120" t="s">
        <x:v>142</x:v>
      </x:c>
      <x:c r="B106" s="121"/>
      <x:c r="C106" s="30" t="n">
        <x:v>0</x:v>
      </x:c>
      <x:c r="D106" s="30" t="n">
        <x:v>0</x:v>
      </x:c>
      <x:c r="E106" s="30" t="n">
        <x:v>0</x:v>
      </x:c>
      <x:c r="F106" s="30" t="n">
        <x:v>0</x:v>
      </x:c>
      <x:c r="G106" s="30" t="n">
        <x:v>0</x:v>
      </x:c>
    </x:row>
    <x:row r="107">
      <x:c r="A107" s="120" t="str">
        <x:v>Treasury shares excluded (million)</x:v>
      </x:c>
      <x:c r="B107" s="121"/>
      <x:c r="C107" s="30" t="n">
        <x:v>0</x:v>
      </x:c>
      <x:c r="D107" s="30" t="n">
        <x:v>18.545</x:v>
      </x:c>
      <x:c r="E107" s="30" t="n">
        <x:v>0</x:v>
      </x:c>
      <x:c r="F107" s="30" t="n">
        <x:v>0</x:v>
      </x:c>
      <x:c r="G107" s="30" t="n">
        <x:v>0</x:v>
      </x:c>
    </x:row>
    <x:row r="108" ht="19.5" hidden="0" customHeight="1">
      <x:c r="A108" s="114" t="s">
        <x:v>143</x:v>
      </x:c>
      <x:c r="B108" s="115"/>
      <x:c r="C108" s="6"/>
      <x:c r="D108" s="6"/>
      <x:c r="E108" s="6"/>
      <x:c r="F108" s="6"/>
      <x:c r="G108" s="6"/>
      <x:c r="H108" s="6"/>
    </x:row>
    <x:row r="109" ht="16.5" hidden="0" customHeight="1">
      <x:c r="A109" s="124" t="s">
        <x:v>144</x:v>
      </x:c>
      <x:c r="B109" s="124" t="s">
        <x:v>145</x:v>
      </x:c>
      <x:c r="C109" s="19" t="s">
        <x:v>49</x:v>
      </x:c>
      <x:c r="D109" s="19" t="s">
        <x:v>50</x:v>
      </x:c>
      <x:c r="E109" s="19" t="s">
        <x:v>51</x:v>
      </x:c>
      <x:c r="F109" s="19" t="s">
        <x:v>52</x:v>
      </x:c>
      <x:c r="G109" s="19" t="s">
        <x:v>53</x:v>
      </x:c>
    </x:row>
    <x:row r="110" ht="22" hidden="0" customHeight="1">
      <x:c r="A110" s="125" t="str">
        <x:v>Liquidity</x:v>
      </x:c>
      <x:c r="B110" s="126"/>
      <x:c r="C110" s="71"/>
      <x:c r="D110" s="71"/>
      <x:c r="E110" s="71"/>
      <x:c r="F110" s="71"/>
      <x:c r="G110" s="71"/>
    </x:row>
    <x:row r="111" ht="15" hidden="0">
      <x:c r="A111" s="134" t="str">
        <x:v>1. Current ratio</x:v>
      </x:c>
      <x:c r="B111" s="128" t="str">
        <x:v>Current Assets / Current Liabilities</x:v>
      </x:c>
      <x:c r="C111" s="63" t="n">
        <x:f>IF(OR((C48)&lt;=0,(C24)&lt;0),"n/m",(C24)/(C48))</x:f>
        <x:v>1.4780988568182505</x:v>
      </x:c>
      <x:c r="D111" s="63" t="n">
        <x:f>IF(OR((D48)&lt;=0,(D24)&lt;0),"n/m",(D24)/(D48))</x:f>
        <x:v>1.2549557408945418</x:v>
      </x:c>
      <x:c r="E111" s="63" t="n">
        <x:f>IF(OR((E48)&lt;=0,(E24)&lt;0),"n/m",(E24)/(E48))</x:f>
        <x:v>1.3715472215546312</x:v>
      </x:c>
      <x:c r="F111" s="63" t="n">
        <x:f>IF(OR((F48)&lt;=0,(F24)&lt;0),"n/m",(F24)/(F48))</x:f>
        <x:v>1.444678241512437</x:v>
      </x:c>
      <x:c r="G111" s="63" t="n">
        <x:f>IF(OR((G48)&lt;=0,(G24)&lt;0),"n/m",(G24)/(G48))</x:f>
        <x:v>1.5324411303645513</x:v>
      </x:c>
    </x:row>
    <x:row r="112" ht="15" hidden="0">
      <x:c r="A112" s="134" t="str">
        <x:v>2. Quick ratio</x:v>
      </x:c>
      <x:c r="B112" s="128" t="str">
        <x:v>(Current Assets - Inventories) / Current Liabilities</x:v>
      </x:c>
      <x:c r="C112" s="63" t="n">
        <x:f>IF(OR((C48)&lt;=0,(C24-C54)&lt;0),"n/m",(C24-C54)/(C48))</x:f>
        <x:v>0.439716919103873</x:v>
      </x:c>
      <x:c r="D112" s="63" t="n">
        <x:f>IF(OR((D48)&lt;=0,(D24-D54)&lt;0),"n/m",(D24-D54)/(D48))</x:f>
        <x:v>0.29473524106223353</x:v>
      </x:c>
      <x:c r="E112" s="63" t="n">
        <x:f>IF(OR((E48)&lt;=0,(E24-E54)&lt;0),"n/m",(E24-E54)/(E48))</x:f>
        <x:v>0.5204561252187091</x:v>
      </x:c>
      <x:c r="F112" s="63" t="n">
        <x:f>IF(OR((F48)&lt;=0,(F24-F54)&lt;0),"n/m",(F24-F54)/(F48))</x:f>
        <x:v>0.6094267063846261</x:v>
      </x:c>
      <x:c r="G112" s="63" t="n">
        <x:f>IF(OR((G48)&lt;=0,(G24-G54)&lt;0),"n/m",(G24-G54)/(G48))</x:f>
        <x:v>0.8078828259550986</x:v>
      </x:c>
    </x:row>
    <x:row r="113" ht="15" hidden="0">
      <x:c r="A113" s="134" t="str">
        <x:v>3. Cash ratio</x:v>
      </x:c>
      <x:c r="B113" s="128" t="str">
        <x:v>Cash and Bank / Current Liabilities</x:v>
      </x:c>
      <x:c r="C113" s="63" t="n">
        <x:f>IF(OR((C48)&lt;=0,(C22)&lt;0),"n/m",(C22)/(C48))</x:f>
        <x:v>0.0428255580531044</x:v>
      </x:c>
      <x:c r="D113" s="63" t="n">
        <x:f>IF(OR((D48)&lt;=0,(D22)&lt;0),"n/m",(D22)/(D48))</x:f>
        <x:v>0.04900616554000333</x:v>
      </x:c>
      <x:c r="E113" s="63" t="n">
        <x:f>IF(OR((E48)&lt;=0,(E22)&lt;0),"n/m",(E22)/(E48))</x:f>
        <x:v>0.04568029853307005</x:v>
      </x:c>
      <x:c r="F113" s="63" t="n">
        <x:f>IF(OR((F48)&lt;=0,(F22)&lt;0),"n/m",(F22)/(F48))</x:f>
        <x:v>0.06094333738399166</x:v>
      </x:c>
      <x:c r="G113" s="63" t="n">
        <x:f>IF(OR((G48)&lt;=0,(G22)&lt;0),"n/m",(G22)/(G48))</x:f>
        <x:v>0.06924333482737245</x:v>
      </x:c>
    </x:row>
    <x:row r="114" ht="15" hidden="0">
      <x:c r="A114" s="134" t="str">
        <x:v>4. Net working capital (PKR m)</x:v>
      </x:c>
      <x:c r="B114" s="128" t="str">
        <x:v>Current Assets - Current Liabilities</x:v>
      </x:c>
      <x:c r="C114" s="64" t="n">
        <x:f>IF(OR((1)&lt;=0,(C24-C48)&lt;0),"n/m",(C24-C48)/(1))</x:f>
        <x:v>5473.968000000003</x:v>
      </x:c>
      <x:c r="D114" s="64" t="n">
        <x:f>IF(OR((1)&lt;=0,(D24-D48)&lt;0),"n/m",(D24-D48)/(1))</x:f>
        <x:v>4128.598000000004</x:v>
      </x:c>
      <x:c r="E114" s="64" t="n">
        <x:f>IF(OR((1)&lt;=0,(E24-E48)&lt;0),"n/m",(E24-E48)/(1))</x:f>
        <x:v>6024.645999999997</x:v>
      </x:c>
      <x:c r="F114" s="64" t="n">
        <x:f>IF(OR((1)&lt;=0,(F24-F48)&lt;0),"n/m",(F24-F48)/(1))</x:f>
        <x:v>8270.037</x:v>
      </x:c>
      <x:c r="G114" s="64" t="n">
        <x:f>IF(OR((1)&lt;=0,(G24-G48)&lt;0),"n/m",(G24-G48)/(1))</x:f>
        <x:v>12422.112999999994</x:v>
      </x:c>
    </x:row>
    <x:row r="115" ht="15" hidden="0">
      <x:c r="A115" s="134" t="str">
        <x:v>5. Net operating working capital (PKR m)</x:v>
      </x:c>
      <x:c r="B115" s="128" t="str">
        <x:v>Operating CA - Operating CL</x:v>
      </x:c>
      <x:c r="C115" s="64" t="n">
        <x:f>IF(OR((1)&lt;=0,(C59-C60)&lt;0),"n/m",(C59-C60)/(1))</x:f>
        <x:v>8772.302000000001</x:v>
      </x:c>
      <x:c r="D115" s="64" t="n">
        <x:f>IF(OR((1)&lt;=0,(D59-D60)&lt;0),"n/m",(D59-D60)/(1))</x:f>
        <x:v>10212.653</x:v>
      </x:c>
      <x:c r="E115" s="64" t="n">
        <x:f>IF(OR((1)&lt;=0,(E59-E60)&lt;0),"n/m",(E59-E60)/(1))</x:f>
        <x:v>5291.223999999998</x:v>
      </x:c>
      <x:c r="F115" s="64" t="n">
        <x:f>IF(OR((1)&lt;=0,(F59-F60)&lt;0),"n/m",(F59-F60)/(1))</x:f>
        <x:v>9031.93</x:v>
      </x:c>
      <x:c r="G115" s="64" t="n">
        <x:f>IF(OR((1)&lt;=0,(G59-G60)&lt;0),"n/m",(G59-G60)/(1))</x:f>
        <x:v>4949.648999999998</x:v>
      </x:c>
    </x:row>
    <x:row r="116" ht="22" hidden="0" customHeight="1">
      <x:c r="A116" s="125" t="str">
        <x:v>Asset Management</x:v>
      </x:c>
      <x:c r="B116" s="126"/>
      <x:c r="C116" s="71"/>
      <x:c r="D116" s="71"/>
      <x:c r="E116" s="71"/>
      <x:c r="F116" s="71"/>
      <x:c r="G116" s="71"/>
    </x:row>
    <x:row r="117" ht="15" hidden="0">
      <x:c r="A117" s="134" t="str">
        <x:v>6. Inventory turnover</x:v>
      </x:c>
      <x:c r="B117" s="128" t="str">
        <x:v>COGS / Average Inventory</x:v>
      </x:c>
      <x:c r="C117" s="63" t="n">
        <x:f>IF(OR((AVERAGE(H54,C54))&lt;=0,(-C65)&lt;0),"n/m",(-C65)/(AVERAGE(H54,C54)))</x:f>
        <x:v>2.5503561154199565</x:v>
      </x:c>
      <x:c r="D117" s="63" t="n">
        <x:f>IF(OR((AVERAGE(C54,D54))&lt;=0,(-D65)&lt;0),"n/m",(-D65)/(AVERAGE(C54,D54)))</x:f>
        <x:v>2.6418827583195736</x:v>
      </x:c>
      <x:c r="E117" s="63" t="n">
        <x:f>IF(OR((AVERAGE(D54,E54))&lt;=0,(-E65)&lt;0),"n/m",(-E65)/(AVERAGE(D54,E54)))</x:f>
        <x:v>2.991643999189634</x:v>
      </x:c>
      <x:c r="F117" s="63" t="n">
        <x:f>IF(OR((AVERAGE(E54,F54))&lt;=0,(-F65)&lt;0),"n/m",(-F65)/(AVERAGE(E54,F54)))</x:f>
        <x:v>3.101356599565812</x:v>
      </x:c>
      <x:c r="G117" s="63" t="n">
        <x:f>IF(OR((AVERAGE(F54,G54))&lt;=0,(-G65)&lt;0),"n/m",(-G65)/(AVERAGE(F54,G54)))</x:f>
        <x:v>2.786573287705566</x:v>
      </x:c>
    </x:row>
    <x:row r="118" ht="15" hidden="0">
      <x:c r="A118" s="134" t="str">
        <x:v>7. Receivables turnover</x:v>
      </x:c>
      <x:c r="B118" s="128" t="str">
        <x:v>Net Sales / Average Trade Debts</x:v>
      </x:c>
      <x:c r="C118" s="63" t="n">
        <x:f>IF(OR((AVERAGE(H20,C20))&lt;=0,(C64)&lt;0),"n/m",(C64)/(AVERAGE(H20,C20)))</x:f>
        <x:v>15.020941563038772</x:v>
      </x:c>
      <x:c r="D118" s="63" t="n">
        <x:f>IF(OR((AVERAGE(C20,D20))&lt;=0,(D64)&lt;0),"n/m",(D64)/(AVERAGE(C20,D20)))</x:f>
        <x:v>25.905344380386534</x:v>
      </x:c>
      <x:c r="E118" s="63" t="n">
        <x:f>IF(OR((AVERAGE(D20,E20))&lt;=0,(E64)&lt;0),"n/m",(E64)/(AVERAGE(D20,E20)))</x:f>
        <x:v>26.600659453629234</x:v>
      </x:c>
      <x:c r="F118" s="63" t="n">
        <x:f>IF(OR((AVERAGE(E20,F20))&lt;=0,(F64)&lt;0),"n/m",(F64)/(AVERAGE(E20,F20)))</x:f>
        <x:v>19.574371293114748</x:v>
      </x:c>
      <x:c r="G118" s="63" t="n">
        <x:f>IF(OR((AVERAGE(F20,G20))&lt;=0,(G64)&lt;0),"n/m",(G64)/(AVERAGE(F20,G20)))</x:f>
        <x:v>15.67064847793373</x:v>
      </x:c>
    </x:row>
    <x:row r="119" ht="15" hidden="0">
      <x:c r="A119" s="134" t="str">
        <x:v>8. Payables turnover</x:v>
      </x:c>
      <x:c r="B119" s="128" t="str">
        <x:v>COGS / Average Trade Creditors</x:v>
      </x:c>
      <x:c r="C119" s="63" t="n">
        <x:f>IF(OR((AVERAGE(H52,C52))&lt;=0,(-C65)&lt;0),"n/m",(-C65)/(AVERAGE(H52,C52)))</x:f>
        <x:v>7.260214629237185</x:v>
      </x:c>
      <x:c r="D119" s="63" t="n">
        <x:f>IF(OR((AVERAGE(C52,D52))&lt;=0,(-D65)&lt;0),"n/m",(-D65)/(AVERAGE(C52,D52)))</x:f>
        <x:v>9.432516250291641</x:v>
      </x:c>
      <x:c r="E119" s="63" t="n">
        <x:f>IF(OR((AVERAGE(D52,E52))&lt;=0,(-E65)&lt;0),"n/m",(-E65)/(AVERAGE(D52,E52)))</x:f>
        <x:v>8.141646254708599</x:v>
      </x:c>
      <x:c r="F119" s="63" t="n">
        <x:f>IF(OR((AVERAGE(E52,F52))&lt;=0,(-F65)&lt;0),"n/m",(-F65)/(AVERAGE(E52,F52)))</x:f>
        <x:v>7.535611628959118</x:v>
      </x:c>
      <x:c r="G119" s="63" t="n">
        <x:f>IF(OR((AVERAGE(F52,G52))&lt;=0,(-G65)&lt;0),"n/m",(-G65)/(AVERAGE(F52,G52)))</x:f>
        <x:v>7.106573052099677</x:v>
      </x:c>
    </x:row>
    <x:row r="120" ht="15" hidden="0">
      <x:c r="A120" s="134" t="str">
        <x:v>9. Days inventory outstanding</x:v>
      </x:c>
      <x:c r="B120" s="128" t="str">
        <x:v>365 / Inventory Turnover</x:v>
      </x:c>
      <x:c r="C120" s="65" t="n">
        <x:f>IF(OR((-C65)&lt;=0,(365*AVERAGE(H54,C54))&lt;0),"n/m",(365*AVERAGE(H54,C54))/(-C65))</x:f>
        <x:v>143.11726813096334</x:v>
      </x:c>
      <x:c r="D120" s="65" t="n">
        <x:f>IF(OR((-D65)&lt;=0,(365*AVERAGE(C54,D54))&lt;0),"n/m",(365*AVERAGE(C54,D54))/(-D65))</x:f>
        <x:v>138.1590454196257</x:v>
      </x:c>
      <x:c r="E120" s="65" t="n">
        <x:f>IF(OR((-E65)&lt;=0,(365*AVERAGE(D54,E54))&lt;0),"n/m",(365*AVERAGE(D54,E54))/(-E65))</x:f>
        <x:v>122.0064954583065</x:v>
      </x:c>
      <x:c r="F120" s="65" t="n">
        <x:f>IF(OR((-F65)&lt;=0,(365*AVERAGE(E54,F54))&lt;0),"n/m",(365*AVERAGE(E54,F54))/(-F65))</x:f>
        <x:v>117.69043264844159</x:v>
      </x:c>
      <x:c r="G120" s="65" t="n">
        <x:f>IF(OR((-G65)&lt;=0,(365*AVERAGE(F54,G54))&lt;0),"n/m",(365*AVERAGE(F54,G54))/(-G65))</x:f>
        <x:v>130.98525045452405</x:v>
      </x:c>
    </x:row>
    <x:row r="121" ht="15" hidden="0">
      <x:c r="A121" s="134" t="str">
        <x:v>10. Days sales outstanding</x:v>
      </x:c>
      <x:c r="B121" s="128" t="str">
        <x:v>365 / Receivables Turnover</x:v>
      </x:c>
      <x:c r="C121" s="65" t="n">
        <x:f>IF(OR((C64)&lt;=0,(365*AVERAGE(H20,C20))&lt;0),"n/m",(365*AVERAGE(H20,C20))/(C64))</x:f>
        <x:v>24.299408826550263</x:v>
      </x:c>
      <x:c r="D121" s="65" t="n">
        <x:f>IF(OR((D64)&lt;=0,(365*AVERAGE(C20,D20))&lt;0),"n/m",(365*AVERAGE(C20,D20))/(D64))</x:f>
        <x:v>14.089756717395696</x:v>
      </x:c>
      <x:c r="E121" s="65" t="n">
        <x:f>IF(OR((E64)&lt;=0,(365*AVERAGE(D20,E20))&lt;0),"n/m",(365*AVERAGE(D20,E20))/(E64))</x:f>
        <x:v>13.72146433573479</x:v>
      </x:c>
      <x:c r="F121" s="65" t="n">
        <x:f>IF(OR((F64)&lt;=0,(365*AVERAGE(E20,F20))&lt;0),"n/m",(365*AVERAGE(E20,F20))/(F64))</x:f>
        <x:v>18.646831335440545</x:v>
      </x:c>
      <x:c r="G121" s="65" t="n">
        <x:f>IF(OR((G64)&lt;=0,(365*AVERAGE(F20,G20))&lt;0),"n/m",(365*AVERAGE(F20,G20))/(G64))</x:f>
        <x:v>23.29195250049585</x:v>
      </x:c>
    </x:row>
    <x:row r="122" ht="15" hidden="0">
      <x:c r="A122" s="134" t="str">
        <x:v>11. Days payables outstanding</x:v>
      </x:c>
      <x:c r="B122" s="128" t="str">
        <x:v>365 / Payables Turnover</x:v>
      </x:c>
      <x:c r="C122" s="65" t="n">
        <x:f>IF(OR((-C65)&lt;=0,(365*AVERAGE(H52,C52))&lt;0),"n/m",(365*AVERAGE(H52,C52))/(-C65))</x:f>
        <x:v>50.273995830664546</x:v>
      </x:c>
      <x:c r="D122" s="65" t="n">
        <x:f>IF(OR((-D65)&lt;=0,(365*AVERAGE(C52,D52))&lt;0),"n/m",(365*AVERAGE(C52,D52))/(-D65))</x:f>
        <x:v>38.69593121440047</x:v>
      </x:c>
      <x:c r="E122" s="65" t="n">
        <x:f>IF(OR((-E65)&lt;=0,(365*AVERAGE(D52,E52))&lt;0),"n/m",(365*AVERAGE(D52,E52))/(-E65))</x:f>
        <x:v>44.831228056476625</x:v>
      </x:c>
      <x:c r="F122" s="65" t="n">
        <x:f>IF(OR((-F65)&lt;=0,(365*AVERAGE(E52,F52))&lt;0),"n/m",(365*AVERAGE(E52,F52))/(-F65))</x:f>
        <x:v>48.43667879556273</x:v>
      </x:c>
      <x:c r="G122" s="65" t="n">
        <x:f>IF(OR((-G65)&lt;=0,(365*AVERAGE(F52,G52))&lt;0),"n/m",(365*AVERAGE(F52,G52))/(-G65))</x:f>
        <x:v>51.3609017066473</x:v>
      </x:c>
    </x:row>
    <x:row r="123" ht="15" hidden="0">
      <x:c r="A123" s="134" t="str">
        <x:v>12. Operating cycle (days)</x:v>
      </x:c>
      <x:c r="B123" s="128" t="str">
        <x:v>DIO + DSO</x:v>
      </x:c>
      <x:c r="C123" s="65" t="n">
        <x:f>IF(OR((1)&lt;=0,(365*AVERAGE(H54,C54)/(-C65)+365*AVERAGE(H20,C20)/C64)&lt;0),"n/m",(365*AVERAGE(H54,C54)/(-C65)+365*AVERAGE(H20,C20)/C64)/(1))</x:f>
        <x:v>167.4166769575136</x:v>
      </x:c>
      <x:c r="D123" s="65" t="n">
        <x:f>IF(OR((1)&lt;=0,(365*AVERAGE(C54,D54)/(-D65)+365*AVERAGE(C20,D20)/D64)&lt;0),"n/m",(365*AVERAGE(C54,D54)/(-D65)+365*AVERAGE(C20,D20)/D64)/(1))</x:f>
        <x:v>152.24880213702139</x:v>
      </x:c>
      <x:c r="E123" s="65" t="n">
        <x:f>IF(OR((1)&lt;=0,(365*AVERAGE(D54,E54)/(-E65)+365*AVERAGE(D20,E20)/E64)&lt;0),"n/m",(365*AVERAGE(D54,E54)/(-E65)+365*AVERAGE(D20,E20)/E64)/(1))</x:f>
        <x:v>135.72795979404128</x:v>
      </x:c>
      <x:c r="F123" s="65" t="n">
        <x:f>IF(OR((1)&lt;=0,(365*AVERAGE(E54,F54)/(-F65)+365*AVERAGE(E20,F20)/F64)&lt;0),"n/m",(365*AVERAGE(E54,F54)/(-F65)+365*AVERAGE(E20,F20)/F64)/(1))</x:f>
        <x:v>136.33726398388214</x:v>
      </x:c>
      <x:c r="G123" s="65" t="n">
        <x:f>IF(OR((1)&lt;=0,(365*AVERAGE(F54,G54)/(-G65)+365*AVERAGE(F20,G20)/G64)&lt;0),"n/m",(365*AVERAGE(F54,G54)/(-G65)+365*AVERAGE(F20,G20)/G64)/(1))</x:f>
        <x:v>154.2772029550199</x:v>
      </x:c>
    </x:row>
    <x:row r="124" ht="15" hidden="0">
      <x:c r="A124" s="134" t="str">
        <x:v>13. Cash conversion cycle (days)</x:v>
      </x:c>
      <x:c r="B124" s="128" t="str">
        <x:v>DIO + DSO - DPO</x:v>
      </x:c>
      <x:c r="C124" s="65" t="n">
        <x:f>IF(OR((1)&lt;=0,(365*AVERAGE(H54,C54)/(-C65)+365*AVERAGE(H20,C20)/C64-365*AVERAGE(H52,C52)/(-C65))&lt;0),"n/m",(365*AVERAGE(H54,C54)/(-C65)+365*AVERAGE(H20,C20)/C64-365*AVERAGE(H52,C52)/(-C65))/(1))</x:f>
        <x:v>117.14268112684906</x:v>
      </x:c>
      <x:c r="D124" s="65" t="n">
        <x:f>IF(OR((1)&lt;=0,(365*AVERAGE(C54,D54)/(-D65)+365*AVERAGE(C20,D20)/D64-365*AVERAGE(C52,D52)/(-D65))&lt;0),"n/m",(365*AVERAGE(C54,D54)/(-D65)+365*AVERAGE(C20,D20)/D64-365*AVERAGE(C52,D52)/(-D65))/(1))</x:f>
        <x:v>113.55287092262091</x:v>
      </x:c>
      <x:c r="E124" s="65" t="n">
        <x:f>IF(OR((1)&lt;=0,(365*AVERAGE(D54,E54)/(-E65)+365*AVERAGE(D20,E20)/E64-365*AVERAGE(D52,E52)/(-E65))&lt;0),"n/m",(365*AVERAGE(D54,E54)/(-E65)+365*AVERAGE(D20,E20)/E64-365*AVERAGE(D52,E52)/(-E65))/(1))</x:f>
        <x:v>90.89673173756466</x:v>
      </x:c>
      <x:c r="F124" s="65" t="n">
        <x:f>IF(OR((1)&lt;=0,(365*AVERAGE(E54,F54)/(-F65)+365*AVERAGE(E20,F20)/F64-365*AVERAGE(E52,F52)/(-F65))&lt;0),"n/m",(365*AVERAGE(E54,F54)/(-F65)+365*AVERAGE(E20,F20)/F64-365*AVERAGE(E52,F52)/(-F65))/(1))</x:f>
        <x:v>87.90058518831941</x:v>
      </x:c>
      <x:c r="G124" s="65" t="n">
        <x:f>IF(OR((1)&lt;=0,(365*AVERAGE(F54,G54)/(-G65)+365*AVERAGE(F20,G20)/G64-365*AVERAGE(F52,G52)/(-G65))&lt;0),"n/m",(365*AVERAGE(F54,G54)/(-G65)+365*AVERAGE(F20,G20)/G64-365*AVERAGE(F52,G52)/(-G65))/(1))</x:f>
        <x:v>102.9163012483726</x:v>
      </x:c>
    </x:row>
    <x:row r="125" ht="15" hidden="0">
      <x:c r="A125" s="134" t="str">
        <x:v>14. Total asset turnover</x:v>
      </x:c>
      <x:c r="B125" s="128" t="str">
        <x:v>Net Sales / Average Total Assets</x:v>
      </x:c>
      <x:c r="C125" s="63" t="n">
        <x:f>IF(OR((AVERAGE(H25,C25))&lt;=0,(C64)&lt;0),"n/m",(C64)/(AVERAGE(H25,C25)))</x:f>
        <x:v>0.5374450896807583</x:v>
      </x:c>
      <x:c r="D125" s="63" t="n">
        <x:f>IF(OR((AVERAGE(C25,D25))&lt;=0,(D64)&lt;0),"n/m",(D64)/(AVERAGE(C25,D25)))</x:f>
        <x:v>0.6536676591930263</x:v>
      </x:c>
      <x:c r="E125" s="63" t="n">
        <x:f>IF(OR((AVERAGE(D25,E25))&lt;=0,(E64)&lt;0),"n/m",(E64)/(AVERAGE(D25,E25)))</x:f>
        <x:v>0.7221331478723996</x:v>
      </x:c>
      <x:c r="F125" s="63" t="n">
        <x:f>IF(OR((AVERAGE(E25,F25))&lt;=0,(F64)&lt;0),"n/m",(F64)/(AVERAGE(E25,F25)))</x:f>
        <x:v>0.7029264873878895</x:v>
      </x:c>
      <x:c r="G125" s="63" t="n">
        <x:f>IF(OR((AVERAGE(F25,G25))&lt;=0,(G64)&lt;0),"n/m",(G64)/(AVERAGE(F25,G25)))</x:f>
        <x:v>0.6311331505330572</x:v>
      </x:c>
    </x:row>
    <x:row r="126" ht="15" hidden="0">
      <x:c r="A126" s="134" t="str">
        <x:v>15. Fixed asset turnover</x:v>
      </x:c>
      <x:c r="B126" s="128" t="str">
        <x:v>Net Sales / Average Operating Fixed Assets</x:v>
      </x:c>
      <x:c r="C126" s="63" t="n">
        <x:f>IF(OR((AVERAGE(H53,C53))&lt;=0,(C64)&lt;0),"n/m",(C64)/(AVERAGE(H53,C53)))</x:f>
        <x:v>0.838288069294308</x:v>
      </x:c>
      <x:c r="D126" s="63" t="n">
        <x:f>IF(OR((AVERAGE(C53,D53))&lt;=0,(D64)&lt;0),"n/m",(D64)/(AVERAGE(C53,D53)))</x:f>
        <x:v>1.172066585205955</x:v>
      </x:c>
      <x:c r="E126" s="63" t="n">
        <x:f>IF(OR((AVERAGE(D53,E53))&lt;=0,(E64)&lt;0),"n/m",(E64)/(AVERAGE(D53,E53)))</x:f>
        <x:v>1.2158524918829576</x:v>
      </x:c>
      <x:c r="F126" s="63" t="n">
        <x:f>IF(OR((AVERAGE(E53,F53))&lt;=0,(F64)&lt;0),"n/m",(F64)/(AVERAGE(E53,F53)))</x:f>
        <x:v>1.0531088846951966</x:v>
      </x:c>
      <x:c r="G126" s="63" t="n">
        <x:f>IF(OR((AVERAGE(F53,G53))&lt;=0,(G64)&lt;0),"n/m",(G64)/(AVERAGE(F53,G53)))</x:f>
        <x:v>1.0752521941525262</x:v>
      </x:c>
    </x:row>
    <x:row r="127" ht="22" hidden="0" customHeight="1">
      <x:c r="A127" s="125" t="str">
        <x:v>Debt Management</x:v>
      </x:c>
      <x:c r="B127" s="126"/>
      <x:c r="C127" s="71"/>
      <x:c r="D127" s="71"/>
      <x:c r="E127" s="71"/>
      <x:c r="F127" s="71"/>
      <x:c r="G127" s="71"/>
    </x:row>
    <x:row r="128" ht="15" hidden="0">
      <x:c r="A128" s="134" t="str">
        <x:v>16. Debt ratio</x:v>
      </x:c>
      <x:c r="B128" s="128" t="str">
        <x:v>Total Liabilities / Total Assets</x:v>
      </x:c>
      <x:c r="C128" s="66" t="n">
        <x:f>IF(OR((C25)&lt;=0,(C49)&lt;0),"n/m",(C49)/(C25))</x:f>
        <x:v>0.4332284086792129</x:v>
      </x:c>
      <x:c r="D128" s="66" t="n">
        <x:f>IF(OR((D25)&lt;=0,(D49)&lt;0),"n/m",(D49)/(D25))</x:f>
        <x:v>0.5066666090934888</x:v>
      </x:c>
      <x:c r="E128" s="66" t="n">
        <x:f>IF(OR((E25)&lt;=0,(E49)&lt;0),"n/m",(E49)/(E25))</x:f>
        <x:v>0.49933942690835115</x:v>
      </x:c>
      <x:c r="F128" s="66" t="n">
        <x:f>IF(OR((F25)&lt;=0,(F49)&lt;0),"n/m",(F49)/(F25))</x:f>
        <x:v>0.4704820926001394</x:v>
      </x:c>
      <x:c r="G128" s="66" t="n">
        <x:f>IF(OR((G25)&lt;=0,(G49)&lt;0),"n/m",(G49)/(G25))</x:f>
        <x:v>0.4000182240614351</x:v>
      </x:c>
    </x:row>
    <x:row r="129" ht="15" hidden="0">
      <x:c r="A129" s="134" t="str">
        <x:v>17. Debt-to-equity</x:v>
      </x:c>
      <x:c r="B129" s="128" t="str">
        <x:v>Total Liabilities / Total Equity</x:v>
      </x:c>
      <x:c r="C129" s="63" t="n">
        <x:f>IF(OR((C29)&lt;=0,(C49)&lt;0),"n/m",(C49)/(C29))</x:f>
        <x:v>0.7643791878658399</x:v>
      </x:c>
      <x:c r="D129" s="63" t="n">
        <x:f>IF(OR((D29)&lt;=0,(D49)&lt;0),"n/m",(D49)/(D29))</x:f>
        <x:v>1.027026790468161</x:v>
      </x:c>
      <x:c r="E129" s="63" t="n">
        <x:f>IF(OR((E29)&lt;=0,(E49)&lt;0),"n/m",(E49)/(E29))</x:f>
        <x:v>0.9973611938820361</x:v>
      </x:c>
      <x:c r="F129" s="63" t="n">
        <x:f>IF(OR((F29)&lt;=0,(F49)&lt;0),"n/m",(F49)/(F29))</x:f>
        <x:v>0.8885102581523445</x:v>
      </x:c>
      <x:c r="G129" s="63" t="n">
        <x:f>IF(OR((G29)&lt;=0,(G49)&lt;0),"n/m",(G49)/(G29))</x:f>
        <x:v>0.6667172905971644</x:v>
      </x:c>
    </x:row>
    <x:row r="130" ht="15" hidden="0">
      <x:c r="A130" s="134" t="str">
        <x:v>18. Total debt-to-capital</x:v>
      </x:c>
      <x:c r="B130" s="128" t="str">
        <x:v>Interest-bearing Debt / (IBD + Equity)</x:v>
      </x:c>
      <x:c r="C130" s="66" t="n">
        <x:f>IF(OR((C55+C29)&lt;=0,(C55)&lt;0),"n/m",(C55)/(C55+C29))</x:f>
        <x:v>0.3018980041603245</x:v>
      </x:c>
      <x:c r="D130" s="66" t="n">
        <x:f>IF(OR((D55+D29)&lt;=0,(D55)&lt;0),"n/m",(D55)/(D55+D29))</x:f>
        <x:v>0.381087654689308</x:v>
      </x:c>
      <x:c r="E130" s="66" t="n">
        <x:f>IF(OR((E55+E29)&lt;=0,(E55)&lt;0),"n/m",(E55)/(E55+E29))</x:f>
        <x:v>0.30676284445350793</x:v>
      </x:c>
      <x:c r="F130" s="66" t="n">
        <x:f>IF(OR((F55+F29)&lt;=0,(F55)&lt;0),"n/m",(F55)/(F55+F29))</x:f>
        <x:v>0.2692569010491479</x:v>
      </x:c>
      <x:c r="G130" s="66" t="n">
        <x:f>IF(OR((G55+G29)&lt;=0,(G55)&lt;0),"n/m",(G55)/(G55+G29))</x:f>
        <x:v>0.1694536072536581</x:v>
      </x:c>
    </x:row>
    <x:row r="131" ht="15" hidden="0">
      <x:c r="A131" s="134" t="str">
        <x:v>19. Long-term debt ratio</x:v>
      </x:c>
      <x:c r="B131" s="128" t="str">
        <x:v>Long-term IBD / Total Assets</x:v>
      </x:c>
      <x:c r="C131" s="66" t="n">
        <x:f>IF(OR((C25)&lt;=0,(C56)&lt;0),"n/m",(C56)/(C25))</x:f>
        <x:v>0.19077425632568037</x:v>
      </x:c>
      <x:c r="D131" s="66" t="n">
        <x:f>IF(OR((D25)&lt;=0,(D56)&lt;0),"n/m",(D56)/(D25))</x:f>
        <x:v>0.22836689667151214</x:v>
      </x:c>
      <x:c r="E131" s="66" t="n">
        <x:f>IF(OR((E25)&lt;=0,(E56)&lt;0),"n/m",(E56)/(E25))</x:f>
        <x:v>0.19245552926882725</x:v>
      </x:c>
      <x:c r="F131" s="66" t="n">
        <x:f>IF(OR((F25)&lt;=0,(F56)&lt;0),"n/m",(F56)/(F25))</x:f>
        <x:v>0.1441187310524372</x:v>
      </x:c>
      <x:c r="G131" s="66" t="n">
        <x:f>IF(OR((G25)&lt;=0,(G56)&lt;0),"n/m",(G56)/(G25))</x:f>
        <x:v>0.08236454653172713</x:v>
      </x:c>
    </x:row>
    <x:row r="132" ht="15" hidden="0">
      <x:c r="A132" s="134" t="str">
        <x:v>20. Times interest earned</x:v>
      </x:c>
      <x:c r="B132" s="128" t="str">
        <x:v>EBIT / Interest Expense</x:v>
      </x:c>
      <x:c r="C132" s="63" t="n">
        <x:f>IF(OR((C85)&lt;=0,(C82)&lt;0),"n/m",(C82)/(C85))</x:f>
        <x:v>6.069000565198944</x:v>
      </x:c>
      <x:c r="D132" s="63" t="n">
        <x:f>IF(OR((D85)&lt;=0,(D82)&lt;0),"n/m",(D82)/(D85))</x:f>
        <x:v>5.280713598911259</x:v>
      </x:c>
      <x:c r="E132" s="63" t="n">
        <x:f>IF(OR((E85)&lt;=0,(E82)&lt;0),"n/m",(E82)/(E85))</x:f>
        <x:v>4.472840944030858</x:v>
      </x:c>
      <x:c r="F132" s="63" t="n">
        <x:f>IF(OR((F85)&lt;=0,(F82)&lt;0),"n/m",(F82)/(F85))</x:f>
        <x:v>3.222781857366191</x:v>
      </x:c>
      <x:c r="G132" s="63" t="n">
        <x:f>IF(OR((G85)&lt;=0,(G82)&lt;0),"n/m",(G82)/(G85))</x:f>
        <x:v>7.387043000579386</x:v>
      </x:c>
    </x:row>
    <x:row r="133" ht="22" hidden="0" customHeight="1">
      <x:c r="A133" s="129" t="str">
        <x:v>Profitability</x:v>
      </x:c>
      <x:c r="B133" s="130" t="s">
        <x:v>146</x:v>
      </x:c>
      <x:c r="C133" s="77" t="str">
        <x:f aca="0">IF(C83&lt;=0,"n/m",C57/C83)</x:f>
        <x:v>n/m</x:v>
      </x:c>
      <x:c r="D133" s="77" t="str">
        <x:f aca="0">IF(D83&lt;=0,"n/m",D57/D83)</x:f>
        <x:v>n/m</x:v>
      </x:c>
      <x:c r="E133" s="77" t="str">
        <x:f aca="0">IF(E83&lt;=0,"n/m",E57/E83)</x:f>
        <x:v>n/m</x:v>
      </x:c>
      <x:c r="F133" s="77" t="str">
        <x:f aca="0">IF(F83&lt;=0,"n/m",F57/F83)</x:f>
        <x:v>n/m</x:v>
      </x:c>
      <x:c r="G133" s="77" t="str">
        <x:f aca="0">IF(G83&lt;=0,"n/m",G57/G83)</x:f>
        <x:v>n/m</x:v>
      </x:c>
    </x:row>
    <x:row r="134" ht="15" hidden="0">
      <x:c r="A134" s="134" t="str">
        <x:v>21. Gross profit margin</x:v>
      </x:c>
      <x:c r="B134" s="128" t="str">
        <x:v>Gross Profit / Net Sales</x:v>
      </x:c>
      <x:c r="C134" s="66" t="n">
        <x:f>IF(OR((C64)&lt;=0,(C66)&lt;0),"n/m",(C66)/(C64))</x:f>
        <x:v>0.20830714445240356</x:v>
      </x:c>
      <x:c r="D134" s="66" t="n">
        <x:f>IF(OR((D64)&lt;=0,(D66)&lt;0),"n/m",(D66)/(D64))</x:f>
        <x:v>0.25300003367709667</x:v>
      </x:c>
      <x:c r="E134" s="66" t="n">
        <x:f>IF(OR((E64)&lt;=0,(E66)&lt;0),"n/m",(E66)/(E64))</x:f>
        <x:v>0.2927632247172742</x:v>
      </x:c>
      <x:c r="F134" s="66" t="n">
        <x:f>IF(OR((F64)&lt;=0,(F66)&lt;0),"n/m",(F66)/(F64))</x:f>
        <x:v>0.31547845382378364</x:v>
      </x:c>
      <x:c r="G134" s="66" t="n">
        <x:f>IF(OR((G64)&lt;=0,(G66)&lt;0),"n/m",(G66)/(G64))</x:f>
        <x:v>0.3444440599046921</x:v>
      </x:c>
    </x:row>
    <x:row r="135" ht="15" hidden="0">
      <x:c r="A135" s="134" t="str">
        <x:v>22. Operating margin</x:v>
      </x:c>
      <x:c r="B135" s="128" t="str">
        <x:v>Operating Profit / Net Sales</x:v>
      </x:c>
      <x:c r="C135" s="66" t="n">
        <x:f>IF(OR((C64)&lt;=0,(C71)&lt;0),"n/m",(C71)/(C64))</x:f>
        <x:v>0.14213957498981164</x:v>
      </x:c>
      <x:c r="D135" s="66" t="n">
        <x:f>IF(OR((D64)&lt;=0,(D71)&lt;0),"n/m",(D71)/(D64))</x:f>
        <x:v>0.18277011721154793</x:v>
      </x:c>
      <x:c r="E135" s="66" t="n">
        <x:f>IF(OR((E64)&lt;=0,(E71)&lt;0),"n/m",(E71)/(E64))</x:f>
        <x:v>0.19097413673296146</x:v>
      </x:c>
      <x:c r="F135" s="66" t="n">
        <x:f>IF(OR((F64)&lt;=0,(F71)&lt;0),"n/m",(F71)/(F64))</x:f>
        <x:v>0.19131892826420518</x:v>
      </x:c>
      <x:c r="G135" s="66" t="n">
        <x:f>IF(OR((G64)&lt;=0,(G71)&lt;0),"n/m",(G71)/(G64))</x:f>
        <x:v>0.2280930676582029</x:v>
      </x:c>
    </x:row>
    <x:row r="136" ht="15" hidden="0">
      <x:c r="A136" s="134" t="str">
        <x:v>23. Net profit margin</x:v>
      </x:c>
      <x:c r="B136" s="128" t="str">
        <x:v>Net Profit / Net Sales</x:v>
      </x:c>
      <x:c r="C136" s="66" t="n">
        <x:f>IF(OR((C64)&lt;=0,(C79)&lt;0),"n/m",(C79)/(C64))</x:f>
        <x:v>0.1759822170452098</x:v>
      </x:c>
      <x:c r="D136" s="66" t="n">
        <x:f>IF(OR((D64)&lt;=0,(D79)&lt;0),"n/m",(D79)/(D64))</x:f>
        <x:v>0.07473965893633715</x:v>
      </x:c>
      <x:c r="E136" s="66" t="n">
        <x:f>IF(OR((E64)&lt;=0,(E79)&lt;0),"n/m",(E79)/(E64))</x:f>
        <x:v>0.07235844154915244</x:v>
      </x:c>
      <x:c r="F136" s="66" t="n">
        <x:f>IF(OR((F64)&lt;=0,(F79)&lt;0),"n/m",(F79)/(F64))</x:f>
        <x:v>0.07934297520984508</x:v>
      </x:c>
      <x:c r="G136" s="66" t="n">
        <x:f>IF(OR((G64)&lt;=0,(G79)&lt;0),"n/m",(G79)/(G64))</x:f>
        <x:v>0.24711008947956384</x:v>
      </x:c>
    </x:row>
    <x:row r="137" ht="15" hidden="0">
      <x:c r="A137" s="134" t="str">
        <x:v>24. Return on assets</x:v>
      </x:c>
      <x:c r="B137" s="128" t="str">
        <x:v>Net Profit / Average Total Assets</x:v>
      </x:c>
      <x:c r="C137" s="66" t="n">
        <x:f>IF(OR((AVERAGE(H25,C25))&lt;=0,(C79)&lt;0),"n/m",(C79)/(AVERAGE(H25,C25)))</x:f>
        <x:v>0.09458077842208146</x:v>
      </x:c>
      <x:c r="D137" s="66" t="n">
        <x:f>IF(OR((AVERAGE(C25,D25))&lt;=0,(D79)&lt;0),"n/m",(D79)/(AVERAGE(C25,D25)))</x:f>
        <x:v>0.04885489790580065</x:v>
      </x:c>
      <x:c r="E137" s="66" t="n">
        <x:f>IF(OR((AVERAGE(D25,E25))&lt;=0,(E79)&lt;0),"n/m",(E79)/(AVERAGE(D25,E25)))</x:f>
        <x:v>0.05225242917103048</x:v>
      </x:c>
      <x:c r="F137" s="66" t="n">
        <x:f>IF(OR((AVERAGE(E25,F25))&lt;=0,(F79)&lt;0),"n/m",(F79)/(AVERAGE(E25,F25)))</x:f>
        <x:v>0.0557722788631608</x:v>
      </x:c>
      <x:c r="G137" s="66" t="n">
        <x:f>IF(OR((AVERAGE(F25,G25))&lt;=0,(G79)&lt;0),"n/m",(G79)/(AVERAGE(F25,G25)))</x:f>
        <x:v>0.1559593693017428</x:v>
      </x:c>
    </x:row>
    <x:row r="138" ht="15" hidden="0">
      <x:c r="A138" s="134" t="str">
        <x:v>25. Return on equity</x:v>
      </x:c>
      <x:c r="B138" s="128" t="str">
        <x:v>Net Profit / Average Equity</x:v>
      </x:c>
      <x:c r="C138" s="66" t="n">
        <x:f>IF(OR((AVERAGE(H29,C29))&lt;=0,(C79)&lt;0),"n/m",(C79)/(AVERAGE(H29,C29)))</x:f>
        <x:v>0.18163818640771748</x:v>
      </x:c>
      <x:c r="D138" s="66" t="n">
        <x:f>IF(OR((AVERAGE(C29,D29))&lt;=0,(D79)&lt;0),"n/m",(D79)/(AVERAGE(C29,D29)))</x:f>
        <x:v>0.09286217037724577</x:v>
      </x:c>
      <x:c r="E138" s="66" t="n">
        <x:f>IF(OR((AVERAGE(D29,E29))&lt;=0,(E79)&lt;0),"n/m",(E79)/(AVERAGE(D29,E29)))</x:f>
        <x:v>0.10510254167180039</x:v>
      </x:c>
      <x:c r="F138" s="66" t="n">
        <x:f>IF(OR((AVERAGE(E29,F29))&lt;=0,(F79)&lt;0),"n/m",(F79)/(AVERAGE(E29,F29)))</x:f>
        <x:v>0.10812221617479151</x:v>
      </x:c>
      <x:c r="G138" s="66" t="n">
        <x:f>IF(OR((AVERAGE(F29,G29))&lt;=0,(G79)&lt;0),"n/m",(G79)/(AVERAGE(F29,G29)))</x:f>
        <x:v>0.2746085954343051</x:v>
      </x:c>
    </x:row>
    <x:row r="139" ht="15" hidden="0">
      <x:c r="A139" s="134" t="str">
        <x:v>26. Return on invested capital</x:v>
      </x:c>
      <x:c r="B139" s="128" t="str">
        <x:v>NOPAT / Average Invested Capital</x:v>
      </x:c>
      <x:c r="C139" s="66" t="n">
        <x:f>IF(OR((AVERAGE(H58,C58))&lt;=0,(C88)&lt;0),"n/m",(C88)/(AVERAGE(H58,C58)))</x:f>
        <x:v>0.140804883114224</x:v>
      </x:c>
      <x:c r="D139" s="66" t="n">
        <x:f>IF(OR((AVERAGE(C58,D58))&lt;=0,(D88)&lt;0),"n/m",(D88)/(AVERAGE(C58,D58)))</x:f>
        <x:v>0.07552102511911654</x:v>
      </x:c>
      <x:c r="E139" s="66" t="n">
        <x:f>IF(OR((AVERAGE(D58,E58))&lt;=0,(E88)&lt;0),"n/m",(E88)/(AVERAGE(D58,E58)))</x:f>
        <x:v>0.08943041686178571</x:v>
      </x:c>
      <x:c r="F139" s="66" t="n">
        <x:f>IF(OR((AVERAGE(E58,F58))&lt;=0,(F88)&lt;0),"n/m",(F88)/(AVERAGE(E58,F58)))</x:f>
        <x:v>0.1128071865450392</x:v>
      </x:c>
      <x:c r="G139" s="66" t="n">
        <x:f>IF(OR((AVERAGE(F58,G58))&lt;=0,(G88)&lt;0),"n/m",(G88)/(AVERAGE(F58,G58)))</x:f>
        <x:v>0.25096399764604915</x:v>
      </x:c>
    </x:row>
    <x:row r="140" ht="15" hidden="0">
      <x:c r="A140" s="134" t="str">
        <x:v>27. Basic earning power</x:v>
      </x:c>
      <x:c r="B140" s="128" t="str">
        <x:v>EBIT / Average Total Assets</x:v>
      </x:c>
      <x:c r="C140" s="66" t="n">
        <x:f>IF(OR((AVERAGE(H25,C25))&lt;=0,(C82)&lt;0),"n/m",(C82)/(AVERAGE(H25,C25)))</x:f>
        <x:v>0.13283318203671918</x:v>
      </x:c>
      <x:c r="D140" s="66" t="n">
        <x:f>IF(OR((AVERAGE(C25,D25))&lt;=0,(D82)&lt;0),"n/m",(D82)/(AVERAGE(C25,D25)))</x:f>
        <x:v>0.12023345655576649</x:v>
      </x:c>
      <x:c r="E140" s="66" t="n">
        <x:f>IF(OR((AVERAGE(D25,E25))&lt;=0,(E82)&lt;0),"n/m",(E82)/(AVERAGE(D25,E25)))</x:f>
        <x:v>0.1396147149844841</x:v>
      </x:c>
      <x:c r="F140" s="66" t="n">
        <x:f>IF(OR((AVERAGE(E25,F25))&lt;=0,(F82)&lt;0),"n/m",(F82)/(AVERAGE(E25,F25)))</x:f>
        <x:v>0.1382503777250139</x:v>
      </x:c>
      <x:c r="G140" s="66" t="n">
        <x:f>IF(OR((AVERAGE(F25,G25))&lt;=0,(G82)&lt;0),"n/m",(G82)/(AVERAGE(F25,G25)))</x:f>
        <x:v>0.23086739193474415</x:v>
      </x:c>
    </x:row>
    <x:row r="141" ht="22" hidden="0" customHeight="1">
      <x:c r="A141" s="129" t="str">
        <x:v>Market Value</x:v>
      </x:c>
      <x:c r="B141" s="130" t="s">
        <x:v>147</x:v>
      </x:c>
      <x:c r="C141" s="79" t="n">
        <x:f aca="0">C82/AVERAGE(H25,C25)</x:f>
        <x:v>0.13283318203671918</x:v>
      </x:c>
      <x:c r="D141" s="79" t="n">
        <x:f aca="0">D82/AVERAGE(C25,D25)</x:f>
        <x:v>0.12023345655576649</x:v>
      </x:c>
      <x:c r="E141" s="79" t="n">
        <x:f aca="0">E82/AVERAGE(D25,E25)</x:f>
        <x:v>0.1396147149844841</x:v>
      </x:c>
      <x:c r="F141" s="79" t="n">
        <x:f aca="0">F82/AVERAGE(E25,F25)</x:f>
        <x:v>0.1382503777250139</x:v>
      </x:c>
      <x:c r="G141" s="79" t="n">
        <x:f aca="0">G82/AVERAGE(F25,G25)</x:f>
        <x:v>0.23086739193474415</x:v>
      </x:c>
    </x:row>
    <x:row r="142" ht="15" hidden="0">
      <x:c r="A142" s="134" t="str">
        <x:v>28. Book value per share (Rs)</x:v>
      </x:c>
      <x:c r="B142" s="128" t="str">
        <x:v>Total Equity / Shares Outstanding</x:v>
      </x:c>
      <x:c r="C142" s="67" t="n">
        <x:f>IF(OR((C103)&lt;=0,(C29)&lt;0),"n/m",(C29)/(C103))</x:f>
        <x:v>34.18097226539319</x:v>
      </x:c>
      <x:c r="D142" s="67" t="n">
        <x:f>IF(OR((D103)&lt;=0,(D29)&lt;0),"n/m",(D29)/(D103))</x:f>
        <x:v>37.56155762745958</x:v>
      </x:c>
      <x:c r="E142" s="67" t="n">
        <x:f>IF(OR((E103)&lt;=0,(E29)&lt;0),"n/m",(E29)/(E103))</x:f>
        <x:v>41.84401454069526</x:v>
      </x:c>
      <x:c r="F142" s="67" t="n">
        <x:f>IF(OR((F103)&lt;=0,(F29)&lt;0),"n/m",(F29)/(F103))</x:f>
        <x:v>50.22698213930126</x:v>
      </x:c>
      <x:c r="G142" s="67" t="n">
        <x:f>IF(OR((G103)&lt;=0,(G29)&lt;0),"n/m",(G29)/(G103))</x:f>
        <x:v>68.21701347489879</x:v>
      </x:c>
    </x:row>
    <x:row r="143" ht="15" hidden="0">
      <x:c r="A143" s="134" t="str">
        <x:v>29. Market-to-book ratio</x:v>
      </x:c>
      <x:c r="B143" s="128" t="str">
        <x:v>Share Price / BVPS</x:v>
      </x:c>
      <x:c r="C143" s="63" t="n">
        <x:f>IF(OR((C29/C103)&lt;=0,(C105)&lt;0),"n/m",(C105)/(C29/C103))</x:f>
        <x:v>1.3744489078669448</x:v>
      </x:c>
      <x:c r="D143" s="63" t="n">
        <x:f>IF(OR((D29/D103)&lt;=0,(D105)&lt;0),"n/m",(D105)/(D29/D103))</x:f>
        <x:v>0.7281380679486422</x:v>
      </x:c>
      <x:c r="E143" s="63" t="n">
        <x:f>IF(OR((E29/E103)&lt;=0,(E105)&lt;0),"n/m",(E105)/(E29/E103))</x:f>
        <x:v>0.6770382887724061</x:v>
      </x:c>
      <x:c r="F143" s="63" t="n">
        <x:f>IF(OR((F29/F103)&lt;=0,(F105)&lt;0),"n/m",(F105)/(F29/F103))</x:f>
        <x:v>0.7565654630534934</x:v>
      </x:c>
      <x:c r="G143" s="63" t="n">
        <x:f>IF(OR((G29/G103)&lt;=0,(G105)&lt;0),"n/m",(G105)/(G29/G103))</x:f>
        <x:v>1.2354689205356633</x:v>
      </x:c>
    </x:row>
    <x:row r="144" ht="15" hidden="0">
      <x:c r="A144" s="134" t="str">
        <x:v>30. Earnings per share (Rs)</x:v>
      </x:c>
      <x:c r="B144" s="128" t="str">
        <x:v>Net Profit / Weighted Average Shares</x:v>
      </x:c>
      <x:c r="C144" s="67" t="n">
        <x:f>IF(OR((C104)&lt;=0,(C79)&lt;0),"n/m",(C79)/(C104))</x:f>
        <x:v>5.694115515511503</x:v>
      </x:c>
      <x:c r="D144" s="67" t="n">
        <x:f>IF(OR((D104)&lt;=0,(D79)&lt;0),"n/m",(D79)/(D104))</x:f>
        <x:v>3.3041099784606085</x:v>
      </x:c>
      <x:c r="E144" s="67" t="n">
        <x:f>IF(OR((E104)&lt;=0,(E79)&lt;0),"n/m",(E79)/(E104))</x:f>
        <x:v>4.18450538240459</x:v>
      </x:c>
      <x:c r="F144" s="67" t="n">
        <x:f>IF(OR((F104)&lt;=0,(F79)&lt;0),"n/m",(F79)/(F104))</x:f>
        <x:v>4.979197496295721</x:v>
      </x:c>
      <x:c r="G144" s="67" t="n">
        <x:f>IF(OR((G104)&lt;=0,(G79)&lt;0),"n/m",(G79)/(G104))</x:f>
        <x:v>16.262863426829693</x:v>
      </x:c>
    </x:row>
    <x:row r="145" ht="15" hidden="0">
      <x:c r="A145" s="134" t="str">
        <x:v>31. Price-to-earnings ratio</x:v>
      </x:c>
      <x:c r="B145" s="128" t="str">
        <x:v>Share Price / EPS</x:v>
      </x:c>
      <x:c r="C145" s="63" t="n">
        <x:f>IF(OR((C79/C104)&lt;=0,(C105)&lt;0),"n/m",(C105)/(C79/C104))</x:f>
        <x:v>8.250622923265333</x:v>
      </x:c>
      <x:c r="D145" s="63" t="n">
        <x:f>IF(OR((D79/D104)&lt;=0,(D105)&lt;0),"n/m",(D105)/(D79/D104))</x:f>
        <x:v>8.277569505341472</x:v>
      </x:c>
      <x:c r="E145" s="63" t="n">
        <x:f>IF(OR((E79/E104)&lt;=0,(E105)&lt;0),"n/m",(E105)/(E79/E104))</x:f>
        <x:v>6.770214735324442</x:v>
      </x:c>
      <x:c r="F145" s="63" t="n">
        <x:f>IF(OR((F79/F104)&lt;=0,(F105)&lt;0),"n/m",(F105)/(F79/F104))</x:f>
        <x:v>7.631751909473391</x:v>
      </x:c>
      <x:c r="G145" s="63" t="n">
        <x:f>IF(OR((G79/G104)&lt;=0,(G105)&lt;0),"n/m",(G105)/(G79/G104))</x:f>
        <x:v>5.182359206248938</x:v>
      </x:c>
    </x:row>
    <x:row r="146" ht="15" hidden="0">
      <x:c r="A146" s="134" t="str">
        <x:v>32. Dividend yield</x:v>
      </x:c>
      <x:c r="B146" s="128" t="str">
        <x:v>DPS / Share Price</x:v>
      </x:c>
      <x:c r="C146" s="66" t="n">
        <x:f>IF(OR((C105)&lt;=0,(C106)&lt;0),"n/m",(C106)/(C105))</x:f>
        <x:v>0</x:v>
      </x:c>
      <x:c r="D146" s="66" t="n">
        <x:f>IF(OR((D105)&lt;=0,(D106)&lt;0),"n/m",(D106)/(D105))</x:f>
        <x:v>0</x:v>
      </x:c>
      <x:c r="E146" s="66" t="n">
        <x:f>IF(OR((E105)&lt;=0,(E106)&lt;0),"n/m",(E106)/(E105))</x:f>
        <x:v>0</x:v>
      </x:c>
      <x:c r="F146" s="66" t="n">
        <x:f>IF(OR((F105)&lt;=0,(F106)&lt;0),"n/m",(F106)/(F105))</x:f>
        <x:v>0</x:v>
      </x:c>
      <x:c r="G146" s="66" t="n">
        <x:f>IF(OR((G105)&lt;=0,(G106)&lt;0),"n/m",(G106)/(G105))</x:f>
        <x:v>0</x:v>
      </x:c>
    </x:row>
    <x:row r="147" ht="15" hidden="0">
      <x:c r="A147" s="134" t="str">
        <x:v>33. Dividend payout ratio</x:v>
      </x:c>
      <x:c r="B147" s="128" t="str">
        <x:v>DPS / EPS</x:v>
      </x:c>
      <x:c r="C147" s="66" t="n">
        <x:f>IF(OR((C79/C104)&lt;=0,(C106)&lt;0),"n/m",(C106)/(C79/C104))</x:f>
        <x:v>0</x:v>
      </x:c>
      <x:c r="D147" s="66" t="n">
        <x:f>IF(OR((D79/D104)&lt;=0,(D106)&lt;0),"n/m",(D106)/(D79/D104))</x:f>
        <x:v>0</x:v>
      </x:c>
      <x:c r="E147" s="66" t="n">
        <x:f>IF(OR((E79/E104)&lt;=0,(E106)&lt;0),"n/m",(E106)/(E79/E104))</x:f>
        <x:v>0</x:v>
      </x:c>
      <x:c r="F147" s="66" t="n">
        <x:f>IF(OR((F79/F104)&lt;=0,(F106)&lt;0),"n/m",(F106)/(F79/F104))</x:f>
        <x:v>0</x:v>
      </x:c>
      <x:c r="G147" s="66" t="n">
        <x:f>IF(OR((G79/G104)&lt;=0,(G106)&lt;0),"n/m",(G106)/(G79/G104))</x:f>
        <x:v>0</x:v>
      </x:c>
    </x:row>
    <x:row r="148" ht="15" hidden="0">
      <x:c r="A148" s="111"/>
      <x:c r="B148" s="111"/>
      <x:c r="C148">
        <x:f aca="0"/>
      </x:c>
      <x:c r="D148">
        <x:f aca="0"/>
      </x:c>
      <x:c r="E148">
        <x:f aca="0"/>
      </x:c>
      <x:c r="F148">
        <x:f aca="0"/>
      </x:c>
      <x:c r="G148">
        <x:f aca="0"/>
      </x:c>
    </x:row>
    <x:row r="149" ht="15" hidden="0">
      <x:c r="A149" s="131" t="str">
        <x:v>33 measures: 19 mandatory ratios and 14 additional measures. Ratios use one method across all five companies.</x:v>
      </x:c>
      <x:c r="B149" s="131"/>
      <x:c r="C149" s="80">
        <x:f aca="0"/>
      </x:c>
      <x:c r="D149" s="80">
        <x:f aca="0"/>
      </x:c>
      <x:c r="E149" s="80">
        <x:f aca="0"/>
      </x:c>
      <x:c r="F149" s="80">
        <x:f aca="0"/>
      </x:c>
      <x:c r="G149" s="80">
        <x:f aca="0"/>
      </x:c>
    </x:row>
    <x:row r="150" ht="15" hidden="0">
      <x:c r="A150" s="131" t="str">
        <x:v>n/m: negative calculated measures or non-positive denominators. Signed accounting inputs and raw workings are retained in the audit workbook.</x:v>
      </x:c>
      <x:c r="B150" s="131"/>
      <x:c r="C150" s="80"/>
      <x:c r="D150" s="80"/>
      <x:c r="E150" s="80"/>
      <x:c r="F150" s="80"/>
      <x:c r="G150" s="80"/>
    </x:row>
    <x:row r="151" ht="15" hidden="0">
      <x:c r="A151" s="131" t="str">
        <x:v>DIO includes stores and stock; supplier payables include identified related operating suppliers, excluding contractor retentions, taxes and accruals.</x:v>
      </x:c>
      <x:c r="B151" s="131"/>
      <x:c r="C151" s="80">
        <x:f aca="0"/>
      </x:c>
      <x:c r="D151" s="80">
        <x:f aca="0"/>
      </x:c>
      <x:c r="E151" s="80">
        <x:f aca="0"/>
      </x:c>
      <x:c r="F151" s="80">
        <x:f aca="0"/>
      </x:c>
      <x:c r="G151" s="80">
        <x:f aca="0"/>
      </x:c>
    </x:row>
    <x:row r="152">
      <x:c r="A152" s="111"/>
      <x:c r="B152" s="111"/>
    </x:row>
    <x:row r="153" ht="19.5" hidden="0" customHeight="1">
      <x:c r="A153" s="114" t="s">
        <x:v>148</x:v>
      </x:c>
      <x:c r="B153" s="115"/>
      <x:c r="C153" s="6"/>
      <x:c r="D153" s="6"/>
      <x:c r="E153" s="6"/>
      <x:c r="F153" s="6"/>
      <x:c r="G153" s="6"/>
    </x:row>
    <x:row r="154" ht="15" hidden="0">
      <x:c r="A154" s="132" t="s">
        <x:v>149</x:v>
      </x:c>
      <x:c r="B154" s="132"/>
      <x:c r="C154" s="41" t="s">
        <x:v>49</x:v>
      </x:c>
      <x:c r="D154" s="41" t="s">
        <x:v>50</x:v>
      </x:c>
      <x:c r="E154" s="41" t="s">
        <x:v>51</x:v>
      </x:c>
      <x:c r="F154" s="41" t="s">
        <x:v>52</x:v>
      </x:c>
      <x:c r="G154" s="41" t="s">
        <x:v>53</x:v>
      </x:c>
    </x:row>
    <x:row r="155" ht="15" hidden="0">
      <x:c r="A155" s="127" t="s">
        <x:v>56</x:v>
      </x:c>
      <x:c r="B155" s="127"/>
      <x:c r="C155" s="42" t="n">
        <x:f aca="0">C9/C25</x:f>
        <x:v>0.6675123934774773</x:v>
      </x:c>
      <x:c r="D155" s="42" t="n">
        <x:f aca="0">D9/D25</x:f>
        <x:v>0.6906937377370652</x:v>
      </x:c>
      <x:c r="E155" s="42" t="n">
        <x:f aca="0">E9/E25</x:f>
        <x:v>0.6950863789178613</x:v>
      </x:c>
      <x:c r="F155" s="42" t="n">
        <x:f aca="0">F9/F25</x:f>
        <x:v>0.6641689230291802</x:v>
      </x:c>
      <x:c r="G155" s="42" t="n">
        <x:f aca="0">G9/G25</x:f>
        <x:v>0.5275642623384625</x:v>
      </x:c>
    </x:row>
    <x:row r="156" ht="15" hidden="0">
      <x:c r="A156" s="127" t="s">
        <x:v>63</x:v>
      </x:c>
      <x:c r="B156" s="127"/>
      <x:c r="C156" s="42" t="n">
        <x:f aca="0">C16/C25</x:f>
        <x:v>0.7445108625731096</x:v>
      </x:c>
      <x:c r="D156" s="42" t="n">
        <x:f aca="0">D16/D25</x:f>
        <x:v>0.752816587302852</x:v>
      </x:c>
      <x:c r="E156" s="42" t="n">
        <x:f aca="0">E16/E25</x:f>
        <x:v>0.7520874543326604</x:v>
      </x:c>
      <x:c r="F156" s="42" t="n">
        <x:f aca="0">F16/F25</x:f>
        <x:v>0.7296064752013678</x:v>
      </x:c>
      <x:c r="G156" s="42" t="n">
        <x:f aca="0">G16/G25</x:f>
        <x:v>0.6998260150382846</x:v>
      </x:c>
    </x:row>
    <x:row r="157" ht="15" hidden="0">
      <x:c r="A157" s="127" t="s">
        <x:v>150</x:v>
      </x:c>
      <x:c r="B157" s="127"/>
      <x:c r="C157" s="42" t="n">
        <x:f aca="0">C54/C25</x:f>
        <x:v>0.1794841423241359</x:v>
      </x:c>
      <x:c r="D157" s="42" t="n">
        <x:f aca="0">D54/D25</x:f>
        <x:v>0.18913063812204728</x:v>
      </x:c>
      <x:c r="E157" s="42" t="n">
        <x:f aca="0">E54/E25</x:f>
        <x:v>0.15383805746643114</x:v>
      </x:c>
      <x:c r="F157" s="42" t="n">
        <x:f aca="0">F54/F25</x:f>
        <x:v>0.156330039580466</x:v>
      </x:c>
      <x:c r="G157" s="42" t="n">
        <x:f aca="0">G54/G25</x:f>
        <x:v>0.14192620470839862</x:v>
      </x:c>
    </x:row>
    <x:row r="158" ht="15" hidden="0">
      <x:c r="A158" s="127" t="s">
        <x:v>67</x:v>
      </x:c>
      <x:c r="B158" s="127"/>
      <x:c r="C158" s="42" t="n">
        <x:f aca="0">C20/C25</x:f>
        <x:v>0.02535812663900111</x:v>
      </x:c>
      <x:c r="D158" s="42" t="n">
        <x:f aca="0">D20/D25</x:f>
        <x:v>0.025132054422222147</x:v>
      </x:c>
      <x:c r="E158" s="42" t="n">
        <x:f aca="0">E20/E25</x:f>
        <x:v>0.028993995845017155</x:v>
      </x:c>
      <x:c r="F158" s="42" t="n">
        <x:f aca="0">F20/F25</x:f>
        <x:v>0.042154845774620656</x:v>
      </x:c>
      <x:c r="G158" s="42" t="n">
        <x:f aca="0">G20/G25</x:f>
        <x:v>0.03870645904110289</x:v>
      </x:c>
    </x:row>
    <x:row r="159" ht="15" hidden="0">
      <x:c r="A159" s="127" t="s">
        <x:v>68</x:v>
      </x:c>
      <x:c r="B159" s="127"/>
      <x:c r="C159" s="42" t="n">
        <x:f aca="0">C21/C25</x:f>
        <x:v>0.0022516549772779834</x:v>
      </x:c>
      <x:c r="D159" s="42" t="n">
        <x:f aca="0">D21/D25</x:f>
        <x:v>0.0024125513095607197</x:v>
      </x:c>
      <x:c r="E159" s="42" t="n">
        <x:f aca="0">E21/E25</x:f>
        <x:v>0.041128638317390574</x:v>
      </x:c>
      <x:c r="F159" s="42" t="n">
        <x:f aca="0">F21/F25</x:f>
        <x:v>0.04247202771677247</x:v>
      </x:c>
      <x:c r="G159" s="42" t="n">
        <x:f aca="0">G21/G25</x:f>
        <x:v>0.0932143446922287</x:v>
      </x:c>
    </x:row>
    <x:row r="160" ht="15" hidden="0">
      <x:c r="A160" s="127" t="s">
        <x:v>69</x:v>
      </x:c>
      <x:c r="B160" s="127"/>
      <x:c r="C160" s="42" t="n">
        <x:f aca="0">C22/C25</x:f>
        <x:v>0.007402390466876769</x:v>
      </x:c>
      <x:c r="D160" s="42" t="n">
        <x:f aca="0">D22/D25</x:f>
        <x:v>0.009652540600949642</x:v>
      </x:c>
      <x:c r="E160" s="42" t="n">
        <x:f aca="0">E22/E25</x:f>
        <x:v>0.008256893323250662</x:v>
      </x:c>
      <x:c r="F160" s="42" t="n">
        <x:f aca="0">F22/F25</x:f>
        <x:v>0.011406473313392042</x:v>
      </x:c>
      <x:c r="G160" s="42" t="n">
        <x:f aca="0">G22/G25</x:f>
        <x:v>0.013563358053582253</x:v>
      </x:c>
    </x:row>
    <x:row r="161" ht="15" hidden="0">
      <x:c r="A161" s="127" t="s">
        <x:v>71</x:v>
      </x:c>
      <x:c r="B161" s="127"/>
      <x:c r="C161" s="42" t="n">
        <x:f aca="0">C24/C25</x:f>
        <x:v>0.2554891374268905</x:v>
      </x:c>
      <x:c r="D161" s="42" t="n">
        <x:f aca="0">D24/D25</x:f>
        <x:v>0.24718341269714814</x:v>
      </x:c>
      <x:c r="E161" s="42" t="n">
        <x:f aca="0">E24/E25</x:f>
        <x:v>0.2479125456673395</x:v>
      </x:c>
      <x:c r="F161" s="42" t="n">
        <x:f aca="0">F24/F25</x:f>
        <x:v>0.27039352479863216</x:v>
      </x:c>
      <x:c r="G161" s="42" t="n">
        <x:f aca="0">G24/G25</x:f>
        <x:v>0.30017398496171543</x:v>
      </x:c>
    </x:row>
    <x:row r="162" ht="15" hidden="0">
      <x:c r="A162" s="127" t="s">
        <x:v>76</x:v>
      </x:c>
      <x:c r="B162" s="127"/>
      <x:c r="C162" s="42" t="n">
        <x:f aca="0">C29/C25</x:f>
        <x:v>0.566771591320787</x:v>
      </x:c>
      <x:c r="D162" s="42" t="n">
        <x:f aca="0">D29/D25</x:f>
        <x:v>0.49333339090651124</x:v>
      </x:c>
      <x:c r="E162" s="42" t="n">
        <x:f aca="0">E29/E25</x:f>
        <x:v>0.5006605730916487</x:v>
      </x:c>
      <x:c r="F162" s="42" t="n">
        <x:f aca="0">F29/F25</x:f>
        <x:v>0.5295179073998606</x:v>
      </x:c>
      <x:c r="G162" s="42" t="n">
        <x:f aca="0">G29/G25</x:f>
        <x:v>0.5999817759385652</x:v>
      </x:c>
    </x:row>
    <x:row r="163" ht="15" hidden="0">
      <x:c r="A163" s="127" t="s">
        <x:v>83</x:v>
      </x:c>
      <x:c r="B163" s="127"/>
      <x:c r="C163" s="42" t="n">
        <x:f aca="0">C36/C25</x:f>
        <x:v>0.26037857779790413</x:v>
      </x:c>
      <x:c r="D163" s="42" t="n">
        <x:f aca="0">D36/D25</x:f>
        <x:v>0.30970076827351384</x:v>
      </x:c>
      <x:c r="E163" s="42" t="n">
        <x:f aca="0">E36/E25</x:f>
        <x:v>0.3185855004147859</x:v>
      </x:c>
      <x:c r="F163" s="42" t="n">
        <x:f aca="0">F36/F25</x:f>
        <x:v>0.2833168699028302</x:v>
      </x:c>
      <x:c r="G163" s="42" t="n">
        <x:f aca="0">G36/G25</x:f>
        <x:v>0.20413860492702354</x:v>
      </x:c>
    </x:row>
    <x:row r="164" ht="15" hidden="0">
      <x:c r="A164" s="127" t="s">
        <x:v>95</x:v>
      </x:c>
      <x:c r="B164" s="127"/>
      <x:c r="C164" s="42" t="n">
        <x:f aca="0">C48/C25</x:f>
        <x:v>0.1728498308813088</x:v>
      </x:c>
      <x:c r="D164" s="42" t="n">
        <x:f aca="0">D48/D25</x:f>
        <x:v>0.19696584081997504</x:v>
      </x:c>
      <x:c r="E164" s="42" t="n">
        <x:f aca="0">E48/E25</x:f>
        <x:v>0.18075392649356528</x:v>
      </x:c>
      <x:c r="F164" s="42" t="n">
        <x:f aca="0">F48/F25</x:f>
        <x:v>0.18716522269730912</x:v>
      </x:c>
      <x:c r="G164" s="42" t="n">
        <x:f aca="0">G48/G25</x:f>
        <x:v>0.19587961913441157</x:v>
      </x:c>
    </x:row>
    <x:row r="165" ht="15" hidden="0">
      <x:c r="A165" s="127" t="s">
        <x:v>102</x:v>
      </x:c>
      <x:c r="B165" s="127"/>
      <x:c r="C165" s="42" t="n">
        <x:f aca="0">C55/C25</x:f>
        <x:v>0.24510345659262772</x:v>
      </x:c>
      <x:c r="D165" s="42" t="n">
        <x:f aca="0">D55/D25</x:f>
        <x:v>0.30376396002588846</x:v>
      </x:c>
      <x:c r="E165" s="42" t="n">
        <x:f aca="0">E55/E25</x:f>
        <x:v>0.2215462057659681</x:v>
      </x:c>
      <x:c r="F165" s="42" t="n">
        <x:f aca="0">F55/F25</x:f>
        <x:v>0.19511145709239938</x:v>
      </x:c>
      <x:c r="G165" s="42" t="n">
        <x:f aca="0">G55/G25</x:f>
        <x:v>0.12241227835938212</x:v>
      </x:c>
    </x:row>
    <x:row r="166" ht="15" hidden="0">
      <x:c r="A166" s="132" t="s">
        <x:v>151</x:v>
      </x:c>
      <x:c r="B166" s="132"/>
      <x:c r="C166" s="41" t="s">
        <x:v>49</x:v>
      </x:c>
      <x:c r="D166" s="41" t="s">
        <x:v>50</x:v>
      </x:c>
      <x:c r="E166" s="41" t="s">
        <x:v>51</x:v>
      </x:c>
      <x:c r="F166" s="41" t="s">
        <x:v>52</x:v>
      </x:c>
      <x:c r="G166" s="41" t="s">
        <x:v>53</x:v>
      </x:c>
    </x:row>
    <x:row r="167" ht="15" hidden="0">
      <x:c r="A167" s="127" t="s">
        <x:v>109</x:v>
      </x:c>
      <x:c r="B167" s="127"/>
      <x:c r="C167" s="42" t="n">
        <x:f aca="0">C65/C64</x:f>
        <x:v>-0.7916928555475964</x:v>
      </x:c>
      <x:c r="D167" s="42" t="n">
        <x:f aca="0">D65/D64</x:f>
        <x:v>-0.7469999663229033</x:v>
      </x:c>
      <x:c r="E167" s="42" t="n">
        <x:f aca="0">E65/E64</x:f>
        <x:v>-0.7072367752827259</x:v>
      </x:c>
      <x:c r="F167" s="42" t="n">
        <x:f aca="0">F65/F64</x:f>
        <x:v>-0.6845215461762164</x:v>
      </x:c>
      <x:c r="G167" s="42" t="n">
        <x:f aca="0">G65/G64</x:f>
        <x:v>-0.6555559400953079</x:v>
      </x:c>
    </x:row>
    <x:row r="168" ht="15" hidden="0">
      <x:c r="A168" s="127" t="s">
        <x:v>110</x:v>
      </x:c>
      <x:c r="B168" s="127"/>
      <x:c r="C168" s="42" t="n">
        <x:f aca="0">C66/C64</x:f>
        <x:v>0.20830714445240356</x:v>
      </x:c>
      <x:c r="D168" s="42" t="n">
        <x:f aca="0">D66/D64</x:f>
        <x:v>0.25300003367709667</x:v>
      </x:c>
      <x:c r="E168" s="42" t="n">
        <x:f aca="0">E66/E64</x:f>
        <x:v>0.2927632247172742</x:v>
      </x:c>
      <x:c r="F168" s="42" t="n">
        <x:f aca="0">F66/F64</x:f>
        <x:v>0.31547845382378364</x:v>
      </x:c>
      <x:c r="G168" s="42" t="n">
        <x:f aca="0">G66/G64</x:f>
        <x:v>0.3444440599046921</x:v>
      </x:c>
    </x:row>
    <x:row r="169" ht="15" hidden="0">
      <x:c r="A169" s="127" t="s">
        <x:v>152</x:v>
      </x:c>
      <x:c r="B169" s="127"/>
      <x:c r="C169" s="42" t="n">
        <x:f aca="0">(C67+C68+C69+C70)/C64</x:f>
        <x:v>-0.06616756946259193</x:v>
      </x:c>
      <x:c r="D169" s="42" t="n">
        <x:f aca="0">(D67+D68+D69+D70)/D64</x:f>
        <x:v>-0.07022991646554871</x:v>
      </x:c>
      <x:c r="E169" s="42" t="n">
        <x:f aca="0">(E67+E68+E69+E70)/E64</x:f>
        <x:v>-0.10178908798431271</x:v>
      </x:c>
      <x:c r="F169" s="42" t="n">
        <x:f aca="0">(F67+F68+F69+F70)/F64</x:f>
        <x:v>-0.12415952555957842</x:v>
      </x:c>
      <x:c r="G169" s="42" t="n">
        <x:f aca="0">(G67+G68+G69+G70)/G64</x:f>
        <x:v>-0.11635099224648922</x:v>
      </x:c>
    </x:row>
    <x:row r="170" ht="15" hidden="0">
      <x:c r="A170" s="127" t="s">
        <x:v>115</x:v>
      </x:c>
      <x:c r="B170" s="127"/>
      <x:c r="C170" s="42" t="n">
        <x:f aca="0">C71/C64</x:f>
        <x:v>0.14213957498981164</x:v>
      </x:c>
      <x:c r="D170" s="42" t="n">
        <x:f aca="0">D71/D64</x:f>
        <x:v>0.18277011721154793</x:v>
      </x:c>
      <x:c r="E170" s="42" t="n">
        <x:f aca="0">E71/E64</x:f>
        <x:v>0.19097413673296146</x:v>
      </x:c>
      <x:c r="F170" s="42" t="n">
        <x:f aca="0">F71/F64</x:f>
        <x:v>0.19131892826420518</x:v>
      </x:c>
      <x:c r="G170" s="42" t="n">
        <x:f aca="0">G71/G64</x:f>
        <x:v>0.2280930676582029</x:v>
      </x:c>
    </x:row>
    <x:row r="171" ht="15" hidden="0">
      <x:c r="A171" s="127" t="s">
        <x:v>116</x:v>
      </x:c>
      <x:c r="B171" s="127"/>
      <x:c r="C171" s="42" t="n">
        <x:f aca="0">(C72+C73+C74)/C64</x:f>
        <x:v>0.10501717569447117</x:v>
      </x:c>
      <x:c r="D171" s="42" t="n">
        <x:f aca="0">(D72+D73+D74)/D64</x:f>
        <x:v>0.0011665589645360385</x:v>
      </x:c>
      <x:c r="E171" s="42" t="n">
        <x:f aca="0">(E72+E73+E74)/E64</x:f>
        <x:v>0.002362390465418759</x:v>
      </x:c>
      <x:c r="F171" s="42" t="n">
        <x:f aca="0">(F72+F73+F74)/F64</x:f>
        <x:v>0.00535935916064245</x:v>
      </x:c>
      <x:c r="G171" s="42" t="n">
        <x:f aca="0">(G72+G73+G74)/G64</x:f>
        <x:v>0.13770516642243882</x:v>
      </x:c>
    </x:row>
    <x:row r="172" ht="15" hidden="0">
      <x:c r="A172" s="127" t="s">
        <x:v>119</x:v>
      </x:c>
      <x:c r="B172" s="127"/>
      <x:c r="C172" s="42" t="n">
        <x:f aca="0">C75/C64</x:f>
        <x:v>-0.04203718123722347</x:v>
      </x:c>
      <x:c r="D172" s="42" t="n">
        <x:f aca="0">D75/D64</x:f>
        <x:v>-0.035882925880997174</x:v>
      </x:c>
      <x:c r="E172" s="42" t="n">
        <x:f aca="0">E75/E64</x:f>
        <x:v>-0.04431311353851943</x:v>
      </x:c>
      <x:c r="F172" s="42" t="n">
        <x:f aca="0">F75/F64</x:f>
        <x:v>-0.062274488781043524</x:v>
      </x:c>
      <x:c r="G172" s="42" t="n">
        <x:f aca="0">G75/G64</x:f>
        <x:v>-0.05156167508185016</x:v>
      </x:c>
    </x:row>
    <x:row r="173" ht="15" hidden="0">
      <x:c r="A173" s="127" t="s">
        <x:v>120</x:v>
      </x:c>
      <x:c r="B173" s="127"/>
      <x:c r="C173" s="42" t="n">
        <x:f aca="0">C76/C64</x:f>
        <x:v>0.2051195694470593</x:v>
      </x:c>
      <x:c r="D173" s="42" t="n">
        <x:f aca="0">D76/D64</x:f>
        <x:v>0.1480537502950868</x:v>
      </x:c>
      <x:c r="E173" s="42" t="n">
        <x:f aca="0">E76/E64</x:f>
        <x:v>0.14902341365986083</x:v>
      </x:c>
      <x:c r="F173" s="42" t="n">
        <x:f aca="0">F76/F64</x:f>
        <x:v>0.1344037986438041</x:v>
      </x:c>
      <x:c r="G173" s="42" t="n">
        <x:f aca="0">G76/G64</x:f>
        <x:v>0.31423655899879155</x:v>
      </x:c>
    </x:row>
    <x:row r="174" ht="15" hidden="0">
      <x:c r="A174" s="127" t="s">
        <x:v>153</x:v>
      </x:c>
      <x:c r="B174" s="127"/>
      <x:c r="C174" s="42" t="n">
        <x:f aca="0">(C77+C78)/C64</x:f>
        <x:v>-0.029137352401849486</x:v>
      </x:c>
      <x:c r="D174" s="42" t="n">
        <x:f aca="0">(D77+D78)/D64</x:f>
        <x:v>-0.07331409135874965</x:v>
      </x:c>
      <x:c r="E174" s="42" t="n">
        <x:f aca="0">(E77+E78)/E64</x:f>
        <x:v>-0.07666497211070838</x:v>
      </x:c>
      <x:c r="F174" s="42" t="n">
        <x:f aca="0">(F77+F78)/F64</x:f>
        <x:v>-0.05506082343395903</x:v>
      </x:c>
      <x:c r="G174" s="42" t="n">
        <x:f aca="0">(G77+G78)/G64</x:f>
        <x:v>-0.06712646951922767</x:v>
      </x:c>
    </x:row>
    <x:row r="175" ht="15" hidden="0">
      <x:c r="A175" s="127" t="s">
        <x:v>123</x:v>
      </x:c>
      <x:c r="B175" s="127"/>
      <x:c r="C175" s="42" t="n">
        <x:f aca="0">C79/C64</x:f>
        <x:v>0.1759822170452098</x:v>
      </x:c>
      <x:c r="D175" s="42" t="n">
        <x:f aca="0">D79/D64</x:f>
        <x:v>0.07473965893633715</x:v>
      </x:c>
      <x:c r="E175" s="42" t="n">
        <x:f aca="0">E79/E64</x:f>
        <x:v>0.07235844154915244</x:v>
      </x:c>
      <x:c r="F175" s="42" t="n">
        <x:f aca="0">F79/F64</x:f>
        <x:v>0.07934297520984508</x:v>
      </x:c>
      <x:c r="G175" s="42" t="n">
        <x:f aca="0">G79/G64</x:f>
        <x:v>0.24711008947956384</x:v>
      </x:c>
    </x:row>
    <x:row r="176" ht="15" hidden="0">
      <x:c r="A176" s="127"/>
      <x:c r="B176" s="127"/>
      <x:c r="C176" s="42">
        <x:f aca="0"/>
      </x:c>
      <x:c r="D176" s="42">
        <x:f aca="0"/>
      </x:c>
      <x:c r="E176" s="42">
        <x:f aca="0"/>
      </x:c>
      <x:c r="F176" s="42">
        <x:f aca="0"/>
      </x:c>
      <x:c r="G176" s="42">
        <x:f aca="0"/>
      </x:c>
    </x:row>
    <x:row r="177">
      <x:c r="A177" s="111"/>
      <x:c r="B177" s="111"/>
    </x:row>
    <x:row r="178" ht="19.5" hidden="0" customHeight="1">
      <x:c r="A178" s="114" t="s">
        <x:v>154</x:v>
      </x:c>
      <x:c r="B178" s="115"/>
      <x:c r="C178" s="6"/>
      <x:c r="D178" s="6"/>
      <x:c r="E178" s="6"/>
      <x:c r="F178" s="6"/>
      <x:c r="G178" s="6"/>
    </x:row>
    <x:row r="179" ht="15" hidden="0">
      <x:c r="A179" s="132" t="s">
        <x:v>155</x:v>
      </x:c>
      <x:c r="B179" s="132"/>
      <x:c r="C179" s="41" t="s">
        <x:v>49</x:v>
      </x:c>
      <x:c r="D179" s="41" t="s">
        <x:v>50</x:v>
      </x:c>
      <x:c r="E179" s="41" t="s">
        <x:v>51</x:v>
      </x:c>
      <x:c r="F179" s="41" t="s">
        <x:v>52</x:v>
      </x:c>
      <x:c r="G179" s="41" t="s">
        <x:v>53</x:v>
      </x:c>
    </x:row>
    <x:row r="180" ht="15" hidden="0">
      <x:c r="A180" s="127" t="s">
        <x:v>108</x:v>
      </x:c>
      <x:c r="B180" s="127"/>
      <x:c r="C180" s="38" t="n">
        <x:f aca="0">IF(OR(H64&lt;=0,C64&lt;H64),"n/m",C64/H64-1)</x:f>
        <x:v>0.2205036628193664</x:v>
      </x:c>
      <x:c r="D180" s="38" t="n">
        <x:f aca="0">IF(OR(C64&lt;=0,D64&lt;C64),"n/m",D64/C64-1)</x:f>
        <x:v>0.3652769163050311</x:v>
      </x:c>
      <x:c r="E180" s="38" t="n">
        <x:f aca="0">IF(OR(D64&lt;=0,E64&lt;D64),"n/m",E64/D64-1)</x:f>
        <x:v>0.27938463741535324</x:v>
      </x:c>
      <x:c r="F180" s="38" t="n">
        <x:f aca="0">IF(OR(E64&lt;=0,F64&lt;E64),"n/m",F64/E64-1)</x:f>
        <x:v>0.0705126175953612</x:v>
      </x:c>
      <x:c r="G180" s="38" t="n">
        <x:f aca="0">IF(OR(F64&lt;=0,G64&lt;F64),"n/m",G64/F64-1)</x:f>
        <x:v>0.037471934024061904</x:v>
      </x:c>
    </x:row>
    <x:row r="181" ht="15" hidden="0">
      <x:c r="A181" s="127" t="s">
        <x:v>110</x:v>
      </x:c>
      <x:c r="B181" s="127"/>
      <x:c r="C181" s="38" t="str">
        <x:f aca="0">IF(OR(H66&lt;=0,C66&lt;H66),"n/m",C66/H66-1)</x:f>
        <x:v>n/m</x:v>
      </x:c>
      <x:c r="D181" s="38" t="n">
        <x:f aca="0">IF(OR(C66&lt;=0,D66&lt;C66),"n/m",D66/C66-1)</x:f>
        <x:v>0.6582009547092611</x:v>
      </x:c>
      <x:c r="E181" s="38" t="n">
        <x:f aca="0">IF(OR(D66&lt;=0,E66&lt;D66),"n/m",E66/D66-1)</x:f>
        <x:v>0.4804613527502739</x:v>
      </x:c>
      <x:c r="F181" s="38" t="n">
        <x:f aca="0">IF(OR(E66&lt;=0,F66&lt;E66),"n/m",F66/E66-1)</x:f>
        <x:v>0.15357270614839247</x:v>
      </x:c>
      <x:c r="G181" s="38" t="n">
        <x:f aca="0">IF(OR(F66&lt;=0,G66&lt;F66),"n/m",G66/F66-1)</x:f>
        <x:v>0.13272726127923096</x:v>
      </x:c>
    </x:row>
    <x:row r="182" ht="15" hidden="0">
      <x:c r="A182" s="127" t="s">
        <x:v>115</x:v>
      </x:c>
      <x:c r="B182" s="127"/>
      <x:c r="C182" s="38" t="str">
        <x:f aca="0">IF(OR(H71&lt;=0,C71&lt;H71),"n/m",C71/H71-1)</x:f>
        <x:v>n/m</x:v>
      </x:c>
      <x:c r="D182" s="38" t="n">
        <x:f aca="0">IF(OR(C71&lt;=0,D71&lt;C71),"n/m",D71/C71-1)</x:f>
        <x:v>0.7555407917687762</x:v>
      </x:c>
      <x:c r="E182" s="38" t="n">
        <x:f aca="0">IF(OR(D71&lt;=0,E71&lt;D71),"n/m",E71/D71-1)</x:f>
        <x:v>0.33681249652540335</x:v>
      </x:c>
      <x:c r="F182" s="38" t="n">
        <x:f aca="0">IF(OR(E71&lt;=0,F71&lt;E71),"n/m",F71/E71-1)</x:f>
        <x:v>0.07244535933175933</x:v>
      </x:c>
      <x:c r="G182" s="38" t="n">
        <x:f aca="0">IF(OR(F71&lt;=0,G71&lt;F71),"n/m",G71/F71-1)</x:f>
        <x:v>0.23688836325721319</x:v>
      </x:c>
    </x:row>
    <x:row r="183" ht="15" hidden="0">
      <x:c r="A183" s="127"/>
      <x:c r="B183" s="127"/>
      <x:c r="C183" s="38">
        <x:f aca="0"/>
      </x:c>
      <x:c r="D183" s="38">
        <x:f aca="0"/>
      </x:c>
      <x:c r="E183" s="38">
        <x:f aca="0"/>
      </x:c>
      <x:c r="F183" s="38">
        <x:f aca="0"/>
      </x:c>
      <x:c r="G183" s="38">
        <x:f aca="0"/>
      </x:c>
    </x:row>
    <x:row r="184" ht="15" hidden="0">
      <x:c r="A184" s="127" t="s">
        <x:v>123</x:v>
      </x:c>
      <x:c r="B184" s="127"/>
      <x:c r="C184" s="38" t="str">
        <x:f aca="0">IF(OR(H79&lt;=0,C79&lt;H79),"n/m",C79/H79-1)</x:f>
        <x:v>n/m</x:v>
      </x:c>
      <x:c r="D184" s="38" t="str">
        <x:f aca="0">IF(OR(C79&lt;=0,D79&lt;C79),"n/m",D79/C79-1)</x:f>
        <x:v>n/m</x:v>
      </x:c>
      <x:c r="E184" s="38" t="n">
        <x:f aca="0">IF(OR(D79&lt;=0,E79&lt;D79),"n/m",E79/D79-1)</x:f>
        <x:v>0.2386232399609518</x:v>
      </x:c>
      <x:c r="F184" s="38" t="n">
        <x:f aca="0">IF(OR(E79&lt;=0,F79&lt;E79),"n/m",F79/E79-1)</x:f>
        <x:v>0.1738458466106918</x:v>
      </x:c>
      <x:c r="G184" s="38" t="n">
        <x:f aca="0">IF(OR(F79&lt;=0,G79&lt;F79),"n/m",G79/F79-1)</x:f>
        <x:v>2.231159176614933</x:v>
      </x:c>
    </x:row>
    <x:row r="185" ht="15" hidden="0">
      <x:c r="A185" s="127" t="s">
        <x:v>132</x:v>
      </x:c>
      <x:c r="B185" s="127"/>
      <x:c r="C185" s="38" t="str">
        <x:f aca="0">IF(OR(H93&lt;=0,C93&lt;H93),"n/m",C93/H93-1)</x:f>
        <x:v>n/m</x:v>
      </x:c>
      <x:c r="D185" s="38" t="n">
        <x:f aca="0">IF(OR(C93&lt;=0,D93&lt;C93),"n/m",D93/C93-1)</x:f>
        <x:v>0.2713902557812029</x:v>
      </x:c>
      <x:c r="E185" s="38" t="n">
        <x:f aca="0">IF(OR(D93&lt;=0,E93&lt;D93),"n/m",E93/D93-1)</x:f>
        <x:v>1.4181760210283016</x:v>
      </x:c>
      <x:c r="F185" s="38" t="str">
        <x:f aca="0">IF(OR(E93&lt;=0,F93&lt;E93),"n/m",F93/E93-1)</x:f>
        <x:v>n/m</x:v>
      </x:c>
      <x:c r="G185" s="38" t="n">
        <x:f aca="0">IF(OR(F93&lt;=0,G93&lt;F93),"n/m",G93/F93-1)</x:f>
        <x:v>1.0341346572534</x:v>
      </x:c>
    </x:row>
    <x:row r="186" ht="15" hidden="0">
      <x:c r="A186" s="127" t="s">
        <x:v>156</x:v>
      </x:c>
      <x:c r="B186" s="127"/>
      <x:c r="C186" s="38" t="n">
        <x:f aca="0">IF(OR(H25&lt;=0,C25&lt;H25),"n/m",C25/H25-1)</x:f>
        <x:v>0.0034768640539593054</x:v>
      </x:c>
      <x:c r="D186" s="38" t="n">
        <x:f aca="0">IF(OR(C25&lt;=0,D25&lt;C25),"n/m",D25/C25-1)</x:f>
        <x:v>0.24117008038644383</x:v>
      </x:c>
      <x:c r="E186" s="38" t="n">
        <x:f aca="0">IF(OR(D25&lt;=0,E25&lt;D25),"n/m",E25/D25-1)</x:f>
        <x:v>0.09114605613798421</x:v>
      </x:c>
      <x:c r="F186" s="38" t="n">
        <x:f aca="0">IF(OR(E25&lt;=0,F25&lt;E25),"n/m",F25/E25-1)</x:f>
        <x:v>0.10766043289188354</x:v>
      </x:c>
      <x:c r="G186" s="38" t="n">
        <x:f aca="0">IF(OR(F25&lt;=0,G25&lt;F25),"n/m",G25/F25-1)</x:f>
        <x:v>0.1986660646076981</x:v>
      </x:c>
    </x:row>
    <x:row r="187" ht="15" hidden="0">
      <x:c r="A187" s="127" t="s">
        <x:v>76</x:v>
      </x:c>
      <x:c r="B187" s="127"/>
      <x:c r="C187" s="38" t="n">
        <x:f aca="0">IF(OR(H29&lt;=0,C29&lt;H29),"n/m",C29/H29-1)</x:f>
        <x:v>0.19864447402433227</x:v>
      </x:c>
      <x:c r="D187" s="38" t="n">
        <x:f aca="0">IF(OR(C29&lt;=0,D29&lt;C29),"n/m",D29/C29-1)</x:f>
        <x:v>0.08034815757409719</x:v>
      </x:c>
      <x:c r="E187" s="38" t="n">
        <x:f aca="0">IF(OR(D29&lt;=0,E29&lt;D29),"n/m",E29/D29-1)</x:f>
        <x:v>0.10735218791679246</x:v>
      </x:c>
      <x:c r="F187" s="38" t="n">
        <x:f aca="0">IF(OR(E29&lt;=0,F29&lt;E29),"n/m",F29/E29-1)</x:f>
        <x:v>0.17150434058079322</x:v>
      </x:c>
      <x:c r="G187" s="38" t="n">
        <x:f aca="0">IF(OR(F29&lt;=0,G29&lt;F29),"n/m",G29/F29-1)</x:f>
        <x:v>0.3581746417832419</x:v>
      </x:c>
    </x:row>
    <x:row r="188" ht="15" hidden="0">
      <x:c r="A188" s="127" t="s">
        <x:v>102</x:v>
      </x:c>
      <x:c r="B188" s="127"/>
      <x:c r="C188" s="38" t="str">
        <x:f aca="0">IF(OR(H55&lt;=0,C55&lt;H55),"n/m",C55/H55-1)</x:f>
        <x:v>n/m</x:v>
      </x:c>
      <x:c r="D188" s="38" t="n">
        <x:f aca="0">IF(OR(C55&lt;=0,D55&lt;C55),"n/m",D55/C55-1)</x:f>
        <x:v>0.5382187747374945</x:v>
      </x:c>
      <x:c r="E188" s="38" t="str">
        <x:f aca="0">IF(OR(D55&lt;=0,E55&lt;D55),"n/m",E55/D55-1)</x:f>
        <x:v>n/m</x:v>
      </x:c>
      <x:c r="F188" s="38" t="str">
        <x:f aca="0">IF(OR(E55&lt;=0,F55&lt;E55),"n/m",F55/E55-1)</x:f>
        <x:v>n/m</x:v>
      </x:c>
      <x:c r="G188" s="38" t="str">
        <x:f aca="0">IF(OR(F55&lt;=0,G55&lt;F55),"n/m",G55/F55-1)</x:f>
        <x:v>n/m</x:v>
      </x:c>
    </x:row>
    <x:row r="189" ht="15" hidden="0">
      <x:c r="A189" s="127" t="s">
        <x:v>150</x:v>
      </x:c>
      <x:c r="B189" s="127"/>
      <x:c r="C189" s="38" t="n">
        <x:f aca="0">IF(OR(H54&lt;=0,C54&lt;H54),"n/m",C54/H54-1)</x:f>
        <x:v>0.16844065275978992</x:v>
      </x:c>
      <x:c r="D189" s="38" t="n">
        <x:f aca="0">IF(OR(C54&lt;=0,D54&lt;C54),"n/m",D54/C54-1)</x:f>
        <x:v>0.30787760011439214</x:v>
      </x:c>
      <x:c r="E189" s="38" t="str">
        <x:f aca="0">IF(OR(D54&lt;=0,E54&lt;D54),"n/m",E54/D54-1)</x:f>
        <x:v>n/m</x:v>
      </x:c>
      <x:c r="F189" s="38" t="n">
        <x:f aca="0">IF(OR(E54&lt;=0,F54&lt;E54),"n/m",F54/E54-1)</x:f>
        <x:v>0.1256031320695108</x:v>
      </x:c>
      <x:c r="G189" s="38" t="n">
        <x:f aca="0">IF(OR(F54&lt;=0,G54&lt;F54),"n/m",G54/F54-1)</x:f>
        <x:v>0.08822415524917493</x:v>
      </x:c>
    </x:row>
    <x:row r="190" ht="15" hidden="0">
      <x:c r="A190" s="127" t="s">
        <x:v>67</x:v>
      </x:c>
      <x:c r="B190" s="127"/>
      <x:c r="C190" s="38" t="str">
        <x:f aca="0">IF(OR(H20&lt;=0,C20&lt;H20),"n/m",C20/H20-1)</x:f>
        <x:v>n/m</x:v>
      </x:c>
      <x:c r="D190" s="38" t="n">
        <x:f aca="0">IF(OR(C20&lt;=0,D20&lt;C20),"n/m",D20/C20-1)</x:f>
        <x:v>0.23010482799350362</x:v>
      </x:c>
      <x:c r="E190" s="38" t="n">
        <x:f aca="0">IF(OR(D20&lt;=0,E20&lt;D20),"n/m",E20/D20-1)</x:f>
        <x:v>0.25881806900743975</x:v>
      </x:c>
      <x:c r="F190" s="38" t="n">
        <x:f aca="0">IF(OR(E20&lt;=0,F20&lt;E20),"n/m",F20/E20-1)</x:f>
        <x:v>0.6104456580872246</x:v>
      </x:c>
      <x:c r="G190" s="38" t="n">
        <x:f aca="0">IF(OR(F20&lt;=0,G20&lt;F20),"n/m",G20/F20-1)</x:f>
        <x:v>0.1006117584145132</x:v>
      </x:c>
    </x:row>
    <x:row r="191" ht="15" hidden="0">
      <x:c r="A191" s="127" t="s">
        <x:v>69</x:v>
      </x:c>
      <x:c r="B191" s="127"/>
      <x:c r="C191" s="38" t="str">
        <x:f aca="0">IF(OR(H22&lt;=0,C22&lt;H22),"n/m",C22/H22-1)</x:f>
        <x:v>n/m</x:v>
      </x:c>
      <x:c r="D191" s="38" t="n">
        <x:f aca="0">IF(OR(C22&lt;=0,D22&lt;C22),"n/m",D22/C22-1)</x:f>
        <x:v>0.618456179422388</x:v>
      </x:c>
      <x:c r="E191" s="38" t="str">
        <x:f aca="0">IF(OR(D22&lt;=0,E22&lt;D22),"n/m",E22/D22-1)</x:f>
        <x:v>n/m</x:v>
      </x:c>
      <x:c r="F191" s="38" t="n">
        <x:f aca="0">IF(OR(E22&lt;=0,F22&lt;E22),"n/m",F22/E22-1)</x:f>
        <x:v>0.5301758995122228</x:v>
      </x:c>
      <x:c r="G191" s="38" t="n">
        <x:f aca="0">IF(OR(F22&lt;=0,G22&lt;F22),"n/m",G22/F22-1)</x:f>
        <x:v>0.4253254774080386</x:v>
      </x:c>
    </x:row>
    <x:row r="192">
      <x:c r="A192" s="111"/>
      <x:c r="B192" s="111"/>
    </x:row>
    <x:row r="193" ht="15" hidden="0">
      <x:c r="A193" s="113" t="str">
        <x:v>n/m covers negative/undefined measures and growth percentages. Signed financial statements and common-size expense presentation preserve accounting signs.</x:v>
      </x:c>
      <x:c r="B193" s="111"/>
    </x:row>
    <x:row r="194">
      <x:c r="A194" s="111"/>
      <x:c r="B194" s="111"/>
    </x:row>
    <x:row r="195">
      <x:c r="A195" s="111"/>
      <x:c r="B195" s="111"/>
    </x:row>
    <x:row r="196" ht="22" customHeight="1">
      <x:c r="A196" s="126" t="str">
        <x:v>Financing classification (PKR million)</x:v>
      </x:c>
      <x:c r="B196" s="126"/>
      <x:c r="C196" s="71"/>
      <x:c r="D196" s="71"/>
      <x:c r="E196" s="71"/>
      <x:c r="F196" s="71"/>
      <x:c r="G196" s="71"/>
    </x:row>
    <x:row r="197">
      <x:c r="A197" s="111" t="str">
        <x:v>Interest-free parent loan excluded from IBD</x:v>
      </x:c>
      <x:c r="B197" s="111"/>
      <x:c r="C197" s="81" t="n">
        <x:v>0</x:v>
      </x:c>
      <x:c r="D197" s="81" t="n">
        <x:v>0</x:v>
      </x:c>
      <x:c r="E197" s="81" t="n">
        <x:v>0</x:v>
      </x:c>
      <x:c r="F197" s="81" t="n">
        <x:v>0</x:v>
      </x:c>
      <x:c r="G197" s="81" t="n">
        <x:v>0</x:v>
      </x:c>
      <x:c r="H197" s="81" t="n">
        <x:v>0</x:v>
      </x:c>
    </x:row>
    <x:row r="198">
      <x:c r="A198" s="111" t="str">
        <x:v>Accrued interest within financing balances</x:v>
      </x:c>
      <x:c r="B198" s="111"/>
      <x:c r="C198" s="81" t="n">
        <x:v>0</x:v>
      </x:c>
      <x:c r="D198" s="81" t="n">
        <x:v>0</x:v>
      </x:c>
      <x:c r="E198" s="81" t="n">
        <x:v>0</x:v>
      </x:c>
      <x:c r="F198" s="81" t="n">
        <x:v>0</x:v>
      </x:c>
      <x:c r="G198" s="81" t="n">
        <x:v>0</x:v>
      </x:c>
      <x:c r="H198" s="81" t="n">
        <x:v>0</x:v>
      </x:c>
    </x:row>
    <x:row r="199">
      <x:c r="A199" s="111" t="str">
        <x:v>Related operating supplier payable (included above)</x:v>
      </x:c>
      <x:c r="B199" s="111"/>
      <x:c r="C199" s="81" t="n">
        <x:v>61.224</x:v>
      </x:c>
      <x:c r="D199" s="81" t="n">
        <x:v>132.595</x:v>
      </x:c>
      <x:c r="E199" s="81" t="n">
        <x:v>1871.865</x:v>
      </x:c>
      <x:c r="F199" s="81" t="n">
        <x:v>821.425</x:v>
      </x:c>
      <x:c r="G199" s="81" t="n">
        <x:v>1452.981</x:v>
      </x:c>
      <x:c r="H199" s="81" t="n">
        <x:v>287.259</x:v>
      </x:c>
    </x:row>
    <x:row r="200">
      <x:c r="A200" s="111"/>
      <x:c r="B200" s="111"/>
      <x:c r="C200" s="81"/>
      <x:c r="D200" s="81"/>
      <x:c r="E200" s="81"/>
      <x:c r="F200" s="81"/>
      <x:c r="G200" s="81"/>
      <x:c r="H200" s="81"/>
    </x:row>
    <x:row r="201">
      <x:c r="A201" s="111"/>
      <x:c r="B201" s="111"/>
      <x:c r="C201" s="81"/>
      <x:c r="D201" s="81"/>
      <x:c r="E201" s="81"/>
      <x:c r="F201" s="81"/>
      <x:c r="G201" s="81"/>
      <x:c r="H201" s="81"/>
    </x:row>
    <x:row r="202">
      <x:c r="A202" s="111"/>
      <x:c r="B202" s="111"/>
      <x:c r="C202" s="81"/>
      <x:c r="D202" s="81"/>
      <x:c r="E202" s="81"/>
      <x:c r="F202" s="81"/>
      <x:c r="G202" s="81"/>
      <x:c r="H202" s="81"/>
    </x:row>
    <x:row r="203">
      <x:c r="A203" s="131" t="str">
        <x:v>Sources: KOHC FY2025 note 6.1 (PDF p89); FCCL FY2025 note 11 (PDF p268), FY2024 note 10; MLCF trade-payable and related-party notes.</x:v>
      </x:c>
      <x:c r="B203" s="131"/>
      <x:c r="C203" s="82"/>
      <x:c r="D203" s="82"/>
      <x:c r="E203" s="82"/>
      <x:c r="F203" s="82"/>
      <x:c r="G203" s="82"/>
      <x:c r="H203" s="81"/>
    </x:row>
    <x:row r="204">
      <x:c r="A204" s="111"/>
      <x:c r="B204" s="111"/>
    </x:row>
    <x:row r="205">
      <x:c r="A205" s="111"/>
      <x:c r="B205" s="111"/>
    </x:row>
    <x:row r="206">
      <x:c r="A206" s="111"/>
      <x:c r="B206" s="111"/>
    </x:row>
    <x:row r="207">
      <x:c r="A207" s="111"/>
      <x:c r="B207" s="111"/>
    </x:row>
    <x:row r="208">
      <x:c r="A208" s="111"/>
      <x:c r="B208" s="111"/>
    </x:row>
  </x:sheetData>
  <x:mergeCells>
    <x:mergeCell ref="A110:G110"/>
    <x:mergeCell ref="A116:G116"/>
    <x:mergeCell ref="A127:G127"/>
    <x:mergeCell ref="A133:G133"/>
    <x:mergeCell ref="A141:G141"/>
    <x:mergeCell ref="A196:G19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FA98A"/>
  </x:sheetPr>
  <x:sheetViews>
    <x:sheetView showGridLines="0" workbookViewId="0">
      <x:pane xSplit="2" ySplit="5" topLeftCell="C6" activePane="bottomRight" state="frozen"/>
    </x:sheetView>
  </x:sheetViews>
  <x:sheetFormatPr defaultColWidth="8.6796875" defaultRowHeight="15"/>
  <x:cols>
    <x:col min="1" max="1" width="44" hidden="0" customWidth="1"/>
    <x:col min="2" max="2" width="36" hidden="0" customWidth="1"/>
    <x:col min="3" max="8" width="12" hidden="0" customWidth="1"/>
  </x:cols>
  <x:sheetData>
    <x:row r="1" ht="19.700000762939453" hidden="0">
      <x:c r="A1" s="110" t="s">
        <x:v>163</x:v>
      </x:c>
      <x:c r="B1" s="111"/>
    </x:row>
    <x:row r="2" ht="15" hidden="0">
      <x:c r="A2" s="112" t="s">
        <x:v>164</x:v>
      </x:c>
      <x:c r="B2" s="111"/>
    </x:row>
    <x:row r="3" ht="15" hidden="0">
      <x:c r="A3" s="113" t="s">
        <x:v>46</x:v>
      </x:c>
      <x:c r="B3" s="111"/>
    </x:row>
    <x:row r="4">
      <x:c r="A4" s="111"/>
      <x:c r="B4" s="111"/>
    </x:row>
    <x:row r="5">
      <x:c r="A5" s="111"/>
      <x:c r="B5" s="111"/>
    </x:row>
    <x:row r="6" ht="19.5" hidden="0" customHeight="1">
      <x:c r="A6" s="114" t="s">
        <x:v>47</x:v>
      </x:c>
      <x:c r="B6" s="115"/>
      <x:c r="C6" s="6"/>
      <x:c r="D6" s="6"/>
      <x:c r="E6" s="6"/>
      <x:c r="F6" s="6"/>
      <x:c r="G6" s="6"/>
      <x:c r="H6" s="6"/>
    </x:row>
    <x:row r="7" ht="16.5" hidden="0" customHeight="1">
      <x:c r="A7" s="116" t="s">
        <x:v>48</x:v>
      </x:c>
      <x:c r="B7" s="117"/>
      <x:c r="C7" s="19" t="s">
        <x:v>49</x:v>
      </x:c>
      <x:c r="D7" s="19" t="s">
        <x:v>50</x:v>
      </x:c>
      <x:c r="E7" s="19" t="s">
        <x:v>51</x:v>
      </x:c>
      <x:c r="F7" s="19" t="s">
        <x:v>52</x:v>
      </x:c>
      <x:c r="G7" s="19" t="s">
        <x:v>53</x:v>
      </x:c>
      <x:c r="H7" s="19" t="s">
        <x:v>54</x:v>
      </x:c>
    </x:row>
    <x:row r="8" ht="15" hidden="0">
      <x:c r="A8" s="118" t="s">
        <x:v>55</x:v>
      </x:c>
      <x:c r="B8" s="119"/>
      <x:c r="C8" s="21"/>
      <x:c r="D8" s="21"/>
      <x:c r="E8" s="21"/>
      <x:c r="F8" s="21"/>
      <x:c r="G8" s="21"/>
      <x:c r="H8" s="21"/>
    </x:row>
    <x:row r="9" ht="15" hidden="0">
      <x:c r="A9" s="120" t="s">
        <x:v>56</x:v>
      </x:c>
      <x:c r="B9" s="121"/>
      <x:c r="C9" s="24" t="n">
        <x:v>21422.215</x:v>
      </x:c>
      <x:c r="D9" s="24" t="n">
        <x:v>74126.315</x:v>
      </x:c>
      <x:c r="E9" s="24" t="n">
        <x:v>104425.181</x:v>
      </x:c>
      <x:c r="F9" s="24" t="n">
        <x:v>110845.663</x:v>
      </x:c>
      <x:c r="G9" s="24" t="n">
        <x:v>109579.089</x:v>
      </x:c>
      <x:c r="H9" s="24" t="n">
        <x:v>22065.172</x:v>
      </x:c>
    </x:row>
    <x:row r="10" ht="15" hidden="0">
      <x:c r="A10" s="120" t="s">
        <x:v>57</x:v>
      </x:c>
      <x:c r="B10" s="121"/>
      <x:c r="C10" s="24" t="n">
        <x:v>202.087</x:v>
      </x:c>
      <x:c r="D10" s="24" t="n">
        <x:v>29802.17</x:v>
      </x:c>
      <x:c r="E10" s="24" t="n">
        <x:v>34531.172</x:v>
      </x:c>
      <x:c r="F10" s="24" t="n">
        <x:v>700.153</x:v>
      </x:c>
      <x:c r="G10" s="24" t="n">
        <x:v>296.574</x:v>
      </x:c>
      <x:c r="H10" s="24" t="n">
        <x:v>2.808</x:v>
      </x:c>
    </x:row>
    <x:row r="11" ht="15" hidden="0">
      <x:c r="A11" s="120" t="s">
        <x:v>58</x:v>
      </x:c>
      <x:c r="B11" s="121"/>
      <x:c r="C11" s="24" t="n">
        <x:v>89.334</x:v>
      </x:c>
      <x:c r="D11" s="24" t="n">
        <x:v>132.263</x:v>
      </x:c>
      <x:c r="E11" s="24" t="n">
        <x:v>181.38</x:v>
      </x:c>
      <x:c r="F11" s="24" t="n">
        <x:v>131.165</x:v>
      </x:c>
      <x:c r="G11" s="24" t="n">
        <x:v>126.445</x:v>
      </x:c>
      <x:c r="H11" s="24" t="n">
        <x:v>60.322</x:v>
      </x:c>
    </x:row>
    <x:row r="12" ht="15" hidden="0">
      <x:c r="A12" s="120" t="s">
        <x:v>59</x:v>
      </x:c>
      <x:c r="B12" s="121"/>
      <x:c r="C12" s="24" t="n">
        <x:v>0</x:v>
      </x:c>
      <x:c r="D12" s="24" t="n">
        <x:v>11029.756</x:v>
      </x:c>
      <x:c r="E12" s="24" t="n">
        <x:v>10957.737</x:v>
      </x:c>
      <x:c r="F12" s="24" t="n">
        <x:v>10745.7</x:v>
      </x:c>
      <x:c r="G12" s="24" t="n">
        <x:v>10533.667</x:v>
      </x:c>
      <x:c r="H12" s="24" t="n">
        <x:v>0</x:v>
      </x:c>
    </x:row>
    <x:row r="13" ht="15" hidden="0">
      <x:c r="A13" s="120" t="s">
        <x:v>60</x:v>
      </x:c>
      <x:c r="B13" s="121"/>
      <x:c r="C13" s="24" t="n">
        <x:v>0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</x:row>
    <x:row r="14" ht="15" hidden="0">
      <x:c r="A14" s="120" t="s">
        <x:v>61</x:v>
      </x:c>
      <x:c r="B14" s="121"/>
      <x:c r="C14" s="24" t="n">
        <x:v>15.349</x:v>
      </x:c>
      <x:c r="D14" s="24" t="n">
        <x:v>66.657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</x:row>
    <x:row r="15" ht="15" hidden="0">
      <x:c r="A15" s="120" t="s">
        <x:v>62</x:v>
      </x:c>
      <x:c r="B15" s="121"/>
      <x:c r="C15" s="24" t="n">
        <x:v>86.601</x:v>
      </x:c>
      <x:c r="D15" s="24" t="n">
        <x:v>126.274</x:v>
      </x:c>
      <x:c r="E15" s="24" t="n">
        <x:v>129.7</x:v>
      </x:c>
      <x:c r="F15" s="24" t="n">
        <x:v>129.7</x:v>
      </x:c>
      <x:c r="G15" s="24" t="n">
        <x:v>133.425</x:v>
      </x:c>
      <x:c r="H15" s="24" t="n">
        <x:v>99.101</x:v>
      </x:c>
    </x:row>
    <x:row r="16" ht="15" hidden="0">
      <x:c r="A16" s="122" t="s">
        <x:v>63</x:v>
      </x:c>
      <x:c r="B16" s="123"/>
      <x:c r="C16" s="27" t="n">
        <x:f aca="0">C9+C11+C12+C13+C14+C15</x:f>
        <x:v>21613.498999999996</x:v>
      </x:c>
      <x:c r="D16" s="27" t="n">
        <x:f aca="0">D9+D11+D12+D13+D14+D15</x:f>
        <x:v>85481.26500000001</x:v>
      </x:c>
      <x:c r="E16" s="27" t="n">
        <x:f aca="0">E9+E11+E12+E13+E14+E15</x:f>
        <x:v>115693.99799999999</x:v>
      </x:c>
      <x:c r="F16" s="27" t="n">
        <x:f aca="0">F9+F11+F12+F13+F14+F15</x:f>
        <x:v>121852.22799999999</x:v>
      </x:c>
      <x:c r="G16" s="27" t="n">
        <x:f aca="0">G9+G11+G12+G13+G14+G15</x:f>
        <x:v>120372.62600000002</x:v>
      </x:c>
      <x:c r="H16" s="27" t="n">
        <x:f aca="0">H9+H11+H12+H13+H14+H15</x:f>
        <x:v>22224.594999999998</x:v>
      </x:c>
    </x:row>
    <x:row r="17" ht="15" hidden="0">
      <x:c r="A17" s="118" t="s">
        <x:v>64</x:v>
      </x:c>
      <x:c r="B17" s="119"/>
      <x:c r="C17" s="21"/>
      <x:c r="D17" s="21"/>
      <x:c r="E17" s="21"/>
      <x:c r="F17" s="21"/>
      <x:c r="G17" s="21"/>
      <x:c r="H17" s="21"/>
    </x:row>
    <x:row r="18" ht="15" hidden="0">
      <x:c r="A18" s="120" t="s">
        <x:v>65</x:v>
      </x:c>
      <x:c r="B18" s="121"/>
      <x:c r="C18" s="24" t="n">
        <x:v>4250.754</x:v>
      </x:c>
      <x:c r="D18" s="24" t="n">
        <x:v>11939.147</x:v>
      </x:c>
      <x:c r="E18" s="24" t="n">
        <x:v>8011.181</x:v>
      </x:c>
      <x:c r="F18" s="24" t="n">
        <x:v>9099.13</x:v>
      </x:c>
      <x:c r="G18" s="24" t="n">
        <x:v>10377.008</x:v>
      </x:c>
      <x:c r="H18" s="24" t="n">
        <x:v>3505.809</x:v>
      </x:c>
    </x:row>
    <x:row r="19" ht="15" hidden="0">
      <x:c r="A19" s="120" t="s">
        <x:v>66</x:v>
      </x:c>
      <x:c r="B19" s="121"/>
      <x:c r="C19" s="24" t="n">
        <x:v>1189.198</x:v>
      </x:c>
      <x:c r="D19" s="24" t="n">
        <x:v>3697.721</x:v>
      </x:c>
      <x:c r="E19" s="24" t="n">
        <x:v>7112.327</x:v>
      </x:c>
      <x:c r="F19" s="24" t="n">
        <x:v>7495.705</x:v>
      </x:c>
      <x:c r="G19" s="24" t="n">
        <x:v>9337.617</x:v>
      </x:c>
      <x:c r="H19" s="24" t="n">
        <x:v>1187.752</x:v>
      </x:c>
    </x:row>
    <x:row r="20" ht="15" hidden="0">
      <x:c r="A20" s="120" t="s">
        <x:v>67</x:v>
      </x:c>
      <x:c r="B20" s="121"/>
      <x:c r="C20" s="24" t="n">
        <x:v>1449.6</x:v>
      </x:c>
      <x:c r="D20" s="24" t="n">
        <x:v>2412.758</x:v>
      </x:c>
      <x:c r="E20" s="24" t="n">
        <x:v>3572.445</x:v>
      </x:c>
      <x:c r="F20" s="24" t="n">
        <x:v>5545.241</x:v>
      </x:c>
      <x:c r="G20" s="24" t="n">
        <x:v>6911.322</x:v>
      </x:c>
      <x:c r="H20" s="24" t="n">
        <x:v>1050.64</x:v>
      </x:c>
    </x:row>
    <x:row r="21" ht="15" hidden="0">
      <x:c r="A21" s="120" t="s">
        <x:v>68</x:v>
      </x:c>
      <x:c r="B21" s="121"/>
      <x:c r="C21" s="24" t="n">
        <x:v>4397.699</x:v>
      </x:c>
      <x:c r="D21" s="24" t="n">
        <x:v>3843.01</x:v>
      </x:c>
      <x:c r="E21" s="24" t="n">
        <x:v>250</x:v>
      </x:c>
      <x:c r="F21" s="24" t="n">
        <x:v>250</x:v>
      </x:c>
      <x:c r="G21" s="24" t="n">
        <x:v>9210.1</x:v>
      </x:c>
      <x:c r="H21" s="24" t="n">
        <x:v>0</x:v>
      </x:c>
    </x:row>
    <x:row r="22" ht="15" hidden="0">
      <x:c r="A22" s="120" t="s">
        <x:v>69</x:v>
      </x:c>
      <x:c r="B22" s="121"/>
      <x:c r="C22" s="24" t="n">
        <x:v>900.778</x:v>
      </x:c>
      <x:c r="D22" s="24" t="n">
        <x:v>2306.633</x:v>
      </x:c>
      <x:c r="E22" s="24" t="n">
        <x:v>970.457</x:v>
      </x:c>
      <x:c r="F22" s="24" t="n">
        <x:v>2932.984</x:v>
      </x:c>
      <x:c r="G22" s="24" t="n">
        <x:v>2665.338</x:v>
      </x:c>
      <x:c r="H22" s="24" t="n">
        <x:v>561.174</x:v>
      </x:c>
    </x:row>
    <x:row r="23" ht="15" hidden="0">
      <x:c r="A23" s="120" t="s">
        <x:v>70</x:v>
      </x:c>
      <x:c r="B23" s="121"/>
      <x:c r="C23" s="24" t="n">
        <x:v>250.703</x:v>
      </x:c>
      <x:c r="D23" s="24" t="n">
        <x:v>4017.543</x:v>
      </x:c>
      <x:c r="E23" s="24" t="n">
        <x:v>3218.089</x:v>
      </x:c>
      <x:c r="F23" s="24" t="n">
        <x:v>461.011</x:v>
      </x:c>
      <x:c r="G23" s="24" t="n">
        <x:v>1971.18</x:v>
      </x:c>
      <x:c r="H23" s="24" t="n">
        <x:v>677.946</x:v>
      </x:c>
    </x:row>
    <x:row r="24" ht="15" hidden="0">
      <x:c r="A24" s="122" t="s">
        <x:v>71</x:v>
      </x:c>
      <x:c r="B24" s="123"/>
      <x:c r="C24" s="27" t="n">
        <x:f aca="0">C18+C19+C20+C21+C22+C23</x:f>
        <x:v>12438.732</x:v>
      </x:c>
      <x:c r="D24" s="27" t="n">
        <x:f aca="0">D18+D19+D20+D21+D22+D23</x:f>
        <x:v>28216.812</x:v>
      </x:c>
      <x:c r="E24" s="27" t="n">
        <x:f aca="0">E18+E19+E20+E21+E22+E23</x:f>
        <x:v>23134.499</x:v>
      </x:c>
      <x:c r="F24" s="27" t="n">
        <x:f aca="0">F18+F19+F20+F21+F22+F23</x:f>
        <x:v>25784.071</x:v>
      </x:c>
      <x:c r="G24" s="27" t="n">
        <x:f aca="0">G18+G19+G20+G21+G22+G23</x:f>
        <x:v>40472.565</x:v>
      </x:c>
      <x:c r="H24" s="27" t="n">
        <x:f aca="0">H18+H19+H20+H21+H22+H23</x:f>
        <x:v>6983.321</x:v>
      </x:c>
    </x:row>
    <x:row r="25" ht="15" hidden="0">
      <x:c r="A25" s="122" t="s">
        <x:v>72</x:v>
      </x:c>
      <x:c r="B25" s="123"/>
      <x:c r="C25" s="27" t="n">
        <x:f aca="0">C16+C24</x:f>
        <x:v>34052.231</x:v>
      </x:c>
      <x:c r="D25" s="27" t="n">
        <x:f aca="0">D16+D24</x:f>
        <x:v>113698.07700000002</x:v>
      </x:c>
      <x:c r="E25" s="27" t="n">
        <x:f aca="0">E16+E24</x:f>
        <x:v>138828.497</x:v>
      </x:c>
      <x:c r="F25" s="27" t="n">
        <x:f aca="0">F16+F24</x:f>
        <x:v>147636.299</x:v>
      </x:c>
      <x:c r="G25" s="27" t="n">
        <x:f aca="0">G16+G24</x:f>
        <x:v>160845.19100000002</x:v>
      </x:c>
      <x:c r="H25" s="27" t="n">
        <x:f aca="0">H16+H24</x:f>
        <x:v>29207.915999999997</x:v>
      </x:c>
    </x:row>
    <x:row r="26" ht="15" hidden="0">
      <x:c r="A26" s="118" t="s">
        <x:v>73</x:v>
      </x:c>
      <x:c r="B26" s="119"/>
      <x:c r="C26" s="21"/>
      <x:c r="D26" s="21"/>
      <x:c r="E26" s="21"/>
      <x:c r="F26" s="21"/>
      <x:c r="G26" s="21"/>
      <x:c r="H26" s="21"/>
    </x:row>
    <x:row r="27" ht="15" hidden="0">
      <x:c r="A27" s="120" t="s">
        <x:v>74</x:v>
      </x:c>
      <x:c r="B27" s="121"/>
      <x:c r="C27" s="24" t="n">
        <x:v>13798.15</x:v>
      </x:c>
      <x:c r="D27" s="24" t="n">
        <x:v>21803.09</x:v>
      </x:c>
      <x:c r="E27" s="24" t="n">
        <x:v>24528.476</x:v>
      </x:c>
      <x:c r="F27" s="24" t="n">
        <x:v>24528.476</x:v>
      </x:c>
      <x:c r="G27" s="24" t="n">
        <x:v>24528.476</x:v>
      </x:c>
      <x:c r="H27" s="24" t="n">
        <x:v>13798.15</x:v>
      </x:c>
    </x:row>
    <x:row r="28" ht="15" hidden="0">
      <x:c r="A28" s="120" t="s">
        <x:v>75</x:v>
      </x:c>
      <x:c r="B28" s="121"/>
      <x:c r="C28" s="24" t="n">
        <x:v>9477.521</x:v>
      </x:c>
      <x:c r="D28" s="24" t="n">
        <x:v>35932.966</x:v>
      </x:c>
      <x:c r="E28" s="24" t="n">
        <x:v>40647.261</x:v>
      </x:c>
      <x:c r="F28" s="24" t="n">
        <x:v>48870.377</x:v>
      </x:c>
      <x:c r="G28" s="24" t="n">
        <x:v>59743.732</x:v>
      </x:c>
      <x:c r="H28" s="24" t="n">
        <x:v>6006.17</x:v>
      </x:c>
    </x:row>
    <x:row r="29" ht="15" hidden="0">
      <x:c r="A29" s="122" t="s">
        <x:v>76</x:v>
      </x:c>
      <x:c r="B29" s="123"/>
      <x:c r="C29" s="27" t="n">
        <x:f aca="0">C27+C28</x:f>
        <x:v>23275.671000000002</x:v>
      </x:c>
      <x:c r="D29" s="27" t="n">
        <x:f aca="0">D27+D28</x:f>
        <x:v>57736.056</x:v>
      </x:c>
      <x:c r="E29" s="27" t="n">
        <x:f aca="0">E27+E28</x:f>
        <x:v>65175.736999999994</x:v>
      </x:c>
      <x:c r="F29" s="27" t="n">
        <x:f aca="0">F27+F28</x:f>
        <x:v>73398.853</x:v>
      </x:c>
      <x:c r="G29" s="27" t="n">
        <x:f aca="0">G27+G28</x:f>
        <x:v>84272.208</x:v>
      </x:c>
      <x:c r="H29" s="27" t="n">
        <x:f aca="0">H27+H28</x:f>
        <x:v>19804.32</x:v>
      </x:c>
    </x:row>
    <x:row r="30" ht="15" hidden="0">
      <x:c r="A30" s="118" t="s">
        <x:v>77</x:v>
      </x:c>
      <x:c r="B30" s="119"/>
      <x:c r="C30" s="21"/>
      <x:c r="D30" s="21"/>
      <x:c r="E30" s="21"/>
      <x:c r="F30" s="21"/>
      <x:c r="G30" s="21"/>
      <x:c r="H30" s="21"/>
    </x:row>
    <x:row r="31" ht="15" hidden="0">
      <x:c r="A31" s="120" t="s">
        <x:v>78</x:v>
      </x:c>
      <x:c r="B31" s="121"/>
      <x:c r="C31" s="24" t="n">
        <x:v>491.502</x:v>
      </x:c>
      <x:c r="D31" s="24" t="n">
        <x:v>19555.997</x:v>
      </x:c>
      <x:c r="E31" s="24" t="n">
        <x:v>31777.087</x:v>
      </x:c>
      <x:c r="F31" s="24" t="n">
        <x:v>29908.287</x:v>
      </x:c>
      <x:c r="G31" s="24" t="n">
        <x:v>24208.633</x:v>
      </x:c>
      <x:c r="H31" s="24" t="n">
        <x:v>447.327</x:v>
      </x:c>
    </x:row>
    <x:row r="32" ht="15" hidden="0">
      <x:c r="A32" s="120" t="s">
        <x:v>79</x:v>
      </x:c>
      <x:c r="B32" s="121"/>
      <x:c r="C32" s="24" t="n">
        <x:v>73.593</x:v>
      </x:c>
      <x:c r="D32" s="24" t="n">
        <x:v>89.965</x:v>
      </x:c>
      <x:c r="E32" s="24" t="n">
        <x:v>118.972</x:v>
      </x:c>
      <x:c r="F32" s="24" t="n">
        <x:v>117.454</x:v>
      </x:c>
      <x:c r="G32" s="24" t="n">
        <x:v>101.211</x:v>
      </x:c>
      <x:c r="H32" s="24" t="n">
        <x:v>57.656</x:v>
      </x:c>
    </x:row>
    <x:row r="33" ht="15" hidden="0">
      <x:c r="A33" s="120" t="s">
        <x:v>80</x:v>
      </x:c>
      <x:c r="B33" s="121"/>
      <x:c r="C33" s="24" t="n">
        <x:v>6.607</x:v>
      </x:c>
      <x:c r="D33" s="24" t="n">
        <x:v>1982.301</x:v>
      </x:c>
      <x:c r="E33" s="24" t="n">
        <x:v>2745.849</x:v>
      </x:c>
      <x:c r="F33" s="24" t="n">
        <x:v>2164.959</x:v>
      </x:c>
      <x:c r="G33" s="24" t="n">
        <x:v>1647.63</x:v>
      </x:c>
      <x:c r="H33" s="24" t="n">
        <x:v>0</x:v>
      </x:c>
    </x:row>
    <x:row r="34" ht="15" hidden="0">
      <x:c r="A34" s="120" t="s">
        <x:v>81</x:v>
      </x:c>
      <x:c r="B34" s="121"/>
      <x:c r="C34" s="24" t="n">
        <x:v>3960.489</x:v>
      </x:c>
      <x:c r="D34" s="24" t="n">
        <x:v>7433.214</x:v>
      </x:c>
      <x:c r="E34" s="24" t="n">
        <x:v>10312.402</x:v>
      </x:c>
      <x:c r="F34" s="24" t="n">
        <x:v>14931.049</x:v>
      </x:c>
      <x:c r="G34" s="24" t="n">
        <x:v>19694.422</x:v>
      </x:c>
      <x:c r="H34" s="24" t="n">
        <x:v>3643.608</x:v>
      </x:c>
    </x:row>
    <x:row r="35" ht="15" hidden="0">
      <x:c r="A35" s="120" t="s">
        <x:v>82</x:v>
      </x:c>
      <x:c r="B35" s="121"/>
      <x:c r="C35" s="24" t="n">
        <x:v>82.38</x:v>
      </x:c>
      <x:c r="D35" s="24" t="n">
        <x:v>179.291</x:v>
      </x:c>
      <x:c r="E35" s="24" t="n">
        <x:v>211.595</x:v>
      </x:c>
      <x:c r="F35" s="24" t="n">
        <x:v>250.23</x:v>
      </x:c>
      <x:c r="G35" s="24" t="n">
        <x:v>283.59</x:v>
      </x:c>
      <x:c r="H35" s="24" t="n">
        <x:v>72.547</x:v>
      </x:c>
    </x:row>
    <x:row r="36" ht="15" hidden="0">
      <x:c r="A36" s="122" t="s">
        <x:v>83</x:v>
      </x:c>
      <x:c r="B36" s="123"/>
      <x:c r="C36" s="27" t="n">
        <x:f aca="0">C31+C32+C33+C34+C35</x:f>
        <x:v>4614.571</x:v>
      </x:c>
      <x:c r="D36" s="27" t="n">
        <x:f aca="0">D31+D32+D33+D34+D35</x:f>
        <x:v>29240.768</x:v>
      </x:c>
      <x:c r="E36" s="27" t="n">
        <x:f aca="0">E31+E32+E33+E34+E35</x:f>
        <x:v>45165.905000000006</x:v>
      </x:c>
      <x:c r="F36" s="27" t="n">
        <x:f aca="0">F31+F32+F33+F34+F35</x:f>
        <x:v>47371.97900000001</x:v>
      </x:c>
      <x:c r="G36" s="27" t="n">
        <x:f aca="0">G31+G32+G33+G34+G35</x:f>
        <x:v>45935.486</x:v>
      </x:c>
      <x:c r="H36" s="27" t="n">
        <x:f aca="0">H31+H32+H33+H34+H35</x:f>
        <x:v>4221.138</x:v>
      </x:c>
    </x:row>
    <x:row r="37" ht="15" hidden="0">
      <x:c r="A37" s="118" t="s">
        <x:v>84</x:v>
      </x:c>
      <x:c r="B37" s="119"/>
      <x:c r="C37" s="21"/>
      <x:c r="D37" s="21"/>
      <x:c r="E37" s="21"/>
      <x:c r="F37" s="21"/>
      <x:c r="G37" s="21"/>
      <x:c r="H37" s="21"/>
    </x:row>
    <x:row r="38" ht="15" hidden="0">
      <x:c r="A38" s="120" t="s">
        <x:v>85</x:v>
      </x:c>
      <x:c r="B38" s="121"/>
      <x:c r="C38" s="24" t="n">
        <x:v>1822.642</x:v>
      </x:c>
      <x:c r="D38" s="24" t="n">
        <x:v>6917.149</x:v>
      </x:c>
      <x:c r="E38" s="24" t="n">
        <x:v>6516.462</x:v>
      </x:c>
      <x:c r="F38" s="24" t="n">
        <x:v>6108.79</x:v>
      </x:c>
      <x:c r="G38" s="24" t="n">
        <x:v>3934.508</x:v>
      </x:c>
      <x:c r="H38" s="24" t="n">
        <x:v>1163.246</x:v>
      </x:c>
    </x:row>
    <x:row r="39" ht="15" hidden="0">
      <x:c r="A39" s="120" t="s">
        <x:v>86</x:v>
      </x:c>
      <x:c r="B39" s="121"/>
      <x:c r="C39" s="24" t="n">
        <x:v>435.097</x:v>
      </x:c>
      <x:c r="D39" s="24" t="n">
        <x:v>862.309</x:v>
      </x:c>
      <x:c r="E39" s="24" t="n">
        <x:v>584.809</x:v>
      </x:c>
      <x:c r="F39" s="24" t="n">
        <x:v>432.704</x:v>
      </x:c>
      <x:c r="G39" s="24" t="n">
        <x:v>588.076</x:v>
      </x:c>
      <x:c r="H39" s="24" t="n">
        <x:v>367.952</x:v>
      </x:c>
    </x:row>
    <x:row r="40" ht="15" hidden="0">
      <x:c r="A40" s="120" t="s">
        <x:v>87</x:v>
      </x:c>
      <x:c r="B40" s="121"/>
      <x:c r="C40" s="24" t="n">
        <x:v>0</x:v>
      </x:c>
      <x:c r="D40" s="24" t="n">
        <x:v>0</x:v>
      </x:c>
      <x:c r="E40" s="24" t="n">
        <x:v>0</x:v>
      </x:c>
      <x:c r="F40" s="24" t="n">
        <x:v>0</x:v>
      </x:c>
      <x:c r="G40" s="24" t="n">
        <x:v>0</x:v>
      </x:c>
      <x:c r="H40" s="24" t="n">
        <x:v>0</x:v>
      </x:c>
    </x:row>
    <x:row r="41" ht="15" hidden="0">
      <x:c r="A41" s="120" t="s">
        <x:v>88</x:v>
      </x:c>
      <x:c r="B41" s="121"/>
      <x:c r="C41" s="24" t="n">
        <x:v>1616.787</x:v>
      </x:c>
      <x:c r="D41" s="24" t="n">
        <x:v>10605.249</x:v>
      </x:c>
      <x:c r="E41" s="24" t="n">
        <x:v>11917.981</x:v>
      </x:c>
      <x:c r="F41" s="24" t="n">
        <x:v>8837.934</x:v>
      </x:c>
      <x:c r="G41" s="24" t="n">
        <x:v>9764.648</x:v>
      </x:c>
      <x:c r="H41" s="24" t="n">
        <x:v>1869.167</x:v>
      </x:c>
    </x:row>
    <x:row r="42" ht="15" hidden="0">
      <x:c r="A42" s="120" t="s">
        <x:v>89</x:v>
      </x:c>
      <x:c r="B42" s="121"/>
      <x:c r="C42" s="24" t="n">
        <x:v>361.521</x:v>
      </x:c>
      <x:c r="D42" s="24" t="n">
        <x:v>2985.087</x:v>
      </x:c>
      <x:c r="E42" s="24" t="n">
        <x:v>4176.493</x:v>
      </x:c>
      <x:c r="F42" s="24" t="n">
        <x:v>5066.868</x:v>
      </x:c>
      <x:c r="G42" s="24" t="n">
        <x:v>6104.065</x:v>
      </x:c>
      <x:c r="H42" s="24" t="n">
        <x:v>303.912</x:v>
      </x:c>
    </x:row>
    <x:row r="43" ht="15" hidden="0">
      <x:c r="A43" s="120" t="s">
        <x:v>90</x:v>
      </x:c>
      <x:c r="B43" s="121"/>
      <x:c r="C43" s="24" t="n">
        <x:v>24.686</x:v>
      </x:c>
      <x:c r="D43" s="24" t="n">
        <x:v>68.332</x:v>
      </x:c>
      <x:c r="E43" s="24" t="n">
        <x:v>50.463</x:v>
      </x:c>
      <x:c r="F43" s="24" t="n">
        <x:v>46.206</x:v>
      </x:c>
      <x:c r="G43" s="24" t="n">
        <x:v>43.099</x:v>
      </x:c>
      <x:c r="H43" s="24" t="n">
        <x:v>23.737</x:v>
      </x:c>
    </x:row>
    <x:row r="44" ht="15" hidden="0">
      <x:c r="A44" s="120" t="s">
        <x:v>91</x:v>
      </x:c>
      <x:c r="B44" s="121"/>
      <x:c r="C44" s="24" t="n">
        <x:v>15.654</x:v>
      </x:c>
      <x:c r="D44" s="24" t="n">
        <x:v>366.464</x:v>
      </x:c>
      <x:c r="E44" s="24" t="n">
        <x:v>604.292</x:v>
      </x:c>
      <x:c r="F44" s="24" t="n">
        <x:v>580.891</x:v>
      </x:c>
      <x:c r="G44" s="24" t="n">
        <x:v>515.175</x:v>
      </x:c>
      <x:c r="H44" s="24" t="n">
        <x:v>0</x:v>
      </x:c>
    </x:row>
    <x:row r="45" ht="15" hidden="0">
      <x:c r="A45" s="120" t="s">
        <x:v>92</x:v>
      </x:c>
      <x:c r="B45" s="121"/>
      <x:c r="C45" s="24" t="n">
        <x:v>38.479</x:v>
      </x:c>
      <x:c r="D45" s="24" t="n">
        <x:v>37.157</x:v>
      </x:c>
      <x:c r="E45" s="24" t="n">
        <x:v>36.001</x:v>
      </x:c>
      <x:c r="F45" s="24" t="n">
        <x:v>35.646</x:v>
      </x:c>
      <x:c r="G45" s="24" t="n">
        <x:v>41.182</x:v>
      </x:c>
      <x:c r="H45" s="24" t="n">
        <x:v>40.051</x:v>
      </x:c>
    </x:row>
    <x:row r="46" ht="15" hidden="0">
      <x:c r="A46" s="120" t="s">
        <x:v>93</x:v>
      </x:c>
      <x:c r="B46" s="121"/>
      <x:c r="C46" s="24" t="n">
        <x:v>0</x:v>
      </x:c>
      <x:c r="D46" s="24" t="n">
        <x:v>0</x:v>
      </x:c>
      <x:c r="E46" s="24" t="n">
        <x:v>0</x:v>
      </x:c>
      <x:c r="F46" s="24" t="n">
        <x:v>56.81</x:v>
      </x:c>
      <x:c r="G46" s="24" t="n">
        <x:v>0</x:v>
      </x:c>
      <x:c r="H46" s="24" t="n">
        <x:v>0</x:v>
      </x:c>
    </x:row>
    <x:row r="47" ht="15" hidden="0">
      <x:c r="A47" s="120" t="s">
        <x:v>94</x:v>
      </x:c>
      <x:c r="B47" s="121"/>
      <x:c r="C47" s="24" t="n">
        <x:v>1847.123</x:v>
      </x:c>
      <x:c r="D47" s="24" t="n">
        <x:v>4879.506</x:v>
      </x:c>
      <x:c r="E47" s="24" t="n">
        <x:v>4600.354</x:v>
      </x:c>
      <x:c r="F47" s="24" t="n">
        <x:v>5699.618</x:v>
      </x:c>
      <x:c r="G47" s="24" t="n">
        <x:v>9646.744</x:v>
      </x:c>
      <x:c r="H47" s="24" t="n">
        <x:v>1414.393</x:v>
      </x:c>
    </x:row>
    <x:row r="48" ht="15" hidden="0">
      <x:c r="A48" s="122" t="s">
        <x:v>95</x:v>
      </x:c>
      <x:c r="B48" s="123"/>
      <x:c r="C48" s="27" t="n">
        <x:f aca="0">C38+C39+C40+C41+C42+C43+C44+C45+C46+C47</x:f>
        <x:v>6161.989</x:v>
      </x:c>
      <x:c r="D48" s="27" t="n">
        <x:f aca="0">D38+D39+D40+D41+D42+D43+D44+D45+D46+D47</x:f>
        <x:v>26721.253</x:v>
      </x:c>
      <x:c r="E48" s="27" t="n">
        <x:f aca="0">E38+E39+E40+E41+E42+E43+E44+E45+E46+E47</x:f>
        <x:v>28486.855000000003</x:v>
      </x:c>
      <x:c r="F48" s="27" t="n">
        <x:f aca="0">F38+F39+F40+F41+F42+F43+F44+F45+F46+F47</x:f>
        <x:v>26865.467000000004</x:v>
      </x:c>
      <x:c r="G48" s="27" t="n">
        <x:f aca="0">G38+G39+G40+G41+G42+G43+G44+G45+G46+G47</x:f>
        <x:v>30637.496999999996</x:v>
      </x:c>
      <x:c r="H48" s="27" t="n">
        <x:f aca="0">H38+H39+H40+H41+H42+H43+H44+H45+H46+H47</x:f>
        <x:v>5182.458</x:v>
      </x:c>
    </x:row>
    <x:row r="49" ht="15" hidden="0">
      <x:c r="A49" s="122" t="s">
        <x:v>96</x:v>
      </x:c>
      <x:c r="B49" s="123"/>
      <x:c r="C49" s="27" t="n">
        <x:f aca="0">C36+C48</x:f>
        <x:v>10776.56</x:v>
      </x:c>
      <x:c r="D49" s="27" t="n">
        <x:f aca="0">D36+D48</x:f>
        <x:v>55962.021</x:v>
      </x:c>
      <x:c r="E49" s="27" t="n">
        <x:f aca="0">E36+E48</x:f>
        <x:v>73652.76000000001</x:v>
      </x:c>
      <x:c r="F49" s="27" t="n">
        <x:f aca="0">F36+F48</x:f>
        <x:v>74237.44600000001</x:v>
      </x:c>
      <x:c r="G49" s="27" t="n">
        <x:f aca="0">G36+G48</x:f>
        <x:v>76572.983</x:v>
      </x:c>
      <x:c r="H49" s="27" t="n">
        <x:f aca="0">H36+H48</x:f>
        <x:v>9403.596</x:v>
      </x:c>
    </x:row>
    <x:row r="50" ht="15" hidden="0">
      <x:c r="A50" s="122" t="s">
        <x:v>97</x:v>
      </x:c>
      <x:c r="B50" s="123"/>
      <x:c r="C50" s="27" t="n">
        <x:f aca="0">C29+C49</x:f>
        <x:v>34052.231</x:v>
      </x:c>
      <x:c r="D50" s="27" t="n">
        <x:f aca="0">D29+D49</x:f>
        <x:v>113698.07699999999</x:v>
      </x:c>
      <x:c r="E50" s="27" t="n">
        <x:f aca="0">E29+E49</x:f>
        <x:v>138828.497</x:v>
      </x:c>
      <x:c r="F50" s="27" t="n">
        <x:f aca="0">F29+F49</x:f>
        <x:v>147636.299</x:v>
      </x:c>
      <x:c r="G50" s="27" t="n">
        <x:f aca="0">G29+G49</x:f>
        <x:v>160845.191</x:v>
      </x:c>
      <x:c r="H50" s="27" t="n">
        <x:f aca="0">H29+H49</x:f>
        <x:v>29207.915999999997</x:v>
      </x:c>
    </x:row>
    <x:row r="51" ht="15" hidden="0">
      <x:c r="A51" s="118" t="s">
        <x:v>98</x:v>
      </x:c>
      <x:c r="B51" s="119"/>
      <x:c r="C51" s="21"/>
      <x:c r="D51" s="21"/>
      <x:c r="E51" s="21"/>
      <x:c r="F51" s="21"/>
      <x:c r="G51" s="21"/>
      <x:c r="H51" s="21"/>
    </x:row>
    <x:row r="52" ht="15" hidden="0">
      <x:c r="A52" s="120" t="s">
        <x:v>99</x:v>
      </x:c>
      <x:c r="B52" s="121"/>
      <x:c r="C52" s="24" t="n">
        <x:v>863.038</x:v>
      </x:c>
      <x:c r="D52" s="24" t="n">
        <x:v>2683.21</x:v>
      </x:c>
      <x:c r="E52" s="24" t="n">
        <x:v>2623.342</x:v>
      </x:c>
      <x:c r="F52" s="24" t="n">
        <x:v>2726.664</x:v>
      </x:c>
      <x:c r="G52" s="24" t="n">
        <x:v>2034.141</x:v>
      </x:c>
      <x:c r="H52" s="24" t="n">
        <x:v>354.586</x:v>
      </x:c>
    </x:row>
    <x:row r="53" ht="15" hidden="0">
      <x:c r="A53" s="120" t="s">
        <x:v>100</x:v>
      </x:c>
      <x:c r="B53" s="121"/>
      <x:c r="C53" s="24" t="n">
        <x:f aca="0">C9-C10</x:f>
        <x:v>21220.128</x:v>
      </x:c>
      <x:c r="D53" s="24" t="n">
        <x:f aca="0">D9-D10</x:f>
        <x:v>44324.145000000004</x:v>
      </x:c>
      <x:c r="E53" s="24" t="n">
        <x:f aca="0">E9-E10</x:f>
        <x:v>69894.00899999999</x:v>
      </x:c>
      <x:c r="F53" s="24" t="n">
        <x:f aca="0">F9-F10</x:f>
        <x:v>110145.51</x:v>
      </x:c>
      <x:c r="G53" s="24" t="n">
        <x:f aca="0">G9-G10</x:f>
        <x:v>109282.51500000001</x:v>
      </x:c>
      <x:c r="H53" s="24" t="n">
        <x:f aca="0">H9-H10</x:f>
        <x:v>22062.363999999998</x:v>
      </x:c>
    </x:row>
    <x:row r="54" ht="15" hidden="0">
      <x:c r="A54" s="120" t="s">
        <x:v>101</x:v>
      </x:c>
      <x:c r="B54" s="121"/>
      <x:c r="C54" s="24" t="n">
        <x:f aca="0">C18+C19</x:f>
        <x:v>5439.952</x:v>
      </x:c>
      <x:c r="D54" s="24" t="n">
        <x:f aca="0">D18+D19</x:f>
        <x:v>15636.868</x:v>
      </x:c>
      <x:c r="E54" s="24" t="n">
        <x:f aca="0">E18+E19</x:f>
        <x:v>15123.508</x:v>
      </x:c>
      <x:c r="F54" s="24" t="n">
        <x:f aca="0">F18+F19</x:f>
        <x:v>16594.835</x:v>
      </x:c>
      <x:c r="G54" s="24" t="n">
        <x:f aca="0">G18+G19</x:f>
        <x:v>19714.625</x:v>
      </x:c>
      <x:c r="H54" s="24" t="n">
        <x:f aca="0">H18+H19</x:f>
        <x:v>4693.561</x:v>
      </x:c>
    </x:row>
    <x:row r="55" ht="15" hidden="0">
      <x:c r="A55" s="120" t="s">
        <x:v>102</x:v>
      </x:c>
      <x:c r="B55" s="121"/>
      <x:c r="C55" s="24" t="n">
        <x:f aca="0">C31+C32+C41+C42+C43-C197-C198</x:f>
        <x:v>2568.0890000000004</x:v>
      </x:c>
      <x:c r="D55" s="24" t="n">
        <x:f aca="0">D31+D32+D41+D42+D43-D197-D198</x:f>
        <x:v>25917.630000000005</x:v>
      </x:c>
      <x:c r="E55" s="24" t="n">
        <x:f aca="0">E31+E32+E41+E42+E43-E197-E198</x:f>
        <x:v>40653.99600000001</x:v>
      </x:c>
      <x:c r="F55" s="24" t="n">
        <x:f aca="0">F31+F32+F41+F42+F43-F197-F198</x:f>
        <x:v>36589.749</x:v>
      </x:c>
      <x:c r="G55" s="24" t="n">
        <x:f aca="0">G31+G32+G41+G42+G43-G197-G198</x:f>
        <x:v>40036.47</x:v>
      </x:c>
      <x:c r="H55" s="24" t="n">
        <x:f aca="0">H31+H32+H41+H42+H43-H197-H198</x:f>
        <x:v>2701.799</x:v>
      </x:c>
    </x:row>
    <x:row r="56" ht="15" hidden="0">
      <x:c r="A56" s="120" t="s">
        <x:v>103</x:v>
      </x:c>
      <x:c r="B56" s="121"/>
      <x:c r="C56" s="24" t="n">
        <x:f aca="0">C31+C32</x:f>
        <x:v>565.095</x:v>
      </x:c>
      <x:c r="D56" s="24" t="n">
        <x:f aca="0">D31+D32</x:f>
        <x:v>19645.962</x:v>
      </x:c>
      <x:c r="E56" s="24" t="n">
        <x:f aca="0">E31+E32</x:f>
        <x:v>31896.059</x:v>
      </x:c>
      <x:c r="F56" s="24" t="n">
        <x:f aca="0">F31+F32</x:f>
        <x:v>30025.741</x:v>
      </x:c>
      <x:c r="G56" s="24" t="n">
        <x:f aca="0">G31+G32</x:f>
        <x:v>24309.844</x:v>
      </x:c>
      <x:c r="H56" s="24" t="n">
        <x:f aca="0">H31+H32</x:f>
        <x:v>504.983</x:v>
      </x:c>
    </x:row>
    <x:row r="57" ht="15" hidden="0">
      <x:c r="A57" s="120"/>
      <x:c r="B57" s="121"/>
      <x:c r="C57" s="24">
        <x:f aca="0"/>
      </x:c>
      <x:c r="D57" s="24">
        <x:f aca="0"/>
      </x:c>
      <x:c r="E57" s="24">
        <x:f aca="0"/>
      </x:c>
      <x:c r="F57" s="24">
        <x:f aca="0"/>
      </x:c>
      <x:c r="G57" s="24">
        <x:f aca="0"/>
      </x:c>
      <x:c r="H57" s="24">
        <x:f aca="0"/>
      </x:c>
    </x:row>
    <x:row r="58" ht="15" hidden="0">
      <x:c r="A58" s="120" t="s">
        <x:v>104</x:v>
      </x:c>
      <x:c r="B58" s="121"/>
      <x:c r="C58" s="24" t="n">
        <x:f aca="0">C55+C29</x:f>
        <x:v>25843.760000000002</x:v>
      </x:c>
      <x:c r="D58" s="24" t="n">
        <x:f aca="0">D55+D29</x:f>
        <x:v>83653.686</x:v>
      </x:c>
      <x:c r="E58" s="24" t="n">
        <x:f aca="0">E55+E29</x:f>
        <x:v>105829.73300000001</x:v>
      </x:c>
      <x:c r="F58" s="24" t="n">
        <x:f aca="0">F55+F29</x:f>
        <x:v>109988.60200000001</x:v>
      </x:c>
      <x:c r="G58" s="24" t="n">
        <x:f aca="0">G55+G29</x:f>
        <x:v>124308.678</x:v>
      </x:c>
      <x:c r="H58" s="24" t="n">
        <x:f aca="0">H55+H29</x:f>
        <x:v>22506.119</x:v>
      </x:c>
    </x:row>
    <x:row r="59" ht="15" hidden="0">
      <x:c r="A59" s="120" t="s">
        <x:v>105</x:v>
      </x:c>
      <x:c r="B59" s="121"/>
      <x:c r="C59" s="24" t="n">
        <x:f aca="0">C24-C22-C21</x:f>
        <x:v>7140.255</x:v>
      </x:c>
      <x:c r="D59" s="24" t="n">
        <x:f aca="0">D24-D22-D21</x:f>
        <x:v>22067.169</x:v>
      </x:c>
      <x:c r="E59" s="24" t="n">
        <x:f aca="0">E24-E22-E21</x:f>
        <x:v>21914.042</x:v>
      </x:c>
      <x:c r="F59" s="24" t="n">
        <x:f aca="0">F24-F22-F21</x:f>
        <x:v>22601.087</x:v>
      </x:c>
      <x:c r="G59" s="24" t="n">
        <x:f aca="0">G24-G22-G21</x:f>
        <x:v>28597.127</x:v>
      </x:c>
      <x:c r="H59" s="24" t="n">
        <x:f aca="0">H24-H22-H21</x:f>
        <x:v>6422.147</x:v>
      </x:c>
    </x:row>
    <x:row r="60" ht="15" hidden="0">
      <x:c r="A60" s="120" t="s">
        <x:v>106</x:v>
      </x:c>
      <x:c r="B60" s="121"/>
      <x:c r="C60" s="24" t="n">
        <x:f aca="0">C48-C41-C42-C43-C44-C40-C45</x:f>
        <x:v>4104.861999999999</x:v>
      </x:c>
      <x:c r="D60" s="24" t="n">
        <x:f aca="0">D48-D41-D42-D43-D44-D40-D45</x:f>
        <x:v>12658.964000000002</x:v>
      </x:c>
      <x:c r="E60" s="24" t="n">
        <x:f aca="0">E48-E41-E42-E43-E44-E40-E45</x:f>
        <x:v>11701.625000000004</x:v>
      </x:c>
      <x:c r="F60" s="24" t="n">
        <x:f aca="0">F48-F41-F42-F43-F44-F40-F45</x:f>
        <x:v>12297.922000000002</x:v>
      </x:c>
      <x:c r="G60" s="24" t="n">
        <x:f aca="0">G48-G41-G42-G43-G44-G40-G45</x:f>
        <x:v>14169.327999999996</x:v>
      </x:c>
      <x:c r="H60" s="24" t="n">
        <x:f aca="0">H48-H41-H42-H43-H44-H40-H45</x:f>
        <x:v>2945.591</x:v>
      </x:c>
    </x:row>
    <x:row r="61">
      <x:c r="A61" s="111"/>
      <x:c r="B61" s="111"/>
    </x:row>
    <x:row r="62" ht="19.5" hidden="0" customHeight="1">
      <x:c r="A62" s="114" t="s">
        <x:v>107</x:v>
      </x:c>
      <x:c r="B62" s="115"/>
      <x:c r="C62" s="6"/>
      <x:c r="D62" s="6"/>
      <x:c r="E62" s="6"/>
      <x:c r="F62" s="6"/>
      <x:c r="G62" s="6"/>
      <x:c r="H62" s="6"/>
    </x:row>
    <x:row r="63" ht="16.5" hidden="0" customHeight="1">
      <x:c r="A63" s="116" t="s">
        <x:v>48</x:v>
      </x:c>
      <x:c r="B63" s="117"/>
      <x:c r="C63" s="19" t="s">
        <x:v>49</x:v>
      </x:c>
      <x:c r="D63" s="19" t="s">
        <x:v>50</x:v>
      </x:c>
      <x:c r="E63" s="19" t="s">
        <x:v>51</x:v>
      </x:c>
      <x:c r="F63" s="19" t="s">
        <x:v>52</x:v>
      </x:c>
      <x:c r="G63" s="19" t="s">
        <x:v>53</x:v>
      </x:c>
      <x:c r="H63" s="19" t="s">
        <x:v>54</x:v>
      </x:c>
    </x:row>
    <x:row r="64" ht="15" hidden="0">
      <x:c r="A64" s="120" t="s">
        <x:v>108</x:v>
      </x:c>
      <x:c r="B64" s="121"/>
      <x:c r="C64" s="24" t="n">
        <x:v>24271.285</x:v>
      </x:c>
      <x:c r="D64" s="24" t="n">
        <x:v>54243.118</x:v>
      </x:c>
      <x:c r="E64" s="24" t="n">
        <x:v>68069.282</x:v>
      </x:c>
      <x:c r="F64" s="24" t="n">
        <x:v>80026.226</x:v>
      </x:c>
      <x:c r="G64" s="24" t="n">
        <x:v>88956.328</x:v>
      </x:c>
      <x:c r="H64" s="24" t="n">
        <x:v>17231.709</x:v>
      </x:c>
    </x:row>
    <x:row r="65" ht="15" hidden="0">
      <x:c r="A65" s="120" t="s">
        <x:v>109</x:v>
      </x:c>
      <x:c r="B65" s="121"/>
      <x:c r="C65" s="24" t="n">
        <x:v>-18206.88</x:v>
      </x:c>
      <x:c r="D65" s="24" t="n">
        <x:v>-38779.542</x:v>
      </x:c>
      <x:c r="E65" s="24" t="n">
        <x:v>-47650.809</x:v>
      </x:c>
      <x:c r="F65" s="24" t="n">
        <x:v>-54345.821</x:v>
      </x:c>
      <x:c r="G65" s="24" t="n">
        <x:v>-57384.978</x:v>
      </x:c>
      <x:c r="H65" s="24" t="n">
        <x:v>-16582.605</x:v>
      </x:c>
    </x:row>
    <x:row r="66" ht="15" hidden="0">
      <x:c r="A66" s="122" t="s">
        <x:v>110</x:v>
      </x:c>
      <x:c r="B66" s="123"/>
      <x:c r="C66" s="27" t="n">
        <x:f aca="0">C64+C65</x:f>
        <x:v>6064.404999999999</x:v>
      </x:c>
      <x:c r="D66" s="27" t="n">
        <x:f aca="0">D64+D65</x:f>
        <x:v>15463.576000000001</x:v>
      </x:c>
      <x:c r="E66" s="27" t="n">
        <x:f aca="0">E64+E65</x:f>
        <x:v>20418.473000000005</x:v>
      </x:c>
      <x:c r="F66" s="27" t="n">
        <x:f aca="0">F64+F65</x:f>
        <x:v>25680.40499999999</x:v>
      </x:c>
      <x:c r="G66" s="27" t="n">
        <x:f aca="0">G64+G65</x:f>
        <x:v>31571.34999999999</x:v>
      </x:c>
      <x:c r="H66" s="27" t="n">
        <x:f aca="0">H64+H65</x:f>
        <x:v>649.1039999999994</x:v>
      </x:c>
    </x:row>
    <x:row r="67" ht="15" hidden="0">
      <x:c r="A67" s="120" t="s">
        <x:v>111</x:v>
      </x:c>
      <x:c r="B67" s="121"/>
      <x:c r="C67" s="24" t="n">
        <x:v>-189.537</x:v>
      </x:c>
      <x:c r="D67" s="24" t="n">
        <x:v>-1603.323</x:v>
      </x:c>
      <x:c r="E67" s="24" t="n">
        <x:v>-2705.263</x:v>
      </x:c>
      <x:c r="F67" s="24" t="n">
        <x:v>-3285.923</x:v>
      </x:c>
      <x:c r="G67" s="24" t="n">
        <x:v>-2935.139</x:v>
      </x:c>
      <x:c r="H67" s="24" t="n">
        <x:v>-204.344</x:v>
      </x:c>
    </x:row>
    <x:row r="68" ht="15" hidden="0">
      <x:c r="A68" s="120" t="s">
        <x:v>112</x:v>
      </x:c>
      <x:c r="B68" s="121"/>
      <x:c r="C68" s="24" t="n">
        <x:v>-524.709</x:v>
      </x:c>
      <x:c r="D68" s="24" t="n">
        <x:v>-1299.439</x:v>
      </x:c>
      <x:c r="E68" s="24" t="n">
        <x:v>-1381.633</x:v>
      </x:c>
      <x:c r="F68" s="24" t="n">
        <x:v>-1516.046</x:v>
      </x:c>
      <x:c r="G68" s="24" t="n">
        <x:v>-1688.886</x:v>
      </x:c>
      <x:c r="H68" s="24" t="n">
        <x:v>-468.651</x:v>
      </x:c>
    </x:row>
    <x:row r="69" ht="15" hidden="0">
      <x:c r="A69" s="120" t="s">
        <x:v>113</x:v>
      </x:c>
      <x:c r="B69" s="121"/>
      <x:c r="C69" s="24" t="n">
        <x:v>0</x:v>
      </x:c>
      <x:c r="D69" s="24" t="n">
        <x:v>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</x:row>
    <x:row r="70" ht="15" hidden="0">
      <x:c r="A70" s="120" t="s">
        <x:v>114</x:v>
      </x:c>
      <x:c r="B70" s="121"/>
      <x:c r="C70" s="24" t="n">
        <x:v>-377.946</x:v>
      </x:c>
      <x:c r="D70" s="24" t="n">
        <x:v>-808.964</x:v>
      </x:c>
      <x:c r="E70" s="24" t="n">
        <x:v>-750.078</x:v>
      </x:c>
      <x:c r="F70" s="24" t="n">
        <x:v>-826.875</x:v>
      </x:c>
      <x:c r="G70" s="24" t="n">
        <x:v>-1479.276</x:v>
      </x:c>
      <x:c r="H70" s="24" t="n">
        <x:v>-0.567</x:v>
      </x:c>
    </x:row>
    <x:row r="71" ht="15" hidden="0">
      <x:c r="A71" s="122" t="s">
        <x:v>115</x:v>
      </x:c>
      <x:c r="B71" s="123"/>
      <x:c r="C71" s="27" t="n">
        <x:f aca="0">C66+C67+C68+C69+C70</x:f>
        <x:v>4972.212999999999</x:v>
      </x:c>
      <x:c r="D71" s="27" t="n">
        <x:f aca="0">D66+D67+D68+D69+D70</x:f>
        <x:v>11751.85</x:v>
      </x:c>
      <x:c r="E71" s="27" t="n">
        <x:f aca="0">E66+E67+E68+E69+E70</x:f>
        <x:v>15581.499000000007</x:v>
      </x:c>
      <x:c r="F71" s="27" t="n">
        <x:f aca="0">F66+F67+F68+F69+F70</x:f>
        <x:v>20051.560999999994</x:v>
      </x:c>
      <x:c r="G71" s="27" t="n">
        <x:f aca="0">G66+G67+G68+G69+G70</x:f>
        <x:v>25468.04899999999</x:v>
      </x:c>
      <x:c r="H71" s="27" t="n">
        <x:f aca="0">H66+H67+H68+H69+H70</x:f>
        <x:v>-24.458000000000645</x:v>
      </x:c>
    </x:row>
    <x:row r="72" ht="15" hidden="0">
      <x:c r="A72" s="120" t="s">
        <x:v>116</x:v>
      </x:c>
      <x:c r="B72" s="121"/>
      <x:c r="C72" s="24" t="n">
        <x:v>81.71</x:v>
      </x:c>
      <x:c r="D72" s="24" t="n">
        <x:v>230.695</x:v>
      </x:c>
      <x:c r="E72" s="24" t="n">
        <x:v>436.173</x:v>
      </x:c>
      <x:c r="F72" s="24" t="n">
        <x:v>540.373</x:v>
      </x:c>
      <x:c r="G72" s="24" t="n">
        <x:v>760.772</x:v>
      </x:c>
      <x:c r="H72" s="24" t="n">
        <x:v>36.134</x:v>
      </x:c>
    </x:row>
    <x:row r="73" ht="15" hidden="0">
      <x:c r="A73" s="120" t="s">
        <x:v>117</x:v>
      </x:c>
      <x:c r="B73" s="121"/>
      <x:c r="C73" s="24" t="n">
        <x:v>160.543</x:v>
      </x:c>
      <x:c r="D73" s="24" t="n">
        <x:v>745.852</x:v>
      </x:c>
      <x:c r="E73" s="24" t="n">
        <x:v>527.702</x:v>
      </x:c>
      <x:c r="F73" s="24" t="n">
        <x:v>299.318</x:v>
      </x:c>
      <x:c r="G73" s="24" t="n">
        <x:v>1068.831</x:v>
      </x:c>
      <x:c r="H73" s="24" t="n">
        <x:v>48.857</x:v>
      </x:c>
    </x:row>
    <x:row r="74" ht="15" hidden="0">
      <x:c r="A74" s="120" t="s">
        <x:v>118</x:v>
      </x:c>
      <x:c r="B74" s="121"/>
      <x:c r="C74" s="24" t="n">
        <x:v>2.849</x:v>
      </x:c>
      <x:c r="D74" s="24" t="n">
        <x:v>1.308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</x:row>
    <x:row r="75" ht="15" hidden="0">
      <x:c r="A75" s="120" t="s">
        <x:v>119</x:v>
      </x:c>
      <x:c r="B75" s="121"/>
      <x:c r="C75" s="24" t="n">
        <x:v>-109.623</x:v>
      </x:c>
      <x:c r="D75" s="24" t="n">
        <x:v>-1201.612</x:v>
      </x:c>
      <x:c r="E75" s="24" t="n">
        <x:v>-3645.265</x:v>
      </x:c>
      <x:c r="F75" s="24" t="n">
        <x:v>-5536.298</x:v>
      </x:c>
      <x:c r="G75" s="24" t="n">
        <x:v>-5772.132</x:v>
      </x:c>
      <x:c r="H75" s="24" t="n">
        <x:v>-233.8</x:v>
      </x:c>
    </x:row>
    <x:row r="76" ht="15" hidden="0">
      <x:c r="A76" s="122" t="s">
        <x:v>120</x:v>
      </x:c>
      <x:c r="B76" s="123"/>
      <x:c r="C76" s="27" t="n">
        <x:f aca="0">C71+C72+C73+C74+C75</x:f>
        <x:v>5107.691999999999</x:v>
      </x:c>
      <x:c r="D76" s="27" t="n">
        <x:f aca="0">D71+D72+D73+D74+D75</x:f>
        <x:v>11528.093</x:v>
      </x:c>
      <x:c r="E76" s="27" t="n">
        <x:f aca="0">E71+E72+E73+E74+E75</x:f>
        <x:v>12900.109000000008</x:v>
      </x:c>
      <x:c r="F76" s="27" t="n">
        <x:f aca="0">F71+F72+F73+F74+F75</x:f>
        <x:v>15354.953999999994</x:v>
      </x:c>
      <x:c r="G76" s="27" t="n">
        <x:f aca="0">G71+G72+G73+G74+G75</x:f>
        <x:v>21525.51999999999</x:v>
      </x:c>
      <x:c r="H76" s="27" t="n">
        <x:f aca="0">H71+H72+H73+H74+H75</x:f>
        <x:v>-173.26700000000065</x:v>
      </x:c>
    </x:row>
    <x:row r="77" ht="15" hidden="0">
      <x:c r="A77" s="120" t="s">
        <x:v>121</x:v>
      </x:c>
      <x:c r="B77" s="121"/>
      <x:c r="C77" s="24" t="n">
        <x:v>0</x:v>
      </x:c>
      <x:c r="D77" s="24" t="n">
        <x:v>0</x:v>
      </x:c>
      <x:c r="E77" s="24" t="n">
        <x:v>-45.66</x:v>
      </x:c>
      <x:c r="F77" s="24" t="n">
        <x:v>-55.223</x:v>
      </x:c>
      <x:c r="G77" s="24" t="n">
        <x:v>0</x:v>
      </x:c>
      <x:c r="H77" s="24" t="n">
        <x:v>0</x:v>
      </x:c>
    </x:row>
    <x:row r="78" ht="15" hidden="0">
      <x:c r="A78" s="120" t="s">
        <x:v>122</x:v>
      </x:c>
      <x:c r="B78" s="121"/>
      <x:c r="C78" s="24" t="n">
        <x:v>-1636.341</x:v>
      </x:c>
      <x:c r="D78" s="24" t="n">
        <x:v>-4415.553</x:v>
      </x:c>
      <x:c r="E78" s="24" t="n">
        <x:v>-5414.768</x:v>
      </x:c>
      <x:c r="F78" s="24" t="n">
        <x:v>-7076.615</x:v>
      </x:c>
      <x:c r="G78" s="24" t="n">
        <x:v>-8199.318</x:v>
      </x:c>
      <x:c r="H78" s="24" t="n">
        <x:v>113.886</x:v>
      </x:c>
    </x:row>
    <x:row r="79" ht="15" hidden="0">
      <x:c r="A79" s="122" t="s">
        <x:v>123</x:v>
      </x:c>
      <x:c r="B79" s="123"/>
      <x:c r="C79" s="27" t="n">
        <x:f aca="0">C76+C77+C78</x:f>
        <x:v>3471.350999999999</x:v>
      </x:c>
      <x:c r="D79" s="27" t="n">
        <x:f aca="0">D76+D77+D78</x:f>
        <x:v>7112.540000000001</x:v>
      </x:c>
      <x:c r="E79" s="27" t="n">
        <x:f aca="0">E76+E77+E78</x:f>
        <x:v>7439.681000000008</x:v>
      </x:c>
      <x:c r="F79" s="27" t="n">
        <x:f aca="0">F76+F77+F78</x:f>
        <x:v>8223.115999999995</x:v>
      </x:c>
      <x:c r="G79" s="27" t="n">
        <x:f aca="0">G76+G77+G78</x:f>
        <x:v>13326.20199999999</x:v>
      </x:c>
      <x:c r="H79" s="27" t="n">
        <x:f aca="0">H76+H77+H78</x:f>
        <x:v>-59.381000000000654</x:v>
      </x:c>
    </x:row>
    <x:row r="80" ht="15" hidden="0">
      <x:c r="A80" s="118" t="s">
        <x:v>124</x:v>
      </x:c>
      <x:c r="B80" s="119"/>
      <x:c r="C80" s="21"/>
      <x:c r="D80" s="21"/>
      <x:c r="E80" s="21"/>
      <x:c r="F80" s="21"/>
      <x:c r="G80" s="21"/>
      <x:c r="H80" s="21"/>
    </x:row>
    <x:row r="81" ht="15" hidden="0">
      <x:c r="A81" s="120"/>
      <x:c r="B81" s="121"/>
      <x:c r="C81" s="24"/>
      <x:c r="D81" s="24"/>
      <x:c r="E81" s="24"/>
      <x:c r="F81" s="24"/>
      <x:c r="G81" s="24"/>
      <x:c r="H81" s="24"/>
    </x:row>
    <x:row r="82" ht="15" hidden="0">
      <x:c r="A82" s="120" t="s">
        <x:v>125</x:v>
      </x:c>
      <x:c r="B82" s="121"/>
      <x:c r="C82" s="24" t="n">
        <x:f aca="0">C76-C75</x:f>
        <x:v>5217.314999999999</x:v>
      </x:c>
      <x:c r="D82" s="24" t="n">
        <x:f aca="0">D76-D75</x:f>
        <x:v>12729.705000000002</x:v>
      </x:c>
      <x:c r="E82" s="24" t="n">
        <x:f aca="0">E76-E75</x:f>
        <x:v>16545.374000000007</x:v>
      </x:c>
      <x:c r="F82" s="24" t="n">
        <x:f aca="0">F76-F75</x:f>
        <x:v>20891.251999999993</x:v>
      </x:c>
      <x:c r="G82" s="24" t="n">
        <x:f aca="0">G76-G75</x:f>
        <x:v>27297.651999999987</x:v>
      </x:c>
      <x:c r="H82" s="24" t="n">
        <x:f aca="0">H76-H75</x:f>
        <x:v>60.53299999999936</x:v>
      </x:c>
    </x:row>
    <x:row r="83" ht="15" hidden="0">
      <x:c r="A83" s="120"/>
      <x:c r="B83" s="121"/>
      <x:c r="C83" s="24">
        <x:f aca="0"/>
      </x:c>
      <x:c r="D83" s="24">
        <x:f aca="0"/>
      </x:c>
      <x:c r="E83" s="24">
        <x:f aca="0"/>
      </x:c>
      <x:c r="F83" s="24">
        <x:f aca="0"/>
      </x:c>
      <x:c r="G83" s="24">
        <x:f aca="0"/>
      </x:c>
      <x:c r="H83" s="24">
        <x:f aca="0"/>
      </x:c>
    </x:row>
    <x:row r="84" ht="15" hidden="0">
      <x:c r="A84" s="120" t="s">
        <x:v>126</x:v>
      </x:c>
      <x:c r="B84" s="121"/>
      <x:c r="C84" s="24" t="n">
        <x:v>17.511</x:v>
      </x:c>
      <x:c r="D84" s="24" t="n">
        <x:v>206.388</x:v>
      </x:c>
      <x:c r="E84" s="24" t="n">
        <x:v>1020.455</x:v>
      </x:c>
      <x:c r="F84" s="24" t="n">
        <x:v>12.561</x:v>
      </x:c>
      <x:c r="G84" s="24" t="n">
        <x:v>97.854</x:v>
      </x:c>
      <x:c r="H84" s="28"/>
    </x:row>
    <x:row r="85" ht="15" hidden="0">
      <x:c r="A85" s="120" t="s">
        <x:v>127</x:v>
      </x:c>
      <x:c r="B85" s="121"/>
      <x:c r="C85" s="24" t="n">
        <x:f aca="0">-C75-C84</x:f>
        <x:v>92.11200000000001</x:v>
      </x:c>
      <x:c r="D85" s="24" t="n">
        <x:f aca="0">-D75-D84</x:f>
        <x:v>995.224</x:v>
      </x:c>
      <x:c r="E85" s="24" t="n">
        <x:f aca="0">-E75-E84</x:f>
        <x:v>2624.81</x:v>
      </x:c>
      <x:c r="F85" s="24" t="n">
        <x:f aca="0">-F75-F84</x:f>
        <x:v>5523.737</x:v>
      </x:c>
      <x:c r="G85" s="24" t="n">
        <x:f aca="0">-G75-G84</x:f>
        <x:v>5674.277999999999</x:v>
      </x:c>
      <x:c r="H85" s="28"/>
    </x:row>
    <x:row r="86" ht="15" hidden="0">
      <x:c r="A86" s="120" t="s">
        <x:v>128</x:v>
      </x:c>
      <x:c r="B86" s="121"/>
      <x:c r="C86" s="29" t="n">
        <x:f aca="0">IF(C76&lt;=0,"n/m",-(C77+C78)/C76)</x:f>
        <x:v>0.32036798616674617</x:v>
      </x:c>
      <x:c r="D86" s="29" t="n">
        <x:f aca="0">IF(D76&lt;=0,"n/m",-(D77+D78)/D76)</x:f>
        <x:v>0.383025449222174</x:v>
      </x:c>
      <x:c r="E86" s="29" t="n">
        <x:f aca="0">IF(E76&lt;=0,"n/m",-(E77+E78)/E76)</x:f>
        <x:v>0.42328541565036365</x:v>
      </x:c>
      <x:c r="F86" s="29" t="n">
        <x:f aca="0">IF(F76&lt;=0,"n/m",-(F77+F78)/F76)</x:f>
        <x:v>0.4644649537862505</x:v>
      </x:c>
      <x:c r="G86" s="29" t="n">
        <x:f aca="0">IF(G76&lt;=0,"n/m",-(G77+G78)/G76)</x:f>
        <x:v>0.3809114948210312</x:v>
      </x:c>
      <x:c r="H86" s="28"/>
    </x:row>
    <x:row r="87" ht="15" hidden="0">
      <x:c r="A87" s="120" t="str">
        <x:v>NOPAT tax rate = actual audited ETR (no cap)</x:v>
      </x:c>
      <x:c r="B87" s="121"/>
      <x:c r="C87" s="29" t="n">
        <x:f aca="0">C86</x:f>
        <x:v>0.32036798616674617</x:v>
      </x:c>
      <x:c r="D87" s="29" t="n">
        <x:f aca="0">D86</x:f>
        <x:v>0.383025449222174</x:v>
      </x:c>
      <x:c r="E87" s="29" t="n">
        <x:f aca="0">E86</x:f>
        <x:v>0.42328541565036365</x:v>
      </x:c>
      <x:c r="F87" s="29" t="n">
        <x:f aca="0">F86</x:f>
        <x:v>0.4644649537862505</x:v>
      </x:c>
      <x:c r="G87" s="29" t="n">
        <x:f aca="0">G86</x:f>
        <x:v>0.3809114948210312</x:v>
      </x:c>
      <x:c r="H87" s="28"/>
    </x:row>
    <x:row r="88" ht="15" hidden="0">
      <x:c r="A88" s="120" t="s">
        <x:v>129</x:v>
      </x:c>
      <x:c r="B88" s="121"/>
      <x:c r="C88" s="24" t="n">
        <x:f aca="0">IF(ISNUMBER(C87),C82*(1-C87),"n/m")</x:f>
        <x:v>3545.854300252442</x:v>
      </x:c>
      <x:c r="D88" s="24" t="n">
        <x:f aca="0">IF(ISNUMBER(D87),D82*(1-D87),"n/m")</x:f>
        <x:v>7853.904023909246</x:v>
      </x:c>
      <x:c r="E88" s="24" t="n">
        <x:f aca="0">IF(ISNUMBER(E87),E82*(1-E87),"n/m")</x:f>
        <x:v>9541.958489319286</x:v>
      </x:c>
      <x:c r="F88" s="24" t="n">
        <x:f aca="0">IF(ISNUMBER(F87),F82*(1-F87),"n/m")</x:f>
        <x:v>11187.997605283083</x:v>
      </x:c>
      <x:c r="G88" s="24" t="n">
        <x:f aca="0">IF(ISNUMBER(G87),G82*(1-G87),"n/m")</x:f>
        <x:v>16899.662571575678</x:v>
      </x:c>
      <x:c r="H88" s="28"/>
    </x:row>
    <x:row r="89">
      <x:c r="A89" s="111"/>
      <x:c r="B89" s="111"/>
    </x:row>
    <x:row r="90" ht="19.5" hidden="0" customHeight="1">
      <x:c r="A90" s="114" t="s">
        <x:v>130</x:v>
      </x:c>
      <x:c r="B90" s="115"/>
      <x:c r="C90" s="6"/>
      <x:c r="D90" s="6"/>
      <x:c r="E90" s="6"/>
      <x:c r="F90" s="6"/>
      <x:c r="G90" s="6"/>
      <x:c r="H90" s="6"/>
    </x:row>
    <x:row r="91" ht="16.5" hidden="0" customHeight="1">
      <x:c r="A91" s="116" t="s">
        <x:v>48</x:v>
      </x:c>
      <x:c r="B91" s="117"/>
      <x:c r="C91" s="19" t="s">
        <x:v>49</x:v>
      </x:c>
      <x:c r="D91" s="19" t="s">
        <x:v>50</x:v>
      </x:c>
      <x:c r="E91" s="19" t="s">
        <x:v>51</x:v>
      </x:c>
      <x:c r="F91" s="19" t="s">
        <x:v>52</x:v>
      </x:c>
      <x:c r="G91" s="19" t="s">
        <x:v>53</x:v>
      </x:c>
      <x:c r="H91" s="19" t="s">
        <x:v>54</x:v>
      </x:c>
    </x:row>
    <x:row r="92" ht="15" hidden="0">
      <x:c r="A92" s="120" t="s">
        <x:v>131</x:v>
      </x:c>
      <x:c r="B92" s="121"/>
      <x:c r="C92" s="24" t="n">
        <x:v>0</x:v>
      </x:c>
      <x:c r="D92" s="24" t="n">
        <x:v>0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</x:row>
    <x:row r="93" ht="15" hidden="0">
      <x:c r="A93" s="120" t="s">
        <x:v>132</x:v>
      </x:c>
      <x:c r="B93" s="121"/>
      <x:c r="C93" s="24" t="n">
        <x:v>5739.097</x:v>
      </x:c>
      <x:c r="D93" s="24" t="n">
        <x:v>7567.564</x:v>
      </x:c>
      <x:c r="E93" s="24" t="n">
        <x:v>16030.998</x:v>
      </x:c>
      <x:c r="F93" s="24" t="n">
        <x:v>22284.607</x:v>
      </x:c>
      <x:c r="G93" s="24" t="n">
        <x:v>24313.208</x:v>
      </x:c>
      <x:c r="H93" s="24" t="n">
        <x:v>1013.426</x:v>
      </x:c>
    </x:row>
    <x:row r="94" ht="15" hidden="0">
      <x:c r="A94" s="120" t="s">
        <x:v>133</x:v>
      </x:c>
      <x:c r="B94" s="121"/>
      <x:c r="C94" s="24" t="n">
        <x:v>-5141.658</x:v>
      </x:c>
      <x:c r="D94" s="24" t="n">
        <x:v>-26064.704</x:v>
      </x:c>
      <x:c r="E94" s="24" t="n">
        <x:v>-29667.173</x:v>
      </x:c>
      <x:c r="F94" s="24" t="n">
        <x:v>-8158.036</x:v>
      </x:c>
      <x:c r="G94" s="24" t="n">
        <x:v>-11259.19</x:v>
      </x:c>
      <x:c r="H94" s="24" t="n">
        <x:v>-545.109</x:v>
      </x:c>
    </x:row>
    <x:row r="95" ht="15" hidden="0">
      <x:c r="A95" s="120" t="s">
        <x:v>134</x:v>
      </x:c>
      <x:c r="B95" s="121"/>
      <x:c r="C95" s="24" t="n">
        <x:v>-5.455</x:v>
      </x:c>
      <x:c r="D95" s="24" t="n">
        <x:v>19345.923</x:v>
      </x:c>
      <x:c r="E95" s="24" t="n">
        <x:v>10897.767</x:v>
      </x:c>
      <x:c r="F95" s="24" t="n">
        <x:v>-8479.996</x:v>
      </x:c>
      <x:c r="G95" s="24" t="n">
        <x:v>-12739.192</x:v>
      </x:c>
      <x:c r="H95" s="24" t="n">
        <x:v>-1181.854</x:v>
      </x:c>
    </x:row>
    <x:row r="96" ht="15" hidden="0">
      <x:c r="A96" s="120" t="s">
        <x:v>135</x:v>
      </x:c>
      <x:c r="B96" s="121"/>
      <x:c r="C96" s="24" t="n">
        <x:v>-1007.205</x:v>
      </x:c>
      <x:c r="D96" s="24" t="n">
        <x:v>-28425.596</x:v>
      </x:c>
      <x:c r="E96" s="24" t="n">
        <x:v>-33903.442</x:v>
      </x:c>
      <x:c r="F96" s="24" t="n">
        <x:v>-8478.876</x:v>
      </x:c>
      <x:c r="G96" s="24" t="n">
        <x:v>-3477.647</x:v>
      </x:c>
      <x:c r="H96" s="24" t="n">
        <x:v>-586.409</x:v>
      </x:c>
    </x:row>
    <x:row r="97" ht="15" hidden="0">
      <x:c r="A97" s="120" t="s">
        <x:v>136</x:v>
      </x:c>
      <x:c r="B97" s="121"/>
      <x:c r="C97" s="24" t="n">
        <x:v>-94.843</x:v>
      </x:c>
      <x:c r="D97" s="24" t="n">
        <x:v>-985.172</x:v>
      </x:c>
      <x:c r="E97" s="24" t="n">
        <x:v>-2483.101</x:v>
      </x:c>
      <x:c r="F97" s="24" t="n">
        <x:v>-6993.06</x:v>
      </x:c>
      <x:c r="G97" s="24" t="n">
        <x:v>-5559.451</x:v>
      </x:c>
      <x:c r="H97" s="24" t="n">
        <x:v>-232.706</x:v>
      </x:c>
    </x:row>
    <x:row r="98" ht="15" hidden="0">
      <x:c r="A98" s="120" t="s">
        <x:v>137</x:v>
      </x:c>
      <x:c r="B98" s="121"/>
      <x:c r="C98" s="24" t="n">
        <x:v>-1.572</x:v>
      </x:c>
      <x:c r="D98" s="24" t="n">
        <x:v>-1.322</x:v>
      </x:c>
      <x:c r="E98" s="24" t="n">
        <x:v>-1.156</x:v>
      </x:c>
      <x:c r="F98" s="24" t="n">
        <x:v>-0.355</x:v>
      </x:c>
      <x:c r="G98" s="24" t="n">
        <x:v>-2447.311</x:v>
      </x:c>
      <x:c r="H98" s="24" t="n">
        <x:v>-1038.557</x:v>
      </x:c>
    </x:row>
    <x:row r="99">
      <x:c r="A99" s="111"/>
      <x:c r="B99" s="111"/>
    </x:row>
    <x:row r="100" ht="19.5" hidden="0" customHeight="1">
      <x:c r="A100" s="114" t="s">
        <x:v>138</x:v>
      </x:c>
      <x:c r="B100" s="115"/>
      <x:c r="C100" s="6"/>
      <x:c r="D100" s="6"/>
      <x:c r="E100" s="6"/>
      <x:c r="F100" s="6"/>
      <x:c r="G100" s="6"/>
      <x:c r="H100" s="6"/>
    </x:row>
    <x:row r="101" ht="16.5" hidden="0" customHeight="1">
      <x:c r="A101" s="116" t="s">
        <x:v>48</x:v>
      </x:c>
      <x:c r="B101" s="117"/>
      <x:c r="C101" s="19" t="s">
        <x:v>49</x:v>
      </x:c>
      <x:c r="D101" s="19" t="s">
        <x:v>50</x:v>
      </x:c>
      <x:c r="E101" s="19" t="s">
        <x:v>51</x:v>
      </x:c>
      <x:c r="F101" s="19" t="s">
        <x:v>52</x:v>
      </x:c>
      <x:c r="G101" s="19" t="s">
        <x:v>53</x:v>
      </x:c>
    </x:row>
    <x:row r="102" ht="15" hidden="0">
      <x:c r="A102" s="120" t="s">
        <x:v>139</x:v>
      </x:c>
      <x:c r="B102" s="121"/>
      <x:c r="C102" s="30" t="n">
        <x:v>10</x:v>
      </x:c>
      <x:c r="D102" s="30" t="n">
        <x:v>10</x:v>
      </x:c>
      <x:c r="E102" s="30" t="n">
        <x:v>10</x:v>
      </x:c>
      <x:c r="F102" s="30" t="n">
        <x:v>10</x:v>
      </x:c>
      <x:c r="G102" s="30" t="n">
        <x:v>10</x:v>
      </x:c>
    </x:row>
    <x:row r="103" ht="15" hidden="0">
      <x:c r="A103" s="120" t="s">
        <x:v>140</x:v>
      </x:c>
      <x:c r="B103" s="121"/>
      <x:c r="C103" s="31" t="n">
        <x:f aca="0">C27/C102-C107</x:f>
        <x:v>1379.815</x:v>
      </x:c>
      <x:c r="D103" s="31" t="n">
        <x:f aca="0">D27/D102-D107</x:f>
        <x:v>2180.309</x:v>
      </x:c>
      <x:c r="E103" s="31" t="n">
        <x:f aca="0">E27/E102-E107</x:f>
        <x:v>2452.8476</x:v>
      </x:c>
      <x:c r="F103" s="31" t="n">
        <x:f aca="0">F27/F102-F107</x:f>
        <x:v>2452.8476</x:v>
      </x:c>
      <x:c r="G103" s="31" t="n">
        <x:f aca="0">G27/G102-G107</x:f>
        <x:v>2452.8476</x:v>
      </x:c>
    </x:row>
    <x:row r="104" ht="15" hidden="0">
      <x:c r="A104" s="120" t="s">
        <x:v>141</x:v>
      </x:c>
      <x:c r="B104" s="121"/>
      <x:c r="C104" s="31" t="n">
        <x:v>1379.815</x:v>
      </x:c>
      <x:c r="D104" s="31" t="n">
        <x:v>2180.309</x:v>
      </x:c>
      <x:c r="E104" s="31" t="n">
        <x:f>E103</x:f>
        <x:v>2452.8476</x:v>
      </x:c>
      <x:c r="F104" s="31" t="n">
        <x:v>2452.847</x:v>
      </x:c>
      <x:c r="G104" s="31" t="n">
        <x:v>2452.847</x:v>
      </x:c>
    </x:row>
    <x:row r="105" ht="15" hidden="0">
      <x:c r="A105" s="120" t="str">
        <x:v>FY-end share price (Rs; last PSX close)</x:v>
      </x:c>
      <x:c r="B105" s="121"/>
      <x:c r="C105" s="30" t="n">
        <x:v>23</x:v>
      </x:c>
      <x:c r="D105" s="30" t="n">
        <x:v>14.17</x:v>
      </x:c>
      <x:c r="E105" s="30" t="n">
        <x:v>11.76</x:v>
      </x:c>
      <x:c r="F105" s="30" t="n">
        <x:v>22.91</x:v>
      </x:c>
      <x:c r="G105" s="30" t="n">
        <x:v>44.67</x:v>
      </x:c>
    </x:row>
    <x:row r="106" ht="15" hidden="0">
      <x:c r="A106" s="120" t="s">
        <x:v>142</x:v>
      </x:c>
      <x:c r="B106" s="121"/>
      <x:c r="C106" s="30" t="n">
        <x:v>0</x:v>
      </x:c>
      <x:c r="D106" s="30" t="n">
        <x:v>0</x:v>
      </x:c>
      <x:c r="E106" s="30" t="n">
        <x:v>0</x:v>
      </x:c>
      <x:c r="F106" s="30" t="n">
        <x:v>1</x:v>
      </x:c>
      <x:c r="G106" s="30" t="n">
        <x:v>1.25</x:v>
      </x:c>
    </x:row>
    <x:row r="107">
      <x:c r="A107" s="120" t="str">
        <x:v>Treasury shares excluded (million)</x:v>
      </x:c>
      <x:c r="B107" s="121"/>
      <x:c r="C107" s="30" t="n">
        <x:v>0</x:v>
      </x:c>
      <x:c r="D107" s="30" t="n">
        <x:v>0</x:v>
      </x:c>
      <x:c r="E107" s="30" t="n">
        <x:v>0</x:v>
      </x:c>
      <x:c r="F107" s="30" t="n">
        <x:v>0</x:v>
      </x:c>
      <x:c r="G107" s="30" t="n">
        <x:v>0</x:v>
      </x:c>
    </x:row>
    <x:row r="108" ht="19.5" hidden="0" customHeight="1">
      <x:c r="A108" s="114" t="s">
        <x:v>143</x:v>
      </x:c>
      <x:c r="B108" s="115"/>
      <x:c r="C108" s="6"/>
      <x:c r="D108" s="6"/>
      <x:c r="E108" s="6"/>
      <x:c r="F108" s="6"/>
      <x:c r="G108" s="6"/>
      <x:c r="H108" s="6"/>
    </x:row>
    <x:row r="109" ht="16.5" hidden="0" customHeight="1">
      <x:c r="A109" s="124" t="s">
        <x:v>144</x:v>
      </x:c>
      <x:c r="B109" s="124" t="s">
        <x:v>145</x:v>
      </x:c>
      <x:c r="C109" s="19" t="s">
        <x:v>49</x:v>
      </x:c>
      <x:c r="D109" s="19" t="s">
        <x:v>50</x:v>
      </x:c>
      <x:c r="E109" s="19" t="s">
        <x:v>51</x:v>
      </x:c>
      <x:c r="F109" s="19" t="s">
        <x:v>52</x:v>
      </x:c>
      <x:c r="G109" s="19" t="s">
        <x:v>53</x:v>
      </x:c>
    </x:row>
    <x:row r="110" ht="22" hidden="0" customHeight="1">
      <x:c r="A110" s="125" t="str">
        <x:v>Liquidity</x:v>
      </x:c>
      <x:c r="B110" s="126"/>
      <x:c r="C110" s="71"/>
      <x:c r="D110" s="71"/>
      <x:c r="E110" s="71"/>
      <x:c r="F110" s="71"/>
      <x:c r="G110" s="71"/>
    </x:row>
    <x:row r="111" ht="15" hidden="0">
      <x:c r="A111" s="134" t="str">
        <x:v>1. Current ratio</x:v>
      </x:c>
      <x:c r="B111" s="128" t="str">
        <x:v>Current Assets / Current Liabilities</x:v>
      </x:c>
      <x:c r="C111" s="63" t="n">
        <x:f>IF(OR((C48)&lt;=0,(C24)&lt;0),"n/m",(C24)/(C48))</x:f>
        <x:v>2.01862288296847</x:v>
      </x:c>
      <x:c r="D111" s="63" t="n">
        <x:f>IF(OR((D48)&lt;=0,(D24)&lt;0),"n/m",(D24)/(D48))</x:f>
        <x:v>1.0559688948718087</x:v>
      </x:c>
      <x:c r="E111" s="63" t="n">
        <x:f>IF(OR((E48)&lt;=0,(E24)&lt;0),"n/m",(E24)/(E48))</x:f>
        <x:v>0.8121113755800701</x:v>
      </x:c>
      <x:c r="F111" s="63" t="n">
        <x:f>IF(OR((F48)&lt;=0,(F24)&lt;0),"n/m",(F24)/(F48))</x:f>
        <x:v>0.9597477311673009</x:v>
      </x:c>
      <x:c r="G111" s="63" t="n">
        <x:f>IF(OR((G48)&lt;=0,(G24)&lt;0),"n/m",(G24)/(G48))</x:f>
        <x:v>1.3210140828410366</x:v>
      </x:c>
    </x:row>
    <x:row r="112" ht="15" hidden="0">
      <x:c r="A112" s="134" t="str">
        <x:v>2. Quick ratio</x:v>
      </x:c>
      <x:c r="B112" s="128" t="str">
        <x:v>(Current Assets - Inventories) / Current Liabilities</x:v>
      </x:c>
      <x:c r="C112" s="63" t="n">
        <x:f>IF(OR((C48)&lt;=0,(C24-C54)&lt;0),"n/m",(C24-C54)/(C48))</x:f>
        <x:v>1.1357988467684703</x:v>
      </x:c>
      <x:c r="D112" s="63" t="n">
        <x:f>IF(OR((D48)&lt;=0,(D24-D54)&lt;0),"n/m",(D24-D54)/(D48))</x:f>
        <x:v>0.4707842106056928</x:v>
      </x:c>
      <x:c r="E112" s="63" t="n">
        <x:f>IF(OR((E48)&lt;=0,(E24-E54)&lt;0),"n/m",(E24-E54)/(E48))</x:f>
        <x:v>0.2812171087331332</x:v>
      </x:c>
      <x:c r="F112" s="63" t="n">
        <x:f>IF(OR((F48)&lt;=0,(F24-F54)&lt;0),"n/m",(F24-F54)/(F48))</x:f>
        <x:v>0.3420463898878065</x:v>
      </x:c>
      <x:c r="G112" s="63" t="n">
        <x:f>IF(OR((G48)&lt;=0,(G24-G54)&lt;0),"n/m",(G24-G54)/(G48))</x:f>
        <x:v>0.6775338076736492</x:v>
      </x:c>
    </x:row>
    <x:row r="113" ht="15" hidden="0">
      <x:c r="A113" s="134" t="str">
        <x:v>3. Cash ratio</x:v>
      </x:c>
      <x:c r="B113" s="128" t="str">
        <x:v>Cash and Bank / Current Liabilities</x:v>
      </x:c>
      <x:c r="C113" s="63" t="n">
        <x:f>IF(OR((C48)&lt;=0,(C22)&lt;0),"n/m",(C22)/(C48))</x:f>
        <x:v>0.14618299383526975</x:v>
      </x:c>
      <x:c r="D113" s="63" t="n">
        <x:f>IF(OR((D48)&lt;=0,(D22)&lt;0),"n/m",(D22)/(D48))</x:f>
        <x:v>0.08632203736853207</x:v>
      </x:c>
      <x:c r="E113" s="63" t="n">
        <x:f>IF(OR((E48)&lt;=0,(E22)&lt;0),"n/m",(E22)/(E48))</x:f>
        <x:v>0.03406683538776042</x:v>
      </x:c>
      <x:c r="F113" s="63" t="n">
        <x:f>IF(OR((F48)&lt;=0,(F22)&lt;0),"n/m",(F22)/(F48))</x:f>
        <x:v>0.10917301381732912</x:v>
      </x:c>
      <x:c r="G113" s="63" t="n">
        <x:f>IF(OR((G48)&lt;=0,(G22)&lt;0),"n/m",(G22)/(G48))</x:f>
        <x:v>0.08699594487108397</x:v>
      </x:c>
    </x:row>
    <x:row r="114" ht="15" hidden="0">
      <x:c r="A114" s="134" t="str">
        <x:v>4. Net working capital (PKR m)</x:v>
      </x:c>
      <x:c r="B114" s="128" t="str">
        <x:v>Current Assets - Current Liabilities</x:v>
      </x:c>
      <x:c r="C114" s="64" t="n">
        <x:f>IF(OR((1)&lt;=0,(C24-C48)&lt;0),"n/m",(C24-C48)/(1))</x:f>
        <x:v>6276.743</x:v>
      </x:c>
      <x:c r="D114" s="64" t="n">
        <x:f>IF(OR((1)&lt;=0,(D24-D48)&lt;0),"n/m",(D24-D48)/(1))</x:f>
        <x:v>1495.559000000001</x:v>
      </x:c>
      <x:c r="E114" s="64" t="str">
        <x:f>IF(OR((1)&lt;=0,(E24-E48)&lt;0),"n/m",(E24-E48)/(1))</x:f>
        <x:v>n/m</x:v>
      </x:c>
      <x:c r="F114" s="64" t="str">
        <x:f>IF(OR((1)&lt;=0,(F24-F48)&lt;0),"n/m",(F24-F48)/(1))</x:f>
        <x:v>n/m</x:v>
      </x:c>
      <x:c r="G114" s="64" t="n">
        <x:f>IF(OR((1)&lt;=0,(G24-G48)&lt;0),"n/m",(G24-G48)/(1))</x:f>
        <x:v>9835.068000000007</x:v>
      </x:c>
    </x:row>
    <x:row r="115" ht="15" hidden="0">
      <x:c r="A115" s="134" t="str">
        <x:v>5. Net operating working capital (PKR m)</x:v>
      </x:c>
      <x:c r="B115" s="128" t="str">
        <x:v>Operating CA - Operating CL</x:v>
      </x:c>
      <x:c r="C115" s="64" t="n">
        <x:f>IF(OR((1)&lt;=0,(C59-C60)&lt;0),"n/m",(C59-C60)/(1))</x:f>
        <x:v>3035.393000000001</x:v>
      </x:c>
      <x:c r="D115" s="64" t="n">
        <x:f>IF(OR((1)&lt;=0,(D59-D60)&lt;0),"n/m",(D59-D60)/(1))</x:f>
        <x:v>9408.205</x:v>
      </x:c>
      <x:c r="E115" s="64" t="n">
        <x:f>IF(OR((1)&lt;=0,(E59-E60)&lt;0),"n/m",(E59-E60)/(1))</x:f>
        <x:v>10212.416999999998</x:v>
      </x:c>
      <x:c r="F115" s="64" t="n">
        <x:f>IF(OR((1)&lt;=0,(F59-F60)&lt;0),"n/m",(F59-F60)/(1))</x:f>
        <x:v>10303.164999999997</x:v>
      </x:c>
      <x:c r="G115" s="64" t="n">
        <x:f>IF(OR((1)&lt;=0,(G59-G60)&lt;0),"n/m",(G59-G60)/(1))</x:f>
        <x:v>14427.799000000005</x:v>
      </x:c>
    </x:row>
    <x:row r="116" ht="22" hidden="0" customHeight="1">
      <x:c r="A116" s="125" t="str">
        <x:v>Asset Management</x:v>
      </x:c>
      <x:c r="B116" s="126"/>
      <x:c r="C116" s="71"/>
      <x:c r="D116" s="71"/>
      <x:c r="E116" s="71"/>
      <x:c r="F116" s="71"/>
      <x:c r="G116" s="71"/>
    </x:row>
    <x:row r="117" ht="15" hidden="0">
      <x:c r="A117" s="134" t="str">
        <x:v>6. Inventory turnover</x:v>
      </x:c>
      <x:c r="B117" s="128" t="str">
        <x:v>COGS / Average Inventory</x:v>
      </x:c>
      <x:c r="C117" s="63" t="n">
        <x:f>IF(OR((AVERAGE(H54,C54))&lt;=0,(-C65)&lt;0),"n/m",(-C65)/(AVERAGE(H54,C54)))</x:f>
        <x:v>3.593399445976929</x:v>
      </x:c>
      <x:c r="D117" s="63" t="n">
        <x:f>IF(OR((AVERAGE(C54,D54))&lt;=0,(-D65)&lt;0),"n/m",(-D65)/(AVERAGE(C54,D54)))</x:f>
        <x:v>3.679828550986344</x:v>
      </x:c>
      <x:c r="E117" s="63" t="n">
        <x:f>IF(OR((AVERAGE(D54,E54))&lt;=0,(-E65)&lt;0),"n/m",(-E65)/(AVERAGE(D54,E54)))</x:f>
        <x:v>3.0981941833220765</x:v>
      </x:c>
      <x:c r="F117" s="63" t="n">
        <x:f>IF(OR((AVERAGE(E54,F54))&lt;=0,(-F65)&lt;0),"n/m",(-F65)/(AVERAGE(E54,F54)))</x:f>
        <x:v>3.4267755412065504</x:v>
      </x:c>
      <x:c r="G117" s="63" t="n">
        <x:f>IF(OR((AVERAGE(F54,G54))&lt;=0,(-G65)&lt;0),"n/m",(-G65)/(AVERAGE(F54,G54)))</x:f>
        <x:v>3.1608830315846066</x:v>
      </x:c>
    </x:row>
    <x:row r="118" ht="15" hidden="0">
      <x:c r="A118" s="134" t="str">
        <x:v>7. Receivables turnover</x:v>
      </x:c>
      <x:c r="B118" s="128" t="str">
        <x:v>Net Sales / Average Trade Debts</x:v>
      </x:c>
      <x:c r="C118" s="63" t="n">
        <x:f>IF(OR((AVERAGE(H20,C20))&lt;=0,(C64)&lt;0),"n/m",(C64)/(AVERAGE(H20,C20)))</x:f>
        <x:v>19.415164144242155</x:v>
      </x:c>
      <x:c r="D118" s="63" t="n">
        <x:f>IF(OR((AVERAGE(C20,D20))&lt;=0,(D64)&lt;0),"n/m",(D64)/(AVERAGE(C20,D20)))</x:f>
        <x:v>28.088084014998095</x:v>
      </x:c>
      <x:c r="E118" s="63" t="n">
        <x:f>IF(OR((AVERAGE(D20,E20))&lt;=0,(E64)&lt;0),"n/m",(E64)/(AVERAGE(D20,E20)))</x:f>
        <x:v>22.74585573789227</x:v>
      </x:c>
      <x:c r="F118" s="63" t="n">
        <x:f>IF(OR((AVERAGE(E20,F20))&lt;=0,(F64)&lt;0),"n/m",(F64)/(AVERAGE(E20,F20)))</x:f>
        <x:v>17.554064923929165</x:v>
      </x:c>
      <x:c r="G118" s="63" t="n">
        <x:f>IF(OR((AVERAGE(F20,G20))&lt;=0,(G64)&lt;0),"n/m",(G64)/(AVERAGE(F20,G20)))</x:f>
        <x:v>14.28264409693107</x:v>
      </x:c>
    </x:row>
    <x:row r="119" ht="15" hidden="0">
      <x:c r="A119" s="134" t="str">
        <x:v>8. Payables turnover</x:v>
      </x:c>
      <x:c r="B119" s="128" t="str">
        <x:v>COGS / Average Trade Creditors</x:v>
      </x:c>
      <x:c r="C119" s="63" t="n">
        <x:f>IF(OR((AVERAGE(H52,C52))&lt;=0,(-C65)&lt;0),"n/m",(-C65)/(AVERAGE(H52,C52)))</x:f>
        <x:v>29.905586617872185</x:v>
      </x:c>
      <x:c r="D119" s="63" t="n">
        <x:f>IF(OR((AVERAGE(C52,D52))&lt;=0,(-D65)&lt;0),"n/m",(-D65)/(AVERAGE(C52,D52)))</x:f>
        <x:v>21.870744516457957</x:v>
      </x:c>
      <x:c r="E119" s="63" t="n">
        <x:f>IF(OR((AVERAGE(D52,E52))&lt;=0,(-E65)&lt;0),"n/m",(-E65)/(AVERAGE(D52,E52)))</x:f>
        <x:v>17.959235676951813</x:v>
      </x:c>
      <x:c r="F119" s="63" t="n">
        <x:f>IF(OR((AVERAGE(E52,F52))&lt;=0,(-F65)&lt;0),"n/m",(-F65)/(AVERAGE(E52,F52)))</x:f>
        <x:v>20.3161719818632</x:v>
      </x:c>
      <x:c r="G119" s="63" t="n">
        <x:f>IF(OR((AVERAGE(F52,G52))&lt;=0,(-G65)&lt;0),"n/m",(-G65)/(AVERAGE(F52,G52)))</x:f>
        <x:v>24.107258331311616</x:v>
      </x:c>
    </x:row>
    <x:row r="120" ht="15" hidden="0">
      <x:c r="A120" s="134" t="str">
        <x:v>9. Days inventory outstanding</x:v>
      </x:c>
      <x:c r="B120" s="128" t="str">
        <x:v>365 / Inventory Turnover</x:v>
      </x:c>
      <x:c r="C120" s="65" t="n">
        <x:f>IF(OR((-C65)&lt;=0,(365*AVERAGE(H54,C54))&lt;0),"n/m",(365*AVERAGE(H54,C54))/(-C65))</x:f>
        <x:v>101.57512558439446</x:v>
      </x:c>
      <x:c r="D120" s="65" t="n">
        <x:f>IF(OR((-D65)&lt;=0,(365*AVERAGE(C54,D54))&lt;0),"n/m",(365*AVERAGE(C54,D54))/(-D65))</x:f>
        <x:v>99.189403784088</x:v>
      </x:c>
      <x:c r="E120" s="65" t="n">
        <x:f>IF(OR((-E65)&lt;=0,(365*AVERAGE(D54,E54))&lt;0),"n/m",(365*AVERAGE(D54,E54))/(-E65))</x:f>
        <x:v>117.81056267061489</x:v>
      </x:c>
      <x:c r="F120" s="65" t="n">
        <x:f>IF(OR((-F65)&lt;=0,(365*AVERAGE(E54,F54))&lt;0),"n/m",(365*AVERAGE(E54,F54))/(-F65))</x:f>
        <x:v>106.51412548353994</x:v>
      </x:c>
      <x:c r="G120" s="65" t="n">
        <x:f>IF(OR((-G65)&lt;=0,(365*AVERAGE(F54,G54))&lt;0),"n/m",(365*AVERAGE(F54,G54))/(-G65))</x:f>
        <x:v>115.47406099903009</x:v>
      </x:c>
    </x:row>
    <x:row r="121" ht="15" hidden="0">
      <x:c r="A121" s="134" t="str">
        <x:v>10. Days sales outstanding</x:v>
      </x:c>
      <x:c r="B121" s="128" t="str">
        <x:v>365 / Receivables Turnover</x:v>
      </x:c>
      <x:c r="C121" s="65" t="n">
        <x:f>IF(OR((C64)&lt;=0,(365*AVERAGE(H20,C20))&lt;0),"n/m",(365*AVERAGE(H20,C20))/(C64))</x:f>
        <x:v>18.799738044359827</x:v>
      </x:c>
      <x:c r="D121" s="65" t="n">
        <x:f>IF(OR((D64)&lt;=0,(365*AVERAGE(C20,D20))&lt;0),"n/m",(365*AVERAGE(C20,D20))/(D64))</x:f>
        <x:v>12.994834386179642</x:v>
      </x:c>
      <x:c r="E121" s="65" t="n">
        <x:f>IF(OR((E64)&lt;=0,(365*AVERAGE(D20,E20))&lt;0),"n/m",(365*AVERAGE(D20,E20))/(E64))</x:f>
        <x:v>16.04687922960609</x:v>
      </x:c>
      <x:c r="F121" s="65" t="n">
        <x:f>IF(OR((F64)&lt;=0,(365*AVERAGE(E20,F20))&lt;0),"n/m",(365*AVERAGE(E20,F20))/(F64))</x:f>
        <x:v>20.792904753499183</x:v>
      </x:c>
      <x:c r="G121" s="65" t="n">
        <x:f>IF(OR((G64)&lt;=0,(365*AVERAGE(F20,G20))&lt;0),"n/m",(365*AVERAGE(F20,G20))/(G64))</x:f>
        <x:v>25.555492212987932</x:v>
      </x:c>
    </x:row>
    <x:row r="122" ht="15" hidden="0">
      <x:c r="A122" s="134" t="str">
        <x:v>11. Days payables outstanding</x:v>
      </x:c>
      <x:c r="B122" s="128" t="str">
        <x:v>365 / Payables Turnover</x:v>
      </x:c>
      <x:c r="C122" s="65" t="n">
        <x:f>IF(OR((-C65)&lt;=0,(365*AVERAGE(H52,C52))&lt;0),"n/m",(365*AVERAGE(H52,C52))/(-C65))</x:f>
        <x:v>12.205077421282503</x:v>
      </x:c>
      <x:c r="D122" s="65" t="n">
        <x:f>IF(OR((-D65)&lt;=0,(365*AVERAGE(C52,D52))&lt;0),"n/m",(365*AVERAGE(C52,D52))/(-D65))</x:f>
        <x:v>16.688960895928066</x:v>
      </x:c>
      <x:c r="E122" s="65" t="n">
        <x:f>IF(OR((-E65)&lt;=0,(365*AVERAGE(D52,E52))&lt;0),"n/m",(365*AVERAGE(D52,E52))/(-E65))</x:f>
        <x:v>20.323804785769745</x:v>
      </x:c>
      <x:c r="F122" s="65" t="n">
        <x:f>IF(OR((-F65)&lt;=0,(365*AVERAGE(E52,F52))&lt;0),"n/m",(365*AVERAGE(E52,F52))/(-F65))</x:f>
        <x:v>17.96598297778959</x:v>
      </x:c>
      <x:c r="G122" s="65" t="n">
        <x:f>IF(OR((-G65)&lt;=0,(365*AVERAGE(F52,G52))&lt;0),"n/m",(365*AVERAGE(F52,G52))/(-G65))</x:f>
        <x:v>15.14066821634052</x:v>
      </x:c>
    </x:row>
    <x:row r="123" ht="15" hidden="0">
      <x:c r="A123" s="134" t="str">
        <x:v>12. Operating cycle (days)</x:v>
      </x:c>
      <x:c r="B123" s="128" t="str">
        <x:v>DIO + DSO</x:v>
      </x:c>
      <x:c r="C123" s="65" t="n">
        <x:f>IF(OR((1)&lt;=0,(365*AVERAGE(H54,C54)/(-C65)+365*AVERAGE(H20,C20)/C64)&lt;0),"n/m",(365*AVERAGE(H54,C54)/(-C65)+365*AVERAGE(H20,C20)/C64)/(1))</x:f>
        <x:v>120.37486362875428</x:v>
      </x:c>
      <x:c r="D123" s="65" t="n">
        <x:f>IF(OR((1)&lt;=0,(365*AVERAGE(C54,D54)/(-D65)+365*AVERAGE(C20,D20)/D64)&lt;0),"n/m",(365*AVERAGE(C54,D54)/(-D65)+365*AVERAGE(C20,D20)/D64)/(1))</x:f>
        <x:v>112.18423817026765</x:v>
      </x:c>
      <x:c r="E123" s="65" t="n">
        <x:f>IF(OR((1)&lt;=0,(365*AVERAGE(D54,E54)/(-E65)+365*AVERAGE(D20,E20)/E64)&lt;0),"n/m",(365*AVERAGE(D54,E54)/(-E65)+365*AVERAGE(D20,E20)/E64)/(1))</x:f>
        <x:v>133.85744190022098</x:v>
      </x:c>
      <x:c r="F123" s="65" t="n">
        <x:f>IF(OR((1)&lt;=0,(365*AVERAGE(E54,F54)/(-F65)+365*AVERAGE(E20,F20)/F64)&lt;0),"n/m",(365*AVERAGE(E54,F54)/(-F65)+365*AVERAGE(E20,F20)/F64)/(1))</x:f>
        <x:v>127.30703023703913</x:v>
      </x:c>
      <x:c r="G123" s="65" t="n">
        <x:f>IF(OR((1)&lt;=0,(365*AVERAGE(F54,G54)/(-G65)+365*AVERAGE(F20,G20)/G64)&lt;0),"n/m",(365*AVERAGE(F54,G54)/(-G65)+365*AVERAGE(F20,G20)/G64)/(1))</x:f>
        <x:v>141.02955321201802</x:v>
      </x:c>
    </x:row>
    <x:row r="124" ht="15" hidden="0">
      <x:c r="A124" s="134" t="str">
        <x:v>13. Cash conversion cycle (days)</x:v>
      </x:c>
      <x:c r="B124" s="128" t="str">
        <x:v>DIO + DSO - DPO</x:v>
      </x:c>
      <x:c r="C124" s="65" t="n">
        <x:f>IF(OR((1)&lt;=0,(365*AVERAGE(H54,C54)/(-C65)+365*AVERAGE(H20,C20)/C64-365*AVERAGE(H52,C52)/(-C65))&lt;0),"n/m",(365*AVERAGE(H54,C54)/(-C65)+365*AVERAGE(H20,C20)/C64-365*AVERAGE(H52,C52)/(-C65))/(1))</x:f>
        <x:v>108.16978620747179</x:v>
      </x:c>
      <x:c r="D124" s="65" t="n">
        <x:f>IF(OR((1)&lt;=0,(365*AVERAGE(C54,D54)/(-D65)+365*AVERAGE(C20,D20)/D64-365*AVERAGE(C52,D52)/(-D65))&lt;0),"n/m",(365*AVERAGE(C54,D54)/(-D65)+365*AVERAGE(C20,D20)/D64-365*AVERAGE(C52,D52)/(-D65))/(1))</x:f>
        <x:v>95.49527727433959</x:v>
      </x:c>
      <x:c r="E124" s="65" t="n">
        <x:f>IF(OR((1)&lt;=0,(365*AVERAGE(D54,E54)/(-E65)+365*AVERAGE(D20,E20)/E64-365*AVERAGE(D52,E52)/(-E65))&lt;0),"n/m",(365*AVERAGE(D54,E54)/(-E65)+365*AVERAGE(D20,E20)/E64-365*AVERAGE(D52,E52)/(-E65))/(1))</x:f>
        <x:v>113.53363711445124</x:v>
      </x:c>
      <x:c r="F124" s="65" t="n">
        <x:f>IF(OR((1)&lt;=0,(365*AVERAGE(E54,F54)/(-F65)+365*AVERAGE(E20,F20)/F64-365*AVERAGE(E52,F52)/(-F65))&lt;0),"n/m",(365*AVERAGE(E54,F54)/(-F65)+365*AVERAGE(E20,F20)/F64-365*AVERAGE(E52,F52)/(-F65))/(1))</x:f>
        <x:v>109.34104725924954</x:v>
      </x:c>
      <x:c r="G124" s="65" t="n">
        <x:f>IF(OR((1)&lt;=0,(365*AVERAGE(F54,G54)/(-G65)+365*AVERAGE(F20,G20)/G64-365*AVERAGE(F52,G52)/(-G65))&lt;0),"n/m",(365*AVERAGE(F54,G54)/(-G65)+365*AVERAGE(F20,G20)/G64-365*AVERAGE(F52,G52)/(-G65))/(1))</x:f>
        <x:v>125.8888849956775</x:v>
      </x:c>
    </x:row>
    <x:row r="125" ht="15" hidden="0">
      <x:c r="A125" s="134" t="str">
        <x:v>14. Total asset turnover</x:v>
      </x:c>
      <x:c r="B125" s="128" t="str">
        <x:v>Net Sales / Average Total Assets</x:v>
      </x:c>
      <x:c r="C125" s="63" t="n">
        <x:f>IF(OR((AVERAGE(H25,C25))&lt;=0,(C64)&lt;0),"n/m",(C64)/(AVERAGE(H25,C25)))</x:f>
        <x:v>0.7673483591494026</x:v>
      </x:c>
      <x:c r="D125" s="63" t="n">
        <x:f>IF(OR((AVERAGE(C25,D25))&lt;=0,(D64)&lt;0),"n/m",(D64)/(AVERAGE(C25,D25)))</x:f>
        <x:v>0.7342538737719585</x:v>
      </x:c>
      <x:c r="E125" s="63" t="n">
        <x:f>IF(OR((AVERAGE(D25,E25))&lt;=0,(E64)&lt;0),"n/m",(E64)/(AVERAGE(D25,E25)))</x:f>
        <x:v>0.5391058922773014</x:v>
      </x:c>
      <x:c r="F125" s="63" t="n">
        <x:f>IF(OR((AVERAGE(E25,F25))&lt;=0,(F64)&lt;0),"n/m",(F64)/(AVERAGE(E25,F25)))</x:f>
        <x:v>0.5587159547520806</x:v>
      </x:c>
      <x:c r="G125" s="63" t="n">
        <x:f>IF(OR((AVERAGE(F25,G25))&lt;=0,(G64)&lt;0),"n/m",(G64)/(AVERAGE(F25,G25)))</x:f>
        <x:v>0.576736892706269</x:v>
      </x:c>
    </x:row>
    <x:row r="126" ht="15" hidden="0">
      <x:c r="A126" s="134" t="str">
        <x:v>15. Fixed asset turnover</x:v>
      </x:c>
      <x:c r="B126" s="128" t="str">
        <x:v>Net Sales / Average Operating Fixed Assets</x:v>
      </x:c>
      <x:c r="C126" s="63" t="n">
        <x:f>IF(OR((AVERAGE(H53,C53))&lt;=0,(C64)&lt;0),"n/m",(C64)/(AVERAGE(H53,C53)))</x:f>
        <x:v>1.121529000686929</x:v>
      </x:c>
      <x:c r="D126" s="63" t="n">
        <x:f>IF(OR((AVERAGE(C53,D53))&lt;=0,(D64)&lt;0),"n/m",(D64)/(AVERAGE(C53,D53)))</x:f>
        <x:v>1.6551596506379742</x:v>
      </x:c>
      <x:c r="E126" s="63" t="n">
        <x:f>IF(OR((AVERAGE(D53,E53))&lt;=0,(E64)&lt;0),"n/m",(E64)/(AVERAGE(D53,E53)))</x:f>
        <x:v>1.1919170397378338</x:v>
      </x:c>
      <x:c r="F126" s="63" t="n">
        <x:f>IF(OR((AVERAGE(E53,F53))&lt;=0,(F64)&lt;0),"n/m",(F64)/(AVERAGE(E53,F53)))</x:f>
        <x:v>0.8889851122075039</x:v>
      </x:c>
      <x:c r="G126" s="63" t="n">
        <x:f>IF(OR((AVERAGE(F53,G53))&lt;=0,(G64)&lt;0),"n/m",(G64)/(AVERAGE(F53,G53)))</x:f>
        <x:v>0.8108018836700552</x:v>
      </x:c>
    </x:row>
    <x:row r="127" ht="22" hidden="0" customHeight="1">
      <x:c r="A127" s="125" t="str">
        <x:v>Debt Management</x:v>
      </x:c>
      <x:c r="B127" s="126"/>
      <x:c r="C127" s="71"/>
      <x:c r="D127" s="71"/>
      <x:c r="E127" s="71"/>
      <x:c r="F127" s="71"/>
      <x:c r="G127" s="71"/>
    </x:row>
    <x:row r="128" ht="15" hidden="0">
      <x:c r="A128" s="134" t="str">
        <x:v>16. Debt ratio</x:v>
      </x:c>
      <x:c r="B128" s="128" t="str">
        <x:v>Total Liabilities / Total Assets</x:v>
      </x:c>
      <x:c r="C128" s="66" t="n">
        <x:f>IF(OR((C25)&lt;=0,(C49)&lt;0),"n/m",(C49)/(C25))</x:f>
        <x:v>0.3164714817070282</x:v>
      </x:c>
      <x:c r="D128" s="66" t="n">
        <x:f>IF(OR((D25)&lt;=0,(D49)&lt;0),"n/m",(D49)/(D25))</x:f>
        <x:v>0.4921984828292214</x:v>
      </x:c>
      <x:c r="E128" s="66" t="n">
        <x:f>IF(OR((E25)&lt;=0,(E49)&lt;0),"n/m",(E49)/(E25))</x:f>
        <x:v>0.530530558146142</x:v>
      </x:c>
      <x:c r="F128" s="66" t="n">
        <x:f>IF(OR((F25)&lt;=0,(F49)&lt;0),"n/m",(F49)/(F25))</x:f>
        <x:v>0.5028400637434024</x:v>
      </x:c>
      <x:c r="G128" s="66" t="n">
        <x:f>IF(OR((G25)&lt;=0,(G49)&lt;0),"n/m",(G49)/(G25))</x:f>
        <x:v>0.4760663500346739</x:v>
      </x:c>
    </x:row>
    <x:row r="129" ht="15" hidden="0">
      <x:c r="A129" s="134" t="str">
        <x:v>17. Debt-to-equity</x:v>
      </x:c>
      <x:c r="B129" s="128" t="str">
        <x:v>Total Liabilities / Total Equity</x:v>
      </x:c>
      <x:c r="C129" s="63" t="n">
        <x:f>IF(OR((C29)&lt;=0,(C49)&lt;0),"n/m",(C49)/(C29))</x:f>
        <x:v>0.4629967488370152</x:v>
      </x:c>
      <x:c r="D129" s="63" t="n">
        <x:f>IF(OR((D29)&lt;=0,(D49)&lt;0),"n/m",(D49)/(D29))</x:f>
        <x:v>0.9692733601339171</x:v>
      </x:c>
      <x:c r="E129" s="63" t="n">
        <x:f>IF(OR((E29)&lt;=0,(E49)&lt;0),"n/m",(E49)/(E29))</x:f>
        <x:v>1.130064091181662</x:v>
      </x:c>
      <x:c r="F129" s="63" t="n">
        <x:f>IF(OR((F29)&lt;=0,(F49)&lt;0),"n/m",(F49)/(F29))</x:f>
        <x:v>1.0114251512894896</x:v>
      </x:c>
      <x:c r="G129" s="63" t="n">
        <x:f>IF(OR((G29)&lt;=0,(G49)&lt;0),"n/m",(G49)/(G29))</x:f>
        <x:v>0.9086386225931091</x:v>
      </x:c>
    </x:row>
    <x:row r="130" ht="15" hidden="0">
      <x:c r="A130" s="134" t="str">
        <x:v>18. Total debt-to-capital</x:v>
      </x:c>
      <x:c r="B130" s="128" t="str">
        <x:v>Interest-bearing Debt / (IBD + Equity)</x:v>
      </x:c>
      <x:c r="C130" s="66" t="n">
        <x:f>IF(OR((C55+C29)&lt;=0,(C55)&lt;0),"n/m",(C55)/(C55+C29))</x:f>
        <x:v>0.09936978984482135</x:v>
      </x:c>
      <x:c r="D130" s="66" t="n">
        <x:f>IF(OR((D55+D29)&lt;=0,(D55)&lt;0),"n/m",(D55)/(D55+D29))</x:f>
        <x:v>0.3098205379736645</x:v>
      </x:c>
      <x:c r="E130" s="66" t="n">
        <x:f>IF(OR((E55+E29)&lt;=0,(E55)&lt;0),"n/m",(E55)/(E55+E29))</x:f>
        <x:v>0.3841453138694019</x:v>
      </x:c>
      <x:c r="F130" s="66" t="n">
        <x:f>IF(OR((F55+F29)&lt;=0,(F55)&lt;0),"n/m",(F55)/(F55+F29))</x:f>
        <x:v>0.3326685523287222</x:v>
      </x:c>
      <x:c r="G130" s="66" t="n">
        <x:f>IF(OR((G55+G29)&lt;=0,(G55)&lt;0),"n/m",(G55)/(G55+G29))</x:f>
        <x:v>0.3220730092552348</x:v>
      </x:c>
    </x:row>
    <x:row r="131" ht="15" hidden="0">
      <x:c r="A131" s="134" t="str">
        <x:v>19. Long-term debt ratio</x:v>
      </x:c>
      <x:c r="B131" s="128" t="str">
        <x:v>Long-term IBD / Total Assets</x:v>
      </x:c>
      <x:c r="C131" s="66" t="n">
        <x:f>IF(OR((C25)&lt;=0,(C56)&lt;0),"n/m",(C56)/(C25))</x:f>
        <x:v>0.01659494791985876</x:v>
      </x:c>
      <x:c r="D131" s="66" t="n">
        <x:f>IF(OR((D25)&lt;=0,(D56)&lt;0),"n/m",(D56)/(D25))</x:f>
        <x:v>0.1727906268810509</x:v>
      </x:c>
      <x:c r="E131" s="66" t="n">
        <x:f>IF(OR((E25)&lt;=0,(E56)&lt;0),"n/m",(E56)/(E25))</x:f>
        <x:v>0.22975152572601862</x:v>
      </x:c>
      <x:c r="F131" s="66" t="n">
        <x:f>IF(OR((F25)&lt;=0,(F56)&lt;0),"n/m",(F56)/(F25))</x:f>
        <x:v>0.203376413547186</x:v>
      </x:c>
      <x:c r="G131" s="66" t="n">
        <x:f>IF(OR((G25)&lt;=0,(G56)&lt;0),"n/m",(G56)/(G25))</x:f>
        <x:v>0.15113814624398686</x:v>
      </x:c>
    </x:row>
    <x:row r="132" ht="15" hidden="0">
      <x:c r="A132" s="134" t="str">
        <x:v>20. Times interest earned</x:v>
      </x:c>
      <x:c r="B132" s="128" t="str">
        <x:v>EBIT / Interest Expense</x:v>
      </x:c>
      <x:c r="C132" s="63" t="n">
        <x:f>IF(OR((C85)&lt;=0,(C82)&lt;0),"n/m",(C82)/(C85))</x:f>
        <x:v>56.640991401771736</x:v>
      </x:c>
      <x:c r="D132" s="63" t="n">
        <x:f>IF(OR((D85)&lt;=0,(D82)&lt;0),"n/m",(D82)/(D85))</x:f>
        <x:v>12.790793831338474</x:v>
      </x:c>
      <x:c r="E132" s="63" t="n">
        <x:f>IF(OR((E85)&lt;=0,(E82)&lt;0),"n/m",(E82)/(E85))</x:f>
        <x:v>6.303455869186725</x:v>
      </x:c>
      <x:c r="F132" s="63" t="n">
        <x:f>IF(OR((F85)&lt;=0,(F82)&lt;0),"n/m",(F82)/(F85))</x:f>
        <x:v>3.782086656189459</x:v>
      </x:c>
      <x:c r="G132" s="63" t="n">
        <x:f>IF(OR((G85)&lt;=0,(G82)&lt;0),"n/m",(G82)/(G85))</x:f>
        <x:v>4.810770991481205</x:v>
      </x:c>
    </x:row>
    <x:row r="133" ht="22" hidden="0" customHeight="1">
      <x:c r="A133" s="129" t="str">
        <x:v>Profitability</x:v>
      </x:c>
      <x:c r="B133" s="130" t="s">
        <x:v>146</x:v>
      </x:c>
      <x:c r="C133" s="77" t="str">
        <x:f aca="0">IF(C83&lt;=0,"n/m",C57/C83)</x:f>
        <x:v>n/m</x:v>
      </x:c>
      <x:c r="D133" s="77" t="str">
        <x:f aca="0">IF(D83&lt;=0,"n/m",D57/D83)</x:f>
        <x:v>n/m</x:v>
      </x:c>
      <x:c r="E133" s="77" t="str">
        <x:f aca="0">IF(E83&lt;=0,"n/m",E57/E83)</x:f>
        <x:v>n/m</x:v>
      </x:c>
      <x:c r="F133" s="77" t="str">
        <x:f aca="0">IF(F83&lt;=0,"n/m",F57/F83)</x:f>
        <x:v>n/m</x:v>
      </x:c>
      <x:c r="G133" s="77" t="str">
        <x:f aca="0">IF(G83&lt;=0,"n/m",G57/G83)</x:f>
        <x:v>n/m</x:v>
      </x:c>
    </x:row>
    <x:row r="134" ht="15" hidden="0">
      <x:c r="A134" s="134" t="str">
        <x:v>21. Gross profit margin</x:v>
      </x:c>
      <x:c r="B134" s="128" t="str">
        <x:v>Gross Profit / Net Sales</x:v>
      </x:c>
      <x:c r="C134" s="66" t="n">
        <x:f>IF(OR((C64)&lt;=0,(C66)&lt;0),"n/m",(C66)/(C64))</x:f>
        <x:v>0.24985924725452316</x:v>
      </x:c>
      <x:c r="D134" s="66" t="n">
        <x:f>IF(OR((D64)&lt;=0,(D66)&lt;0),"n/m",(D66)/(D64))</x:f>
        <x:v>0.28507903988852556</x:v>
      </x:c>
      <x:c r="E134" s="66" t="n">
        <x:f>IF(OR((E64)&lt;=0,(E66)&lt;0),"n/m",(E66)/(E64))</x:f>
        <x:v>0.2999660404821077</x:v>
      </x:c>
      <x:c r="F134" s="66" t="n">
        <x:f>IF(OR((F64)&lt;=0,(F66)&lt;0),"n/m",(F66)/(F64))</x:f>
        <x:v>0.3208998635022473</x:v>
      </x:c>
      <x:c r="G134" s="66" t="n">
        <x:f>IF(OR((G64)&lt;=0,(G66)&lt;0),"n/m",(G66)/(G64))</x:f>
        <x:v>0.3549084220292905</x:v>
      </x:c>
    </x:row>
    <x:row r="135" ht="15" hidden="0">
      <x:c r="A135" s="134" t="str">
        <x:v>22. Operating margin</x:v>
      </x:c>
      <x:c r="B135" s="128" t="str">
        <x:v>Operating Profit / Net Sales</x:v>
      </x:c>
      <x:c r="C135" s="66" t="n">
        <x:f>IF(OR((C64)&lt;=0,(C71)&lt;0),"n/m",(C71)/(C64))</x:f>
        <x:v>0.20485989925955708</x:v>
      </x:c>
      <x:c r="D135" s="66" t="n">
        <x:f>IF(OR((D64)&lt;=0,(D71)&lt;0),"n/m",(D71)/(D64))</x:f>
        <x:v>0.21665144691719232</x:v>
      </x:c>
      <x:c r="E135" s="66" t="n">
        <x:f>IF(OR((E64)&lt;=0,(E71)&lt;0),"n/m",(E71)/(E64))</x:f>
        <x:v>0.2289064691471258</x:v>
      </x:c>
      <x:c r="F135" s="66" t="n">
        <x:f>IF(OR((F64)&lt;=0,(F71)&lt;0),"n/m",(F71)/(F64))</x:f>
        <x:v>0.25056237189043495</x:v>
      </x:c>
      <x:c r="G135" s="66" t="n">
        <x:f>IF(OR((G64)&lt;=0,(G71)&lt;0),"n/m",(G71)/(G64))</x:f>
        <x:v>0.2862983395627571</x:v>
      </x:c>
    </x:row>
    <x:row r="136" ht="15" hidden="0">
      <x:c r="A136" s="134" t="str">
        <x:v>23. Net profit margin</x:v>
      </x:c>
      <x:c r="B136" s="128" t="str">
        <x:v>Net Profit / Net Sales</x:v>
      </x:c>
      <x:c r="C136" s="66" t="n">
        <x:f>IF(OR((C64)&lt;=0,(C79)&lt;0),"n/m",(C79)/(C64))</x:f>
        <x:v>0.14302295902338913</x:v>
      </x:c>
      <x:c r="D136" s="66" t="n">
        <x:f>IF(OR((D64)&lt;=0,(D79)&lt;0),"n/m",(D79)/(D64))</x:f>
        <x:v>0.13112336204567002</x:v>
      </x:c>
      <x:c r="E136" s="66" t="n">
        <x:f>IF(OR((E64)&lt;=0,(E79)&lt;0),"n/m",(E79)/(E64))</x:f>
        <x:v>0.10929571726641699</x:v>
      </x:c>
      <x:c r="F136" s="66" t="n">
        <x:f>IF(OR((F64)&lt;=0,(F79)&lt;0),"n/m",(F79)/(F64))</x:f>
        <x:v>0.10275526425549537</x:v>
      </x:c>
      <x:c r="G136" s="66" t="n">
        <x:f>IF(OR((G64)&lt;=0,(G79)&lt;0),"n/m",(G79)/(G64))</x:f>
        <x:v>0.14980611609777766</x:v>
      </x:c>
    </x:row>
    <x:row r="137" ht="15" hidden="0">
      <x:c r="A137" s="134" t="str">
        <x:v>24. Return on assets</x:v>
      </x:c>
      <x:c r="B137" s="128" t="str">
        <x:v>Net Profit / Average Total Assets</x:v>
      </x:c>
      <x:c r="C137" s="66" t="n">
        <x:f>IF(OR((AVERAGE(H25,C25))&lt;=0,(C79)&lt;0),"n/m",(C79)/(AVERAGE(H25,C25)))</x:f>
        <x:v>0.10974843292728989</x:v>
      </x:c>
      <x:c r="D137" s="66" t="n">
        <x:f>IF(OR((AVERAGE(C25,D25))&lt;=0,(D79)&lt;0),"n/m",(D79)/(AVERAGE(C25,D25)))</x:f>
        <x:v>0.09627783652403621</x:v>
      </x:c>
      <x:c r="E137" s="66" t="n">
        <x:f>IF(OR((AVERAGE(D25,E25))&lt;=0,(E79)&lt;0),"n/m",(E79)/(AVERAGE(D25,E25)))</x:f>
        <x:v>0.0589219651789994</x:v>
      </x:c>
      <x:c r="F137" s="66" t="n">
        <x:f>IF(OR((AVERAGE(E25,F25))&lt;=0,(F79)&lt;0),"n/m",(F79)/(AVERAGE(E25,F25)))</x:f>
        <x:v>0.05741100557431145</x:v>
      </x:c>
      <x:c r="G137" s="66" t="n">
        <x:f>IF(OR((AVERAGE(F25,G25))&lt;=0,(G79)&lt;0),"n/m",(G79)/(AVERAGE(F25,G25)))</x:f>
        <x:v>0.08639871390662689</x:v>
      </x:c>
    </x:row>
    <x:row r="138" ht="15" hidden="0">
      <x:c r="A138" s="134" t="str">
        <x:v>25. Return on equity</x:v>
      </x:c>
      <x:c r="B138" s="128" t="str">
        <x:v>Net Profit / Average Equity</x:v>
      </x:c>
      <x:c r="C138" s="66" t="n">
        <x:f>IF(OR((AVERAGE(H29,C29))&lt;=0,(C79)&lt;0),"n/m",(C79)/(AVERAGE(H29,C29)))</x:f>
        <x:v>0.16115839021414832</x:v>
      </x:c>
      <x:c r="D138" s="66" t="n">
        <x:f>IF(OR((AVERAGE(C29,D29))&lt;=0,(D79)&lt;0),"n/m",(D79)/(AVERAGE(C29,D29)))</x:f>
        <x:v>0.17559284966237051</x:v>
      </x:c>
      <x:c r="E138" s="66" t="n">
        <x:f>IF(OR((AVERAGE(D29,E29))&lt;=0,(E79)&lt;0),"n/m",(E79)/(AVERAGE(D29,E29)))</x:f>
        <x:v>0.12105723655011702</x:v>
      </x:c>
      <x:c r="F138" s="66" t="n">
        <x:f>IF(OR((AVERAGE(E29,F29))&lt;=0,(F79)&lt;0),"n/m",(F79)/(AVERAGE(E29,F29)))</x:f>
        <x:v>0.11868144080382984</x:v>
      </x:c>
      <x:c r="G138" s="66" t="n">
        <x:f>IF(OR((AVERAGE(F29,G29))&lt;=0,(G79)&lt;0),"n/m",(G79)/(AVERAGE(F29,G29)))</x:f>
        <x:v>0.1690380202363196</x:v>
      </x:c>
    </x:row>
    <x:row r="139" ht="15" hidden="0">
      <x:c r="A139" s="134" t="str">
        <x:v>26. Return on invested capital</x:v>
      </x:c>
      <x:c r="B139" s="128" t="str">
        <x:v>NOPAT / Average Invested Capital</x:v>
      </x:c>
      <x:c r="C139" s="66" t="n">
        <x:f>IF(OR((AVERAGE(H58,C58))&lt;=0,(C88)&lt;0),"n/m",(C88)/(AVERAGE(H58,C58)))</x:f>
        <x:v>0.14667479520486254</x:v>
      </x:c>
      <x:c r="D139" s="66" t="n">
        <x:f>IF(OR((AVERAGE(C58,D58))&lt;=0,(D88)&lt;0),"n/m",(D88)/(AVERAGE(C58,D58)))</x:f>
        <x:v>0.14345364774826339</x:v>
      </x:c>
      <x:c r="E139" s="66" t="n">
        <x:f>IF(OR((AVERAGE(D58,E58))&lt;=0,(E88)&lt;0),"n/m",(E88)/(AVERAGE(D58,E58)))</x:f>
        <x:v>0.1007154983763438</x:v>
      </x:c>
      <x:c r="F139" s="66" t="n">
        <x:f>IF(OR((AVERAGE(E58,F58))&lt;=0,(F88)&lt;0),"n/m",(F88)/(AVERAGE(E58,F58)))</x:f>
        <x:v>0.10367976942536491</x:v>
      </x:c>
      <x:c r="G139" s="66" t="n">
        <x:f>IF(OR((AVERAGE(F58,G58))&lt;=0,(G88)&lt;0),"n/m",(G88)/(AVERAGE(F58,G58)))</x:f>
        <x:v>0.1442582907627069</x:v>
      </x:c>
    </x:row>
    <x:row r="140" ht="15" hidden="0">
      <x:c r="A140" s="134" t="str">
        <x:v>27. Basic earning power</x:v>
      </x:c>
      <x:c r="B140" s="128" t="str">
        <x:v>EBIT / Average Total Assets</x:v>
      </x:c>
      <x:c r="C140" s="66" t="n">
        <x:f>IF(OR((AVERAGE(H25,C25))&lt;=0,(C82)&lt;0),"n/m",(C82)/(AVERAGE(H25,C25)))</x:f>
        <x:v>0.16494792527118216</x:v>
      </x:c>
      <x:c r="D140" s="66" t="n">
        <x:f>IF(OR((AVERAGE(C25,D25))&lt;=0,(D82)&lt;0),"n/m",(D82)/(AVERAGE(C25,D25)))</x:f>
        <x:v>0.1723137524694703</x:v>
      </x:c>
      <x:c r="E140" s="66" t="n">
        <x:f>IF(OR((AVERAGE(D25,E25))&lt;=0,(E82)&lt;0),"n/m",(E82)/(AVERAGE(D25,E25)))</x:f>
        <x:v>0.13103867634936517</x:v>
      </x:c>
      <x:c r="F140" s="66" t="n">
        <x:f>IF(OR((AVERAGE(E25,F25))&lt;=0,(F82)&lt;0),"n/m",(F82)/(AVERAGE(E25,F25)))</x:f>
        <x:v>0.1458556324666155</x:v>
      </x:c>
      <x:c r="G140" s="66" t="n">
        <x:f>IF(OR((AVERAGE(F25,G25))&lt;=0,(G82)&lt;0),"n/m",(G82)/(AVERAGE(F25,G25)))</x:f>
        <x:v>0.1769808100965798</x:v>
      </x:c>
    </x:row>
    <x:row r="141" ht="22" hidden="0" customHeight="1">
      <x:c r="A141" s="129" t="str">
        <x:v>Market Value</x:v>
      </x:c>
      <x:c r="B141" s="130" t="s">
        <x:v>147</x:v>
      </x:c>
      <x:c r="C141" s="79" t="n">
        <x:f aca="0">C82/AVERAGE(H25,C25)</x:f>
        <x:v>0.16494792527118216</x:v>
      </x:c>
      <x:c r="D141" s="79" t="n">
        <x:f aca="0">D82/AVERAGE(C25,D25)</x:f>
        <x:v>0.1723137524694703</x:v>
      </x:c>
      <x:c r="E141" s="79" t="n">
        <x:f aca="0">E82/AVERAGE(D25,E25)</x:f>
        <x:v>0.13103867634936517</x:v>
      </x:c>
      <x:c r="F141" s="79" t="n">
        <x:f aca="0">F82/AVERAGE(E25,F25)</x:f>
        <x:v>0.1458556324666155</x:v>
      </x:c>
      <x:c r="G141" s="79" t="n">
        <x:f aca="0">G82/AVERAGE(F25,G25)</x:f>
        <x:v>0.1769808100965798</x:v>
      </x:c>
    </x:row>
    <x:row r="142" ht="15" hidden="0">
      <x:c r="A142" s="134" t="str">
        <x:v>28. Book value per share (Rs)</x:v>
      </x:c>
      <x:c r="B142" s="128" t="str">
        <x:v>Total Equity / Shares Outstanding</x:v>
      </x:c>
      <x:c r="C142" s="67" t="n">
        <x:f>IF(OR((C103)&lt;=0,(C29)&lt;0),"n/m",(C29)/(C103))</x:f>
        <x:v>16.868689643176804</x:v>
      </x:c>
      <x:c r="D142" s="67" t="n">
        <x:f>IF(OR((D103)&lt;=0,(D29)&lt;0),"n/m",(D29)/(D103))</x:f>
        <x:v>26.480675904195227</x:v>
      </x:c>
      <x:c r="E142" s="67" t="n">
        <x:f>IF(OR((E103)&lt;=0,(E29)&lt;0),"n/m",(E29)/(E103))</x:f>
        <x:v>26.57145800660424</x:v>
      </x:c>
      <x:c r="F142" s="67" t="n">
        <x:f>IF(OR((F103)&lt;=0,(F29)&lt;0),"n/m",(F29)/(F103))</x:f>
        <x:v>29.923935347634316</x:v>
      </x:c>
      <x:c r="G142" s="67" t="n">
        <x:f>IF(OR((G103)&lt;=0,(G29)&lt;0),"n/m",(G29)/(G103))</x:f>
        <x:v>34.35688707280468</x:v>
      </x:c>
    </x:row>
    <x:row r="143" ht="15" hidden="0">
      <x:c r="A143" s="134" t="str">
        <x:v>29. Market-to-book ratio</x:v>
      </x:c>
      <x:c r="B143" s="128" t="str">
        <x:v>Share Price / BVPS</x:v>
      </x:c>
      <x:c r="C143" s="63" t="n">
        <x:f>IF(OR((C29/C103)&lt;=0,(C105)&lt;0),"n/m",(C105)/(C29/C103))</x:f>
        <x:v>1.3634728296339984</x:v>
      </x:c>
      <x:c r="D143" s="63" t="n">
        <x:f>IF(OR((D29/D103)&lt;=0,(D105)&lt;0),"n/m",(D105)/(D29/D103))</x:f>
        <x:v>0.535107187266134</x:v>
      </x:c>
      <x:c r="E143" s="63" t="n">
        <x:f>IF(OR((E29/E103)&lt;=0,(E105)&lt;0),"n/m",(E105)/(E29/E103))</x:f>
        <x:v>0.4425801548818697</x:v>
      </x:c>
      <x:c r="F143" s="63" t="n">
        <x:f>IF(OR((F29/F103)&lt;=0,(F105)&lt;0),"n/m",(F105)/(F29/F103))</x:f>
        <x:v>0.7656078565151421</x:v>
      </x:c>
      <x:c r="G143" s="63" t="n">
        <x:f>IF(OR((G29/G103)&lt;=0,(G105)&lt;0),"n/m",(G105)/(G29/G103))</x:f>
        <x:v>1.3001759998029245</x:v>
      </x:c>
    </x:row>
    <x:row r="144" ht="15" hidden="0">
      <x:c r="A144" s="134" t="str">
        <x:v>30. Earnings per share (Rs)</x:v>
      </x:c>
      <x:c r="B144" s="128" t="str">
        <x:v>Net Profit / Weighted Average Shares</x:v>
      </x:c>
      <x:c r="C144" s="67" t="n">
        <x:f>IF(OR((C104)&lt;=0,(C79)&lt;0),"n/m",(C79)/(C104))</x:f>
        <x:v>2.5158090033808875</x:v>
      </x:c>
      <x:c r="D144" s="67" t="n">
        <x:f>IF(OR((D104)&lt;=0,(D79)&lt;0),"n/m",(D79)/(D104))</x:f>
        <x:v>3.2621706372812294</x:v>
      </x:c>
      <x:c r="E144" s="67" t="n">
        <x:f>IF(OR((E104)&lt;=0,(E79)&lt;0),"n/m",(E79)/(E104))</x:f>
        <x:v>3.0330791851886794</x:v>
      </x:c>
      <x:c r="F144" s="67" t="n">
        <x:f>IF(OR((F104)&lt;=0,(F79)&lt;0),"n/m",(F79)/(F104))</x:f>
        <x:v>3.3524781610919856</x:v>
      </x:c>
      <x:c r="G144" s="67" t="n">
        <x:f>IF(OR((G104)&lt;=0,(G79)&lt;0),"n/m",(G79)/(G104))</x:f>
        <x:v>5.432952809531124</x:v>
      </x:c>
    </x:row>
    <x:row r="145" ht="15" hidden="0">
      <x:c r="A145" s="134" t="str">
        <x:v>31. Price-to-earnings ratio</x:v>
      </x:c>
      <x:c r="B145" s="128" t="str">
        <x:v>Share Price / EPS</x:v>
      </x:c>
      <x:c r="C145" s="63" t="n">
        <x:f>IF(OR((C79/C104)&lt;=0,(C105)&lt;0),"n/m",(C105)/(C79/C104))</x:f>
        <x:v>9.14218844478706</x:v>
      </x:c>
      <x:c r="D145" s="63" t="n">
        <x:f>IF(OR((D79/D104)&lt;=0,(D105)&lt;0),"n/m",(D105)/(D79/D104))</x:f>
        <x:v>4.343733536823694</x:v>
      </x:c>
      <x:c r="E145" s="63" t="n">
        <x:f>IF(OR((E79/E104)&lt;=0,(E105)&lt;0),"n/m",(E105)/(E79/E104))</x:f>
        <x:v>3.877247932539039</x:v>
      </x:c>
      <x:c r="F145" s="63" t="n">
        <x:f>IF(OR((F79/F104)&lt;=0,(F105)&lt;0),"n/m",(F105)/(F79/F104))</x:f>
        <x:v>6.833750705936781</x:v>
      </x:c>
      <x:c r="G145" s="63" t="n">
        <x:f>IF(OR((G79/G104)&lt;=0,(G105)&lt;0),"n/m",(G105)/(G79/G104))</x:f>
        <x:v>8.222048224242743</x:v>
      </x:c>
    </x:row>
    <x:row r="146" ht="15" hidden="0">
      <x:c r="A146" s="134" t="str">
        <x:v>32. Dividend yield</x:v>
      </x:c>
      <x:c r="B146" s="128" t="str">
        <x:v>DPS / Share Price</x:v>
      </x:c>
      <x:c r="C146" s="66" t="n">
        <x:f>IF(OR((C105)&lt;=0,(C106)&lt;0),"n/m",(C106)/(C105))</x:f>
        <x:v>0</x:v>
      </x:c>
      <x:c r="D146" s="66" t="n">
        <x:f>IF(OR((D105)&lt;=0,(D106)&lt;0),"n/m",(D106)/(D105))</x:f>
        <x:v>0</x:v>
      </x:c>
      <x:c r="E146" s="66" t="n">
        <x:f>IF(OR((E105)&lt;=0,(E106)&lt;0),"n/m",(E106)/(E105))</x:f>
        <x:v>0</x:v>
      </x:c>
      <x:c r="F146" s="66" t="n">
        <x:f>IF(OR((F105)&lt;=0,(F106)&lt;0),"n/m",(F106)/(F105))</x:f>
        <x:v>0.04364906154517678</x:v>
      </x:c>
      <x:c r="G146" s="66" t="n">
        <x:f>IF(OR((G105)&lt;=0,(G106)&lt;0),"n/m",(G106)/(G105))</x:f>
        <x:v>0.027982986344302664</x:v>
      </x:c>
    </x:row>
    <x:row r="147" ht="15" hidden="0">
      <x:c r="A147" s="134" t="str">
        <x:v>33. Dividend payout ratio</x:v>
      </x:c>
      <x:c r="B147" s="128" t="str">
        <x:v>DPS / EPS</x:v>
      </x:c>
      <x:c r="C147" s="66" t="n">
        <x:f>IF(OR((C79/C104)&lt;=0,(C106)&lt;0),"n/m",(C106)/(C79/C104))</x:f>
        <x:v>0</x:v>
      </x:c>
      <x:c r="D147" s="66" t="n">
        <x:f>IF(OR((D79/D104)&lt;=0,(D106)&lt;0),"n/m",(D106)/(D79/D104))</x:f>
        <x:v>0</x:v>
      </x:c>
      <x:c r="E147" s="66" t="n">
        <x:f>IF(OR((E79/E104)&lt;=0,(E106)&lt;0),"n/m",(E106)/(E79/E104))</x:f>
        <x:v>0</x:v>
      </x:c>
      <x:c r="F147" s="66" t="n">
        <x:f>IF(OR((F79/F104)&lt;=0,(F106)&lt;0),"n/m",(F106)/(F79/F104))</x:f>
        <x:v>0.29828680514782985</x:v>
      </x:c>
      <x:c r="G147" s="66" t="n">
        <x:f>IF(OR((G79/G104)&lt;=0,(G106)&lt;0),"n/m",(G106)/(G79/G104))</x:f>
        <x:v>0.23007746318118263</x:v>
      </x:c>
    </x:row>
    <x:row r="148" ht="15" hidden="0">
      <x:c r="A148" s="111"/>
      <x:c r="B148" s="111"/>
      <x:c r="C148">
        <x:f aca="0"/>
      </x:c>
      <x:c r="D148">
        <x:f aca="0"/>
      </x:c>
      <x:c r="E148">
        <x:f aca="0"/>
      </x:c>
      <x:c r="F148">
        <x:f aca="0"/>
      </x:c>
      <x:c r="G148">
        <x:f aca="0"/>
      </x:c>
    </x:row>
    <x:row r="149" ht="15" hidden="0">
      <x:c r="A149" s="131" t="str">
        <x:v>33 measures: 19 mandatory ratios and 14 additional measures. Ratios use one method across all five companies.</x:v>
      </x:c>
      <x:c r="B149" s="131"/>
      <x:c r="C149" s="80">
        <x:f aca="0"/>
      </x:c>
      <x:c r="D149" s="80">
        <x:f aca="0"/>
      </x:c>
      <x:c r="E149" s="80">
        <x:f aca="0"/>
      </x:c>
      <x:c r="F149" s="80">
        <x:f aca="0"/>
      </x:c>
      <x:c r="G149" s="80">
        <x:f aca="0"/>
      </x:c>
    </x:row>
    <x:row r="150" ht="15" hidden="0">
      <x:c r="A150" s="131" t="str">
        <x:v>n/m: negative calculated measures or non-positive denominators. Signed accounting inputs and raw workings are retained in the audit workbook.</x:v>
      </x:c>
      <x:c r="B150" s="131"/>
      <x:c r="C150" s="80"/>
      <x:c r="D150" s="80"/>
      <x:c r="E150" s="80"/>
      <x:c r="F150" s="80"/>
      <x:c r="G150" s="80"/>
    </x:row>
    <x:row r="151" ht="15" hidden="0">
      <x:c r="A151" s="131" t="str">
        <x:v>DIO includes stores and stock; supplier payables include identified related operating suppliers, excluding contractor retentions, taxes and accruals.</x:v>
      </x:c>
      <x:c r="B151" s="131"/>
      <x:c r="C151" s="80">
        <x:f aca="0"/>
      </x:c>
      <x:c r="D151" s="80">
        <x:f aca="0"/>
      </x:c>
      <x:c r="E151" s="80">
        <x:f aca="0"/>
      </x:c>
      <x:c r="F151" s="80">
        <x:f aca="0"/>
      </x:c>
      <x:c r="G151" s="80">
        <x:f aca="0"/>
      </x:c>
    </x:row>
    <x:row r="152">
      <x:c r="A152" s="111"/>
      <x:c r="B152" s="111"/>
    </x:row>
    <x:row r="153" ht="19.5" hidden="0" customHeight="1">
      <x:c r="A153" s="114" t="s">
        <x:v>148</x:v>
      </x:c>
      <x:c r="B153" s="115"/>
      <x:c r="C153" s="6"/>
      <x:c r="D153" s="6"/>
      <x:c r="E153" s="6"/>
      <x:c r="F153" s="6"/>
      <x:c r="G153" s="6"/>
    </x:row>
    <x:row r="154" ht="15" hidden="0">
      <x:c r="A154" s="132" t="s">
        <x:v>149</x:v>
      </x:c>
      <x:c r="B154" s="132"/>
      <x:c r="C154" s="41" t="s">
        <x:v>49</x:v>
      </x:c>
      <x:c r="D154" s="41" t="s">
        <x:v>50</x:v>
      </x:c>
      <x:c r="E154" s="41" t="s">
        <x:v>51</x:v>
      </x:c>
      <x:c r="F154" s="41" t="s">
        <x:v>52</x:v>
      </x:c>
      <x:c r="G154" s="41" t="s">
        <x:v>53</x:v>
      </x:c>
    </x:row>
    <x:row r="155" ht="15" hidden="0">
      <x:c r="A155" s="127" t="s">
        <x:v>56</x:v>
      </x:c>
      <x:c r="B155" s="127"/>
      <x:c r="C155" s="42" t="n">
        <x:f aca="0">C9/C25</x:f>
        <x:v>0.6290987219016575</x:v>
      </x:c>
      <x:c r="D155" s="42" t="n">
        <x:f aca="0">D9/D25</x:f>
        <x:v>0.6519575084809921</x:v>
      </x:c>
      <x:c r="E155" s="42" t="n">
        <x:f aca="0">E9/E25</x:f>
        <x:v>0.7521883709509583</x:v>
      </x:c>
      <x:c r="F155" s="42" t="n">
        <x:f aca="0">F9/F25</x:f>
        <x:v>0.7508022332637856</x:v>
      </x:c>
      <x:c r="G155" s="42" t="n">
        <x:f aca="0">G9/G25</x:f>
        <x:v>0.6812705329809954</x:v>
      </x:c>
    </x:row>
    <x:row r="156" ht="15" hidden="0">
      <x:c r="A156" s="127" t="s">
        <x:v>63</x:v>
      </x:c>
      <x:c r="B156" s="127"/>
      <x:c r="C156" s="42" t="n">
        <x:f aca="0">C16/C25</x:f>
        <x:v>0.6347160924639562</x:v>
      </x:c>
      <x:c r="D156" s="42" t="n">
        <x:f aca="0">D16/D25</x:f>
        <x:v>0.751826831688631</x:v>
      </x:c>
      <x:c r="E156" s="42" t="n">
        <x:f aca="0">E16/E25</x:f>
        <x:v>0.8333591481581767</x:v>
      </x:c>
      <x:c r="F156" s="42" t="n">
        <x:f aca="0">F16/F25</x:f>
        <x:v>0.8253541224302838</x:v>
      </x:c>
      <x:c r="G156" s="42" t="n">
        <x:f aca="0">G16/G25</x:f>
        <x:v>0.7483756601712761</x:v>
      </x:c>
    </x:row>
    <x:row r="157" ht="15" hidden="0">
      <x:c r="A157" s="127" t="s">
        <x:v>150</x:v>
      </x:c>
      <x:c r="B157" s="127"/>
      <x:c r="C157" s="42" t="n">
        <x:f aca="0">C54/C25</x:f>
        <x:v>0.15975317446895038</x:v>
      </x:c>
      <x:c r="D157" s="42" t="n">
        <x:f aca="0">D54/D25</x:f>
        <x:v>0.1375297490739443</x:v>
      </x:c>
      <x:c r="E157" s="42" t="n">
        <x:f aca="0">E54/E25</x:f>
        <x:v>0.10893662559784105</x:v>
      </x:c>
      <x:c r="F157" s="42" t="n">
        <x:f aca="0">F54/F25</x:f>
        <x:v>0.11240348825054196</x:v>
      </x:c>
      <x:c r="G157" s="42" t="n">
        <x:f aca="0">G54/G25</x:f>
        <x:v>0.12256894270466562</x:v>
      </x:c>
    </x:row>
    <x:row r="158" ht="15" hidden="0">
      <x:c r="A158" s="127" t="s">
        <x:v>67</x:v>
      </x:c>
      <x:c r="B158" s="127"/>
      <x:c r="C158" s="42" t="n">
        <x:f aca="0">C20/C25</x:f>
        <x:v>0.04256989798994374</x:v>
      </x:c>
      <x:c r="D158" s="42" t="n">
        <x:f aca="0">D20/D25</x:f>
        <x:v>0.021220745888252793</x:v>
      </x:c>
      <x:c r="E158" s="42" t="n">
        <x:f aca="0">E20/E25</x:f>
        <x:v>0.02573279317430052</x:v>
      </x:c>
      <x:c r="F158" s="42" t="n">
        <x:f aca="0">F20/F25</x:f>
        <x:v>0.0375601463702365</x:v>
      </x:c>
      <x:c r="G158" s="42" t="n">
        <x:f aca="0">G20/G25</x:f>
        <x:v>0.04296878232436554</x:v>
      </x:c>
    </x:row>
    <x:row r="159" ht="15" hidden="0">
      <x:c r="A159" s="127" t="s">
        <x:v>68</x:v>
      </x:c>
      <x:c r="B159" s="127"/>
      <x:c r="C159" s="42" t="n">
        <x:f aca="0">C21/C25</x:f>
        <x:v>0.12914569386070474</x:v>
      </x:c>
      <x:c r="D159" s="42" t="n">
        <x:f aca="0">D21/D25</x:f>
        <x:v>0.03380013190548508</x:v>
      </x:c>
      <x:c r="E159" s="42" t="n">
        <x:f aca="0">E21/E25</x:f>
        <x:v>0.0018007830193537283</x:v>
      </x:c>
      <x:c r="F159" s="42" t="n">
        <x:f aca="0">F21/F25</x:f>
        <x:v>0.0016933504950567746</x:v>
      </x:c>
      <x:c r="G159" s="42" t="n">
        <x:f aca="0">G21/G25</x:f>
        <x:v>0.05726064884339625</x:v>
      </x:c>
    </x:row>
    <x:row r="160" ht="15" hidden="0">
      <x:c r="A160" s="127" t="s">
        <x:v>69</x:v>
      </x:c>
      <x:c r="B160" s="127"/>
      <x:c r="C160" s="42" t="n">
        <x:f aca="0">C22/C25</x:f>
        <x:v>0.02645283358966994</x:v>
      </x:c>
      <x:c r="D160" s="42" t="n">
        <x:f aca="0">D22/D25</x:f>
        <x:v>0.020287352793134747</x:v>
      </x:c>
      <x:c r="E160" s="42" t="n">
        <x:f aca="0">E22/E25</x:f>
        <x:v>0.006990329946451844</x:v>
      </x:c>
      <x:c r="F160" s="42" t="n">
        <x:f aca="0">F22/F25</x:f>
        <x:v>0.019866279633574395</x:v>
      </x:c>
      <x:c r="G160" s="42" t="n">
        <x:f aca="0">G22/G25</x:f>
        <x:v>0.016570828033024624</x:v>
      </x:c>
    </x:row>
    <x:row r="161" ht="15" hidden="0">
      <x:c r="A161" s="127" t="s">
        <x:v>71</x:v>
      </x:c>
      <x:c r="B161" s="127"/>
      <x:c r="C161" s="42" t="n">
        <x:f aca="0">C24/C25</x:f>
        <x:v>0.3652839075360437</x:v>
      </x:c>
      <x:c r="D161" s="42" t="n">
        <x:f aca="0">D24/D25</x:f>
        <x:v>0.24817316831136904</x:v>
      </x:c>
      <x:c r="E161" s="42" t="n">
        <x:f aca="0">E24/E25</x:f>
        <x:v>0.16664085184182323</x:v>
      </x:c>
      <x:c r="F161" s="42" t="n">
        <x:f aca="0">F24/F25</x:f>
        <x:v>0.1746458775697161</x:v>
      </x:c>
      <x:c r="G161" s="42" t="n">
        <x:f aca="0">G24/G25</x:f>
        <x:v>0.25162433982872384</x:v>
      </x:c>
    </x:row>
    <x:row r="162" ht="15" hidden="0">
      <x:c r="A162" s="127" t="s">
        <x:v>76</x:v>
      </x:c>
      <x:c r="B162" s="127"/>
      <x:c r="C162" s="42" t="n">
        <x:f aca="0">C29/C25</x:f>
        <x:v>0.6835285182929718</x:v>
      </x:c>
      <x:c r="D162" s="42" t="n">
        <x:f aca="0">D29/D25</x:f>
        <x:v>0.5078015171707784</x:v>
      </x:c>
      <x:c r="E162" s="42" t="n">
        <x:f aca="0">E29/E25</x:f>
        <x:v>0.46946944185385797</x:v>
      </x:c>
      <x:c r="F162" s="42" t="n">
        <x:f aca="0">F29/F25</x:f>
        <x:v>0.4971599362565977</x:v>
      </x:c>
      <x:c r="G162" s="42" t="n">
        <x:f aca="0">G29/G25</x:f>
        <x:v>0.5239336499653259</x:v>
      </x:c>
    </x:row>
    <x:row r="163" ht="15" hidden="0">
      <x:c r="A163" s="127" t="s">
        <x:v>83</x:v>
      </x:c>
      <x:c r="B163" s="127"/>
      <x:c r="C163" s="42" t="n">
        <x:f aca="0">C36/C25</x:f>
        <x:v>0.1355144983011539</x:v>
      </x:c>
      <x:c r="D163" s="42" t="n">
        <x:f aca="0">D36/D25</x:f>
        <x:v>0.25717909019692564</x:v>
      </x:c>
      <x:c r="E163" s="42" t="n">
        <x:f aca="0">E36/E25</x:f>
        <x:v>0.3253359791109746</x:v>
      </x:c>
      <x:c r="F163" s="42" t="n">
        <x:f aca="0">F36/F25</x:f>
        <x:v>0.32086945636587655</x:v>
      </x:c>
      <x:c r="G163" s="42" t="n">
        <x:f aca="0">G36/G25</x:f>
        <x:v>0.285588183982448</x:v>
      </x:c>
    </x:row>
    <x:row r="164" ht="15" hidden="0">
      <x:c r="A164" s="127" t="s">
        <x:v>95</x:v>
      </x:c>
      <x:c r="B164" s="127"/>
      <x:c r="C164" s="42" t="n">
        <x:f aca="0">C48/C25</x:f>
        <x:v>0.18095698340587432</x:v>
      </x:c>
      <x:c r="D164" s="42" t="n">
        <x:f aca="0">D48/D25</x:f>
        <x:v>0.23501939263229576</x:v>
      </x:c>
      <x:c r="E164" s="42" t="n">
        <x:f aca="0">E48/E25</x:f>
        <x:v>0.2051945790351674</x:v>
      </x:c>
      <x:c r="F164" s="42" t="n">
        <x:f aca="0">F48/F25</x:f>
        <x:v>0.1819706073775258</x:v>
      </x:c>
      <x:c r="G164" s="42" t="n">
        <x:f aca="0">G48/G25</x:f>
        <x:v>0.1904781660522259</x:v>
      </x:c>
    </x:row>
    <x:row r="165" ht="15" hidden="0">
      <x:c r="A165" s="127" t="s">
        <x:v>102</x:v>
      </x:c>
      <x:c r="B165" s="127"/>
      <x:c r="C165" s="42" t="n">
        <x:f aca="0">C55/C25</x:f>
        <x:v>0.07541617464065718</x:v>
      </x:c>
      <x:c r="D165" s="42" t="n">
        <x:f aca="0">D55/D25</x:f>
        <x:v>0.2279513487286157</x:v>
      </x:c>
      <x:c r="E165" s="42" t="n">
        <x:f aca="0">E55/E25</x:f>
        <x:v>0.2928361026626976</x:v>
      </x:c>
      <x:c r="F165" s="42" t="n">
        <x:f aca="0">F55/F25</x:f>
        <x:v>0.2478370783326125</x:v>
      </x:c>
      <x:c r="G165" s="42" t="n">
        <x:f aca="0">G55/G25</x:f>
        <x:v>0.24891306821849585</x:v>
      </x:c>
    </x:row>
    <x:row r="166" ht="15" hidden="0">
      <x:c r="A166" s="132" t="s">
        <x:v>151</x:v>
      </x:c>
      <x:c r="B166" s="132"/>
      <x:c r="C166" s="41" t="s">
        <x:v>49</x:v>
      </x:c>
      <x:c r="D166" s="41" t="s">
        <x:v>50</x:v>
      </x:c>
      <x:c r="E166" s="41" t="s">
        <x:v>51</x:v>
      </x:c>
      <x:c r="F166" s="41" t="s">
        <x:v>52</x:v>
      </x:c>
      <x:c r="G166" s="41" t="s">
        <x:v>53</x:v>
      </x:c>
    </x:row>
    <x:row r="167" ht="15" hidden="0">
      <x:c r="A167" s="127" t="s">
        <x:v>109</x:v>
      </x:c>
      <x:c r="B167" s="127"/>
      <x:c r="C167" s="42" t="n">
        <x:f aca="0">C65/C64</x:f>
        <x:v>-0.7501407527454769</x:v>
      </x:c>
      <x:c r="D167" s="42" t="n">
        <x:f aca="0">D65/D64</x:f>
        <x:v>-0.7149209601114744</x:v>
      </x:c>
      <x:c r="E167" s="42" t="n">
        <x:f aca="0">E65/E64</x:f>
        <x:v>-0.7000339595178923</x:v>
      </x:c>
      <x:c r="F167" s="42" t="n">
        <x:f aca="0">F65/F64</x:f>
        <x:v>-0.6791001364977527</x:v>
      </x:c>
      <x:c r="G167" s="42" t="n">
        <x:f aca="0">G65/G64</x:f>
        <x:v>-0.6450915779707095</x:v>
      </x:c>
    </x:row>
    <x:row r="168" ht="15" hidden="0">
      <x:c r="A168" s="127" t="s">
        <x:v>110</x:v>
      </x:c>
      <x:c r="B168" s="127"/>
      <x:c r="C168" s="42" t="n">
        <x:f aca="0">C66/C64</x:f>
        <x:v>0.24985924725452316</x:v>
      </x:c>
      <x:c r="D168" s="42" t="n">
        <x:f aca="0">D66/D64</x:f>
        <x:v>0.28507903988852556</x:v>
      </x:c>
      <x:c r="E168" s="42" t="n">
        <x:f aca="0">E66/E64</x:f>
        <x:v>0.2999660404821077</x:v>
      </x:c>
      <x:c r="F168" s="42" t="n">
        <x:f aca="0">F66/F64</x:f>
        <x:v>0.3208998635022473</x:v>
      </x:c>
      <x:c r="G168" s="42" t="n">
        <x:f aca="0">G66/G64</x:f>
        <x:v>0.3549084220292905</x:v>
      </x:c>
    </x:row>
    <x:row r="169" ht="15" hidden="0">
      <x:c r="A169" s="127" t="s">
        <x:v>152</x:v>
      </x:c>
      <x:c r="B169" s="127"/>
      <x:c r="C169" s="42" t="n">
        <x:f aca="0">(C67+C68+C69+C70)/C64</x:f>
        <x:v>-0.04499934799496607</x:v>
      </x:c>
      <x:c r="D169" s="42" t="n">
        <x:f aca="0">(D67+D68+D69+D70)/D64</x:f>
        <x:v>-0.06842759297133325</x:v>
      </x:c>
      <x:c r="E169" s="42" t="n">
        <x:f aca="0">(E67+E68+E69+E70)/E64</x:f>
        <x:v>-0.0710595713349819</x:v>
      </x:c>
      <x:c r="F169" s="42" t="n">
        <x:f aca="0">(F67+F68+F69+F70)/F64</x:f>
        <x:v>-0.07033749161181237</x:v>
      </x:c>
      <x:c r="G169" s="42" t="n">
        <x:f aca="0">(G67+G68+G69+G70)/G64</x:f>
        <x:v>-0.06861008246653347</x:v>
      </x:c>
    </x:row>
    <x:row r="170" ht="15" hidden="0">
      <x:c r="A170" s="127" t="s">
        <x:v>115</x:v>
      </x:c>
      <x:c r="B170" s="127"/>
      <x:c r="C170" s="42" t="n">
        <x:f aca="0">C71/C64</x:f>
        <x:v>0.20485989925955708</x:v>
      </x:c>
      <x:c r="D170" s="42" t="n">
        <x:f aca="0">D71/D64</x:f>
        <x:v>0.21665144691719232</x:v>
      </x:c>
      <x:c r="E170" s="42" t="n">
        <x:f aca="0">E71/E64</x:f>
        <x:v>0.2289064691471258</x:v>
      </x:c>
      <x:c r="F170" s="42" t="n">
        <x:f aca="0">F71/F64</x:f>
        <x:v>0.25056237189043495</x:v>
      </x:c>
      <x:c r="G170" s="42" t="n">
        <x:f aca="0">G71/G64</x:f>
        <x:v>0.2862983395627571</x:v>
      </x:c>
    </x:row>
    <x:row r="171" ht="15" hidden="0">
      <x:c r="A171" s="127" t="s">
        <x:v>116</x:v>
      </x:c>
      <x:c r="B171" s="127"/>
      <x:c r="C171" s="42" t="n">
        <x:f aca="0">(C72+C73+C74)/C64</x:f>
        <x:v>0.010098435249719987</x:v>
      </x:c>
      <x:c r="D171" s="42" t="n">
        <x:f aca="0">(D72+D73+D74)/D64</x:f>
        <x:v>0.018027263845710344</x:v>
      </x:c>
      <x:c r="E171" s="42" t="n">
        <x:f aca="0">(E72+E73+E74)/E64</x:f>
        <x:v>0.014160205186239512</x:v>
      </x:c>
      <x:c r="F171" s="42" t="n">
        <x:f aca="0">(F72+F73+F74)/F64</x:f>
        <x:v>0.010492697731366216</x:v>
      </x:c>
      <x:c r="G171" s="42" t="n">
        <x:f aca="0">(G72+G73+G74)/G64</x:f>
        <x:v>0.020567429446952893</x:v>
      </x:c>
    </x:row>
    <x:row r="172" ht="15" hidden="0">
      <x:c r="A172" s="127" t="s">
        <x:v>119</x:v>
      </x:c>
      <x:c r="B172" s="127"/>
      <x:c r="C172" s="42" t="n">
        <x:f aca="0">C75/C64</x:f>
        <x:v>-0.004516571743111253</x:v>
      </x:c>
      <x:c r="D172" s="42" t="n">
        <x:f aca="0">D75/D64</x:f>
        <x:v>-0.022152340136494367</x:v>
      </x:c>
      <x:c r="E172" s="42" t="n">
        <x:f aca="0">E75/E64</x:f>
        <x:v>-0.05355227634103735</x:v>
      </x:c>
      <x:c r="F172" s="42" t="n">
        <x:f aca="0">F75/F64</x:f>
        <x:v>-0.06918104572368564</x:v>
      </x:c>
      <x:c r="G172" s="42" t="n">
        <x:f aca="0">G75/G64</x:f>
        <x:v>-0.06488725568798208</x:v>
      </x:c>
    </x:row>
    <x:row r="173" ht="15" hidden="0">
      <x:c r="A173" s="127" t="s">
        <x:v>120</x:v>
      </x:c>
      <x:c r="B173" s="127"/>
      <x:c r="C173" s="42" t="n">
        <x:f aca="0">C76/C64</x:f>
        <x:v>0.21044176276616583</x:v>
      </x:c>
      <x:c r="D173" s="42" t="n">
        <x:f aca="0">D76/D64</x:f>
        <x:v>0.2125263706264083</x:v>
      </x:c>
      <x:c r="E173" s="42" t="n">
        <x:f aca="0">E76/E64</x:f>
        <x:v>0.18951439799232797</x:v>
      </x:c>
      <x:c r="F173" s="42" t="n">
        <x:f aca="0">F76/F64</x:f>
        <x:v>0.19187402389811553</x:v>
      </x:c>
      <x:c r="G173" s="42" t="n">
        <x:f aca="0">G76/G64</x:f>
        <x:v>0.24197851332172784</x:v>
      </x:c>
    </x:row>
    <x:row r="174" ht="15" hidden="0">
      <x:c r="A174" s="127" t="s">
        <x:v>153</x:v>
      </x:c>
      <x:c r="B174" s="127"/>
      <x:c r="C174" s="42" t="n">
        <x:f aca="0">(C77+C78)/C64</x:f>
        <x:v>-0.0674188037427767</x:v>
      </x:c>
      <x:c r="D174" s="42" t="n">
        <x:f aca="0">(D77+D78)/D64</x:f>
        <x:v>-0.08140300858073829</x:v>
      </x:c>
      <x:c r="E174" s="42" t="n">
        <x:f aca="0">(E77+E78)/E64</x:f>
        <x:v>-0.08021868072591098</x:v>
      </x:c>
      <x:c r="F174" s="42" t="n">
        <x:f aca="0">(F77+F78)/F64</x:f>
        <x:v>-0.08911875964262016</x:v>
      </x:c>
      <x:c r="G174" s="42" t="n">
        <x:f aca="0">(G77+G78)/G64</x:f>
        <x:v>-0.09217239722395015</x:v>
      </x:c>
    </x:row>
    <x:row r="175" ht="15" hidden="0">
      <x:c r="A175" s="127" t="s">
        <x:v>123</x:v>
      </x:c>
      <x:c r="B175" s="127"/>
      <x:c r="C175" s="42" t="n">
        <x:f aca="0">C79/C64</x:f>
        <x:v>0.14302295902338913</x:v>
      </x:c>
      <x:c r="D175" s="42" t="n">
        <x:f aca="0">D79/D64</x:f>
        <x:v>0.13112336204567002</x:v>
      </x:c>
      <x:c r="E175" s="42" t="n">
        <x:f aca="0">E79/E64</x:f>
        <x:v>0.10929571726641699</x:v>
      </x:c>
      <x:c r="F175" s="42" t="n">
        <x:f aca="0">F79/F64</x:f>
        <x:v>0.10275526425549537</x:v>
      </x:c>
      <x:c r="G175" s="42" t="n">
        <x:f aca="0">G79/G64</x:f>
        <x:v>0.14980611609777766</x:v>
      </x:c>
    </x:row>
    <x:row r="176" ht="15" hidden="0">
      <x:c r="A176" s="127"/>
      <x:c r="B176" s="127"/>
      <x:c r="C176" s="42">
        <x:f aca="0"/>
      </x:c>
      <x:c r="D176" s="42">
        <x:f aca="0"/>
      </x:c>
      <x:c r="E176" s="42">
        <x:f aca="0"/>
      </x:c>
      <x:c r="F176" s="42">
        <x:f aca="0"/>
      </x:c>
      <x:c r="G176" s="42">
        <x:f aca="0"/>
      </x:c>
    </x:row>
    <x:row r="177">
      <x:c r="A177" s="111"/>
      <x:c r="B177" s="111"/>
    </x:row>
    <x:row r="178" ht="19.5" hidden="0" customHeight="1">
      <x:c r="A178" s="114" t="s">
        <x:v>154</x:v>
      </x:c>
      <x:c r="B178" s="115"/>
      <x:c r="C178" s="6"/>
      <x:c r="D178" s="6"/>
      <x:c r="E178" s="6"/>
      <x:c r="F178" s="6"/>
      <x:c r="G178" s="6"/>
    </x:row>
    <x:row r="179" ht="15" hidden="0">
      <x:c r="A179" s="132" t="s">
        <x:v>155</x:v>
      </x:c>
      <x:c r="B179" s="132"/>
      <x:c r="C179" s="41" t="s">
        <x:v>49</x:v>
      </x:c>
      <x:c r="D179" s="41" t="s">
        <x:v>50</x:v>
      </x:c>
      <x:c r="E179" s="41" t="s">
        <x:v>51</x:v>
      </x:c>
      <x:c r="F179" s="41" t="s">
        <x:v>52</x:v>
      </x:c>
      <x:c r="G179" s="41" t="s">
        <x:v>53</x:v>
      </x:c>
    </x:row>
    <x:row r="180" ht="15" hidden="0">
      <x:c r="A180" s="127" t="s">
        <x:v>108</x:v>
      </x:c>
      <x:c r="B180" s="127"/>
      <x:c r="C180" s="38" t="n">
        <x:f aca="0">IF(OR(H64&lt;=0,C64&lt;H64),"n/m",C64/H64-1)</x:f>
        <x:v>0.4085245404271858</x:v>
      </x:c>
      <x:c r="D180" s="38" t="n">
        <x:f aca="0">IF(OR(C64&lt;=0,D64&lt;C64),"n/m",D64/C64-1)</x:f>
        <x:v>1.234867993186187</x:v>
      </x:c>
      <x:c r="E180" s="38" t="n">
        <x:f aca="0">IF(OR(D64&lt;=0,E64&lt;D64),"n/m",E64/D64-1)</x:f>
        <x:v>0.25489250083300896</x:v>
      </x:c>
      <x:c r="F180" s="38" t="n">
        <x:f aca="0">IF(OR(E64&lt;=0,F64&lt;E64),"n/m",F64/E64-1)</x:f>
        <x:v>0.1756584416447935</x:v>
      </x:c>
      <x:c r="G180" s="38" t="n">
        <x:f aca="0">IF(OR(F64&lt;=0,G64&lt;F64),"n/m",G64/F64-1)</x:f>
        <x:v>0.11158969310885669</x:v>
      </x:c>
    </x:row>
    <x:row r="181" ht="15" hidden="0">
      <x:c r="A181" s="127" t="s">
        <x:v>110</x:v>
      </x:c>
      <x:c r="B181" s="127"/>
      <x:c r="C181" s="38" t="n">
        <x:f aca="0">IF(OR(H66&lt;=0,C66&lt;H66),"n/m",C66/H66-1)</x:f>
        <x:v>8.342732443491343</x:v>
      </x:c>
      <x:c r="D181" s="38" t="n">
        <x:f aca="0">IF(OR(C66&lt;=0,D66&lt;C66),"n/m",D66/C66-1)</x:f>
        <x:v>1.5498917041325577</x:v>
      </x:c>
      <x:c r="E181" s="38" t="n">
        <x:f aca="0">IF(OR(D66&lt;=0,E66&lt;D66),"n/m",E66/D66-1)</x:f>
        <x:v>0.3204237493319788</x:v>
      </x:c>
      <x:c r="F181" s="38" t="n">
        <x:f aca="0">IF(OR(E66&lt;=0,F66&lt;E66),"n/m",F66/E66-1)</x:f>
        <x:v>0.25770448162308646</x:v>
      </x:c>
      <x:c r="G181" s="38" t="n">
        <x:f aca="0">IF(OR(F66&lt;=0,G66&lt;F66),"n/m",G66/F66-1)</x:f>
        <x:v>0.22939455199402037</x:v>
      </x:c>
    </x:row>
    <x:row r="182" ht="15" hidden="0">
      <x:c r="A182" s="127" t="s">
        <x:v>115</x:v>
      </x:c>
      <x:c r="B182" s="127"/>
      <x:c r="C182" s="38" t="str">
        <x:f aca="0">IF(OR(H71&lt;=0,C71&lt;H71),"n/m",C71/H71-1)</x:f>
        <x:v>n/m</x:v>
      </x:c>
      <x:c r="D182" s="38" t="n">
        <x:f aca="0">IF(OR(C71&lt;=0,D71&lt;C71),"n/m",D71/C71-1)</x:f>
        <x:v>1.3635049423667094</x:v>
      </x:c>
      <x:c r="E182" s="38" t="n">
        <x:f aca="0">IF(OR(D71&lt;=0,E71&lt;D71),"n/m",E71/D71-1)</x:f>
        <x:v>0.325876266289989</x:v>
      </x:c>
      <x:c r="F182" s="38" t="n">
        <x:f aca="0">IF(OR(E71&lt;=0,F71&lt;E71),"n/m",F71/E71-1)</x:f>
        <x:v>0.28688266770738724</x:v>
      </x:c>
      <x:c r="G182" s="38" t="n">
        <x:f aca="0">IF(OR(F71&lt;=0,G71&lt;F71),"n/m",G71/F71-1)</x:f>
        <x:v>0.2701279965185752</x:v>
      </x:c>
    </x:row>
    <x:row r="183" ht="15" hidden="0">
      <x:c r="A183" s="127"/>
      <x:c r="B183" s="127"/>
      <x:c r="C183" s="38">
        <x:f aca="0"/>
      </x:c>
      <x:c r="D183" s="38">
        <x:f aca="0"/>
      </x:c>
      <x:c r="E183" s="38">
        <x:f aca="0"/>
      </x:c>
      <x:c r="F183" s="38">
        <x:f aca="0"/>
      </x:c>
      <x:c r="G183" s="38">
        <x:f aca="0"/>
      </x:c>
    </x:row>
    <x:row r="184" ht="15" hidden="0">
      <x:c r="A184" s="127" t="s">
        <x:v>123</x:v>
      </x:c>
      <x:c r="B184" s="127"/>
      <x:c r="C184" s="38" t="str">
        <x:f aca="0">IF(OR(H79&lt;=0,C79&lt;H79),"n/m",C79/H79-1)</x:f>
        <x:v>n/m</x:v>
      </x:c>
      <x:c r="D184" s="38" t="n">
        <x:f aca="0">IF(OR(C79&lt;=0,D79&lt;C79),"n/m",D79/C79-1)</x:f>
        <x:v>1.0489256200251726</x:v>
      </x:c>
      <x:c r="E184" s="38" t="n">
        <x:f aca="0">IF(OR(D79&lt;=0,E79&lt;D79),"n/m",E79/D79-1)</x:f>
        <x:v>0.04599496101252254</x:v>
      </x:c>
      <x:c r="F184" s="38" t="n">
        <x:f aca="0">IF(OR(E79&lt;=0,F79&lt;E79),"n/m",F79/E79-1)</x:f>
        <x:v>0.1053049183157162</x:v>
      </x:c>
      <x:c r="G184" s="38" t="n">
        <x:f aca="0">IF(OR(F79&lt;=0,G79&lt;F79),"n/m",G79/F79-1)</x:f>
        <x:v>0.6205781360739651</x:v>
      </x:c>
    </x:row>
    <x:row r="185" ht="15" hidden="0">
      <x:c r="A185" s="127" t="s">
        <x:v>132</x:v>
      </x:c>
      <x:c r="B185" s="127"/>
      <x:c r="C185" s="38" t="n">
        <x:f aca="0">IF(OR(H93&lt;=0,C93&lt;H93),"n/m",C93/H93-1)</x:f>
        <x:v>4.663064693426061</x:v>
      </x:c>
      <x:c r="D185" s="38" t="n">
        <x:f aca="0">IF(OR(C93&lt;=0,D93&lt;C93),"n/m",D93/C93-1)</x:f>
        <x:v>0.31859837880419173</x:v>
      </x:c>
      <x:c r="E185" s="38" t="n">
        <x:f aca="0">IF(OR(D93&lt;=0,E93&lt;D93),"n/m",E93/D93-1)</x:f>
        <x:v>1.118382877237642</x:v>
      </x:c>
      <x:c r="F185" s="38" t="n">
        <x:f aca="0">IF(OR(E93&lt;=0,F93&lt;E93),"n/m",F93/E93-1)</x:f>
        <x:v>0.39009480258184803</x:v>
      </x:c>
      <x:c r="G185" s="38" t="n">
        <x:f aca="0">IF(OR(F93&lt;=0,G93&lt;F93),"n/m",G93/F93-1)</x:f>
        <x:v>0.0910314909300396</x:v>
      </x:c>
    </x:row>
    <x:row r="186" ht="15" hidden="0">
      <x:c r="A186" s="127" t="s">
        <x:v>156</x:v>
      </x:c>
      <x:c r="B186" s="127"/>
      <x:c r="C186" s="38" t="n">
        <x:f aca="0">IF(OR(H25&lt;=0,C25&lt;H25),"n/m",C25/H25-1)</x:f>
        <x:v>0.16585623568624341</x:v>
      </x:c>
      <x:c r="D186" s="38" t="n">
        <x:f aca="0">IF(OR(C25&lt;=0,D25&lt;C25),"n/m",D25/C25-1)</x:f>
        <x:v>2.3389318015609613</x:v>
      </x:c>
      <x:c r="E186" s="38" t="n">
        <x:f aca="0">IF(OR(D25&lt;=0,E25&lt;D25),"n/m",E25/D25-1)</x:f>
        <x:v>0.2210276608284234</x:v>
      </x:c>
      <x:c r="F186" s="38" t="n">
        <x:f aca="0">IF(OR(E25&lt;=0,F25&lt;E25),"n/m",F25/E25-1)</x:f>
        <x:v>0.06344376111771921</x:v>
      </x:c>
      <x:c r="G186" s="38" t="n">
        <x:f aca="0">IF(OR(F25&lt;=0,G25&lt;F25),"n/m",G25/F25-1)</x:f>
        <x:v>0.08946913522940592</x:v>
      </x:c>
    </x:row>
    <x:row r="187" ht="15" hidden="0">
      <x:c r="A187" s="127" t="s">
        <x:v>76</x:v>
      </x:c>
      <x:c r="B187" s="127"/>
      <x:c r="C187" s="38" t="n">
        <x:f aca="0">IF(OR(H29&lt;=0,C29&lt;H29),"n/m",C29/H29-1)</x:f>
        <x:v>0.175282514118132</x:v>
      </x:c>
      <x:c r="D187" s="38" t="n">
        <x:f aca="0">IF(OR(C29&lt;=0,D29&lt;C29),"n/m",D29/C29-1)</x:f>
        <x:v>1.4805323979703955</x:v>
      </x:c>
      <x:c r="E187" s="38" t="n">
        <x:f aca="0">IF(OR(D29&lt;=0,E29&lt;D29),"n/m",E29/D29-1)</x:f>
        <x:v>0.1288567580715938</x:v>
      </x:c>
      <x:c r="F187" s="38" t="n">
        <x:f aca="0">IF(OR(E29&lt;=0,F29&lt;E29),"n/m",F29/E29-1)</x:f>
        <x:v>0.1261683623155656</x:v>
      </x:c>
      <x:c r="G187" s="38" t="n">
        <x:f aca="0">IF(OR(F29&lt;=0,G29&lt;F29),"n/m",G29/F29-1)</x:f>
        <x:v>0.14814066644883406</x:v>
      </x:c>
    </x:row>
    <x:row r="188" ht="15" hidden="0">
      <x:c r="A188" s="127" t="s">
        <x:v>102</x:v>
      </x:c>
      <x:c r="B188" s="127"/>
      <x:c r="C188" s="38" t="str">
        <x:f aca="0">IF(OR(H55&lt;=0,C55&lt;H55),"n/m",C55/H55-1)</x:f>
        <x:v>n/m</x:v>
      </x:c>
      <x:c r="D188" s="38" t="n">
        <x:f aca="0">IF(OR(C55&lt;=0,D55&lt;C55),"n/m",D55/C55-1)</x:f>
        <x:v>9.092185278625468</x:v>
      </x:c>
      <x:c r="E188" s="38" t="n">
        <x:f aca="0">IF(OR(D55&lt;=0,E55&lt;D55),"n/m",E55/D55-1)</x:f>
        <x:v>0.5685846275296005</x:v>
      </x:c>
      <x:c r="F188" s="38" t="str">
        <x:f aca="0">IF(OR(E55&lt;=0,F55&lt;E55),"n/m",F55/E55-1)</x:f>
        <x:v>n/m</x:v>
      </x:c>
      <x:c r="G188" s="38" t="n">
        <x:f aca="0">IF(OR(F55&lt;=0,G55&lt;F55),"n/m",G55/F55-1)</x:f>
        <x:v>0.09419908838401692</x:v>
      </x:c>
    </x:row>
    <x:row r="189" ht="15" hidden="0">
      <x:c r="A189" s="127" t="s">
        <x:v>150</x:v>
      </x:c>
      <x:c r="B189" s="127"/>
      <x:c r="C189" s="38" t="n">
        <x:f aca="0">IF(OR(H54&lt;=0,C54&lt;H54),"n/m",C54/H54-1)</x:f>
        <x:v>0.15902445925385877</x:v>
      </x:c>
      <x:c r="D189" s="38" t="n">
        <x:f aca="0">IF(OR(C54&lt;=0,D54&lt;C54),"n/m",D54/C54-1)</x:f>
        <x:v>1.874449627496713</x:v>
      </x:c>
      <x:c r="E189" s="38" t="str">
        <x:f aca="0">IF(OR(D54&lt;=0,E54&lt;D54),"n/m",E54/D54-1)</x:f>
        <x:v>n/m</x:v>
      </x:c>
      <x:c r="F189" s="38" t="n">
        <x:f aca="0">IF(OR(E54&lt;=0,F54&lt;E54),"n/m",F54/E54-1)</x:f>
        <x:v>0.09728741506269567</x:v>
      </x:c>
      <x:c r="G189" s="38" t="n">
        <x:f aca="0">IF(OR(F54&lt;=0,G54&lt;F54),"n/m",G54/F54-1)</x:f>
        <x:v>0.18799765107637412</x:v>
      </x:c>
    </x:row>
    <x:row r="190" ht="15" hidden="0">
      <x:c r="A190" s="127" t="s">
        <x:v>67</x:v>
      </x:c>
      <x:c r="B190" s="127"/>
      <x:c r="C190" s="38" t="n">
        <x:f aca="0">IF(OR(H20&lt;=0,C20&lt;H20),"n/m",C20/H20-1)</x:f>
        <x:v>0.37973045001142136</x:v>
      </x:c>
      <x:c r="D190" s="38" t="n">
        <x:f aca="0">IF(OR(C20&lt;=0,D20&lt;C20),"n/m",D20/C20-1)</x:f>
        <x:v>0.664430187637969</x:v>
      </x:c>
      <x:c r="E190" s="38" t="n">
        <x:f aca="0">IF(OR(D20&lt;=0,E20&lt;D20),"n/m",E20/D20-1)</x:f>
        <x:v>0.48064787268346043</x:v>
      </x:c>
      <x:c r="F190" s="38" t="n">
        <x:f aca="0">IF(OR(E20&lt;=0,F20&lt;E20),"n/m",F20/E20-1)</x:f>
        <x:v>0.5522257165610667</x:v>
      </x:c>
      <x:c r="G190" s="38" t="n">
        <x:f aca="0">IF(OR(F20&lt;=0,G20&lt;F20),"n/m",G20/F20-1)</x:f>
        <x:v>0.2463519619796506</x:v>
      </x:c>
    </x:row>
    <x:row r="191" ht="15" hidden="0">
      <x:c r="A191" s="127" t="s">
        <x:v>69</x:v>
      </x:c>
      <x:c r="B191" s="127"/>
      <x:c r="C191" s="38" t="n">
        <x:f aca="0">IF(OR(H22&lt;=0,C22&lt;H22),"n/m",C22/H22-1)</x:f>
        <x:v>0.6051670248443444</x:v>
      </x:c>
      <x:c r="D191" s="38" t="n">
        <x:f aca="0">IF(OR(C22&lt;=0,D22&lt;C22),"n/m",D22/C22-1)</x:f>
        <x:v>1.5607119623259003</x:v>
      </x:c>
      <x:c r="E191" s="38" t="str">
        <x:f aca="0">IF(OR(D22&lt;=0,E22&lt;D22),"n/m",E22/D22-1)</x:f>
        <x:v>n/m</x:v>
      </x:c>
      <x:c r="F191" s="38" t="n">
        <x:f aca="0">IF(OR(E22&lt;=0,F22&lt;E22),"n/m",F22/E22-1)</x:f>
        <x:v>2.0222709506964245</x:v>
      </x:c>
      <x:c r="G191" s="38" t="str">
        <x:f aca="0">IF(OR(F22&lt;=0,G22&lt;F22),"n/m",G22/F22-1)</x:f>
        <x:v>n/m</x:v>
      </x:c>
    </x:row>
    <x:row r="192">
      <x:c r="A192" s="111"/>
      <x:c r="B192" s="111"/>
    </x:row>
    <x:row r="193" ht="15" hidden="0">
      <x:c r="A193" s="113" t="str">
        <x:v>n/m covers negative/undefined measures and growth percentages. Signed financial statements and common-size expense presentation preserve accounting signs.</x:v>
      </x:c>
      <x:c r="B193" s="111"/>
    </x:row>
    <x:row r="194">
      <x:c r="A194" s="111"/>
      <x:c r="B194" s="111"/>
    </x:row>
    <x:row r="195">
      <x:c r="A195" s="111"/>
      <x:c r="B195" s="111"/>
    </x:row>
    <x:row r="196" ht="22" customHeight="1">
      <x:c r="A196" s="126" t="str">
        <x:v>Financing classification (PKR million)</x:v>
      </x:c>
      <x:c r="B196" s="126"/>
      <x:c r="C196" s="71"/>
      <x:c r="D196" s="71"/>
      <x:c r="E196" s="71"/>
      <x:c r="F196" s="71"/>
      <x:c r="G196" s="71"/>
    </x:row>
    <x:row r="197">
      <x:c r="A197" s="111" t="str">
        <x:v>Interest-free parent loan excluded from IBD</x:v>
      </x:c>
      <x:c r="B197" s="111"/>
      <x:c r="C197" s="81" t="n">
        <x:v>0</x:v>
      </x:c>
      <x:c r="D197" s="81" t="n">
        <x:v>7387</x:v>
      </x:c>
      <x:c r="E197" s="81" t="n">
        <x:v>7387</x:v>
      </x:c>
      <x:c r="F197" s="81" t="n">
        <x:v>7387</x:v>
      </x:c>
      <x:c r="G197" s="81" t="n">
        <x:v>0</x:v>
      </x:c>
      <x:c r="H197" s="81" t="n">
        <x:v>0</x:v>
      </x:c>
    </x:row>
    <x:row r="198">
      <x:c r="A198" s="111" t="str">
        <x:v>Accrued interest within financing balances</x:v>
      </x:c>
      <x:c r="B198" s="111"/>
      <x:c r="C198" s="81" t="n">
        <x:v>0</x:v>
      </x:c>
      <x:c r="D198" s="81" t="n">
        <x:v>0</x:v>
      </x:c>
      <x:c r="E198" s="81" t="n">
        <x:v>0</x:v>
      </x:c>
      <x:c r="F198" s="81" t="n">
        <x:v>0</x:v>
      </x:c>
      <x:c r="G198" s="81" t="n">
        <x:v>185.186</x:v>
      </x:c>
      <x:c r="H198" s="81" t="n">
        <x:v>0</x:v>
      </x:c>
    </x:row>
    <x:row r="199">
      <x:c r="A199" s="111" t="str">
        <x:v>Related operating supplier payable (included above)</x:v>
      </x:c>
      <x:c r="B199" s="111"/>
      <x:c r="C199" s="81" t="n">
        <x:v>0</x:v>
      </x:c>
      <x:c r="D199" s="81" t="n">
        <x:v>0</x:v>
      </x:c>
      <x:c r="E199" s="81" t="n">
        <x:v>0</x:v>
      </x:c>
      <x:c r="F199" s="81" t="n">
        <x:v>0</x:v>
      </x:c>
      <x:c r="G199" s="81" t="n">
        <x:v>0</x:v>
      </x:c>
      <x:c r="H199" s="81" t="n">
        <x:v>0</x:v>
      </x:c>
    </x:row>
    <x:row r="200">
      <x:c r="A200" s="111"/>
      <x:c r="B200" s="111"/>
      <x:c r="C200" s="81"/>
      <x:c r="D200" s="81"/>
      <x:c r="E200" s="81"/>
      <x:c r="F200" s="81"/>
      <x:c r="G200" s="81"/>
      <x:c r="H200" s="81"/>
    </x:row>
    <x:row r="201">
      <x:c r="A201" s="111"/>
      <x:c r="B201" s="111"/>
      <x:c r="C201" s="81"/>
      <x:c r="D201" s="81"/>
      <x:c r="E201" s="81"/>
      <x:c r="F201" s="81"/>
      <x:c r="G201" s="81"/>
      <x:c r="H201" s="81"/>
    </x:row>
    <x:row r="202">
      <x:c r="A202" s="111"/>
      <x:c r="B202" s="111"/>
      <x:c r="C202" s="81"/>
      <x:c r="D202" s="81"/>
      <x:c r="E202" s="81"/>
      <x:c r="F202" s="81"/>
      <x:c r="G202" s="81"/>
      <x:c r="H202" s="81"/>
    </x:row>
    <x:row r="203">
      <x:c r="A203" s="131" t="str">
        <x:v>Sources: KOHC FY2025 note 6.1 (PDF p89); FCCL FY2025 note 11 (PDF p268), FY2024 note 10; MLCF trade-payable and related-party notes.</x:v>
      </x:c>
      <x:c r="B203" s="131"/>
      <x:c r="C203" s="82"/>
      <x:c r="D203" s="82"/>
      <x:c r="E203" s="82"/>
      <x:c r="F203" s="82"/>
      <x:c r="G203" s="82"/>
      <x:c r="H203" s="81"/>
    </x:row>
    <x:row r="204">
      <x:c r="A204" s="111"/>
      <x:c r="B204" s="111"/>
    </x:row>
    <x:row r="205" ht="23" customHeight="1">
      <x:c r="A205" s="133" t="str">
        <x:v>NWC n/m FY2023/24: CA&lt;CL. FY2022 Askari merger creates a structural break in average balances; audited standalone figures are retained.</x:v>
      </x:c>
      <x:c r="B205" s="133"/>
      <x:c r="C205" s="109"/>
      <x:c r="D205" s="109"/>
      <x:c r="E205" s="109"/>
      <x:c r="F205" s="109"/>
      <x:c r="G205" s="109"/>
    </x:row>
    <x:row r="206" ht="23" customHeight="1">
      <x:c r="A206" s="133"/>
      <x:c r="B206" s="133"/>
      <x:c r="C206" s="109"/>
      <x:c r="D206" s="109"/>
      <x:c r="E206" s="109"/>
      <x:c r="F206" s="109"/>
      <x:c r="G206" s="109"/>
    </x:row>
    <x:row r="207">
      <x:c r="A207" s="111"/>
      <x:c r="B207" s="111"/>
    </x:row>
    <x:row r="208">
      <x:c r="A208" s="111"/>
      <x:c r="B208" s="111"/>
    </x:row>
  </x:sheetData>
  <x:mergeCells>
    <x:mergeCell ref="A110:G110"/>
    <x:mergeCell ref="A116:G116"/>
    <x:mergeCell ref="A127:G127"/>
    <x:mergeCell ref="A133:G133"/>
    <x:mergeCell ref="A141:G141"/>
    <x:mergeCell ref="A196:G196"/>
    <x:mergeCell ref="A205:G20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F7F99"/>
  </x:sheetPr>
  <x:sheetViews>
    <x:sheetView showGridLines="0" workbookViewId="0">
      <x:pane xSplit="2" ySplit="4" topLeftCell="C5" activePane="bottomRight" state="frozen"/>
    </x:sheetView>
  </x:sheetViews>
  <x:sheetFormatPr defaultColWidth="8.6796875" defaultRowHeight="15"/>
  <x:cols>
    <x:col min="1" max="2" width="34" hidden="0" customWidth="1"/>
    <x:col min="3" max="7" width="12" hidden="0" customWidth="1"/>
    <x:col min="8" max="8" width="44" hidden="0" customWidth="1"/>
  </x:cols>
  <x:sheetData>
    <x:row r="1" ht="19.700000762939453" hidden="0">
      <x:c r="A1" s="1" t="s">
        <x:v>165</x:v>
      </x:c>
    </x:row>
    <x:row r="2" ht="15" hidden="0">
      <x:c r="A2" s="16" t="s">
        <x:v>166</x:v>
      </x:c>
    </x:row>
    <x:row r="4" ht="15" hidden="0">
      <x:c r="A4" s="40" t="s">
        <x:v>10</x:v>
      </x:c>
      <x:c r="B4" s="40" t="s">
        <x:v>145</x:v>
      </x:c>
      <x:c r="C4" s="41" t="s">
        <x:v>49</x:v>
      </x:c>
      <x:c r="D4" s="41" t="s">
        <x:v>50</x:v>
      </x:c>
      <x:c r="E4" s="41" t="s">
        <x:v>51</x:v>
      </x:c>
      <x:c r="F4" s="41" t="s">
        <x:v>52</x:v>
      </x:c>
      <x:c r="G4" s="41" t="s">
        <x:v>53</x:v>
      </x:c>
    </x:row>
    <x:row r="5" ht="22" hidden="0" customHeight="1">
      <x:c r="A5" s="70" t="str">
        <x:v>LIQUIDITY</x:v>
      </x:c>
      <x:c r="B5" s="71"/>
      <x:c r="C5" s="71"/>
      <x:c r="D5" s="71"/>
      <x:c r="E5" s="71"/>
      <x:c r="F5" s="71"/>
      <x:c r="G5" s="71"/>
      <x:c r="H5" s="71"/>
    </x:row>
    <x:row r="6" ht="15" hidden="0">
      <x:c r="A6" s="20" t="str">
        <x:v>1. Current ratio</x:v>
      </x:c>
      <x:c r="B6" s="43" t="str">
        <x:v>Current Assets / Current Liabilities</x:v>
      </x:c>
      <x:c r="C6" s="21"/>
      <x:c r="D6" s="21"/>
      <x:c r="E6" s="21"/>
      <x:c r="F6" s="21"/>
      <x:c r="G6" s="21"/>
      <x:c r="H6" t="str"/>
    </x:row>
    <x:row r="7" ht="15" hidden="0">
      <x:c r="A7" s="8" t="str">
        <x:v>KOHC</x:v>
      </x:c>
      <x:c r="B7" s="33"/>
      <x:c r="C7" s="84" t="n">
        <x:f>KOHC!C111</x:f>
        <x:v>1.3006446691414961</x:v>
      </x:c>
      <x:c r="D7" s="84" t="n">
        <x:f>KOHC!D111</x:f>
        <x:v>1.8735085276109804</x:v>
      </x:c>
      <x:c r="E7" s="84" t="n">
        <x:f>KOHC!E111</x:f>
        <x:v>2.311570515459215</x:v>
      </x:c>
      <x:c r="F7" s="84" t="n">
        <x:f>KOHC!F111</x:f>
        <x:v>2.903159053016002</x:v>
      </x:c>
      <x:c r="G7" s="84" t="n">
        <x:f>KOHC!G111</x:f>
        <x:v>3.311248687172772</x:v>
      </x:c>
      <x:c r="H7"/>
    </x:row>
    <x:row r="8" ht="15" hidden="0">
      <x:c r="A8" s="10" t="str">
        <x:v>LUCK</x:v>
      </x:c>
      <x:c r="B8" s="33"/>
      <x:c r="C8" s="85" t="n">
        <x:f>LUCK!C111</x:f>
        <x:v>1.3386079458938223</x:v>
      </x:c>
      <x:c r="D8" s="85" t="n">
        <x:f>LUCK!D111</x:f>
        <x:v>1.4760766300374313</x:v>
      </x:c>
      <x:c r="E8" s="85" t="n">
        <x:f>LUCK!E111</x:f>
        <x:v>1.290071633326858</x:v>
      </x:c>
      <x:c r="F8" s="85" t="n">
        <x:f>LUCK!F111</x:f>
        <x:v>1.2632222354743232</x:v>
      </x:c>
      <x:c r="G8" s="85" t="n">
        <x:f>LUCK!G111</x:f>
        <x:v>1.7146143875904156</x:v>
      </x:c>
      <x:c r="H8"/>
    </x:row>
    <x:row r="9" ht="15" hidden="0">
      <x:c r="A9" s="10" t="str">
        <x:v>DGKC</x:v>
      </x:c>
      <x:c r="B9" s="33"/>
      <x:c r="C9" s="85" t="n">
        <x:f>DGKC!C111</x:f>
        <x:v>0.9145250886450902</x:v>
      </x:c>
      <x:c r="D9" s="85" t="n">
        <x:f>DGKC!D111</x:f>
        <x:v>0.8855287714771004</x:v>
      </x:c>
      <x:c r="E9" s="85" t="n">
        <x:f>DGKC!E111</x:f>
        <x:v>0.8017674905738562</x:v>
      </x:c>
      <x:c r="F9" s="85" t="n">
        <x:f>DGKC!F111</x:f>
        <x:v>1.296185931254842</x:v>
      </x:c>
      <x:c r="G9" s="85" t="n">
        <x:f>DGKC!G111</x:f>
        <x:v>1.8489517932979607</x:v>
      </x:c>
      <x:c r="H9"/>
    </x:row>
    <x:row r="10" ht="15" hidden="0">
      <x:c r="A10" s="10" t="str">
        <x:v>MLCF</x:v>
      </x:c>
      <x:c r="B10" s="33"/>
      <x:c r="C10" s="85" t="n">
        <x:f>MLCF!C111</x:f>
        <x:v>1.4780988568182505</x:v>
      </x:c>
      <x:c r="D10" s="85" t="n">
        <x:f>MLCF!D111</x:f>
        <x:v>1.2549557408945418</x:v>
      </x:c>
      <x:c r="E10" s="85" t="n">
        <x:f>MLCF!E111</x:f>
        <x:v>1.3715472215546312</x:v>
      </x:c>
      <x:c r="F10" s="85" t="n">
        <x:f>MLCF!F111</x:f>
        <x:v>1.444678241512437</x:v>
      </x:c>
      <x:c r="G10" s="85" t="n">
        <x:f>MLCF!G111</x:f>
        <x:v>1.5324411303645513</x:v>
      </x:c>
      <x:c r="H10"/>
    </x:row>
    <x:row r="11" ht="15" hidden="0">
      <x:c r="A11" s="10" t="str">
        <x:v>FCCL</x:v>
      </x:c>
      <x:c r="B11" s="33"/>
      <x:c r="C11" s="85" t="n">
        <x:f>FCCL!C111</x:f>
        <x:v>2.01862288296847</x:v>
      </x:c>
      <x:c r="D11" s="85" t="n">
        <x:f>FCCL!D111</x:f>
        <x:v>1.0559688948718087</x:v>
      </x:c>
      <x:c r="E11" s="85" t="n">
        <x:f>FCCL!E111</x:f>
        <x:v>0.8121113755800701</x:v>
      </x:c>
      <x:c r="F11" s="85" t="n">
        <x:f>FCCL!F111</x:f>
        <x:v>0.9597477311673009</x:v>
      </x:c>
      <x:c r="G11" s="85" t="n">
        <x:f>FCCL!G111</x:f>
        <x:v>1.3210140828410366</x:v>
      </x:c>
      <x:c r="H11"/>
    </x:row>
    <x:row r="12" ht="15" hidden="0">
      <x:c r="A12" s="46" t="str">
        <x:v>Five-company average</x:v>
      </x:c>
      <x:c r="B12" s="47"/>
      <x:c r="C12" s="86" t="n">
        <x:f>IF(COUNT(C7:C11)=0,"n/m",AVERAGE(C7:C11))</x:f>
        <x:v>1.410099888693426</x:v>
      </x:c>
      <x:c r="D12" s="86" t="n">
        <x:f>IF(COUNT(D7:D11)=0,"n/m",AVERAGE(D7:D11))</x:f>
        <x:v>1.3092077129783726</x:v>
      </x:c>
      <x:c r="E12" s="86" t="n">
        <x:f>IF(COUNT(E7:E11)=0,"n/m",AVERAGE(E7:E11))</x:f>
        <x:v>1.3174136472989262</x:v>
      </x:c>
      <x:c r="F12" s="86" t="n">
        <x:f>IF(COUNT(F7:F11)=0,"n/m",AVERAGE(F7:F11))</x:f>
        <x:v>1.5733986384849812</x:v>
      </x:c>
      <x:c r="G12" s="86" t="n">
        <x:f>IF(COUNT(G7:G11)=0,"n/m",AVERAGE(G7:G11))</x:f>
        <x:v>1.9456540162533476</x:v>
      </x:c>
      <x:c r="H12"/>
    </x:row>
    <x:row r="13">
      <x:c r="A13"/>
      <x:c r="B13"/>
      <x:c r="C13"/>
      <x:c r="D13"/>
      <x:c r="E13"/>
      <x:c r="F13"/>
      <x:c r="G13"/>
      <x:c r="H13"/>
    </x:row>
    <x:row r="14" ht="15" hidden="0">
      <x:c r="A14" s="20" t="str">
        <x:v>2. Quick ratio</x:v>
      </x:c>
      <x:c r="B14" s="43" t="str">
        <x:v>(Current Assets - Inventories) / Current Liabilities</x:v>
      </x:c>
      <x:c r="C14" s="21"/>
      <x:c r="D14" s="21"/>
      <x:c r="E14" s="21"/>
      <x:c r="F14" s="21"/>
      <x:c r="G14" s="21"/>
      <x:c r="H14" t="str"/>
    </x:row>
    <x:row r="15" ht="15" hidden="0">
      <x:c r="A15" s="8" t="str">
        <x:v>KOHC</x:v>
      </x:c>
      <x:c r="B15" s="33"/>
      <x:c r="C15" s="84" t="n">
        <x:f>KOHC!C112</x:f>
        <x:v>0.748160438555549</x:v>
      </x:c>
      <x:c r="D15" s="84" t="n">
        <x:f>KOHC!D112</x:f>
        <x:v>1.2758070110452304</x:v>
      </x:c>
      <x:c r="E15" s="84" t="n">
        <x:f>KOHC!E112</x:f>
        <x:v>1.5392110300634694</x:v>
      </x:c>
      <x:c r="F15" s="84" t="n">
        <x:f>KOHC!F112</x:f>
        <x:v>2.220059339921235</x:v>
      </x:c>
      <x:c r="G15" s="84" t="n">
        <x:f>KOHC!G112</x:f>
        <x:v>2.6677003784340947</x:v>
      </x:c>
      <x:c r="H15"/>
    </x:row>
    <x:row r="16" ht="15" hidden="0">
      <x:c r="A16" s="10" t="str">
        <x:v>LUCK</x:v>
      </x:c>
      <x:c r="B16" s="33"/>
      <x:c r="C16" s="85" t="n">
        <x:f>LUCK!C112</x:f>
        <x:v>0.890008861006851</x:v>
      </x:c>
      <x:c r="D16" s="85" t="n">
        <x:f>LUCK!D112</x:f>
        <x:v>0.8707609191920863</x:v>
      </x:c>
      <x:c r="E16" s="85" t="n">
        <x:f>LUCK!E112</x:f>
        <x:v>0.8541222656242641</x:v>
      </x:c>
      <x:c r="F16" s="85" t="n">
        <x:f>LUCK!F112</x:f>
        <x:v>0.8369831163170072</x:v>
      </x:c>
      <x:c r="G16" s="85" t="n">
        <x:f>LUCK!G112</x:f>
        <x:v>1.2939267138361998</x:v>
      </x:c>
      <x:c r="H16"/>
    </x:row>
    <x:row r="17" ht="15" hidden="0">
      <x:c r="A17" s="10" t="str">
        <x:v>DGKC</x:v>
      </x:c>
      <x:c r="B17" s="33"/>
      <x:c r="C17" s="85" t="n">
        <x:f>DGKC!C112</x:f>
        <x:v>0.527188307782106</x:v>
      </x:c>
      <x:c r="D17" s="85" t="n">
        <x:f>DGKC!D112</x:f>
        <x:v>0.3909339078966533</x:v>
      </x:c>
      <x:c r="E17" s="85" t="n">
        <x:f>DGKC!E112</x:f>
        <x:v>0.3348993616744587</x:v>
      </x:c>
      <x:c r="F17" s="85" t="n">
        <x:f>DGKC!F112</x:f>
        <x:v>0.6677176492302713</x:v>
      </x:c>
      <x:c r="G17" s="85" t="n">
        <x:f>DGKC!G112</x:f>
        <x:v>1.0579587679634685</x:v>
      </x:c>
      <x:c r="H17"/>
    </x:row>
    <x:row r="18" ht="15" hidden="0">
      <x:c r="A18" s="10" t="str">
        <x:v>MLCF</x:v>
      </x:c>
      <x:c r="B18" s="33"/>
      <x:c r="C18" s="85" t="n">
        <x:f>MLCF!C112</x:f>
        <x:v>0.439716919103873</x:v>
      </x:c>
      <x:c r="D18" s="85" t="n">
        <x:f>MLCF!D112</x:f>
        <x:v>0.29473524106223353</x:v>
      </x:c>
      <x:c r="E18" s="85" t="n">
        <x:f>MLCF!E112</x:f>
        <x:v>0.5204561252187091</x:v>
      </x:c>
      <x:c r="F18" s="85" t="n">
        <x:f>MLCF!F112</x:f>
        <x:v>0.6094267063846261</x:v>
      </x:c>
      <x:c r="G18" s="85" t="n">
        <x:f>MLCF!G112</x:f>
        <x:v>0.8078828259550986</x:v>
      </x:c>
      <x:c r="H18"/>
    </x:row>
    <x:row r="19" ht="15" hidden="0">
      <x:c r="A19" s="10" t="str">
        <x:v>FCCL</x:v>
      </x:c>
      <x:c r="B19" s="33"/>
      <x:c r="C19" s="85" t="n">
        <x:f>FCCL!C112</x:f>
        <x:v>1.1357988467684703</x:v>
      </x:c>
      <x:c r="D19" s="85" t="n">
        <x:f>FCCL!D112</x:f>
        <x:v>0.4707842106056928</x:v>
      </x:c>
      <x:c r="E19" s="85" t="n">
        <x:f>FCCL!E112</x:f>
        <x:v>0.2812171087331332</x:v>
      </x:c>
      <x:c r="F19" s="85" t="n">
        <x:f>FCCL!F112</x:f>
        <x:v>0.3420463898878065</x:v>
      </x:c>
      <x:c r="G19" s="85" t="n">
        <x:f>FCCL!G112</x:f>
        <x:v>0.6775338076736492</x:v>
      </x:c>
      <x:c r="H19"/>
    </x:row>
    <x:row r="20" ht="15" hidden="0">
      <x:c r="A20" s="46" t="str">
        <x:v>Five-company average</x:v>
      </x:c>
      <x:c r="B20" s="47"/>
      <x:c r="C20" s="86" t="n">
        <x:f>IF(COUNT(C15:C19)=0,"n/m",AVERAGE(C15:C19))</x:f>
        <x:v>0.74817467464337</x:v>
      </x:c>
      <x:c r="D20" s="86" t="n">
        <x:f>IF(COUNT(D15:D19)=0,"n/m",AVERAGE(D15:D19))</x:f>
        <x:v>0.6606042579603792</x:v>
      </x:c>
      <x:c r="E20" s="86" t="n">
        <x:f>IF(COUNT(E15:E19)=0,"n/m",AVERAGE(E15:E19))</x:f>
        <x:v>0.7059811782628069</x:v>
      </x:c>
      <x:c r="F20" s="86" t="n">
        <x:f>IF(COUNT(F15:F19)=0,"n/m",AVERAGE(F15:F19))</x:f>
        <x:v>0.9352466403481893</x:v>
      </x:c>
      <x:c r="G20" s="86" t="n">
        <x:f>IF(COUNT(G15:G19)=0,"n/m",AVERAGE(G15:G19))</x:f>
        <x:v>1.3010004987725021</x:v>
      </x:c>
      <x:c r="H20"/>
    </x:row>
    <x:row r="21">
      <x:c r="A21"/>
      <x:c r="B21"/>
      <x:c r="C21"/>
      <x:c r="D21"/>
      <x:c r="E21"/>
      <x:c r="F21"/>
      <x:c r="G21"/>
      <x:c r="H21"/>
    </x:row>
    <x:row r="22" ht="15" hidden="0">
      <x:c r="A22" s="20" t="str">
        <x:v>3. Cash ratio</x:v>
      </x:c>
      <x:c r="B22" s="43" t="str">
        <x:v>Cash and Bank / Current Liabilities</x:v>
      </x:c>
      <x:c r="C22" s="21"/>
      <x:c r="D22" s="21"/>
      <x:c r="E22" s="21"/>
      <x:c r="F22" s="21"/>
      <x:c r="G22" s="21"/>
      <x:c r="H22" t="str"/>
    </x:row>
    <x:row r="23" ht="15" hidden="0">
      <x:c r="A23" s="8" t="str">
        <x:v>KOHC</x:v>
      </x:c>
      <x:c r="B23" s="33"/>
      <x:c r="C23" s="84" t="n">
        <x:f>KOHC!C113</x:f>
        <x:v>0.15817363525137568</x:v>
      </x:c>
      <x:c r="D23" s="84" t="n">
        <x:f>KOHC!D113</x:f>
        <x:v>0.05067096377572231</x:v>
      </x:c>
      <x:c r="E23" s="84" t="n">
        <x:f>KOHC!E113</x:f>
        <x:v>0.09417804645207263</x:v>
      </x:c>
      <x:c r="F23" s="84" t="n">
        <x:f>KOHC!F113</x:f>
        <x:v>0.09937683148978137</x:v>
      </x:c>
      <x:c r="G23" s="84" t="n">
        <x:f>KOHC!G113</x:f>
        <x:v>0.1243988942257843</x:v>
      </x:c>
      <x:c r="H23"/>
    </x:row>
    <x:row r="24" ht="15" hidden="0">
      <x:c r="A24" s="10" t="str">
        <x:v>LUCK</x:v>
      </x:c>
      <x:c r="B24" s="33"/>
      <x:c r="C24" s="85" t="n">
        <x:f>LUCK!C113</x:f>
        <x:v>0.09298113875159913</x:v>
      </x:c>
      <x:c r="D24" s="85" t="n">
        <x:f>LUCK!D113</x:f>
        <x:v>0.12750015990720837</x:v>
      </x:c>
      <x:c r="E24" s="85" t="n">
        <x:f>LUCK!E113</x:f>
        <x:v>0.08913171618062964</x:v>
      </x:c>
      <x:c r="F24" s="85" t="n">
        <x:f>LUCK!F113</x:f>
        <x:v>0.04737494632853006</x:v>
      </x:c>
      <x:c r="G24" s="85" t="n">
        <x:f>LUCK!G113</x:f>
        <x:v>0.04758283071188822</x:v>
      </x:c>
      <x:c r="H24"/>
    </x:row>
    <x:row r="25" ht="15" hidden="0">
      <x:c r="A25" s="10" t="str">
        <x:v>DGKC</x:v>
      </x:c>
      <x:c r="B25" s="33"/>
      <x:c r="C25" s="85" t="n">
        <x:f>DGKC!C113</x:f>
        <x:v>0.020011480184397672</x:v>
      </x:c>
      <x:c r="D25" s="85" t="n">
        <x:f>DGKC!D113</x:f>
        <x:v>0.008913248794490819</x:v>
      </x:c>
      <x:c r="E25" s="85" t="n">
        <x:f>DGKC!E113</x:f>
        <x:v>0.013866688142092815</x:v>
      </x:c>
      <x:c r="F25" s="85" t="n">
        <x:f>DGKC!F113</x:f>
        <x:v>0.022719990993528554</x:v>
      </x:c>
      <x:c r="G25" s="85" t="n">
        <x:f>DGKC!G113</x:f>
        <x:v>0.02195336946739058</x:v>
      </x:c>
      <x:c r="H25"/>
    </x:row>
    <x:row r="26" ht="15" hidden="0">
      <x:c r="A26" s="10" t="str">
        <x:v>MLCF</x:v>
      </x:c>
      <x:c r="B26" s="33"/>
      <x:c r="C26" s="85" t="n">
        <x:f>MLCF!C113</x:f>
        <x:v>0.0428255580531044</x:v>
      </x:c>
      <x:c r="D26" s="85" t="n">
        <x:f>MLCF!D113</x:f>
        <x:v>0.04900616554000333</x:v>
      </x:c>
      <x:c r="E26" s="85" t="n">
        <x:f>MLCF!E113</x:f>
        <x:v>0.04568029853307005</x:v>
      </x:c>
      <x:c r="F26" s="85" t="n">
        <x:f>MLCF!F113</x:f>
        <x:v>0.06094333738399166</x:v>
      </x:c>
      <x:c r="G26" s="85" t="n">
        <x:f>MLCF!G113</x:f>
        <x:v>0.06924333482737245</x:v>
      </x:c>
      <x:c r="H26"/>
    </x:row>
    <x:row r="27" ht="15" hidden="0">
      <x:c r="A27" s="10" t="str">
        <x:v>FCCL</x:v>
      </x:c>
      <x:c r="B27" s="33"/>
      <x:c r="C27" s="85" t="n">
        <x:f>FCCL!C113</x:f>
        <x:v>0.14618299383526975</x:v>
      </x:c>
      <x:c r="D27" s="85" t="n">
        <x:f>FCCL!D113</x:f>
        <x:v>0.08632203736853207</x:v>
      </x:c>
      <x:c r="E27" s="85" t="n">
        <x:f>FCCL!E113</x:f>
        <x:v>0.03406683538776042</x:v>
      </x:c>
      <x:c r="F27" s="85" t="n">
        <x:f>FCCL!F113</x:f>
        <x:v>0.10917301381732912</x:v>
      </x:c>
      <x:c r="G27" s="85" t="n">
        <x:f>FCCL!G113</x:f>
        <x:v>0.08699594487108397</x:v>
      </x:c>
      <x:c r="H27"/>
    </x:row>
    <x:row r="28" ht="15" hidden="0">
      <x:c r="A28" s="46" t="str">
        <x:v>Five-company average</x:v>
      </x:c>
      <x:c r="B28" s="47"/>
      <x:c r="C28" s="86" t="n">
        <x:f>IF(COUNT(C23:C27)=0,"n/m",AVERAGE(C23:C27))</x:f>
        <x:v>0.09203496121514934</x:v>
      </x:c>
      <x:c r="D28" s="86" t="n">
        <x:f>IF(COUNT(D23:D27)=0,"n/m",AVERAGE(D23:D27))</x:f>
        <x:v>0.06448251507719138</x:v>
      </x:c>
      <x:c r="E28" s="86" t="n">
        <x:f>IF(COUNT(E23:E27)=0,"n/m",AVERAGE(E23:E27))</x:f>
        <x:v>0.05538471693912511</x:v>
      </x:c>
      <x:c r="F28" s="86" t="n">
        <x:f>IF(COUNT(F23:F27)=0,"n/m",AVERAGE(F23:F27))</x:f>
        <x:v>0.06791762400263215</x:v>
      </x:c>
      <x:c r="G28" s="86" t="n">
        <x:f>IF(COUNT(G23:G27)=0,"n/m",AVERAGE(G23:G27))</x:f>
        <x:v>0.0700348748207039</x:v>
      </x:c>
      <x:c r="H28"/>
    </x:row>
    <x:row r="29">
      <x:c r="A29"/>
      <x:c r="B29"/>
      <x:c r="C29"/>
      <x:c r="D29"/>
      <x:c r="E29"/>
      <x:c r="F29"/>
      <x:c r="G29"/>
      <x:c r="H29"/>
    </x:row>
    <x:row r="30" ht="15" hidden="0">
      <x:c r="A30" s="20" t="str">
        <x:v>4. Net working capital (PKR m)</x:v>
      </x:c>
      <x:c r="B30" s="43" t="str">
        <x:v>Current Assets - Current Liabilities</x:v>
      </x:c>
      <x:c r="C30" s="21"/>
      <x:c r="D30" s="21"/>
      <x:c r="E30" s="21"/>
      <x:c r="F30" s="21"/>
      <x:c r="G30" s="21"/>
      <x:c r="H30" s="15" t="str">
        <x:v>Descriptive mean; company size/share bases differ.</x:v>
      </x:c>
    </x:row>
    <x:row r="31" ht="15" hidden="0">
      <x:c r="A31" s="8" t="str">
        <x:v>KOHC</x:v>
      </x:c>
      <x:c r="B31" s="33"/>
      <x:c r="C31" s="87" t="n">
        <x:f>KOHC!C114</x:f>
        <x:v>2276.5547739999984</x:v>
      </x:c>
      <x:c r="D31" s="87" t="n">
        <x:f>KOHC!D114</x:f>
        <x:v>8287.840767999996</x:v>
      </x:c>
      <x:c r="E31" s="87" t="n">
        <x:f>KOHC!E114</x:f>
        <x:v>13000.905238000001</x:v>
      </x:c>
      <x:c r="F31" s="87" t="n">
        <x:f>KOHC!F114</x:f>
        <x:v>21116.760542</x:v>
      </x:c>
      <x:c r="G31" s="87" t="n">
        <x:f>KOHC!G114</x:f>
        <x:v>26953.091383000003</x:v>
      </x:c>
      <x:c r="H31"/>
    </x:row>
    <x:row r="32" ht="15" hidden="0">
      <x:c r="A32" s="10" t="str">
        <x:v>LUCK</x:v>
      </x:c>
      <x:c r="B32" s="33"/>
      <x:c r="C32" s="88" t="n">
        <x:f>LUCK!C114</x:f>
        <x:v>10289.302000000007</x:v>
      </x:c>
      <x:c r="D32" s="88" t="n">
        <x:f>LUCK!D114</x:f>
        <x:v>14454.333000000006</x:v>
      </x:c>
      <x:c r="E32" s="88" t="n">
        <x:f>LUCK!E114</x:f>
        <x:v>13395.762999999999</x:v>
      </x:c>
      <x:c r="F32" s="88" t="n">
        <x:f>LUCK!F114</x:f>
        <x:v>14263.611000000004</x:v>
      </x:c>
      <x:c r="G32" s="88" t="n">
        <x:f>LUCK!G114</x:f>
        <x:v>41905.97600000001</x:v>
      </x:c>
      <x:c r="H32"/>
    </x:row>
    <x:row r="33" ht="15" hidden="0">
      <x:c r="A33" s="10" t="str">
        <x:v>DGKC</x:v>
      </x:c>
      <x:c r="B33" s="33"/>
      <x:c r="C33" s="88" t="str">
        <x:f>DGKC!C114</x:f>
        <x:v>n/m</x:v>
      </x:c>
      <x:c r="D33" s="88" t="str">
        <x:f>DGKC!D114</x:f>
        <x:v>n/m</x:v>
      </x:c>
      <x:c r="E33" s="88" t="str">
        <x:f>DGKC!E114</x:f>
        <x:v>n/m</x:v>
      </x:c>
      <x:c r="F33" s="88" t="n">
        <x:f>DGKC!F114</x:f>
        <x:v>9544.803999999993</x:v>
      </x:c>
      <x:c r="G33" s="88" t="n">
        <x:f>DGKC!G114</x:f>
        <x:v>21997.122</x:v>
      </x:c>
      <x:c r="H33"/>
    </x:row>
    <x:row r="34" ht="15" hidden="0">
      <x:c r="A34" s="10" t="str">
        <x:v>MLCF</x:v>
      </x:c>
      <x:c r="B34" s="33"/>
      <x:c r="C34" s="88" t="n">
        <x:f>MLCF!C114</x:f>
        <x:v>5473.968000000003</x:v>
      </x:c>
      <x:c r="D34" s="88" t="n">
        <x:f>MLCF!D114</x:f>
        <x:v>4128.598000000004</x:v>
      </x:c>
      <x:c r="E34" s="88" t="n">
        <x:f>MLCF!E114</x:f>
        <x:v>6024.645999999997</x:v>
      </x:c>
      <x:c r="F34" s="88" t="n">
        <x:f>MLCF!F114</x:f>
        <x:v>8270.037</x:v>
      </x:c>
      <x:c r="G34" s="88" t="n">
        <x:f>MLCF!G114</x:f>
        <x:v>12422.112999999994</x:v>
      </x:c>
      <x:c r="H34"/>
    </x:row>
    <x:row r="35" ht="15" hidden="0">
      <x:c r="A35" s="10" t="str">
        <x:v>FCCL</x:v>
      </x:c>
      <x:c r="B35" s="33"/>
      <x:c r="C35" s="88" t="n">
        <x:f>FCCL!C114</x:f>
        <x:v>6276.743</x:v>
      </x:c>
      <x:c r="D35" s="88" t="n">
        <x:f>FCCL!D114</x:f>
        <x:v>1495.559000000001</x:v>
      </x:c>
      <x:c r="E35" s="88" t="str">
        <x:f>FCCL!E114</x:f>
        <x:v>n/m</x:v>
      </x:c>
      <x:c r="F35" s="88" t="str">
        <x:f>FCCL!F114</x:f>
        <x:v>n/m</x:v>
      </x:c>
      <x:c r="G35" s="88" t="n">
        <x:f>FCCL!G114</x:f>
        <x:v>9835.068000000007</x:v>
      </x:c>
      <x:c r="H35"/>
    </x:row>
    <x:row r="36" ht="15" hidden="0">
      <x:c r="A36" s="46" t="str">
        <x:v>Five-company average</x:v>
      </x:c>
      <x:c r="B36" s="47"/>
      <x:c r="C36" s="89" t="n">
        <x:f>IF(COUNT(C31:C35)=0,"n/m",AVERAGE(C31:C35))</x:f>
        <x:v>6079.1419435000025</x:v>
      </x:c>
      <x:c r="D36" s="89" t="n">
        <x:f>IF(COUNT(D31:D35)=0,"n/m",AVERAGE(D31:D35))</x:f>
        <x:v>7091.582692000002</x:v>
      </x:c>
      <x:c r="E36" s="89" t="n">
        <x:f>IF(COUNT(E31:E35)=0,"n/m",AVERAGE(E31:E35))</x:f>
        <x:v>10807.104745999999</x:v>
      </x:c>
      <x:c r="F36" s="89" t="n">
        <x:f>IF(COUNT(F31:F35)=0,"n/m",AVERAGE(F31:F35))</x:f>
        <x:v>13298.803135499998</x:v>
      </x:c>
      <x:c r="G36" s="89" t="n">
        <x:f>IF(COUNT(G31:G35)=0,"n/m",AVERAGE(G31:G35))</x:f>
        <x:v>22622.674076600008</x:v>
      </x:c>
      <x:c r="H36"/>
    </x:row>
    <x:row r="37">
      <x:c r="A37"/>
      <x:c r="B37"/>
      <x:c r="C37"/>
      <x:c r="D37"/>
      <x:c r="E37"/>
      <x:c r="F37"/>
      <x:c r="G37"/>
      <x:c r="H37"/>
    </x:row>
    <x:row r="38" ht="15" hidden="0">
      <x:c r="A38" s="20" t="str">
        <x:v>5. Net operating working capital (PKR m)</x:v>
      </x:c>
      <x:c r="B38" s="43" t="str">
        <x:v>Operating CA - Operating CL</x:v>
      </x:c>
      <x:c r="C38" s="21"/>
      <x:c r="D38" s="21"/>
      <x:c r="E38" s="21"/>
      <x:c r="F38" s="21"/>
      <x:c r="G38" s="21"/>
      <x:c r="H38" s="15" t="str">
        <x:v>Descriptive mean; company size/share bases differ.</x:v>
      </x:c>
    </x:row>
    <x:row r="39" ht="15" hidden="0">
      <x:c r="A39" s="8" t="str">
        <x:v>KOHC</x:v>
      </x:c>
      <x:c r="B39" s="33"/>
      <x:c r="C39" s="87" t="str">
        <x:f>KOHC!C115</x:f>
        <x:v>n/m</x:v>
      </x:c>
      <x:c r="D39" s="87" t="str">
        <x:f>KOHC!D115</x:f>
        <x:v>n/m</x:v>
      </x:c>
      <x:c r="E39" s="87" t="n">
        <x:f>KOHC!E115</x:f>
        <x:v>1004.8001120000008</x:v>
      </x:c>
      <x:c r="F39" s="87" t="n">
        <x:f>KOHC!F115</x:f>
        <x:v>949.0612429999965</x:v>
      </x:c>
      <x:c r="G39" s="87" t="str">
        <x:f>KOHC!G115</x:f>
        <x:v>n/m</x:v>
      </x:c>
      <x:c r="H39"/>
    </x:row>
    <x:row r="40" ht="15" hidden="0">
      <x:c r="A40" s="10" t="str">
        <x:v>LUCK</x:v>
      </x:c>
      <x:c r="B40" s="33"/>
      <x:c r="C40" s="88" t="str">
        <x:f>LUCK!C115</x:f>
        <x:v>n/m</x:v>
      </x:c>
      <x:c r="D40" s="88" t="str">
        <x:f>LUCK!D115</x:f>
        <x:v>n/m</x:v>
      </x:c>
      <x:c r="E40" s="88" t="str">
        <x:f>LUCK!E115</x:f>
        <x:v>n/m</x:v>
      </x:c>
      <x:c r="F40" s="88" t="str">
        <x:f>LUCK!F115</x:f>
        <x:v>n/m</x:v>
      </x:c>
      <x:c r="G40" s="88" t="str">
        <x:f>LUCK!G115</x:f>
        <x:v>n/m</x:v>
      </x:c>
      <x:c r="H40"/>
    </x:row>
    <x:row r="41" ht="15" hidden="0">
      <x:c r="A41" s="10" t="str">
        <x:v>DGKC</x:v>
      </x:c>
      <x:c r="B41" s="33"/>
      <x:c r="C41" s="88" t="n">
        <x:f>DGKC!C115</x:f>
        <x:v>8099.147000000006</x:v>
      </x:c>
      <x:c r="D41" s="88" t="n">
        <x:f>DGKC!D115</x:f>
        <x:v>17790.203999999998</x:v>
      </x:c>
      <x:c r="E41" s="88" t="n">
        <x:f>DGKC!E115</x:f>
        <x:v>15215.495000000003</x:v>
      </x:c>
      <x:c r="F41" s="88" t="n">
        <x:f>DGKC!F115</x:f>
        <x:v>10223.228999999994</x:v>
      </x:c>
      <x:c r="G41" s="88" t="n">
        <x:f>DGKC!G115</x:f>
        <x:v>9579.732</x:v>
      </x:c>
      <x:c r="H41"/>
    </x:row>
    <x:row r="42" ht="15" hidden="0">
      <x:c r="A42" s="10" t="str">
        <x:v>MLCF</x:v>
      </x:c>
      <x:c r="B42" s="33"/>
      <x:c r="C42" s="88" t="n">
        <x:f>MLCF!C115</x:f>
        <x:v>8772.302000000001</x:v>
      </x:c>
      <x:c r="D42" s="88" t="n">
        <x:f>MLCF!D115</x:f>
        <x:v>10212.653</x:v>
      </x:c>
      <x:c r="E42" s="88" t="n">
        <x:f>MLCF!E115</x:f>
        <x:v>5291.223999999998</x:v>
      </x:c>
      <x:c r="F42" s="88" t="n">
        <x:f>MLCF!F115</x:f>
        <x:v>9031.93</x:v>
      </x:c>
      <x:c r="G42" s="88" t="n">
        <x:f>MLCF!G115</x:f>
        <x:v>4949.648999999998</x:v>
      </x:c>
      <x:c r="H42"/>
    </x:row>
    <x:row r="43" ht="15" hidden="0">
      <x:c r="A43" s="10" t="str">
        <x:v>FCCL</x:v>
      </x:c>
      <x:c r="B43" s="33"/>
      <x:c r="C43" s="88" t="n">
        <x:f>FCCL!C115</x:f>
        <x:v>3035.393000000001</x:v>
      </x:c>
      <x:c r="D43" s="88" t="n">
        <x:f>FCCL!D115</x:f>
        <x:v>9408.205</x:v>
      </x:c>
      <x:c r="E43" s="88" t="n">
        <x:f>FCCL!E115</x:f>
        <x:v>10212.416999999998</x:v>
      </x:c>
      <x:c r="F43" s="88" t="n">
        <x:f>FCCL!F115</x:f>
        <x:v>10303.164999999997</x:v>
      </x:c>
      <x:c r="G43" s="88" t="n">
        <x:f>FCCL!G115</x:f>
        <x:v>14427.799000000005</x:v>
      </x:c>
      <x:c r="H43"/>
    </x:row>
    <x:row r="44" ht="15" hidden="0">
      <x:c r="A44" s="46" t="str">
        <x:v>Five-company average</x:v>
      </x:c>
      <x:c r="B44" s="47"/>
      <x:c r="C44" s="89" t="n">
        <x:f>IF(COUNT(C39:C43)=0,"n/m",AVERAGE(C39:C43))</x:f>
        <x:v>6635.614000000002</x:v>
      </x:c>
      <x:c r="D44" s="89" t="n">
        <x:f>IF(COUNT(D39:D43)=0,"n/m",AVERAGE(D39:D43))</x:f>
        <x:v>12470.354</x:v>
      </x:c>
      <x:c r="E44" s="89" t="n">
        <x:f>IF(COUNT(E39:E43)=0,"n/m",AVERAGE(E39:E43))</x:f>
        <x:v>7930.984028</x:v>
      </x:c>
      <x:c r="F44" s="89" t="n">
        <x:f>IF(COUNT(F39:F43)=0,"n/m",AVERAGE(F39:F43))</x:f>
        <x:v>7626.8463107499965</x:v>
      </x:c>
      <x:c r="G44" s="89" t="n">
        <x:f>IF(COUNT(G39:G43)=0,"n/m",AVERAGE(G39:G43))</x:f>
        <x:v>9652.393333333333</x:v>
      </x:c>
      <x:c r="H44"/>
    </x:row>
    <x:row r="45">
      <x:c r="A45"/>
      <x:c r="B45"/>
      <x:c r="C45"/>
      <x:c r="D45"/>
      <x:c r="E45"/>
      <x:c r="F45"/>
      <x:c r="G45"/>
      <x:c r="H45"/>
    </x:row>
    <x:row r="46" ht="22" customHeight="1">
      <x:c r="A46" s="71" t="str">
        <x:v>ASSET MANAGEMENT</x:v>
      </x:c>
      <x:c r="B46" s="71"/>
      <x:c r="C46" s="71"/>
      <x:c r="D46" s="71"/>
      <x:c r="E46" s="71"/>
      <x:c r="F46" s="71"/>
      <x:c r="G46" s="71"/>
      <x:c r="H46" s="71"/>
    </x:row>
    <x:row r="47" ht="19.5" hidden="0" customHeight="1">
      <x:c r="A47" s="20" t="str">
        <x:v>6. Inventory turnover</x:v>
      </x:c>
      <x:c r="B47" s="43" t="str">
        <x:v>COGS / Average Inventory</x:v>
      </x:c>
      <x:c r="C47" s="21"/>
      <x:c r="D47" s="21"/>
      <x:c r="E47" s="21"/>
      <x:c r="F47" s="21"/>
      <x:c r="G47" s="21"/>
      <x:c r="H47" t="str"/>
    </x:row>
    <x:row r="48" ht="15" hidden="0">
      <x:c r="A48" s="8" t="str">
        <x:v>KOHC</x:v>
      </x:c>
      <x:c r="B48" s="33"/>
      <x:c r="C48" s="84" t="n">
        <x:f>KOHC!C117</x:f>
        <x:v>4.857098601325517</x:v>
      </x:c>
      <x:c r="D48" s="84" t="n">
        <x:f>KOHC!D117</x:f>
        <x:v>4.681131721571692</x:v>
      </x:c>
      <x:c r="E48" s="84" t="n">
        <x:f>KOHC!E117</x:f>
        <x:v>4.275379143771386</x:v>
      </x:c>
      <x:c r="F48" s="84" t="n">
        <x:f>KOHC!F117</x:f>
        <x:v>3.5957369645110586</x:v>
      </x:c>
      <x:c r="G48" s="84" t="n">
        <x:f>KOHC!G117</x:f>
        <x:v>3.024880626442934</x:v>
      </x:c>
      <x:c r="H48"/>
    </x:row>
    <x:row r="49" ht="15" hidden="0">
      <x:c r="A49" s="10" t="str">
        <x:v>LUCK</x:v>
      </x:c>
      <x:c r="B49" s="33"/>
      <x:c r="C49" s="85" t="n">
        <x:f>LUCK!C117</x:f>
        <x:v>3.813607312713928</x:v>
      </x:c>
      <x:c r="D49" s="85" t="n">
        <x:f>LUCK!D117</x:f>
        <x:v>3.657733126059421</x:v>
      </x:c>
      <x:c r="E49" s="85" t="n">
        <x:f>LUCK!E117</x:f>
        <x:v>3.6234818387767853</x:v>
      </x:c>
      <x:c r="F49" s="85" t="n">
        <x:f>LUCK!F117</x:f>
        <x:v>3.5401699550948362</x:v>
      </x:c>
      <x:c r="G49" s="85" t="n">
        <x:f>LUCK!G117</x:f>
        <x:v>3.426094952590027</x:v>
      </x:c>
      <x:c r="H49"/>
    </x:row>
    <x:row r="50" ht="15" hidden="0">
      <x:c r="A50" s="10" t="str">
        <x:v>DGKC</x:v>
      </x:c>
      <x:c r="B50" s="33"/>
      <x:c r="C50" s="85" t="n">
        <x:f>DGKC!C117</x:f>
        <x:v>2.626752753172622</x:v>
      </x:c>
      <x:c r="D50" s="85" t="n">
        <x:f>DGKC!D117</x:f>
        <x:v>2.479761249901864</x:v>
      </x:c>
      <x:c r="E50" s="85" t="n">
        <x:f>DGKC!E117</x:f>
        <x:v>2.4352964976956684</x:v>
      </x:c>
      <x:c r="F50" s="85" t="n">
        <x:f>DGKC!F117</x:f>
        <x:v>2.583201095183174</x:v>
      </x:c>
      <x:c r="G50" s="85" t="n">
        <x:f>DGKC!G117</x:f>
        <x:v>2.6203448800361673</x:v>
      </x:c>
      <x:c r="H50"/>
    </x:row>
    <x:row r="51" ht="15" hidden="0">
      <x:c r="A51" s="10" t="str">
        <x:v>MLCF</x:v>
      </x:c>
      <x:c r="B51" s="33"/>
      <x:c r="C51" s="85" t="n">
        <x:f>MLCF!C117</x:f>
        <x:v>2.5503561154199565</x:v>
      </x:c>
      <x:c r="D51" s="85" t="n">
        <x:f>MLCF!D117</x:f>
        <x:v>2.6418827583195736</x:v>
      </x:c>
      <x:c r="E51" s="85" t="n">
        <x:f>MLCF!E117</x:f>
        <x:v>2.991643999189634</x:v>
      </x:c>
      <x:c r="F51" s="85" t="n">
        <x:f>MLCF!F117</x:f>
        <x:v>3.101356599565812</x:v>
      </x:c>
      <x:c r="G51" s="85" t="n">
        <x:f>MLCF!G117</x:f>
        <x:v>2.786573287705566</x:v>
      </x:c>
      <x:c r="H51"/>
    </x:row>
    <x:row r="52" ht="15" hidden="0">
      <x:c r="A52" s="10" t="str">
        <x:v>FCCL</x:v>
      </x:c>
      <x:c r="B52" s="33"/>
      <x:c r="C52" s="85" t="n">
        <x:f>FCCL!C117</x:f>
        <x:v>3.593399445976929</x:v>
      </x:c>
      <x:c r="D52" s="85" t="n">
        <x:f>FCCL!D117</x:f>
        <x:v>3.679828550986344</x:v>
      </x:c>
      <x:c r="E52" s="85" t="n">
        <x:f>FCCL!E117</x:f>
        <x:v>3.0981941833220765</x:v>
      </x:c>
      <x:c r="F52" s="85" t="n">
        <x:f>FCCL!F117</x:f>
        <x:v>3.4267755412065504</x:v>
      </x:c>
      <x:c r="G52" s="85" t="n">
        <x:f>FCCL!G117</x:f>
        <x:v>3.1608830315846066</x:v>
      </x:c>
      <x:c r="H52"/>
    </x:row>
    <x:row r="53" ht="15" hidden="0">
      <x:c r="A53" s="46" t="str">
        <x:v>Five-company average</x:v>
      </x:c>
      <x:c r="B53" s="47"/>
      <x:c r="C53" s="86" t="n">
        <x:f>IF(COUNT(C48:C52)=0,"n/m",AVERAGE(C48:C52))</x:f>
        <x:v>3.4882428457217904</x:v>
      </x:c>
      <x:c r="D53" s="86" t="n">
        <x:f>IF(COUNT(D48:D52)=0,"n/m",AVERAGE(D48:D52))</x:f>
        <x:v>3.428067481367779</x:v>
      </x:c>
      <x:c r="E53" s="86" t="n">
        <x:f>IF(COUNT(E48:E52)=0,"n/m",AVERAGE(E48:E52))</x:f>
        <x:v>3.28479913255111</x:v>
      </x:c>
      <x:c r="F53" s="86" t="n">
        <x:f>IF(COUNT(F48:F52)=0,"n/m",AVERAGE(F48:F52))</x:f>
        <x:v>3.2494480311122858</x:v>
      </x:c>
      <x:c r="G53" s="86" t="n">
        <x:f>IF(COUNT(G48:G52)=0,"n/m",AVERAGE(G48:G52))</x:f>
        <x:v>3.00375535567186</x:v>
      </x:c>
      <x:c r="H53"/>
    </x:row>
    <x:row r="54" ht="15" hidden="0">
      <x:c r="A54"/>
      <x:c r="B54"/>
      <x:c r="C54"/>
      <x:c r="D54"/>
      <x:c r="E54"/>
      <x:c r="F54"/>
      <x:c r="G54"/>
      <x:c r="H54"/>
    </x:row>
    <x:row r="55">
      <x:c r="A55" s="20" t="str">
        <x:v>7. Receivables turnover</x:v>
      </x:c>
      <x:c r="B55" s="43" t="str">
        <x:v>Net Sales / Average Trade Debts</x:v>
      </x:c>
      <x:c r="C55" s="21"/>
      <x:c r="D55" s="21"/>
      <x:c r="E55" s="21"/>
      <x:c r="F55" s="21"/>
      <x:c r="G55" s="21"/>
      <x:c r="H55" t="str"/>
    </x:row>
    <x:row r="56" ht="15" hidden="0">
      <x:c r="A56" s="8" t="str">
        <x:v>KOHC</x:v>
      </x:c>
      <x:c r="B56" s="33"/>
      <x:c r="C56" s="84" t="n">
        <x:f>KOHC!C118</x:f>
        <x:v>32.55652715218313</x:v>
      </x:c>
      <x:c r="D56" s="84" t="n">
        <x:f>KOHC!D118</x:f>
        <x:v>34.61446204651397</x:v>
      </x:c>
      <x:c r="E56" s="84" t="n">
        <x:f>KOHC!E118</x:f>
        <x:v>36.690956476472735</x:v>
      </x:c>
      <x:c r="F56" s="84" t="n">
        <x:f>KOHC!F118</x:f>
        <x:v>23.311269128267483</x:v>
      </x:c>
      <x:c r="G56" s="84" t="n">
        <x:f>KOHC!G118</x:f>
        <x:v>19.742821104933064</x:v>
      </x:c>
      <x:c r="H56"/>
    </x:row>
    <x:row r="57" ht="15" hidden="0">
      <x:c r="A57" s="10" t="str">
        <x:v>LUCK</x:v>
      </x:c>
      <x:c r="B57" s="33"/>
      <x:c r="C57" s="85" t="n">
        <x:f>LUCK!C118</x:f>
        <x:v>20.525799758937445</x:v>
      </x:c>
      <x:c r="D57" s="85" t="n">
        <x:f>LUCK!D118</x:f>
        <x:v>26.020654219821807</x:v>
      </x:c>
      <x:c r="E57" s="85" t="n">
        <x:f>LUCK!E118</x:f>
        <x:v>22.253946370189343</x:v>
      </x:c>
      <x:c r="F57" s="85" t="n">
        <x:f>LUCK!F118</x:f>
        <x:v>19.185416979630755</x:v>
      </x:c>
      <x:c r="G57" s="85" t="n">
        <x:f>LUCK!G118</x:f>
        <x:v>18.743761644592638</x:v>
      </x:c>
      <x:c r="H57"/>
    </x:row>
    <x:row r="58" ht="15" hidden="0">
      <x:c r="A58" s="10" t="str">
        <x:v>DGKC</x:v>
      </x:c>
      <x:c r="B58" s="33"/>
      <x:c r="C58" s="85" t="n">
        <x:f>DGKC!C118</x:f>
        <x:v>22.768270883109405</x:v>
      </x:c>
      <x:c r="D58" s="85" t="n">
        <x:f>DGKC!D118</x:f>
        <x:v>36.92232039176783</x:v>
      </x:c>
      <x:c r="E58" s="85" t="n">
        <x:f>DGKC!E118</x:f>
        <x:v>48.836111797909446</x:v>
      </x:c>
      <x:c r="F58" s="85" t="n">
        <x:f>DGKC!F118</x:f>
        <x:v>64.45370786977438</x:v>
      </x:c>
      <x:c r="G58" s="85" t="n">
        <x:f>DGKC!G118</x:f>
        <x:v>61.21607937936548</x:v>
      </x:c>
      <x:c r="H58"/>
    </x:row>
    <x:row r="59" ht="15" hidden="0">
      <x:c r="A59" s="10" t="str">
        <x:v>MLCF</x:v>
      </x:c>
      <x:c r="B59" s="33"/>
      <x:c r="C59" s="85" t="n">
        <x:f>MLCF!C118</x:f>
        <x:v>15.020941563038772</x:v>
      </x:c>
      <x:c r="D59" s="85" t="n">
        <x:f>MLCF!D118</x:f>
        <x:v>25.905344380386534</x:v>
      </x:c>
      <x:c r="E59" s="85" t="n">
        <x:f>MLCF!E118</x:f>
        <x:v>26.600659453629234</x:v>
      </x:c>
      <x:c r="F59" s="85" t="n">
        <x:f>MLCF!F118</x:f>
        <x:v>19.574371293114748</x:v>
      </x:c>
      <x:c r="G59" s="85" t="n">
        <x:f>MLCF!G118</x:f>
        <x:v>15.67064847793373</x:v>
      </x:c>
      <x:c r="H59"/>
    </x:row>
    <x:row r="60" ht="15" hidden="0">
      <x:c r="A60" s="10" t="str">
        <x:v>FCCL</x:v>
      </x:c>
      <x:c r="B60" s="33"/>
      <x:c r="C60" s="85" t="n">
        <x:f>FCCL!C118</x:f>
        <x:v>19.415164144242155</x:v>
      </x:c>
      <x:c r="D60" s="85" t="n">
        <x:f>FCCL!D118</x:f>
        <x:v>28.088084014998095</x:v>
      </x:c>
      <x:c r="E60" s="85" t="n">
        <x:f>FCCL!E118</x:f>
        <x:v>22.74585573789227</x:v>
      </x:c>
      <x:c r="F60" s="85" t="n">
        <x:f>FCCL!F118</x:f>
        <x:v>17.554064923929165</x:v>
      </x:c>
      <x:c r="G60" s="85" t="n">
        <x:f>FCCL!G118</x:f>
        <x:v>14.28264409693107</x:v>
      </x:c>
      <x:c r="H60"/>
    </x:row>
    <x:row r="61" ht="15" hidden="0">
      <x:c r="A61" s="46" t="str">
        <x:v>Five-company average</x:v>
      </x:c>
      <x:c r="B61" s="47"/>
      <x:c r="C61" s="86" t="n">
        <x:f>IF(COUNT(C56:C60)=0,"n/m",AVERAGE(C56:C60))</x:f>
        <x:v>22.057340700302184</x:v>
      </x:c>
      <x:c r="D61" s="86" t="n">
        <x:f>IF(COUNT(D56:D60)=0,"n/m",AVERAGE(D56:D60))</x:f>
        <x:v>30.31017301069765</x:v>
      </x:c>
      <x:c r="E61" s="86" t="n">
        <x:f>IF(COUNT(E56:E60)=0,"n/m",AVERAGE(E56:E60))</x:f>
        <x:v>31.4255059672186</x:v>
      </x:c>
      <x:c r="F61" s="86" t="n">
        <x:f>IF(COUNT(F56:F60)=0,"n/m",AVERAGE(F56:F60))</x:f>
        <x:v>28.81576603894331</x:v>
      </x:c>
      <x:c r="G61" s="86" t="n">
        <x:f>IF(COUNT(G56:G60)=0,"n/m",AVERAGE(G56:G60))</x:f>
        <x:v>25.931190940751197</x:v>
      </x:c>
      <x:c r="H61"/>
    </x:row>
    <x:row r="62" ht="15" hidden="0">
      <x:c r="A62"/>
      <x:c r="B62"/>
      <x:c r="C62"/>
      <x:c r="D62"/>
      <x:c r="E62"/>
      <x:c r="F62"/>
      <x:c r="G62"/>
      <x:c r="H62"/>
    </x:row>
    <x:row r="63">
      <x:c r="A63" s="20" t="str">
        <x:v>8. Payables turnover</x:v>
      </x:c>
      <x:c r="B63" s="43" t="str">
        <x:v>COGS / Average Trade Creditors</x:v>
      </x:c>
      <x:c r="C63" s="21"/>
      <x:c r="D63" s="21"/>
      <x:c r="E63" s="21"/>
      <x:c r="F63" s="21"/>
      <x:c r="G63" s="21"/>
      <x:c r="H63" t="str"/>
    </x:row>
    <x:row r="64" ht="15" hidden="0">
      <x:c r="A64" s="8" t="str">
        <x:v>KOHC</x:v>
      </x:c>
      <x:c r="B64" s="33"/>
      <x:c r="C64" s="84" t="n">
        <x:f>KOHC!C119</x:f>
        <x:v>13.672632178905467</x:v>
      </x:c>
      <x:c r="D64" s="84" t="n">
        <x:f>KOHC!D119</x:f>
        <x:v>16.26188152658038</x:v>
      </x:c>
      <x:c r="E64" s="84" t="n">
        <x:f>KOHC!E119</x:f>
        <x:v>29.126311219807445</x:v>
      </x:c>
      <x:c r="F64" s="84" t="n">
        <x:f>KOHC!F119</x:f>
        <x:v>22.3044994512903</x:v>
      </x:c>
      <x:c r="G64" s="84" t="n">
        <x:f>KOHC!G119</x:f>
        <x:v>11.733886186566796</x:v>
      </x:c>
      <x:c r="H64"/>
    </x:row>
    <x:row r="65" ht="15" hidden="0">
      <x:c r="A65" s="10" t="str">
        <x:v>LUCK</x:v>
      </x:c>
      <x:c r="B65" s="33"/>
      <x:c r="C65" s="85" t="n">
        <x:f>LUCK!C119</x:f>
        <x:v>16.04782473542995</x:v>
      </x:c>
      <x:c r="D65" s="85" t="n">
        <x:f>LUCK!D119</x:f>
        <x:v>18.777106060975406</x:v>
      </x:c>
      <x:c r="E65" s="85" t="n">
        <x:f>LUCK!E119</x:f>
        <x:v>16.644862602259856</x:v>
      </x:c>
      <x:c r="F65" s="85" t="n">
        <x:f>LUCK!F119</x:f>
        <x:v>12.541557640159668</x:v>
      </x:c>
      <x:c r="G65" s="85" t="n">
        <x:f>LUCK!G119</x:f>
        <x:v>12.034170742972393</x:v>
      </x:c>
      <x:c r="H65"/>
    </x:row>
    <x:row r="66" ht="15" hidden="0">
      <x:c r="A66" s="10" t="str">
        <x:v>DGKC</x:v>
      </x:c>
      <x:c r="B66" s="33"/>
      <x:c r="C66" s="85" t="n">
        <x:f>DGKC!C119</x:f>
        <x:v>6.330391634867254</x:v>
      </x:c>
      <x:c r="D66" s="85" t="n">
        <x:f>DGKC!D119</x:f>
        <x:v>8.467367491855711</x:v>
      </x:c>
      <x:c r="E66" s="85" t="n">
        <x:f>DGKC!E119</x:f>
        <x:v>10.657952462664126</x:v>
      </x:c>
      <x:c r="F66" s="85" t="n">
        <x:f>DGKC!F119</x:f>
        <x:v>9.58994930634071</x:v>
      </x:c>
      <x:c r="G66" s="85" t="n">
        <x:f>DGKC!G119</x:f>
        <x:v>11.93424527818953</x:v>
      </x:c>
      <x:c r="H66"/>
    </x:row>
    <x:row r="67" ht="15" hidden="0">
      <x:c r="A67" s="10" t="str">
        <x:v>MLCF</x:v>
      </x:c>
      <x:c r="B67" s="33"/>
      <x:c r="C67" s="85" t="n">
        <x:f>MLCF!C119</x:f>
        <x:v>7.260214629237185</x:v>
      </x:c>
      <x:c r="D67" s="85" t="n">
        <x:f>MLCF!D119</x:f>
        <x:v>9.432516250291641</x:v>
      </x:c>
      <x:c r="E67" s="85" t="n">
        <x:f>MLCF!E119</x:f>
        <x:v>8.141646254708599</x:v>
      </x:c>
      <x:c r="F67" s="85" t="n">
        <x:f>MLCF!F119</x:f>
        <x:v>7.535611628959118</x:v>
      </x:c>
      <x:c r="G67" s="85" t="n">
        <x:f>MLCF!G119</x:f>
        <x:v>7.106573052099677</x:v>
      </x:c>
      <x:c r="H67"/>
    </x:row>
    <x:row r="68" ht="15" hidden="0">
      <x:c r="A68" s="10" t="str">
        <x:v>FCCL</x:v>
      </x:c>
      <x:c r="B68" s="33"/>
      <x:c r="C68" s="85" t="n">
        <x:f>FCCL!C119</x:f>
        <x:v>29.905586617872185</x:v>
      </x:c>
      <x:c r="D68" s="85" t="n">
        <x:f>FCCL!D119</x:f>
        <x:v>21.870744516457957</x:v>
      </x:c>
      <x:c r="E68" s="85" t="n">
        <x:f>FCCL!E119</x:f>
        <x:v>17.959235676951813</x:v>
      </x:c>
      <x:c r="F68" s="85" t="n">
        <x:f>FCCL!F119</x:f>
        <x:v>20.3161719818632</x:v>
      </x:c>
      <x:c r="G68" s="85" t="n">
        <x:f>FCCL!G119</x:f>
        <x:v>24.107258331311616</x:v>
      </x:c>
      <x:c r="H68"/>
    </x:row>
    <x:row r="69" ht="15" hidden="0">
      <x:c r="A69" s="46" t="str">
        <x:v>Five-company average</x:v>
      </x:c>
      <x:c r="B69" s="47"/>
      <x:c r="C69" s="86" t="n">
        <x:f>IF(COUNT(C64:C68)=0,"n/m",AVERAGE(C64:C68))</x:f>
        <x:v>14.643329959262408</x:v>
      </x:c>
      <x:c r="D69" s="86" t="n">
        <x:f>IF(COUNT(D64:D68)=0,"n/m",AVERAGE(D64:D68))</x:f>
        <x:v>14.961923169232218</x:v>
      </x:c>
      <x:c r="E69" s="86" t="n">
        <x:f>IF(COUNT(E64:E68)=0,"n/m",AVERAGE(E64:E68))</x:f>
        <x:v>16.50600164327837</x:v>
      </x:c>
      <x:c r="F69" s="86" t="n">
        <x:f>IF(COUNT(F64:F68)=0,"n/m",AVERAGE(F64:F68))</x:f>
        <x:v>14.4575580017226</x:v>
      </x:c>
      <x:c r="G69" s="86" t="n">
        <x:f>IF(COUNT(G64:G68)=0,"n/m",AVERAGE(G64:G68))</x:f>
        <x:v>13.383226718228002</x:v>
      </x:c>
      <x:c r="H69"/>
    </x:row>
    <x:row r="70" ht="15" hidden="0">
      <x:c r="A70"/>
      <x:c r="B70"/>
      <x:c r="C70"/>
      <x:c r="D70"/>
      <x:c r="E70"/>
      <x:c r="F70"/>
      <x:c r="G70"/>
      <x:c r="H70"/>
    </x:row>
    <x:row r="71">
      <x:c r="A71" s="20" t="str">
        <x:v>9. Days inventory outstanding</x:v>
      </x:c>
      <x:c r="B71" s="43" t="str">
        <x:v>365 / Inventory Turnover</x:v>
      </x:c>
      <x:c r="C71" s="21"/>
      <x:c r="D71" s="21"/>
      <x:c r="E71" s="21"/>
      <x:c r="F71" s="21"/>
      <x:c r="G71" s="21"/>
      <x:c r="H71" t="str"/>
    </x:row>
    <x:row r="72" ht="15" hidden="0">
      <x:c r="A72" s="8" t="str">
        <x:v>KOHC</x:v>
      </x:c>
      <x:c r="B72" s="33"/>
      <x:c r="C72" s="90" t="n">
        <x:f>KOHC!C120</x:f>
        <x:v>75.14774353157878</x:v>
      </x:c>
      <x:c r="D72" s="90" t="n">
        <x:f>KOHC!D120</x:f>
        <x:v>77.97259759173176</x:v>
      </x:c>
      <x:c r="E72" s="90" t="n">
        <x:f>KOHC!E120</x:f>
        <x:v>85.37254538740795</x:v>
      </x:c>
      <x:c r="F72" s="90" t="n">
        <x:f>KOHC!F120</x:f>
        <x:v>101.50909357454404</x:v>
      </x:c>
      <x:c r="G72" s="90" t="n">
        <x:f>KOHC!G120</x:f>
        <x:v>120.66591878345184</x:v>
      </x:c>
      <x:c r="H72"/>
    </x:row>
    <x:row r="73" ht="15" hidden="0">
      <x:c r="A73" s="10" t="str">
        <x:v>LUCK</x:v>
      </x:c>
      <x:c r="B73" s="33"/>
      <x:c r="C73" s="91" t="n">
        <x:f>LUCK!C120</x:f>
        <x:v>95.70990667632485</x:v>
      </x:c>
      <x:c r="D73" s="91" t="n">
        <x:f>LUCK!D120</x:f>
        <x:v>99.78858145761573</x:v>
      </x:c>
      <x:c r="E73" s="91" t="n">
        <x:f>LUCK!E120</x:f>
        <x:v>100.73184197970664</x:v>
      </x:c>
      <x:c r="F73" s="91" t="n">
        <x:f>LUCK!F120</x:f>
        <x:v>103.10239469568691</x:v>
      </x:c>
      <x:c r="G73" s="91" t="n">
        <x:f>LUCK!G120</x:f>
        <x:v>106.53528435458882</x:v>
      </x:c>
      <x:c r="H73"/>
    </x:row>
    <x:row r="74" ht="15" hidden="0">
      <x:c r="A74" s="10" t="str">
        <x:v>DGKC</x:v>
      </x:c>
      <x:c r="B74" s="33"/>
      <x:c r="C74" s="91" t="n">
        <x:f>DGKC!C120</x:f>
        <x:v>138.95483675010863</x:v>
      </x:c>
      <x:c r="D74" s="91" t="n">
        <x:f>DGKC!D120</x:f>
        <x:v>147.19158951872677</x:v>
      </x:c>
      <x:c r="E74" s="91" t="n">
        <x:f>DGKC!E120</x:f>
        <x:v>149.87908057411946</x:v>
      </x:c>
      <x:c r="F74" s="91" t="n">
        <x:f>DGKC!F120</x:f>
        <x:v>141.2975554557505</x:v>
      </x:c>
      <x:c r="G74" s="91" t="n">
        <x:f>DGKC!G120</x:f>
        <x:v>139.29464124392746</x:v>
      </x:c>
      <x:c r="H74"/>
    </x:row>
    <x:row r="75" ht="15" hidden="0">
      <x:c r="A75" s="10" t="str">
        <x:v>MLCF</x:v>
      </x:c>
      <x:c r="B75" s="33"/>
      <x:c r="C75" s="91" t="n">
        <x:f>MLCF!C120</x:f>
        <x:v>143.11726813096334</x:v>
      </x:c>
      <x:c r="D75" s="91" t="n">
        <x:f>MLCF!D120</x:f>
        <x:v>138.1590454196257</x:v>
      </x:c>
      <x:c r="E75" s="91" t="n">
        <x:f>MLCF!E120</x:f>
        <x:v>122.0064954583065</x:v>
      </x:c>
      <x:c r="F75" s="91" t="n">
        <x:f>MLCF!F120</x:f>
        <x:v>117.69043264844159</x:v>
      </x:c>
      <x:c r="G75" s="91" t="n">
        <x:f>MLCF!G120</x:f>
        <x:v>130.98525045452405</x:v>
      </x:c>
      <x:c r="H75"/>
    </x:row>
    <x:row r="76" ht="15" hidden="0">
      <x:c r="A76" s="10" t="str">
        <x:v>FCCL</x:v>
      </x:c>
      <x:c r="B76" s="33"/>
      <x:c r="C76" s="91" t="n">
        <x:f>FCCL!C120</x:f>
        <x:v>101.57512558439446</x:v>
      </x:c>
      <x:c r="D76" s="91" t="n">
        <x:f>FCCL!D120</x:f>
        <x:v>99.189403784088</x:v>
      </x:c>
      <x:c r="E76" s="91" t="n">
        <x:f>FCCL!E120</x:f>
        <x:v>117.81056267061489</x:v>
      </x:c>
      <x:c r="F76" s="91" t="n">
        <x:f>FCCL!F120</x:f>
        <x:v>106.51412548353994</x:v>
      </x:c>
      <x:c r="G76" s="91" t="n">
        <x:f>FCCL!G120</x:f>
        <x:v>115.47406099903009</x:v>
      </x:c>
      <x:c r="H76"/>
    </x:row>
    <x:row r="77" ht="15" hidden="0">
      <x:c r="A77" s="46" t="str">
        <x:v>Five-company average</x:v>
      </x:c>
      <x:c r="B77" s="47"/>
      <x:c r="C77" s="92" t="n">
        <x:f>IF(COUNT(C72:C76)=0,"n/m",AVERAGE(C72:C76))</x:f>
        <x:v>110.90097613467401</x:v>
      </x:c>
      <x:c r="D77" s="92" t="n">
        <x:f>IF(COUNT(D72:D76)=0,"n/m",AVERAGE(D72:D76))</x:f>
        <x:v>112.46024355435759</x:v>
      </x:c>
      <x:c r="E77" s="92" t="n">
        <x:f>IF(COUNT(E72:E76)=0,"n/m",AVERAGE(E72:E76))</x:f>
        <x:v>115.16010521403109</x:v>
      </x:c>
      <x:c r="F77" s="92" t="n">
        <x:f>IF(COUNT(F72:F76)=0,"n/m",AVERAGE(F72:F76))</x:f>
        <x:v>114.0227203715926</x:v>
      </x:c>
      <x:c r="G77" s="92" t="n">
        <x:f>IF(COUNT(G72:G76)=0,"n/m",AVERAGE(G72:G76))</x:f>
        <x:v>122.59103116710443</x:v>
      </x:c>
      <x:c r="H77"/>
    </x:row>
    <x:row r="78" ht="15" hidden="0">
      <x:c r="A78"/>
      <x:c r="B78"/>
      <x:c r="C78"/>
      <x:c r="D78"/>
      <x:c r="E78"/>
      <x:c r="F78"/>
      <x:c r="G78"/>
      <x:c r="H78"/>
    </x:row>
    <x:row r="79">
      <x:c r="A79" s="20" t="str">
        <x:v>10. Days sales outstanding</x:v>
      </x:c>
      <x:c r="B79" s="43" t="str">
        <x:v>365 / Receivables Turnover</x:v>
      </x:c>
      <x:c r="C79" s="21"/>
      <x:c r="D79" s="21"/>
      <x:c r="E79" s="21"/>
      <x:c r="F79" s="21"/>
      <x:c r="G79" s="21"/>
      <x:c r="H79" t="str"/>
    </x:row>
    <x:row r="80" ht="15" hidden="0">
      <x:c r="A80" s="8" t="str">
        <x:v>KOHC</x:v>
      </x:c>
      <x:c r="B80" s="33"/>
      <x:c r="C80" s="90" t="n">
        <x:f>KOHC!C121</x:f>
        <x:v>11.211269503464973</x:v>
      </x:c>
      <x:c r="D80" s="90" t="n">
        <x:f>KOHC!D121</x:f>
        <x:v>10.544725482358297</x:v>
      </x:c>
      <x:c r="E80" s="90" t="n">
        <x:f>KOHC!E121</x:f>
        <x:v>9.947955437848785</x:v>
      </x:c>
      <x:c r="F80" s="90" t="n">
        <x:f>KOHC!F121</x:f>
        <x:v>15.65766316675557</x:v>
      </x:c>
      <x:c r="G80" s="90" t="n">
        <x:f>KOHC!G121</x:f>
        <x:v>18.487732733839078</x:v>
      </x:c>
      <x:c r="H80"/>
    </x:row>
    <x:row r="81" ht="15" hidden="0">
      <x:c r="A81" s="10" t="str">
        <x:v>LUCK</x:v>
      </x:c>
      <x:c r="B81" s="33"/>
      <x:c r="C81" s="91" t="n">
        <x:f>LUCK!C121</x:f>
        <x:v>17.78249833315605</x:v>
      </x:c>
      <x:c r="D81" s="91" t="n">
        <x:f>LUCK!D121</x:f>
        <x:v>14.027318333985361</x:v>
      </x:c>
      <x:c r="E81" s="91" t="n">
        <x:f>LUCK!E121</x:f>
        <x:v>16.40158531562483</x:v>
      </x:c>
      <x:c r="F81" s="91" t="n">
        <x:f>LUCK!F121</x:f>
        <x:v>19.024866667611246</x:v>
      </x:c>
      <x:c r="G81" s="91" t="n">
        <x:f>LUCK!G121</x:f>
        <x:v>19.473145621508603</x:v>
      </x:c>
      <x:c r="H81"/>
    </x:row>
    <x:row r="82" ht="15" hidden="0">
      <x:c r="A82" s="10" t="str">
        <x:v>DGKC</x:v>
      </x:c>
      <x:c r="B82" s="33"/>
      <x:c r="C82" s="91" t="n">
        <x:f>DGKC!C121</x:f>
        <x:v>16.031081230273596</x:v>
      </x:c>
      <x:c r="D82" s="91" t="n">
        <x:f>DGKC!D121</x:f>
        <x:v>9.885619216970449</x:v>
      </x:c>
      <x:c r="E82" s="91" t="n">
        <x:f>DGKC!E121</x:f>
        <x:v>7.4739774843341396</x:v>
      </x:c>
      <x:c r="F82" s="91" t="n">
        <x:f>DGKC!F121</x:f>
        <x:v>5.662979090938646</x:v>
      </x:c>
      <x:c r="G82" s="91" t="n">
        <x:f>DGKC!G121</x:f>
        <x:v>5.962485734149008</x:v>
      </x:c>
      <x:c r="H82"/>
    </x:row>
    <x:row r="83" ht="15" hidden="0">
      <x:c r="A83" s="10" t="str">
        <x:v>MLCF</x:v>
      </x:c>
      <x:c r="B83" s="33"/>
      <x:c r="C83" s="91" t="n">
        <x:f>MLCF!C121</x:f>
        <x:v>24.299408826550263</x:v>
      </x:c>
      <x:c r="D83" s="91" t="n">
        <x:f>MLCF!D121</x:f>
        <x:v>14.089756717395696</x:v>
      </x:c>
      <x:c r="E83" s="91" t="n">
        <x:f>MLCF!E121</x:f>
        <x:v>13.72146433573479</x:v>
      </x:c>
      <x:c r="F83" s="91" t="n">
        <x:f>MLCF!F121</x:f>
        <x:v>18.646831335440545</x:v>
      </x:c>
      <x:c r="G83" s="91" t="n">
        <x:f>MLCF!G121</x:f>
        <x:v>23.29195250049585</x:v>
      </x:c>
      <x:c r="H83"/>
    </x:row>
    <x:row r="84" ht="15" hidden="0">
      <x:c r="A84" s="10" t="str">
        <x:v>FCCL</x:v>
      </x:c>
      <x:c r="B84" s="33"/>
      <x:c r="C84" s="91" t="n">
        <x:f>FCCL!C121</x:f>
        <x:v>18.799738044359827</x:v>
      </x:c>
      <x:c r="D84" s="91" t="n">
        <x:f>FCCL!D121</x:f>
        <x:v>12.994834386179642</x:v>
      </x:c>
      <x:c r="E84" s="91" t="n">
        <x:f>FCCL!E121</x:f>
        <x:v>16.04687922960609</x:v>
      </x:c>
      <x:c r="F84" s="91" t="n">
        <x:f>FCCL!F121</x:f>
        <x:v>20.792904753499183</x:v>
      </x:c>
      <x:c r="G84" s="91" t="n">
        <x:f>FCCL!G121</x:f>
        <x:v>25.555492212987932</x:v>
      </x:c>
      <x:c r="H84"/>
    </x:row>
    <x:row r="85" ht="15" hidden="0">
      <x:c r="A85" s="46" t="str">
        <x:v>Five-company average</x:v>
      </x:c>
      <x:c r="B85" s="47"/>
      <x:c r="C85" s="92" t="n">
        <x:f>IF(COUNT(C80:C84)=0,"n/m",AVERAGE(C80:C84))</x:f>
        <x:v>17.624799187560942</x:v>
      </x:c>
      <x:c r="D85" s="92" t="n">
        <x:f>IF(COUNT(D80:D84)=0,"n/m",AVERAGE(D80:D84))</x:f>
        <x:v>12.308450827377888</x:v>
      </x:c>
      <x:c r="E85" s="92" t="n">
        <x:f>IF(COUNT(E80:E84)=0,"n/m",AVERAGE(E80:E84))</x:f>
        <x:v>12.718372360629726</x:v>
      </x:c>
      <x:c r="F85" s="92" t="n">
        <x:f>IF(COUNT(F80:F84)=0,"n/m",AVERAGE(F80:F84))</x:f>
        <x:v>15.957049002849038</x:v>
      </x:c>
      <x:c r="G85" s="92" t="n">
        <x:f>IF(COUNT(G80:G84)=0,"n/m",AVERAGE(G80:G84))</x:f>
        <x:v>18.554161760596095</x:v>
      </x:c>
      <x:c r="H85"/>
    </x:row>
    <x:row r="86" ht="15" hidden="0">
      <x:c r="A86"/>
      <x:c r="B86"/>
      <x:c r="C86"/>
      <x:c r="D86"/>
      <x:c r="E86"/>
      <x:c r="F86"/>
      <x:c r="G86"/>
      <x:c r="H86"/>
    </x:row>
    <x:row r="87">
      <x:c r="A87" s="20" t="str">
        <x:v>11. Days payables outstanding</x:v>
      </x:c>
      <x:c r="B87" s="43" t="str">
        <x:v>365 / Payables Turnover</x:v>
      </x:c>
      <x:c r="C87" s="21"/>
      <x:c r="D87" s="21"/>
      <x:c r="E87" s="21"/>
      <x:c r="F87" s="21"/>
      <x:c r="G87" s="21"/>
      <x:c r="H87" t="str"/>
    </x:row>
    <x:row r="88" ht="15" hidden="0">
      <x:c r="A88" s="8" t="str">
        <x:v>KOHC</x:v>
      </x:c>
      <x:c r="B88" s="33"/>
      <x:c r="C88" s="90" t="n">
        <x:f>KOHC!C122</x:f>
        <x:v>26.695664391757177</x:v>
      </x:c>
      <x:c r="D88" s="90" t="n">
        <x:f>KOHC!D122</x:f>
        <x:v>22.44512723840719</x:v>
      </x:c>
      <x:c r="E88" s="90" t="n">
        <x:f>KOHC!E122</x:f>
        <x:v>12.531624662163896</x:v>
      </x:c>
      <x:c r="F88" s="90" t="n">
        <x:f>KOHC!F122</x:f>
        <x:v>16.36441117170576</x:v>
      </x:c>
      <x:c r="G88" s="90" t="n">
        <x:f>KOHC!G122</x:f>
        <x:v>31.10648886452127</x:v>
      </x:c>
      <x:c r="H88"/>
    </x:row>
    <x:row r="89" ht="15" hidden="0">
      <x:c r="A89" s="10" t="str">
        <x:v>LUCK</x:v>
      </x:c>
      <x:c r="B89" s="33"/>
      <x:c r="C89" s="91" t="n">
        <x:f>LUCK!C122</x:f>
        <x:v>22.744515597441875</x:v>
      </x:c>
      <x:c r="D89" s="91" t="n">
        <x:f>LUCK!D122</x:f>
        <x:v>19.438565176908817</x:v>
      </x:c>
      <x:c r="E89" s="91" t="n">
        <x:f>LUCK!E122</x:f>
        <x:v>21.928688071624236</x:v>
      </x:c>
      <x:c r="F89" s="91" t="n">
        <x:f>LUCK!F122</x:f>
        <x:v>29.103243031888116</x:v>
      </x:c>
      <x:c r="G89" s="91" t="n">
        <x:f>LUCK!G122</x:f>
        <x:v>30.3302992616379</x:v>
      </x:c>
      <x:c r="H89"/>
    </x:row>
    <x:row r="90" ht="15" hidden="0">
      <x:c r="A90" s="10" t="str">
        <x:v>DGKC</x:v>
      </x:c>
      <x:c r="B90" s="33"/>
      <x:c r="C90" s="91" t="n">
        <x:f>DGKC!C122</x:f>
        <x:v>57.65836002777637</x:v>
      </x:c>
      <x:c r="D90" s="91" t="n">
        <x:f>DGKC!D122</x:f>
        <x:v>43.106668082030595</x:v>
      </x:c>
      <x:c r="E90" s="91" t="n">
        <x:f>DGKC!E122</x:f>
        <x:v>34.24672809140701</x:v>
      </x:c>
      <x:c r="F90" s="91" t="n">
        <x:f>DGKC!F122</x:f>
        <x:v>38.06068085872657</x:v>
      </x:c>
      <x:c r="G90" s="91" t="n">
        <x:f>DGKC!G122</x:f>
        <x:v>30.58425493123197</x:v>
      </x:c>
      <x:c r="H90"/>
    </x:row>
    <x:row r="91" ht="15" hidden="0">
      <x:c r="A91" s="10" t="str">
        <x:v>MLCF</x:v>
      </x:c>
      <x:c r="B91" s="33"/>
      <x:c r="C91" s="91" t="n">
        <x:f>MLCF!C122</x:f>
        <x:v>50.273995830664546</x:v>
      </x:c>
      <x:c r="D91" s="91" t="n">
        <x:f>MLCF!D122</x:f>
        <x:v>38.69593121440047</x:v>
      </x:c>
      <x:c r="E91" s="91" t="n">
        <x:f>MLCF!E122</x:f>
        <x:v>44.831228056476625</x:v>
      </x:c>
      <x:c r="F91" s="91" t="n">
        <x:f>MLCF!F122</x:f>
        <x:v>48.43667879556273</x:v>
      </x:c>
      <x:c r="G91" s="91" t="n">
        <x:f>MLCF!G122</x:f>
        <x:v>51.3609017066473</x:v>
      </x:c>
      <x:c r="H91"/>
    </x:row>
    <x:row r="92" ht="15" hidden="0">
      <x:c r="A92" s="10" t="str">
        <x:v>FCCL</x:v>
      </x:c>
      <x:c r="B92" s="33"/>
      <x:c r="C92" s="91" t="n">
        <x:f>FCCL!C122</x:f>
        <x:v>12.205077421282503</x:v>
      </x:c>
      <x:c r="D92" s="91" t="n">
        <x:f>FCCL!D122</x:f>
        <x:v>16.688960895928066</x:v>
      </x:c>
      <x:c r="E92" s="91" t="n">
        <x:f>FCCL!E122</x:f>
        <x:v>20.323804785769745</x:v>
      </x:c>
      <x:c r="F92" s="91" t="n">
        <x:f>FCCL!F122</x:f>
        <x:v>17.96598297778959</x:v>
      </x:c>
      <x:c r="G92" s="91" t="n">
        <x:f>FCCL!G122</x:f>
        <x:v>15.14066821634052</x:v>
      </x:c>
      <x:c r="H92"/>
    </x:row>
    <x:row r="93" ht="15" hidden="0">
      <x:c r="A93" s="46" t="str">
        <x:v>Five-company average</x:v>
      </x:c>
      <x:c r="B93" s="47"/>
      <x:c r="C93" s="92" t="n">
        <x:f>IF(COUNT(C88:C92)=0,"n/m",AVERAGE(C88:C92))</x:f>
        <x:v>33.91552265378449</x:v>
      </x:c>
      <x:c r="D93" s="92" t="n">
        <x:f>IF(COUNT(D88:D92)=0,"n/m",AVERAGE(D88:D92))</x:f>
        <x:v>28.075050521535026</x:v>
      </x:c>
      <x:c r="E93" s="92" t="n">
        <x:f>IF(COUNT(E88:E92)=0,"n/m",AVERAGE(E88:E92))</x:f>
        <x:v>26.7724147334883</x:v>
      </x:c>
      <x:c r="F93" s="92" t="n">
        <x:f>IF(COUNT(F88:F92)=0,"n/m",AVERAGE(F88:F92))</x:f>
        <x:v>29.986199367134553</x:v>
      </x:c>
      <x:c r="G93" s="92" t="n">
        <x:f>IF(COUNT(G88:G92)=0,"n/m",AVERAGE(G88:G92))</x:f>
        <x:v>31.704522596075794</x:v>
      </x:c>
      <x:c r="H93"/>
    </x:row>
    <x:row r="94" ht="15" hidden="0">
      <x:c r="A94"/>
      <x:c r="B94"/>
      <x:c r="C94"/>
      <x:c r="D94"/>
      <x:c r="E94"/>
      <x:c r="F94"/>
      <x:c r="G94"/>
      <x:c r="H94"/>
    </x:row>
    <x:row r="95">
      <x:c r="A95" s="20" t="str">
        <x:v>12. Operating cycle (days)</x:v>
      </x:c>
      <x:c r="B95" s="43" t="str">
        <x:v>DIO + DSO</x:v>
      </x:c>
      <x:c r="C95" s="21"/>
      <x:c r="D95" s="21"/>
      <x:c r="E95" s="21"/>
      <x:c r="F95" s="21"/>
      <x:c r="G95" s="21"/>
      <x:c r="H95" t="str"/>
    </x:row>
    <x:row r="96" ht="15" hidden="0">
      <x:c r="A96" s="8" t="str">
        <x:v>KOHC</x:v>
      </x:c>
      <x:c r="B96" s="33"/>
      <x:c r="C96" s="90" t="n">
        <x:f>KOHC!C123</x:f>
        <x:v>86.35901303504376</x:v>
      </x:c>
      <x:c r="D96" s="90" t="n">
        <x:f>KOHC!D123</x:f>
        <x:v>88.51732307409006</x:v>
      </x:c>
      <x:c r="E96" s="90" t="n">
        <x:f>KOHC!E123</x:f>
        <x:v>95.32050082525674</x:v>
      </x:c>
      <x:c r="F96" s="90" t="n">
        <x:f>KOHC!F123</x:f>
        <x:v>117.16675674129961</x:v>
      </x:c>
      <x:c r="G96" s="90" t="n">
        <x:f>KOHC!G123</x:f>
        <x:v>139.1536515172909</x:v>
      </x:c>
      <x:c r="H96"/>
    </x:row>
    <x:row r="97" ht="15" hidden="0">
      <x:c r="A97" s="10" t="str">
        <x:v>LUCK</x:v>
      </x:c>
      <x:c r="B97" s="33"/>
      <x:c r="C97" s="91" t="n">
        <x:f>LUCK!C123</x:f>
        <x:v>113.4924050094809</x:v>
      </x:c>
      <x:c r="D97" s="91" t="n">
        <x:f>LUCK!D123</x:f>
        <x:v>113.8158997916011</x:v>
      </x:c>
      <x:c r="E97" s="91" t="n">
        <x:f>LUCK!E123</x:f>
        <x:v>117.13342729533147</x:v>
      </x:c>
      <x:c r="F97" s="91" t="n">
        <x:f>LUCK!F123</x:f>
        <x:v>122.12726136329816</x:v>
      </x:c>
      <x:c r="G97" s="91" t="n">
        <x:f>LUCK!G123</x:f>
        <x:v>126.00842997609743</x:v>
      </x:c>
      <x:c r="H97"/>
    </x:row>
    <x:row r="98" ht="15" hidden="0">
      <x:c r="A98" s="10" t="str">
        <x:v>DGKC</x:v>
      </x:c>
      <x:c r="B98" s="33"/>
      <x:c r="C98" s="91" t="n">
        <x:f>DGKC!C123</x:f>
        <x:v>154.98591798038223</x:v>
      </x:c>
      <x:c r="D98" s="91" t="n">
        <x:f>DGKC!D123</x:f>
        <x:v>157.0772087356972</x:v>
      </x:c>
      <x:c r="E98" s="91" t="n">
        <x:f>DGKC!E123</x:f>
        <x:v>157.3530580584536</x:v>
      </x:c>
      <x:c r="F98" s="91" t="n">
        <x:f>DGKC!F123</x:f>
        <x:v>146.96053454668916</x:v>
      </x:c>
      <x:c r="G98" s="91" t="n">
        <x:f>DGKC!G123</x:f>
        <x:v>145.25712697807646</x:v>
      </x:c>
      <x:c r="H98"/>
    </x:row>
    <x:row r="99" ht="15" hidden="0">
      <x:c r="A99" s="10" t="str">
        <x:v>MLCF</x:v>
      </x:c>
      <x:c r="B99" s="33"/>
      <x:c r="C99" s="91" t="n">
        <x:f>MLCF!C123</x:f>
        <x:v>167.4166769575136</x:v>
      </x:c>
      <x:c r="D99" s="91" t="n">
        <x:f>MLCF!D123</x:f>
        <x:v>152.24880213702139</x:v>
      </x:c>
      <x:c r="E99" s="91" t="n">
        <x:f>MLCF!E123</x:f>
        <x:v>135.72795979404128</x:v>
      </x:c>
      <x:c r="F99" s="91" t="n">
        <x:f>MLCF!F123</x:f>
        <x:v>136.33726398388214</x:v>
      </x:c>
      <x:c r="G99" s="91" t="n">
        <x:f>MLCF!G123</x:f>
        <x:v>154.2772029550199</x:v>
      </x:c>
      <x:c r="H99"/>
    </x:row>
    <x:row r="100" ht="15" hidden="0">
      <x:c r="A100" s="10" t="str">
        <x:v>FCCL</x:v>
      </x:c>
      <x:c r="B100" s="33"/>
      <x:c r="C100" s="91" t="n">
        <x:f>FCCL!C123</x:f>
        <x:v>120.37486362875428</x:v>
      </x:c>
      <x:c r="D100" s="91" t="n">
        <x:f>FCCL!D123</x:f>
        <x:v>112.18423817026765</x:v>
      </x:c>
      <x:c r="E100" s="91" t="n">
        <x:f>FCCL!E123</x:f>
        <x:v>133.85744190022098</x:v>
      </x:c>
      <x:c r="F100" s="91" t="n">
        <x:f>FCCL!F123</x:f>
        <x:v>127.30703023703913</x:v>
      </x:c>
      <x:c r="G100" s="91" t="n">
        <x:f>FCCL!G123</x:f>
        <x:v>141.02955321201802</x:v>
      </x:c>
      <x:c r="H100"/>
    </x:row>
    <x:row r="101" ht="15" hidden="0">
      <x:c r="A101" s="46" t="str">
        <x:v>Five-company average</x:v>
      </x:c>
      <x:c r="B101" s="47"/>
      <x:c r="C101" s="92" t="n">
        <x:f>IF(COUNT(C96:C100)=0,"n/m",AVERAGE(C96:C100))</x:f>
        <x:v>128.52577532223495</x:v>
      </x:c>
      <x:c r="D101" s="92" t="n">
        <x:f>IF(COUNT(D96:D100)=0,"n/m",AVERAGE(D96:D100))</x:f>
        <x:v>124.76869438173549</x:v>
      </x:c>
      <x:c r="E101" s="92" t="n">
        <x:f>IF(COUNT(E96:E100)=0,"n/m",AVERAGE(E96:E100))</x:f>
        <x:v>127.87847757466082</x:v>
      </x:c>
      <x:c r="F101" s="92" t="n">
        <x:f>IF(COUNT(F96:F100)=0,"n/m",AVERAGE(F96:F100))</x:f>
        <x:v>129.97976937444164</x:v>
      </x:c>
      <x:c r="G101" s="92" t="n">
        <x:f>IF(COUNT(G96:G100)=0,"n/m",AVERAGE(G96:G100))</x:f>
        <x:v>141.14519292770055</x:v>
      </x:c>
      <x:c r="H101"/>
    </x:row>
    <x:row r="102" ht="15" hidden="0">
      <x:c r="A102"/>
      <x:c r="B102"/>
      <x:c r="C102"/>
      <x:c r="D102"/>
      <x:c r="E102"/>
      <x:c r="F102"/>
      <x:c r="G102"/>
      <x:c r="H102"/>
    </x:row>
    <x:row r="103">
      <x:c r="A103" s="20" t="str">
        <x:v>13. Cash conversion cycle (days)</x:v>
      </x:c>
      <x:c r="B103" s="43" t="str">
        <x:v>DIO + DSO - DPO</x:v>
      </x:c>
      <x:c r="C103" s="21"/>
      <x:c r="D103" s="21"/>
      <x:c r="E103" s="21"/>
      <x:c r="F103" s="21"/>
      <x:c r="G103" s="21"/>
      <x:c r="H103" t="str"/>
    </x:row>
    <x:row r="104" ht="15" hidden="0">
      <x:c r="A104" s="8" t="str">
        <x:v>KOHC</x:v>
      </x:c>
      <x:c r="B104" s="33"/>
      <x:c r="C104" s="90" t="n">
        <x:f>KOHC!C124</x:f>
        <x:v>59.66334864328658</x:v>
      </x:c>
      <x:c r="D104" s="90" t="n">
        <x:f>KOHC!D124</x:f>
        <x:v>66.07219583568286</x:v>
      </x:c>
      <x:c r="E104" s="90" t="n">
        <x:f>KOHC!E124</x:f>
        <x:v>82.78887616309285</x:v>
      </x:c>
      <x:c r="F104" s="90" t="n">
        <x:f>KOHC!F124</x:f>
        <x:v>100.80234556959385</x:v>
      </x:c>
      <x:c r="G104" s="90" t="n">
        <x:f>KOHC!G124</x:f>
        <x:v>108.04716265276964</x:v>
      </x:c>
      <x:c r="H104"/>
    </x:row>
    <x:row r="105" ht="15" hidden="0">
      <x:c r="A105" s="10" t="str">
        <x:v>LUCK</x:v>
      </x:c>
      <x:c r="B105" s="33"/>
      <x:c r="C105" s="91" t="n">
        <x:f>LUCK!C124</x:f>
        <x:v>90.74788941203903</x:v>
      </x:c>
      <x:c r="D105" s="91" t="n">
        <x:f>LUCK!D124</x:f>
        <x:v>94.37733461469227</x:v>
      </x:c>
      <x:c r="E105" s="91" t="n">
        <x:f>LUCK!E124</x:f>
        <x:v>95.20473922370724</x:v>
      </x:c>
      <x:c r="F105" s="91" t="n">
        <x:f>LUCK!F124</x:f>
        <x:v>93.02401833141005</x:v>
      </x:c>
      <x:c r="G105" s="91" t="n">
        <x:f>LUCK!G124</x:f>
        <x:v>95.67813071445953</x:v>
      </x:c>
      <x:c r="H105"/>
    </x:row>
    <x:row r="106" ht="15" hidden="0">
      <x:c r="A106" s="10" t="str">
        <x:v>DGKC</x:v>
      </x:c>
      <x:c r="B106" s="33"/>
      <x:c r="C106" s="91" t="n">
        <x:f>DGKC!C124</x:f>
        <x:v>97.32755795260586</x:v>
      </x:c>
      <x:c r="D106" s="91" t="n">
        <x:f>DGKC!D124</x:f>
        <x:v>113.97054065366662</x:v>
      </x:c>
      <x:c r="E106" s="91" t="n">
        <x:f>DGKC!E124</x:f>
        <x:v>123.10632996704659</x:v>
      </x:c>
      <x:c r="F106" s="91" t="n">
        <x:f>DGKC!F124</x:f>
        <x:v>108.89985368796259</x:v>
      </x:c>
      <x:c r="G106" s="91" t="n">
        <x:f>DGKC!G124</x:f>
        <x:v>114.67287204684449</x:v>
      </x:c>
      <x:c r="H106"/>
    </x:row>
    <x:row r="107" ht="15" hidden="0">
      <x:c r="A107" s="10" t="str">
        <x:v>MLCF</x:v>
      </x:c>
      <x:c r="B107" s="33"/>
      <x:c r="C107" s="91" t="n">
        <x:f>MLCF!C124</x:f>
        <x:v>117.14268112684906</x:v>
      </x:c>
      <x:c r="D107" s="91" t="n">
        <x:f>MLCF!D124</x:f>
        <x:v>113.55287092262091</x:v>
      </x:c>
      <x:c r="E107" s="91" t="n">
        <x:f>MLCF!E124</x:f>
        <x:v>90.89673173756466</x:v>
      </x:c>
      <x:c r="F107" s="91" t="n">
        <x:f>MLCF!F124</x:f>
        <x:v>87.90058518831941</x:v>
      </x:c>
      <x:c r="G107" s="91" t="n">
        <x:f>MLCF!G124</x:f>
        <x:v>102.9163012483726</x:v>
      </x:c>
      <x:c r="H107"/>
    </x:row>
    <x:row r="108" ht="15" hidden="0">
      <x:c r="A108" s="10" t="str">
        <x:v>FCCL</x:v>
      </x:c>
      <x:c r="B108" s="33"/>
      <x:c r="C108" s="91" t="n">
        <x:f>FCCL!C124</x:f>
        <x:v>108.16978620747179</x:v>
      </x:c>
      <x:c r="D108" s="91" t="n">
        <x:f>FCCL!D124</x:f>
        <x:v>95.49527727433959</x:v>
      </x:c>
      <x:c r="E108" s="91" t="n">
        <x:f>FCCL!E124</x:f>
        <x:v>113.53363711445124</x:v>
      </x:c>
      <x:c r="F108" s="91" t="n">
        <x:f>FCCL!F124</x:f>
        <x:v>109.34104725924954</x:v>
      </x:c>
      <x:c r="G108" s="91" t="n">
        <x:f>FCCL!G124</x:f>
        <x:v>125.8888849956775</x:v>
      </x:c>
      <x:c r="H108"/>
    </x:row>
    <x:row r="109" ht="15" hidden="0">
      <x:c r="A109" s="46" t="str">
        <x:v>Five-company average</x:v>
      </x:c>
      <x:c r="B109" s="47"/>
      <x:c r="C109" s="92" t="n">
        <x:f>IF(COUNT(C104:C108)=0,"n/m",AVERAGE(C104:C108))</x:f>
        <x:v>94.61025266845047</x:v>
      </x:c>
      <x:c r="D109" s="92" t="n">
        <x:f>IF(COUNT(D104:D108)=0,"n/m",AVERAGE(D104:D108))</x:f>
        <x:v>96.69364386020045</x:v>
      </x:c>
      <x:c r="E109" s="92" t="n">
        <x:f>IF(COUNT(E104:E108)=0,"n/m",AVERAGE(E104:E108))</x:f>
        <x:v>101.10606284117253</x:v>
      </x:c>
      <x:c r="F109" s="92" t="n">
        <x:f>IF(COUNT(F104:F108)=0,"n/m",AVERAGE(F104:F108))</x:f>
        <x:v>99.99357000730708</x:v>
      </x:c>
      <x:c r="G109" s="92" t="n">
        <x:f>IF(COUNT(G104:G108)=0,"n/m",AVERAGE(G104:G108))</x:f>
        <x:v>109.44067033162476</x:v>
      </x:c>
      <x:c r="H109"/>
    </x:row>
    <x:row r="110" ht="15" hidden="0">
      <x:c r="A110"/>
      <x:c r="B110"/>
      <x:c r="C110"/>
      <x:c r="D110"/>
      <x:c r="E110"/>
      <x:c r="F110"/>
      <x:c r="G110"/>
      <x:c r="H110"/>
    </x:row>
    <x:row r="111">
      <x:c r="A111" s="20" t="str">
        <x:v>14. Total asset turnover</x:v>
      </x:c>
      <x:c r="B111" s="43" t="str">
        <x:v>Net Sales / Average Total Assets</x:v>
      </x:c>
      <x:c r="C111" s="21"/>
      <x:c r="D111" s="21"/>
      <x:c r="E111" s="21"/>
      <x:c r="F111" s="21"/>
      <x:c r="G111" s="21"/>
      <x:c r="H111" t="str"/>
    </x:row>
    <x:row r="112" ht="15" hidden="0">
      <x:c r="A112" s="8" t="str">
        <x:v>KOHC</x:v>
      </x:c>
      <x:c r="B112" s="33"/>
      <x:c r="C112" s="84" t="n">
        <x:f>KOHC!C125</x:f>
        <x:v>0.7092011621843222</x:v>
      </x:c>
      <x:c r="D112" s="84" t="n">
        <x:f>KOHC!D125</x:f>
        <x:v>0.8277428727778264</x:v>
      </x:c>
      <x:c r="E112" s="84" t="n">
        <x:f>KOHC!E125</x:f>
        <x:v>0.838099135080987</x:v>
      </x:c>
      <x:c r="F112" s="84" t="n">
        <x:f>KOHC!F125</x:f>
        <x:v>0.7132336607672219</x:v>
      </x:c>
      <x:c r="G112" s="84" t="n">
        <x:f>KOHC!G125</x:f>
        <x:v>0.59752332567838</x:v>
      </x:c>
      <x:c r="H112"/>
    </x:row>
    <x:row r="113" ht="15" hidden="0">
      <x:c r="A113" s="10" t="str">
        <x:v>LUCK</x:v>
      </x:c>
      <x:c r="B113" s="33"/>
      <x:c r="C113" s="85" t="n">
        <x:f>LUCK!C125</x:f>
        <x:v>0.43075247100519976</x:v>
      </x:c>
      <x:c r="D113" s="85" t="n">
        <x:f>LUCK!D125</x:f>
        <x:v>0.4751614147030488</x:v>
      </x:c>
      <x:c r="E113" s="85" t="n">
        <x:f>LUCK!E125</x:f>
        <x:v>0.4815184479475107</x:v>
      </x:c>
      <x:c r="F113" s="85" t="n">
        <x:f>LUCK!F125</x:f>
        <x:v>0.5158831372305058</x:v>
      </x:c>
      <x:c r="G113" s="85" t="n">
        <x:f>LUCK!G125</x:f>
        <x:v>0.49728501600707337</x:v>
      </x:c>
      <x:c r="H113"/>
    </x:row>
    <x:row r="114" ht="15" hidden="0">
      <x:c r="A114" s="10" t="str">
        <x:v>DGKC</x:v>
      </x:c>
      <x:c r="B114" s="33"/>
      <x:c r="C114" s="85" t="n">
        <x:f>DGKC!C125</x:f>
        <x:v>0.337321560534536</x:v>
      </x:c>
      <x:c r="D114" s="85" t="n">
        <x:f>DGKC!D125</x:f>
        <x:v>0.42297281053904634</x:v>
      </x:c>
      <x:c r="E114" s="85" t="n">
        <x:f>DGKC!E125</x:f>
        <x:v>0.47909875248597583</x:v>
      </x:c>
      <x:c r="F114" s="85" t="n">
        <x:f>DGKC!F125</x:f>
        <x:v>0.48362452491954855</x:v>
      </x:c>
      <x:c r="G114" s="85" t="n">
        <x:f>DGKC!G125</x:f>
        <x:v>0.5057355687914292</x:v>
      </x:c>
      <x:c r="H114"/>
    </x:row>
    <x:row r="115" ht="15" hidden="0">
      <x:c r="A115" s="10" t="str">
        <x:v>MLCF</x:v>
      </x:c>
      <x:c r="B115" s="33"/>
      <x:c r="C115" s="85" t="n">
        <x:f>MLCF!C125</x:f>
        <x:v>0.5374450896807583</x:v>
      </x:c>
      <x:c r="D115" s="85" t="n">
        <x:f>MLCF!D125</x:f>
        <x:v>0.6536676591930263</x:v>
      </x:c>
      <x:c r="E115" s="85" t="n">
        <x:f>MLCF!E125</x:f>
        <x:v>0.7221331478723996</x:v>
      </x:c>
      <x:c r="F115" s="85" t="n">
        <x:f>MLCF!F125</x:f>
        <x:v>0.7029264873878895</x:v>
      </x:c>
      <x:c r="G115" s="85" t="n">
        <x:f>MLCF!G125</x:f>
        <x:v>0.6311331505330572</x:v>
      </x:c>
      <x:c r="H115"/>
    </x:row>
    <x:row r="116" ht="15" hidden="0">
      <x:c r="A116" s="10" t="str">
        <x:v>FCCL</x:v>
      </x:c>
      <x:c r="B116" s="33"/>
      <x:c r="C116" s="85" t="n">
        <x:f>FCCL!C125</x:f>
        <x:v>0.7673483591494026</x:v>
      </x:c>
      <x:c r="D116" s="85" t="n">
        <x:f>FCCL!D125</x:f>
        <x:v>0.7342538737719585</x:v>
      </x:c>
      <x:c r="E116" s="85" t="n">
        <x:f>FCCL!E125</x:f>
        <x:v>0.5391058922773014</x:v>
      </x:c>
      <x:c r="F116" s="85" t="n">
        <x:f>FCCL!F125</x:f>
        <x:v>0.5587159547520806</x:v>
      </x:c>
      <x:c r="G116" s="85" t="n">
        <x:f>FCCL!G125</x:f>
        <x:v>0.576736892706269</x:v>
      </x:c>
      <x:c r="H116"/>
    </x:row>
    <x:row r="117" ht="15" hidden="0">
      <x:c r="A117" s="46" t="str">
        <x:v>Five-company average</x:v>
      </x:c>
      <x:c r="B117" s="47"/>
      <x:c r="C117" s="86" t="n">
        <x:f>IF(COUNT(C112:C116)=0,"n/m",AVERAGE(C112:C116))</x:f>
        <x:v>0.5564137285108437</x:v>
      </x:c>
      <x:c r="D117" s="86" t="n">
        <x:f>IF(COUNT(D112:D116)=0,"n/m",AVERAGE(D112:D116))</x:f>
        <x:v>0.6227597261969813</x:v>
      </x:c>
      <x:c r="E117" s="86" t="n">
        <x:f>IF(COUNT(E112:E116)=0,"n/m",AVERAGE(E112:E116))</x:f>
        <x:v>0.6119910751328349</x:v>
      </x:c>
      <x:c r="F117" s="86" t="n">
        <x:f>IF(COUNT(F112:F116)=0,"n/m",AVERAGE(F112:F116))</x:f>
        <x:v>0.5948767530114493</x:v>
      </x:c>
      <x:c r="G117" s="86" t="n">
        <x:f>IF(COUNT(G112:G116)=0,"n/m",AVERAGE(G112:G116))</x:f>
        <x:v>0.5616827907432418</x:v>
      </x:c>
      <x:c r="H117"/>
    </x:row>
    <x:row r="118" ht="15" hidden="0">
      <x:c r="A118"/>
      <x:c r="B118"/>
      <x:c r="C118"/>
      <x:c r="D118"/>
      <x:c r="E118"/>
      <x:c r="F118"/>
      <x:c r="G118"/>
      <x:c r="H118"/>
    </x:row>
    <x:row r="119">
      <x:c r="A119" s="20" t="str">
        <x:v>15. Fixed asset turnover</x:v>
      </x:c>
      <x:c r="B119" s="43" t="str">
        <x:v>Net Sales / Average Operating Fixed Assets</x:v>
      </x:c>
      <x:c r="C119" s="21"/>
      <x:c r="D119" s="21"/>
      <x:c r="E119" s="21"/>
      <x:c r="F119" s="21"/>
      <x:c r="G119" s="21"/>
      <x:c r="H119" t="str"/>
    </x:row>
    <x:row r="120" ht="15" hidden="0">
      <x:c r="A120" s="8" t="str">
        <x:v>KOHC</x:v>
      </x:c>
      <x:c r="B120" s="33"/>
      <x:c r="C120" s="84" t="n">
        <x:f>KOHC!C126</x:f>
        <x:v>1.0844791007988606</x:v>
      </x:c>
      <x:c r="D120" s="84" t="n">
        <x:f>KOHC!D126</x:f>
        <x:v>1.5307978904973403</x:v>
      </x:c>
      <x:c r="E120" s="84" t="n">
        <x:f>KOHC!E126</x:f>
        <x:v>1.876337672472641</x:v>
      </x:c>
      <x:c r="F120" s="84" t="n">
        <x:f>KOHC!F126</x:f>
        <x:v>1.8650719460684553</x:v>
      </x:c>
      <x:c r="G120" s="84" t="n">
        <x:f>KOHC!G126</x:f>
        <x:v>1.7861104563188661</x:v>
      </x:c>
      <x:c r="H120"/>
    </x:row>
    <x:row r="121" ht="15" hidden="0">
      <x:c r="A121" s="10" t="str">
        <x:v>LUCK</x:v>
      </x:c>
      <x:c r="B121" s="33"/>
      <x:c r="C121" s="85" t="n">
        <x:f>LUCK!C126</x:f>
        <x:v>1.064193408439223</x:v>
      </x:c>
      <x:c r="D121" s="85" t="n">
        <x:f>LUCK!D126</x:f>
        <x:v>1.3656161868044014</x:v>
      </x:c>
      <x:c r="E121" s="85" t="n">
        <x:f>LUCK!E126</x:f>
        <x:v>1.2739571002729932</x:v>
      </x:c>
      <x:c r="F121" s="85" t="n">
        <x:f>LUCK!F126</x:f>
        <x:v>1.242164612598929</x:v>
      </x:c>
      <x:c r="G121" s="85" t="n">
        <x:f>LUCK!G126</x:f>
        <x:v>1.2601477514941262</x:v>
      </x:c>
      <x:c r="H121"/>
    </x:row>
    <x:row r="122" ht="15" hidden="0">
      <x:c r="A122" s="10" t="str">
        <x:v>DGKC</x:v>
      </x:c>
      <x:c r="B122" s="33"/>
      <x:c r="C122" s="85" t="n">
        <x:f>DGKC!C126</x:f>
        <x:v>0.5840225528925309</x:v>
      </x:c>
      <x:c r="D122" s="85" t="n">
        <x:f>DGKC!D126</x:f>
        <x:v>0.7284023454374957</x:v>
      </x:c>
      <x:c r="E122" s="85" t="n">
        <x:f>DGKC!E126</x:f>
        <x:v>0.8006952973031204</x:v>
      </x:c>
      <x:c r="F122" s="85" t="n">
        <x:f>DGKC!F126</x:f>
        <x:v>0.8318493605276719</x:v>
      </x:c>
      <x:c r="G122" s="85" t="n">
        <x:f>DGKC!G126</x:f>
        <x:v>0.9277030351499571</x:v>
      </x:c>
      <x:c r="H122"/>
    </x:row>
    <x:row r="123" ht="15" hidden="0">
      <x:c r="A123" s="10" t="str">
        <x:v>MLCF</x:v>
      </x:c>
      <x:c r="B123" s="33"/>
      <x:c r="C123" s="85" t="n">
        <x:f>MLCF!C126</x:f>
        <x:v>0.838288069294308</x:v>
      </x:c>
      <x:c r="D123" s="85" t="n">
        <x:f>MLCF!D126</x:f>
        <x:v>1.172066585205955</x:v>
      </x:c>
      <x:c r="E123" s="85" t="n">
        <x:f>MLCF!E126</x:f>
        <x:v>1.2158524918829576</x:v>
      </x:c>
      <x:c r="F123" s="85" t="n">
        <x:f>MLCF!F126</x:f>
        <x:v>1.0531088846951966</x:v>
      </x:c>
      <x:c r="G123" s="85" t="n">
        <x:f>MLCF!G126</x:f>
        <x:v>1.0752521941525262</x:v>
      </x:c>
      <x:c r="H123"/>
    </x:row>
    <x:row r="124" ht="15" hidden="0">
      <x:c r="A124" s="10" t="str">
        <x:v>FCCL</x:v>
      </x:c>
      <x:c r="B124" s="33"/>
      <x:c r="C124" s="85" t="n">
        <x:f>FCCL!C126</x:f>
        <x:v>1.121529000686929</x:v>
      </x:c>
      <x:c r="D124" s="85" t="n">
        <x:f>FCCL!D126</x:f>
        <x:v>1.6551596506379742</x:v>
      </x:c>
      <x:c r="E124" s="85" t="n">
        <x:f>FCCL!E126</x:f>
        <x:v>1.1919170397378338</x:v>
      </x:c>
      <x:c r="F124" s="85" t="n">
        <x:f>FCCL!F126</x:f>
        <x:v>0.8889851122075039</x:v>
      </x:c>
      <x:c r="G124" s="85" t="n">
        <x:f>FCCL!G126</x:f>
        <x:v>0.8108018836700552</x:v>
      </x:c>
      <x:c r="H124"/>
    </x:row>
    <x:row r="125" ht="15" hidden="0">
      <x:c r="A125" s="46" t="str">
        <x:v>Five-company average</x:v>
      </x:c>
      <x:c r="B125" s="47"/>
      <x:c r="C125" s="86" t="n">
        <x:f>IF(COUNT(C120:C124)=0,"n/m",AVERAGE(C120:C124))</x:f>
        <x:v>0.9385024264223703</x:v>
      </x:c>
      <x:c r="D125" s="86" t="n">
        <x:f>IF(COUNT(D120:D124)=0,"n/m",AVERAGE(D120:D124))</x:f>
        <x:v>1.2904085317166332</x:v>
      </x:c>
      <x:c r="E125" s="86" t="n">
        <x:f>IF(COUNT(E120:E124)=0,"n/m",AVERAGE(E120:E124))</x:f>
        <x:v>1.2717519203339092</x:v>
      </x:c>
      <x:c r="F125" s="86" t="n">
        <x:f>IF(COUNT(F120:F124)=0,"n/m",AVERAGE(F120:F124))</x:f>
        <x:v>1.1762359832195513</x:v>
      </x:c>
      <x:c r="G125" s="86" t="n">
        <x:f>IF(COUNT(G120:G124)=0,"n/m",AVERAGE(G120:G124))</x:f>
        <x:v>1.172003064157106</x:v>
      </x:c>
      <x:c r="H125"/>
    </x:row>
    <x:row r="126" ht="15" hidden="0">
      <x:c r="A126"/>
      <x:c r="B126"/>
      <x:c r="C126"/>
      <x:c r="D126"/>
      <x:c r="E126"/>
      <x:c r="F126"/>
      <x:c r="G126"/>
      <x:c r="H126"/>
    </x:row>
    <x:row r="127" ht="22" customHeight="1">
      <x:c r="A127" s="71" t="str">
        <x:v>DEBT MANAGEMENT</x:v>
      </x:c>
      <x:c r="B127" s="71"/>
      <x:c r="C127" s="71"/>
      <x:c r="D127" s="71"/>
      <x:c r="E127" s="71"/>
      <x:c r="F127" s="71"/>
      <x:c r="G127" s="71"/>
      <x:c r="H127" s="71"/>
    </x:row>
    <x:row r="128">
      <x:c r="A128" s="20" t="str">
        <x:v>16. Debt ratio</x:v>
      </x:c>
      <x:c r="B128" s="43" t="str">
        <x:v>Total Liabilities / Total Assets</x:v>
      </x:c>
      <x:c r="C128" s="21"/>
      <x:c r="D128" s="21"/>
      <x:c r="E128" s="21"/>
      <x:c r="F128" s="21"/>
      <x:c r="G128" s="21"/>
      <x:c r="H128" t="str"/>
    </x:row>
    <x:row r="129" ht="19.5" hidden="0" customHeight="1">
      <x:c r="A129" s="8" t="str">
        <x:v>KOHC</x:v>
      </x:c>
      <x:c r="B129" s="33"/>
      <x:c r="C129" s="93" t="n">
        <x:f>KOHC!C128</x:f>
        <x:v>0.384166382555034</x:v>
      </x:c>
      <x:c r="D129" s="93" t="n">
        <x:f>KOHC!D128</x:f>
        <x:v>0.37149249167170456</x:v>
      </x:c>
      <x:c r="E129" s="93" t="n">
        <x:f>KOHC!E128</x:f>
        <x:v>0.3416112409848334</x:v>
      </x:c>
      <x:c r="F129" s="93" t="n">
        <x:f>KOHC!F128</x:f>
        <x:v>0.3016994518502951</x:v>
      </x:c>
      <x:c r="G129" s="93" t="n">
        <x:f>KOHC!G128</x:f>
        <x:v>0.28204672647028445</x:v>
      </x:c>
      <x:c r="H129"/>
    </x:row>
    <x:row r="130" ht="15" hidden="0">
      <x:c r="A130" s="10" t="str">
        <x:v>LUCK</x:v>
      </x:c>
      <x:c r="B130" s="33"/>
      <x:c r="C130" s="94" t="n">
        <x:f>LUCK!C128</x:f>
        <x:v>0.27606535150381284</x:v>
      </x:c>
      <x:c r="D130" s="94" t="n">
        <x:f>LUCK!D128</x:f>
        <x:v>0.3050460729395506</x:v>
      </x:c>
      <x:c r="E130" s="94" t="n">
        <x:f>LUCK!E128</x:f>
        <x:v>0.35532697822447284</x:v>
      </x:c>
      <x:c r="F130" s="94" t="n">
        <x:f>LUCK!F128</x:f>
        <x:v>0.3685903641039032</x:v>
      </x:c>
      <x:c r="G130" s="94" t="n">
        <x:f>LUCK!G128</x:f>
        <x:v>0.34053721034041</x:v>
      </x:c>
      <x:c r="H130"/>
    </x:row>
    <x:row r="131" ht="15" hidden="0">
      <x:c r="A131" s="10" t="str">
        <x:v>DGKC</x:v>
      </x:c>
      <x:c r="B131" s="33"/>
      <x:c r="C131" s="94" t="n">
        <x:f>DGKC!C128</x:f>
        <x:v>0.46714504184305206</x:v>
      </x:c>
      <x:c r="D131" s="94" t="n">
        <x:f>DGKC!D128</x:f>
        <x:v>0.48801207258126744</x:v>
      </x:c>
      <x:c r="E131" s="94" t="n">
        <x:f>DGKC!E128</x:f>
        <x:v>0.5234895224192266</x:v>
      </x:c>
      <x:c r="F131" s="94" t="n">
        <x:f>DGKC!F128</x:f>
        <x:v>0.4519122394636083</x:v>
      </x:c>
      <x:c r="G131" s="94" t="n">
        <x:f>DGKC!G128</x:f>
        <x:v>0.3512559582717703</x:v>
      </x:c>
      <x:c r="H131"/>
    </x:row>
    <x:row r="132" ht="15" hidden="0">
      <x:c r="A132" s="10" t="str">
        <x:v>MLCF</x:v>
      </x:c>
      <x:c r="B132" s="33"/>
      <x:c r="C132" s="94" t="n">
        <x:f>MLCF!C128</x:f>
        <x:v>0.4332284086792129</x:v>
      </x:c>
      <x:c r="D132" s="94" t="n">
        <x:f>MLCF!D128</x:f>
        <x:v>0.5066666090934888</x:v>
      </x:c>
      <x:c r="E132" s="94" t="n">
        <x:f>MLCF!E128</x:f>
        <x:v>0.49933942690835115</x:v>
      </x:c>
      <x:c r="F132" s="94" t="n">
        <x:f>MLCF!F128</x:f>
        <x:v>0.4704820926001394</x:v>
      </x:c>
      <x:c r="G132" s="94" t="n">
        <x:f>MLCF!G128</x:f>
        <x:v>0.4000182240614351</x:v>
      </x:c>
      <x:c r="H132"/>
    </x:row>
    <x:row r="133" ht="15" hidden="0">
      <x:c r="A133" s="10" t="str">
        <x:v>FCCL</x:v>
      </x:c>
      <x:c r="B133" s="33"/>
      <x:c r="C133" s="94" t="n">
        <x:f>FCCL!C128</x:f>
        <x:v>0.3164714817070282</x:v>
      </x:c>
      <x:c r="D133" s="94" t="n">
        <x:f>FCCL!D128</x:f>
        <x:v>0.4921984828292214</x:v>
      </x:c>
      <x:c r="E133" s="94" t="n">
        <x:f>FCCL!E128</x:f>
        <x:v>0.530530558146142</x:v>
      </x:c>
      <x:c r="F133" s="94" t="n">
        <x:f>FCCL!F128</x:f>
        <x:v>0.5028400637434024</x:v>
      </x:c>
      <x:c r="G133" s="94" t="n">
        <x:f>FCCL!G128</x:f>
        <x:v>0.4760663500346739</x:v>
      </x:c>
      <x:c r="H133"/>
    </x:row>
    <x:row r="134" ht="15" hidden="0">
      <x:c r="A134" s="46" t="str">
        <x:v>Five-company average</x:v>
      </x:c>
      <x:c r="B134" s="47"/>
      <x:c r="C134" s="95" t="n">
        <x:f>IF(COUNT(C129:C133)=0,"n/m",AVERAGE(C129:C133))</x:f>
        <x:v>0.375415333257628</x:v>
      </x:c>
      <x:c r="D134" s="95" t="n">
        <x:f>IF(COUNT(D129:D133)=0,"n/m",AVERAGE(D129:D133))</x:f>
        <x:v>0.43268314582304657</x:v>
      </x:c>
      <x:c r="E134" s="95" t="n">
        <x:f>IF(COUNT(E129:E133)=0,"n/m",AVERAGE(E129:E133))</x:f>
        <x:v>0.4500595453366052</x:v>
      </x:c>
      <x:c r="F134" s="95" t="n">
        <x:f>IF(COUNT(F129:F133)=0,"n/m",AVERAGE(F129:F133))</x:f>
        <x:v>0.41910484235226975</x:v>
      </x:c>
      <x:c r="G134" s="95" t="n">
        <x:f>IF(COUNT(G129:G133)=0,"n/m",AVERAGE(G129:G133))</x:f>
        <x:v>0.36998489383571476</x:v>
      </x:c>
      <x:c r="H134"/>
    </x:row>
    <x:row r="135" ht="15" hidden="0">
      <x:c r="A135"/>
      <x:c r="B135"/>
      <x:c r="C135"/>
      <x:c r="D135"/>
      <x:c r="E135"/>
      <x:c r="F135"/>
      <x:c r="G135"/>
      <x:c r="H135"/>
    </x:row>
    <x:row r="136" ht="15" hidden="0">
      <x:c r="A136" s="20" t="str">
        <x:v>17. Debt-to-equity</x:v>
      </x:c>
      <x:c r="B136" s="43" t="str">
        <x:v>Total Liabilities / Total Equity</x:v>
      </x:c>
      <x:c r="C136" s="21"/>
      <x:c r="D136" s="21"/>
      <x:c r="E136" s="21"/>
      <x:c r="F136" s="21"/>
      <x:c r="G136" s="21"/>
      <x:c r="H136" t="str"/>
    </x:row>
    <x:row r="137">
      <x:c r="A137" s="8" t="str">
        <x:v>KOHC</x:v>
      </x:c>
      <x:c r="B137" s="33"/>
      <x:c r="C137" s="84" t="n">
        <x:f>KOHC!C129</x:f>
        <x:v>0.6238152183846396</x:v>
      </x:c>
      <x:c r="D137" s="84" t="n">
        <x:f>KOHC!D129</x:f>
        <x:v>0.5910708889696489</x:v>
      </x:c>
      <x:c r="E137" s="84" t="n">
        <x:f>KOHC!E129</x:f>
        <x:v>0.5188594676127575</x:v>
      </x:c>
      <x:c r="F137" s="84" t="n">
        <x:f>KOHC!F129</x:f>
        <x:v>0.4320481383692331</x:v>
      </x:c>
      <x:c r="G137" s="84" t="n">
        <x:f>KOHC!G129</x:f>
        <x:v>0.3928483048536595</x:v>
      </x:c>
      <x:c r="H137"/>
    </x:row>
    <x:row r="138" ht="15" hidden="0">
      <x:c r="A138" s="10" t="str">
        <x:v>LUCK</x:v>
      </x:c>
      <x:c r="B138" s="33"/>
      <x:c r="C138" s="85" t="n">
        <x:f>LUCK!C129</x:f>
        <x:v>0.3813401556028255</x:v>
      </x:c>
      <x:c r="D138" s="85" t="n">
        <x:f>LUCK!D129</x:f>
        <x:v>0.4389443113586675</x:v>
      </x:c>
      <x:c r="E138" s="85" t="n">
        <x:f>LUCK!E129</x:f>
        <x:v>0.5511739536514938</x:v>
      </x:c>
      <x:c r="F138" s="85" t="n">
        <x:f>LUCK!F129</x:f>
        <x:v>0.5837579016050328</x:v>
      </x:c>
      <x:c r="G138" s="85" t="n">
        <x:f>LUCK!G129</x:f>
        <x:v>0.5163857850360184</x:v>
      </x:c>
      <x:c r="H138"/>
    </x:row>
    <x:row r="139" ht="15" hidden="0">
      <x:c r="A139" s="10" t="str">
        <x:v>DGKC</x:v>
      </x:c>
      <x:c r="B139" s="33"/>
      <x:c r="C139" s="85" t="n">
        <x:f>DGKC!C129</x:f>
        <x:v>0.8766832975690517</x:v>
      </x:c>
      <x:c r="D139" s="85" t="n">
        <x:f>DGKC!D129</x:f>
        <x:v>0.9531710543286772</x:v>
      </x:c>
      <x:c r="E139" s="85" t="n">
        <x:f>DGKC!E129</x:f>
        <x:v>1.0985897415665749</x:v>
      </x:c>
      <x:c r="F139" s="85" t="n">
        <x:f>DGKC!F129</x:f>
        <x:v>0.8245253260560679</x:v>
      </x:c>
      <x:c r="G139" s="85" t="n">
        <x:f>DGKC!G129</x:f>
        <x:v>0.5414399758278128</x:v>
      </x:c>
      <x:c r="H139"/>
    </x:row>
    <x:row r="140" ht="15" hidden="0">
      <x:c r="A140" s="10" t="str">
        <x:v>MLCF</x:v>
      </x:c>
      <x:c r="B140" s="33"/>
      <x:c r="C140" s="85" t="n">
        <x:f>MLCF!C129</x:f>
        <x:v>0.7643791878658399</x:v>
      </x:c>
      <x:c r="D140" s="85" t="n">
        <x:f>MLCF!D129</x:f>
        <x:v>1.027026790468161</x:v>
      </x:c>
      <x:c r="E140" s="85" t="n">
        <x:f>MLCF!E129</x:f>
        <x:v>0.9973611938820361</x:v>
      </x:c>
      <x:c r="F140" s="85" t="n">
        <x:f>MLCF!F129</x:f>
        <x:v>0.8885102581523445</x:v>
      </x:c>
      <x:c r="G140" s="85" t="n">
        <x:f>MLCF!G129</x:f>
        <x:v>0.6667172905971644</x:v>
      </x:c>
      <x:c r="H140"/>
    </x:row>
    <x:row r="141" ht="15" hidden="0">
      <x:c r="A141" s="10" t="str">
        <x:v>FCCL</x:v>
      </x:c>
      <x:c r="B141" s="33"/>
      <x:c r="C141" s="85" t="n">
        <x:f>FCCL!C129</x:f>
        <x:v>0.4629967488370152</x:v>
      </x:c>
      <x:c r="D141" s="85" t="n">
        <x:f>FCCL!D129</x:f>
        <x:v>0.9692733601339171</x:v>
      </x:c>
      <x:c r="E141" s="85" t="n">
        <x:f>FCCL!E129</x:f>
        <x:v>1.130064091181662</x:v>
      </x:c>
      <x:c r="F141" s="85" t="n">
        <x:f>FCCL!F129</x:f>
        <x:v>1.0114251512894896</x:v>
      </x:c>
      <x:c r="G141" s="85" t="n">
        <x:f>FCCL!G129</x:f>
        <x:v>0.9086386225931091</x:v>
      </x:c>
      <x:c r="H141"/>
    </x:row>
    <x:row r="142" ht="15" hidden="0">
      <x:c r="A142" s="46" t="str">
        <x:v>Five-company average</x:v>
      </x:c>
      <x:c r="B142" s="47"/>
      <x:c r="C142" s="86" t="n">
        <x:f>IF(COUNT(C137:C141)=0,"n/m",AVERAGE(C137:C141))</x:f>
        <x:v>0.6218429216518744</x:v>
      </x:c>
      <x:c r="D142" s="86" t="n">
        <x:f>IF(COUNT(D137:D141)=0,"n/m",AVERAGE(D137:D141))</x:f>
        <x:v>0.7958972810518143</x:v>
      </x:c>
      <x:c r="E142" s="86" t="n">
        <x:f>IF(COUNT(E137:E141)=0,"n/m",AVERAGE(E137:E141))</x:f>
        <x:v>0.859209689578905</x:v>
      </x:c>
      <x:c r="F142" s="86" t="n">
        <x:f>IF(COUNT(F137:F141)=0,"n/m",AVERAGE(F137:F141))</x:f>
        <x:v>0.7480533550944335</x:v>
      </x:c>
      <x:c r="G142" s="86" t="n">
        <x:f>IF(COUNT(G137:G141)=0,"n/m",AVERAGE(G137:G141))</x:f>
        <x:v>0.6052059957815528</x:v>
      </x:c>
      <x:c r="H142"/>
    </x:row>
    <x:row r="143" ht="15" hidden="0">
      <x:c r="A143"/>
      <x:c r="B143"/>
      <x:c r="C143"/>
      <x:c r="D143"/>
      <x:c r="E143"/>
      <x:c r="F143"/>
      <x:c r="G143"/>
      <x:c r="H143"/>
    </x:row>
    <x:row r="144" ht="15" hidden="0">
      <x:c r="A144" s="20" t="str">
        <x:v>18. Total debt-to-capital</x:v>
      </x:c>
      <x:c r="B144" s="43" t="str">
        <x:v>Interest-bearing Debt / (IBD + Equity)</x:v>
      </x:c>
      <x:c r="C144" s="21"/>
      <x:c r="D144" s="21"/>
      <x:c r="E144" s="21"/>
      <x:c r="F144" s="21"/>
      <x:c r="G144" s="21"/>
      <x:c r="H144" t="str"/>
    </x:row>
    <x:row r="145">
      <x:c r="A145" s="8" t="str">
        <x:v>KOHC</x:v>
      </x:c>
      <x:c r="B145" s="33"/>
      <x:c r="C145" s="93" t="n">
        <x:f>KOHC!C130</x:f>
        <x:v>0.21400284667161887</x:v>
      </x:c>
      <x:c r="D145" s="93" t="n">
        <x:f>KOHC!D130</x:f>
        <x:v>0.13497287275854264</x:v>
      </x:c>
      <x:c r="E145" s="93" t="n">
        <x:f>KOHC!E130</x:f>
        <x:v>0.08893739146213345</x:v>
      </x:c>
      <x:c r="F145" s="93" t="n">
        <x:f>KOHC!F130</x:f>
        <x:v>0.04978936327521882</x:v>
      </x:c>
      <x:c r="G145" s="93" t="n">
        <x:f>KOHC!G130</x:f>
        <x:v>0.044675679300716</x:v>
      </x:c>
      <x:c r="H145"/>
    </x:row>
    <x:row r="146" ht="15" hidden="0">
      <x:c r="A146" s="10" t="str">
        <x:v>LUCK</x:v>
      </x:c>
      <x:c r="B146" s="33"/>
      <x:c r="C146" s="94" t="n">
        <x:f>LUCK!C130</x:f>
        <x:v>0.08481566313402544</x:v>
      </x:c>
      <x:c r="D146" s="94" t="n">
        <x:f>LUCK!D130</x:f>
        <x:v>0.10820094237127705</x:v>
      </x:c>
      <x:c r="E146" s="94" t="n">
        <x:f>LUCK!E130</x:f>
        <x:v>0.13283363678865434</x:v>
      </x:c>
      <x:c r="F146" s="94" t="n">
        <x:f>LUCK!F130</x:f>
        <x:v>0.12102350075289672</x:v>
      </x:c>
      <x:c r="G146" s="94" t="n">
        <x:f>LUCK!G130</x:f>
        <x:v>0.0906485859901983</x:v>
      </x:c>
      <x:c r="H146"/>
    </x:row>
    <x:row r="147" ht="15" hidden="0">
      <x:c r="A147" s="10" t="str">
        <x:v>DGKC</x:v>
      </x:c>
      <x:c r="B147" s="33"/>
      <x:c r="C147" s="94" t="n">
        <x:f>DGKC!C130</x:f>
        <x:v>0.37343360902882045</x:v>
      </x:c>
      <x:c r="D147" s="94" t="n">
        <x:f>DGKC!D130</x:f>
        <x:v>0.39929807208366225</x:v>
      </x:c>
      <x:c r="E147" s="94" t="n">
        <x:f>DGKC!E130</x:f>
        <x:v>0.39850127088453147</x:v>
      </x:c>
      <x:c r="F147" s="94" t="n">
        <x:f>DGKC!F130</x:f>
        <x:v>0.31153681009483003</x:v>
      </x:c>
      <x:c r="G147" s="94" t="n">
        <x:f>DGKC!G130</x:f>
        <x:v>0.18792347676351873</x:v>
      </x:c>
      <x:c r="H147"/>
    </x:row>
    <x:row r="148" ht="15" hidden="0">
      <x:c r="A148" s="10" t="str">
        <x:v>MLCF</x:v>
      </x:c>
      <x:c r="B148" s="33"/>
      <x:c r="C148" s="94" t="n">
        <x:f>MLCF!C130</x:f>
        <x:v>0.3018980041603245</x:v>
      </x:c>
      <x:c r="D148" s="94" t="n">
        <x:f>MLCF!D130</x:f>
        <x:v>0.381087654689308</x:v>
      </x:c>
      <x:c r="E148" s="94" t="n">
        <x:f>MLCF!E130</x:f>
        <x:v>0.30676284445350793</x:v>
      </x:c>
      <x:c r="F148" s="94" t="n">
        <x:f>MLCF!F130</x:f>
        <x:v>0.2692569010491479</x:v>
      </x:c>
      <x:c r="G148" s="94" t="n">
        <x:f>MLCF!G130</x:f>
        <x:v>0.1694536072536581</x:v>
      </x:c>
      <x:c r="H148"/>
    </x:row>
    <x:row r="149" ht="15" hidden="0">
      <x:c r="A149" s="10" t="str">
        <x:v>FCCL</x:v>
      </x:c>
      <x:c r="B149" s="33"/>
      <x:c r="C149" s="94" t="n">
        <x:f>FCCL!C130</x:f>
        <x:v>0.09936978984482135</x:v>
      </x:c>
      <x:c r="D149" s="94" t="n">
        <x:f>FCCL!D130</x:f>
        <x:v>0.3098205379736645</x:v>
      </x:c>
      <x:c r="E149" s="94" t="n">
        <x:f>FCCL!E130</x:f>
        <x:v>0.3841453138694019</x:v>
      </x:c>
      <x:c r="F149" s="94" t="n">
        <x:f>FCCL!F130</x:f>
        <x:v>0.3326685523287222</x:v>
      </x:c>
      <x:c r="G149" s="94" t="n">
        <x:f>FCCL!G130</x:f>
        <x:v>0.3220730092552348</x:v>
      </x:c>
      <x:c r="H149"/>
    </x:row>
    <x:row r="150" ht="15" hidden="0">
      <x:c r="A150" s="46" t="str">
        <x:v>Five-company average</x:v>
      </x:c>
      <x:c r="B150" s="47"/>
      <x:c r="C150" s="95" t="n">
        <x:f>IF(COUNT(C145:C149)=0,"n/m",AVERAGE(C145:C149))</x:f>
        <x:v>0.21470398256792214</x:v>
      </x:c>
      <x:c r="D150" s="95" t="n">
        <x:f>IF(COUNT(D145:D149)=0,"n/m",AVERAGE(D145:D149))</x:f>
        <x:v>0.2666760159752909</x:v>
      </x:c>
      <x:c r="E150" s="95" t="n">
        <x:f>IF(COUNT(E145:E149)=0,"n/m",AVERAGE(E145:E149))</x:f>
        <x:v>0.26223609149164584</x:v>
      </x:c>
      <x:c r="F150" s="95" t="n">
        <x:f>IF(COUNT(F145:F149)=0,"n/m",AVERAGE(F145:F149))</x:f>
        <x:v>0.21685502550016317</x:v>
      </x:c>
      <x:c r="G150" s="95" t="n">
        <x:f>IF(COUNT(G145:G149)=0,"n/m",AVERAGE(G145:G149))</x:f>
        <x:v>0.16295487171266518</x:v>
      </x:c>
      <x:c r="H150"/>
    </x:row>
    <x:row r="151" ht="15" hidden="0">
      <x:c r="A151"/>
      <x:c r="B151"/>
      <x:c r="C151"/>
      <x:c r="D151"/>
      <x:c r="E151"/>
      <x:c r="F151"/>
      <x:c r="G151"/>
      <x:c r="H151"/>
    </x:row>
    <x:row r="152" ht="15" hidden="0">
      <x:c r="A152" s="20" t="str">
        <x:v>19. Long-term debt ratio</x:v>
      </x:c>
      <x:c r="B152" s="43" t="str">
        <x:v>Long-term IBD / Total Assets</x:v>
      </x:c>
      <x:c r="C152" s="21"/>
      <x:c r="D152" s="21"/>
      <x:c r="E152" s="21"/>
      <x:c r="F152" s="21"/>
      <x:c r="G152" s="21"/>
      <x:c r="H152" t="str"/>
    </x:row>
    <x:row r="153">
      <x:c r="A153" s="8" t="str">
        <x:v>KOHC</x:v>
      </x:c>
      <x:c r="B153" s="33"/>
      <x:c r="C153" s="93" t="n">
        <x:f>KOHC!C131</x:f>
        <x:v>0.1220875910318789</x:v>
      </x:c>
      <x:c r="D153" s="93" t="n">
        <x:f>KOHC!D131</x:f>
        <x:v>0.07334143338786069</x:v>
      </x:c>
      <x:c r="E153" s="93" t="n">
        <x:f>KOHC!E131</x:f>
        <x:v>0.04338813037035516</x:v>
      </x:c>
      <x:c r="F153" s="93" t="n">
        <x:f>KOHC!F131</x:f>
        <x:v>0.01901053423767185</x:v>
      </x:c>
      <x:c r="G153" s="93" t="n">
        <x:f>KOHC!G131</x:f>
        <x:v>0.02169313165517457</x:v>
      </x:c>
      <x:c r="H153"/>
    </x:row>
    <x:row r="154" ht="15" hidden="0">
      <x:c r="A154" s="10" t="str">
        <x:v>LUCK</x:v>
      </x:c>
      <x:c r="B154" s="33"/>
      <x:c r="C154" s="94" t="n">
        <x:f>LUCK!C131</x:f>
        <x:v>0.018763703805448454</x:v>
      </x:c>
      <x:c r="D154" s="94" t="n">
        <x:f>LUCK!D131</x:f>
        <x:v>0.07627738632757988</x:v>
      </x:c>
      <x:c r="E154" s="94" t="n">
        <x:f>LUCK!E131</x:f>
        <x:v>0.0683187429199697</x:v>
      </x:c>
      <x:c r="F154" s="94" t="n">
        <x:f>LUCK!F131</x:f>
        <x:v>0.054528421285721974</x:v>
      </x:c>
      <x:c r="G154" s="94" t="n">
        <x:f>LUCK!G131</x:f>
        <x:v>0.0344314520335914</x:v>
      </x:c>
      <x:c r="H154"/>
    </x:row>
    <x:row r="155" ht="15" hidden="0">
      <x:c r="A155" s="10" t="str">
        <x:v>DGKC</x:v>
      </x:c>
      <x:c r="B155" s="33"/>
      <x:c r="C155" s="94" t="n">
        <x:f>DGKC!C131</x:f>
        <x:v>0.13996233662270563</x:v>
      </x:c>
      <x:c r="D155" s="94" t="n">
        <x:f>DGKC!D131</x:f>
        <x:v>0.10374941529310935</x:v>
      </x:c>
      <x:c r="E155" s="94" t="n">
        <x:f>DGKC!E131</x:f>
        <x:v>0.07173473071922083</x:v>
      </x:c>
      <x:c r="F155" s="94" t="n">
        <x:f>DGKC!F131</x:f>
        <x:v>0.11536675950040348</x:v>
      </x:c>
      <x:c r="G155" s="94" t="n">
        <x:f>DGKC!G131</x:f>
        <x:v>0.06917171092245233</x:v>
      </x:c>
      <x:c r="H155"/>
    </x:row>
    <x:row r="156" ht="15" hidden="0">
      <x:c r="A156" s="10" t="str">
        <x:v>MLCF</x:v>
      </x:c>
      <x:c r="B156" s="33"/>
      <x:c r="C156" s="94" t="n">
        <x:f>MLCF!C131</x:f>
        <x:v>0.19077425632568037</x:v>
      </x:c>
      <x:c r="D156" s="94" t="n">
        <x:f>MLCF!D131</x:f>
        <x:v>0.22836689667151214</x:v>
      </x:c>
      <x:c r="E156" s="94" t="n">
        <x:f>MLCF!E131</x:f>
        <x:v>0.19245552926882725</x:v>
      </x:c>
      <x:c r="F156" s="94" t="n">
        <x:f>MLCF!F131</x:f>
        <x:v>0.1441187310524372</x:v>
      </x:c>
      <x:c r="G156" s="94" t="n">
        <x:f>MLCF!G131</x:f>
        <x:v>0.08236454653172713</x:v>
      </x:c>
      <x:c r="H156"/>
    </x:row>
    <x:row r="157" ht="15" hidden="0">
      <x:c r="A157" s="10" t="str">
        <x:v>FCCL</x:v>
      </x:c>
      <x:c r="B157" s="33"/>
      <x:c r="C157" s="94" t="n">
        <x:f>FCCL!C131</x:f>
        <x:v>0.01659494791985876</x:v>
      </x:c>
      <x:c r="D157" s="94" t="n">
        <x:f>FCCL!D131</x:f>
        <x:v>0.1727906268810509</x:v>
      </x:c>
      <x:c r="E157" s="94" t="n">
        <x:f>FCCL!E131</x:f>
        <x:v>0.22975152572601862</x:v>
      </x:c>
      <x:c r="F157" s="94" t="n">
        <x:f>FCCL!F131</x:f>
        <x:v>0.203376413547186</x:v>
      </x:c>
      <x:c r="G157" s="94" t="n">
        <x:f>FCCL!G131</x:f>
        <x:v>0.15113814624398686</x:v>
      </x:c>
      <x:c r="H157"/>
    </x:row>
    <x:row r="158" ht="15" hidden="0">
      <x:c r="A158" s="46" t="str">
        <x:v>Five-company average</x:v>
      </x:c>
      <x:c r="B158" s="47"/>
      <x:c r="C158" s="95" t="n">
        <x:f>IF(COUNT(C153:C157)=0,"n/m",AVERAGE(C153:C157))</x:f>
        <x:v>0.09763656714111443</x:v>
      </x:c>
      <x:c r="D158" s="95" t="n">
        <x:f>IF(COUNT(D153:D157)=0,"n/m",AVERAGE(D153:D157))</x:f>
        <x:v>0.13090515171222256</x:v>
      </x:c>
      <x:c r="E158" s="95" t="n">
        <x:f>IF(COUNT(E153:E157)=0,"n/m",AVERAGE(E153:E157))</x:f>
        <x:v>0.12112973180087831</x:v>
      </x:c>
      <x:c r="F158" s="95" t="n">
        <x:f>IF(COUNT(F153:F157)=0,"n/m",AVERAGE(F153:F157))</x:f>
        <x:v>0.10728017192468409</x:v>
      </x:c>
      <x:c r="G158" s="95" t="n">
        <x:f>IF(COUNT(G153:G157)=0,"n/m",AVERAGE(G153:G157))</x:f>
        <x:v>0.07175979747738645</x:v>
      </x:c>
      <x:c r="H158"/>
    </x:row>
    <x:row r="159" ht="15" hidden="0">
      <x:c r="A159"/>
      <x:c r="B159"/>
      <x:c r="C159"/>
      <x:c r="D159"/>
      <x:c r="E159"/>
      <x:c r="F159"/>
      <x:c r="G159"/>
      <x:c r="H159"/>
    </x:row>
    <x:row r="160" ht="15" hidden="0">
      <x:c r="A160" s="20" t="str">
        <x:v>20. Times interest earned</x:v>
      </x:c>
      <x:c r="B160" s="43" t="str">
        <x:v>EBIT / Interest Expense</x:v>
      </x:c>
      <x:c r="C160" s="21"/>
      <x:c r="D160" s="21"/>
      <x:c r="E160" s="21"/>
      <x:c r="F160" s="21"/>
      <x:c r="G160" s="21"/>
      <x:c r="H160" t="str"/>
    </x:row>
    <x:row r="161">
      <x:c r="A161" s="8" t="str">
        <x:v>KOHC</x:v>
      </x:c>
      <x:c r="B161" s="33"/>
      <x:c r="C161" s="84" t="n">
        <x:f>KOHC!C132</x:f>
        <x:v>11.019706901181747</x:v>
      </x:c>
      <x:c r="D161" s="84" t="n">
        <x:f>KOHC!D132</x:f>
        <x:v>18.36315245249661</x:v>
      </x:c>
      <x:c r="E161" s="84" t="n">
        <x:f>KOHC!E132</x:f>
        <x:v>16.398825279873954</x:v>
      </x:c>
      <x:c r="F161" s="84" t="n">
        <x:f>KOHC!F132</x:f>
        <x:v>22.367720224205137</x:v>
      </x:c>
      <x:c r="G161" s="84" t="n">
        <x:f>KOHC!G132</x:f>
        <x:v>59.09895319837231</x:v>
      </x:c>
      <x:c r="H161"/>
    </x:row>
    <x:row r="162" ht="15" hidden="0">
      <x:c r="A162" s="10" t="str">
        <x:v>LUCK</x:v>
      </x:c>
      <x:c r="B162" s="33"/>
      <x:c r="C162" s="85" t="n">
        <x:f>LUCK!C132</x:f>
        <x:v>52.04222826331838</x:v>
      </x:c>
      <x:c r="D162" s="85" t="n">
        <x:f>LUCK!D132</x:f>
        <x:v>55.297361076962446</x:v>
      </x:c>
      <x:c r="E162" s="85" t="n">
        <x:f>LUCK!E132</x:f>
        <x:v>19.427961435835122</x:v>
      </x:c>
      <x:c r="F162" s="85" t="n">
        <x:f>LUCK!F132</x:f>
        <x:v>27.534616013098077</x:v>
      </x:c>
      <x:c r="G162" s="85" t="n">
        <x:f>LUCK!G132</x:f>
        <x:v>36.7208914917797</x:v>
      </x:c>
      <x:c r="H162"/>
    </x:row>
    <x:row r="163" ht="15" hidden="0">
      <x:c r="A163" s="10" t="str">
        <x:v>DGKC</x:v>
      </x:c>
      <x:c r="B163" s="33"/>
      <x:c r="C163" s="85" t="n">
        <x:f>DGKC!C132</x:f>
        <x:v>2.665277021761826</x:v>
      </x:c>
      <x:c r="D163" s="85" t="n">
        <x:f>DGKC!D132</x:f>
        <x:v>2.7057478339935286</x:v>
      </x:c>
      <x:c r="E163" s="85" t="n">
        <x:f>DGKC!E132</x:f>
        <x:v>1.4774958199074884</x:v>
      </x:c>
      <x:c r="F163" s="85" t="n">
        <x:f>DGKC!F132</x:f>
        <x:v>1.367829033720977</x:v>
      </x:c>
      <x:c r="G163" s="85" t="n">
        <x:f>DGKC!G132</x:f>
        <x:v>4.421321516604763</x:v>
      </x:c>
      <x:c r="H163"/>
    </x:row>
    <x:row r="164" ht="15" hidden="0">
      <x:c r="A164" s="10" t="str">
        <x:v>MLCF</x:v>
      </x:c>
      <x:c r="B164" s="33"/>
      <x:c r="C164" s="85" t="n">
        <x:f>MLCF!C132</x:f>
        <x:v>6.069000565198944</x:v>
      </x:c>
      <x:c r="D164" s="85" t="n">
        <x:f>MLCF!D132</x:f>
        <x:v>5.280713598911259</x:v>
      </x:c>
      <x:c r="E164" s="85" t="n">
        <x:f>MLCF!E132</x:f>
        <x:v>4.472840944030858</x:v>
      </x:c>
      <x:c r="F164" s="85" t="n">
        <x:f>MLCF!F132</x:f>
        <x:v>3.222781857366191</x:v>
      </x:c>
      <x:c r="G164" s="85" t="n">
        <x:f>MLCF!G132</x:f>
        <x:v>7.387043000579386</x:v>
      </x:c>
      <x:c r="H164"/>
    </x:row>
    <x:row r="165" ht="15" hidden="0">
      <x:c r="A165" s="10" t="str">
        <x:v>FCCL</x:v>
      </x:c>
      <x:c r="B165" s="33"/>
      <x:c r="C165" s="85" t="n">
        <x:f>FCCL!C132</x:f>
        <x:v>56.640991401771736</x:v>
      </x:c>
      <x:c r="D165" s="85" t="n">
        <x:f>FCCL!D132</x:f>
        <x:v>12.790793831338474</x:v>
      </x:c>
      <x:c r="E165" s="85" t="n">
        <x:f>FCCL!E132</x:f>
        <x:v>6.303455869186725</x:v>
      </x:c>
      <x:c r="F165" s="85" t="n">
        <x:f>FCCL!F132</x:f>
        <x:v>3.782086656189459</x:v>
      </x:c>
      <x:c r="G165" s="85" t="n">
        <x:f>FCCL!G132</x:f>
        <x:v>4.810770991481205</x:v>
      </x:c>
      <x:c r="H165"/>
    </x:row>
    <x:row r="166" ht="15" hidden="0">
      <x:c r="A166" s="46" t="str">
        <x:v>Five-company average</x:v>
      </x:c>
      <x:c r="B166" s="47"/>
      <x:c r="C166" s="86" t="n">
        <x:f>IF(COUNT(C161:C165)=0,"n/m",AVERAGE(C161:C165))</x:f>
        <x:v>25.68744083064653</x:v>
      </x:c>
      <x:c r="D166" s="86" t="n">
        <x:f>IF(COUNT(D161:D165)=0,"n/m",AVERAGE(D161:D165))</x:f>
        <x:v>18.887553758740463</x:v>
      </x:c>
      <x:c r="E166" s="86" t="n">
        <x:f>IF(COUNT(E161:E165)=0,"n/m",AVERAGE(E161:E165))</x:f>
        <x:v>9.61611586976683</x:v>
      </x:c>
      <x:c r="F166" s="86" t="n">
        <x:f>IF(COUNT(F161:F165)=0,"n/m",AVERAGE(F161:F165))</x:f>
        <x:v>11.65500675691597</x:v>
      </x:c>
      <x:c r="G166" s="86" t="n">
        <x:f>IF(COUNT(G161:G165)=0,"n/m",AVERAGE(G161:G165))</x:f>
        <x:v>22.487796039763474</x:v>
      </x:c>
      <x:c r="H166"/>
    </x:row>
    <x:row r="167" ht="15" hidden="0">
      <x:c r="A167"/>
      <x:c r="B167"/>
      <x:c r="C167"/>
      <x:c r="D167"/>
      <x:c r="E167"/>
      <x:c r="F167"/>
      <x:c r="G167"/>
      <x:c r="H167"/>
    </x:row>
    <x:row r="168" ht="22" hidden="0" customHeight="1">
      <x:c r="A168" s="99" t="str">
        <x:v>PROFITABILITY</x:v>
      </x:c>
      <x:c r="B168" s="100"/>
      <x:c r="C168" s="101" t="n">
        <x:f aca="0">IF(COUNT(C163:C167)=0,"n/m",AVERAGE(C163:C167))</x:f>
        <x:v>22.765677454844756</x:v>
      </x:c>
      <x:c r="D168" s="101" t="n">
        <x:f aca="0">IF(COUNT(D163:D167)=0,"n/m",AVERAGE(D163:D167))</x:f>
        <x:v>9.916202255745931</x:v>
      </x:c>
      <x:c r="E168" s="101" t="n">
        <x:f aca="0">IF(COUNT(E163:E167)=0,"n/m",AVERAGE(E163:E167))</x:f>
        <x:v>5.467477125722975</x:v>
      </x:c>
      <x:c r="F168" s="101" t="n">
        <x:f aca="0">IF(COUNT(F163:F167)=0,"n/m",AVERAGE(F163:F167))</x:f>
        <x:v>5.006926076048149</x:v>
      </x:c>
      <x:c r="G168" s="101" t="n">
        <x:f aca="0">IF(COUNT(G163:G167)=0,"n/m",AVERAGE(G163:G167))</x:f>
        <x:v>9.776732887107208</x:v>
      </x:c>
      <x:c r="H168" s="71"/>
    </x:row>
    <x:row r="169">
      <x:c r="A169" s="20" t="str">
        <x:v>21. Gross profit margin</x:v>
      </x:c>
      <x:c r="B169" s="43" t="str">
        <x:v>Gross Profit / Net Sales</x:v>
      </x:c>
      <x:c r="C169" s="21"/>
      <x:c r="D169" s="21"/>
      <x:c r="E169" s="21"/>
      <x:c r="F169" s="21"/>
      <x:c r="G169" s="21"/>
      <x:c r="H169" t="str"/>
    </x:row>
    <x:row r="170" ht="15" hidden="0">
      <x:c r="A170" s="8" t="str">
        <x:v>KOHC</x:v>
      </x:c>
      <x:c r="B170" s="33"/>
      <x:c r="C170" s="93" t="n">
        <x:f>KOHC!C134</x:f>
        <x:v>0.2479634130082893</x:v>
      </x:c>
      <x:c r="D170" s="93" t="n">
        <x:f>KOHC!D134</x:f>
        <x:v>0.2984391421350988</x:v>
      </x:c>
      <x:c r="E170" s="93" t="n">
        <x:f>KOHC!E134</x:f>
        <x:v>0.2680435681898961</x:v>
      </x:c>
      <x:c r="F170" s="93" t="n">
        <x:f>KOHC!F134</x:f>
        <x:v>0.29125851467425595</x:v>
      </x:c>
      <x:c r="G170" s="93" t="n">
        <x:f>KOHC!G134</x:f>
        <x:v>0.39220278175445145</x:v>
      </x:c>
      <x:c r="H170"/>
    </x:row>
    <x:row r="171" ht="15" hidden="0">
      <x:c r="A171" s="10" t="str">
        <x:v>LUCK</x:v>
      </x:c>
      <x:c r="B171" s="33"/>
      <x:c r="C171" s="94" t="n">
        <x:f>LUCK!C134</x:f>
        <x:v>0.30117079055471246</x:v>
      </x:c>
      <x:c r="D171" s="94" t="n">
        <x:f>LUCK!D134</x:f>
        <x:v>0.278096691443614</x:v>
      </x:c>
      <x:c r="E171" s="94" t="n">
        <x:f>LUCK!E134</x:f>
        <x:v>0.2719408759567914</x:v>
      </x:c>
      <x:c r="F171" s="94" t="n">
        <x:f>LUCK!F134</x:f>
        <x:v>0.3364803079632158</x:v>
      </x:c>
      <x:c r="G171" s="94" t="n">
        <x:f>LUCK!G134</x:f>
        <x:v>0.342816529820673</x:v>
      </x:c>
      <x:c r="H171"/>
    </x:row>
    <x:row r="172" ht="15" hidden="0">
      <x:c r="A172" s="10" t="str">
        <x:v>DGKC</x:v>
      </x:c>
      <x:c r="B172" s="33"/>
      <x:c r="C172" s="94" t="n">
        <x:f>DGKC!C134</x:f>
        <x:v>0.1789471373949763</x:v>
      </x:c>
      <x:c r="D172" s="94" t="n">
        <x:f>DGKC!D134</x:f>
        <x:v>0.1796626113599641</x:v>
      </x:c>
      <x:c r="E172" s="94" t="n">
        <x:f>DGKC!E134</x:f>
        <x:v>0.147048524585835</x:v>
      </x:c>
      <x:c r="F172" s="94" t="n">
        <x:f>DGKC!F134</x:f>
        <x:v>0.1594256360843263</x:v>
      </x:c>
      <x:c r="G172" s="94" t="n">
        <x:f>DGKC!G134</x:f>
        <x:v>0.25740632547300923</x:v>
      </x:c>
      <x:c r="H172"/>
    </x:row>
    <x:row r="173" ht="15" hidden="0">
      <x:c r="A173" s="10" t="str">
        <x:v>MLCF</x:v>
      </x:c>
      <x:c r="B173" s="33"/>
      <x:c r="C173" s="94" t="n">
        <x:f>MLCF!C134</x:f>
        <x:v>0.20830714445240356</x:v>
      </x:c>
      <x:c r="D173" s="94" t="n">
        <x:f>MLCF!D134</x:f>
        <x:v>0.25300003367709667</x:v>
      </x:c>
      <x:c r="E173" s="94" t="n">
        <x:f>MLCF!E134</x:f>
        <x:v>0.2927632247172742</x:v>
      </x:c>
      <x:c r="F173" s="94" t="n">
        <x:f>MLCF!F134</x:f>
        <x:v>0.31547845382378364</x:v>
      </x:c>
      <x:c r="G173" s="94" t="n">
        <x:f>MLCF!G134</x:f>
        <x:v>0.3444440599046921</x:v>
      </x:c>
      <x:c r="H173"/>
    </x:row>
    <x:row r="174" ht="15" hidden="0">
      <x:c r="A174" s="10" t="str">
        <x:v>FCCL</x:v>
      </x:c>
      <x:c r="B174" s="33"/>
      <x:c r="C174" s="94" t="n">
        <x:f>FCCL!C134</x:f>
        <x:v>0.24985924725452316</x:v>
      </x:c>
      <x:c r="D174" s="94" t="n">
        <x:f>FCCL!D134</x:f>
        <x:v>0.28507903988852556</x:v>
      </x:c>
      <x:c r="E174" s="94" t="n">
        <x:f>FCCL!E134</x:f>
        <x:v>0.2999660404821077</x:v>
      </x:c>
      <x:c r="F174" s="94" t="n">
        <x:f>FCCL!F134</x:f>
        <x:v>0.3208998635022473</x:v>
      </x:c>
      <x:c r="G174" s="94" t="n">
        <x:f>FCCL!G134</x:f>
        <x:v>0.3549084220292905</x:v>
      </x:c>
      <x:c r="H174"/>
    </x:row>
    <x:row r="175" ht="15" hidden="0">
      <x:c r="A175" s="46" t="str">
        <x:v>Five-company average</x:v>
      </x:c>
      <x:c r="B175" s="47"/>
      <x:c r="C175" s="95" t="n">
        <x:f>IF(COUNT(C170:C174)=0,"n/m",AVERAGE(C170:C174))</x:f>
        <x:v>0.23724954653298097</x:v>
      </x:c>
      <x:c r="D175" s="95" t="n">
        <x:f>IF(COUNT(D170:D174)=0,"n/m",AVERAGE(D170:D174))</x:f>
        <x:v>0.25885550370085986</x:v>
      </x:c>
      <x:c r="E175" s="95" t="n">
        <x:f>IF(COUNT(E170:E174)=0,"n/m",AVERAGE(E170:E174))</x:f>
        <x:v>0.25595244678638085</x:v>
      </x:c>
      <x:c r="F175" s="95" t="n">
        <x:f>IF(COUNT(F170:F174)=0,"n/m",AVERAGE(F170:F174))</x:f>
        <x:v>0.2847085552095658</x:v>
      </x:c>
      <x:c r="G175" s="95" t="n">
        <x:f>IF(COUNT(G170:G174)=0,"n/m",AVERAGE(G170:G174))</x:f>
        <x:v>0.33835562379642325</x:v>
      </x:c>
      <x:c r="H175"/>
    </x:row>
    <x:row r="176" ht="15" hidden="0">
      <x:c r="A176"/>
      <x:c r="B176"/>
      <x:c r="C176"/>
      <x:c r="D176"/>
      <x:c r="E176"/>
      <x:c r="F176"/>
      <x:c r="G176"/>
      <x:c r="H176"/>
    </x:row>
    <x:row r="177">
      <x:c r="A177" s="20" t="str">
        <x:v>22. Operating margin</x:v>
      </x:c>
      <x:c r="B177" s="43" t="str">
        <x:v>Operating Profit / Net Sales</x:v>
      </x:c>
      <x:c r="C177" s="21"/>
      <x:c r="D177" s="21"/>
      <x:c r="E177" s="21"/>
      <x:c r="F177" s="21"/>
      <x:c r="G177" s="21"/>
      <x:c r="H177" t="str"/>
    </x:row>
    <x:row r="178">
      <x:c r="A178" s="8" t="str">
        <x:v>KOHC</x:v>
      </x:c>
      <x:c r="B178" s="33"/>
      <x:c r="C178" s="93" t="n">
        <x:f>KOHC!C135</x:f>
        <x:v>0.2174940172918257</x:v>
      </x:c>
      <x:c r="D178" s="93" t="n">
        <x:f>KOHC!D135</x:f>
        <x:v>0.26684521417223683</x:v>
      </x:c>
      <x:c r="E178" s="93" t="n">
        <x:f>KOHC!E135</x:f>
        <x:v>0.23441531849714523</x:v>
      </x:c>
      <x:c r="F178" s="93" t="n">
        <x:f>KOHC!F135</x:f>
        <x:v>0.25877948344250634</x:v>
      </x:c>
      <x:c r="G178" s="93" t="n">
        <x:f>KOHC!G135</x:f>
        <x:v>0.34143534845456586</x:v>
      </x:c>
      <x:c r="H178"/>
    </x:row>
    <x:row r="179" ht="19.5" hidden="0" customHeight="1">
      <x:c r="A179" s="10" t="str">
        <x:v>LUCK</x:v>
      </x:c>
      <x:c r="B179" s="33"/>
      <x:c r="C179" s="94" t="n">
        <x:f>LUCK!C135</x:f>
        <x:v>0.18004359810777762</x:v>
      </x:c>
      <x:c r="D179" s="94" t="n">
        <x:f>LUCK!D135</x:f>
        <x:v>0.1779173984606045</x:v>
      </x:c>
      <x:c r="E179" s="94" t="n">
        <x:f>LUCK!E135</x:f>
        <x:v>0.17181730260097375</x:v>
      </x:c>
      <x:c r="F179" s="94" t="n">
        <x:f>LUCK!F135</x:f>
        <x:v>0.22886089116784467</x:v>
      </x:c>
      <x:c r="G179" s="94" t="n">
        <x:f>LUCK!G135</x:f>
        <x:v>0.22670718514712962</x:v>
      </x:c>
      <x:c r="H179"/>
    </x:row>
    <x:row r="180" ht="15" hidden="0">
      <x:c r="A180" s="10" t="str">
        <x:v>DGKC</x:v>
      </x:c>
      <x:c r="B180" s="33"/>
      <x:c r="C180" s="94" t="n">
        <x:f>DGKC!C135</x:f>
        <x:v>0.11451399971933833</x:v>
      </x:c>
      <x:c r="D180" s="94" t="n">
        <x:f>DGKC!D135</x:f>
        <x:v>0.11847261096319517</x:v>
      </x:c>
      <x:c r="E180" s="94" t="n">
        <x:f>DGKC!E135</x:f>
        <x:v>0.10245374767974941</x:v>
      </x:c>
      <x:c r="F180" s="94" t="n">
        <x:f>DGKC!F135</x:f>
        <x:v>0.1000204289337119</x:v>
      </x:c>
      <x:c r="G180" s="94" t="n">
        <x:f>DGKC!G135</x:f>
        <x:v>0.17530880023555062</x:v>
      </x:c>
      <x:c r="H180"/>
    </x:row>
    <x:row r="181" ht="15" hidden="0">
      <x:c r="A181" s="10" t="str">
        <x:v>MLCF</x:v>
      </x:c>
      <x:c r="B181" s="33"/>
      <x:c r="C181" s="94" t="n">
        <x:f>MLCF!C135</x:f>
        <x:v>0.14213957498981164</x:v>
      </x:c>
      <x:c r="D181" s="94" t="n">
        <x:f>MLCF!D135</x:f>
        <x:v>0.18277011721154793</x:v>
      </x:c>
      <x:c r="E181" s="94" t="n">
        <x:f>MLCF!E135</x:f>
        <x:v>0.19097413673296146</x:v>
      </x:c>
      <x:c r="F181" s="94" t="n">
        <x:f>MLCF!F135</x:f>
        <x:v>0.19131892826420518</x:v>
      </x:c>
      <x:c r="G181" s="94" t="n">
        <x:f>MLCF!G135</x:f>
        <x:v>0.2280930676582029</x:v>
      </x:c>
      <x:c r="H181"/>
    </x:row>
    <x:row r="182" ht="15" hidden="0">
      <x:c r="A182" s="10" t="str">
        <x:v>FCCL</x:v>
      </x:c>
      <x:c r="B182" s="33"/>
      <x:c r="C182" s="94" t="n">
        <x:f>FCCL!C135</x:f>
        <x:v>0.20485989925955708</x:v>
      </x:c>
      <x:c r="D182" s="94" t="n">
        <x:f>FCCL!D135</x:f>
        <x:v>0.21665144691719232</x:v>
      </x:c>
      <x:c r="E182" s="94" t="n">
        <x:f>FCCL!E135</x:f>
        <x:v>0.2289064691471258</x:v>
      </x:c>
      <x:c r="F182" s="94" t="n">
        <x:f>FCCL!F135</x:f>
        <x:v>0.25056237189043495</x:v>
      </x:c>
      <x:c r="G182" s="94" t="n">
        <x:f>FCCL!G135</x:f>
        <x:v>0.2862983395627571</x:v>
      </x:c>
      <x:c r="H182"/>
    </x:row>
    <x:row r="183" ht="15" hidden="0">
      <x:c r="A183" s="46" t="str">
        <x:v>Five-company average</x:v>
      </x:c>
      <x:c r="B183" s="47"/>
      <x:c r="C183" s="95" t="n">
        <x:f>IF(COUNT(C178:C182)=0,"n/m",AVERAGE(C178:C182))</x:f>
        <x:v>0.17181021787366207</x:v>
      </x:c>
      <x:c r="D183" s="95" t="n">
        <x:f>IF(COUNT(D178:D182)=0,"n/m",AVERAGE(D178:D182))</x:f>
        <x:v>0.19253135754495534</x:v>
      </x:c>
      <x:c r="E183" s="95" t="n">
        <x:f>IF(COUNT(E178:E182)=0,"n/m",AVERAGE(E178:E182))</x:f>
        <x:v>0.18571339493159114</x:v>
      </x:c>
      <x:c r="F183" s="95" t="n">
        <x:f>IF(COUNT(F178:F182)=0,"n/m",AVERAGE(F178:F182))</x:f>
        <x:v>0.20590842073974064</x:v>
      </x:c>
      <x:c r="G183" s="95" t="n">
        <x:f>IF(COUNT(G178:G182)=0,"n/m",AVERAGE(G178:G182))</x:f>
        <x:v>0.2515685482116412</x:v>
      </x:c>
      <x:c r="H183"/>
    </x:row>
    <x:row r="184" ht="15" hidden="0">
      <x:c r="A184"/>
      <x:c r="B184"/>
      <x:c r="C184"/>
      <x:c r="D184"/>
      <x:c r="E184"/>
      <x:c r="F184"/>
      <x:c r="G184"/>
      <x:c r="H184"/>
    </x:row>
    <x:row r="185" ht="15" hidden="0">
      <x:c r="A185" s="20" t="str">
        <x:v>23. Net profit margin</x:v>
      </x:c>
      <x:c r="B185" s="43" t="str">
        <x:v>Net Profit / Net Sales</x:v>
      </x:c>
      <x:c r="C185" s="21"/>
      <x:c r="D185" s="21"/>
      <x:c r="E185" s="21"/>
      <x:c r="F185" s="21"/>
      <x:c r="G185" s="21"/>
      <x:c r="H185" t="str"/>
    </x:row>
    <x:row r="186" ht="15" hidden="0">
      <x:c r="A186" s="8" t="str">
        <x:v>KOHC</x:v>
      </x:c>
      <x:c r="B186" s="33"/>
      <x:c r="C186" s="93" t="n">
        <x:f>KOHC!C136</x:f>
        <x:v>0.1453819089897026</x:v>
      </x:c>
      <x:c r="D186" s="93" t="n">
        <x:f>KOHC!D136</x:f>
        <x:v>0.15282075695786385</x:v>
      </x:c>
      <x:c r="E186" s="93" t="n">
        <x:f>KOHC!E136</x:f>
        <x:v>0.14955052871384544</x:v>
      </x:c>
      <x:c r="F186" s="93" t="n">
        <x:f>KOHC!F136</x:f>
        <x:v>0.23011561219895646</x:v>
      </x:c>
      <x:c r="G186" s="93" t="n">
        <x:f>KOHC!G136</x:f>
        <x:v>0.3083771970759486</x:v>
      </x:c>
      <x:c r="H186"/>
    </x:row>
    <x:row r="187">
      <x:c r="A187" s="10" t="str">
        <x:v>LUCK</x:v>
      </x:c>
      <x:c r="B187" s="33"/>
      <x:c r="C187" s="94" t="n">
        <x:f>LUCK!C136</x:f>
        <x:v>0.22354637821997994</x:v>
      </x:c>
      <x:c r="D187" s="94" t="n">
        <x:f>LUCK!D136</x:f>
        <x:v>0.18865400166042842</x:v>
      </x:c>
      <x:c r="E187" s="94" t="n">
        <x:f>LUCK!E136</x:f>
        <x:v>0.14322765825125466</x:v>
      </x:c>
      <x:c r="F187" s="94" t="n">
        <x:f>LUCK!F136</x:f>
        <x:v>0.24371604713228476</x:v>
      </x:c>
      <x:c r="G187" s="94" t="n">
        <x:f>LUCK!G136</x:f>
        <x:v>0.26577542757733763</x:v>
      </x:c>
      <x:c r="H187"/>
    </x:row>
    <x:row r="188" ht="15" hidden="0">
      <x:c r="A188" s="10" t="str">
        <x:v>DGKC</x:v>
      </x:c>
      <x:c r="B188" s="33"/>
      <x:c r="C188" s="94" t="n">
        <x:f>DGKC!C136</x:f>
        <x:v>0.08249752980035112</x:v>
      </x:c>
      <x:c r="D188" s="94" t="n">
        <x:f>DGKC!D136</x:f>
        <x:v>0.05120493100192175</x:v>
      </x:c>
      <x:c r="E188" s="94" t="str">
        <x:f>DGKC!E136</x:f>
        <x:v>n/m</x:v>
      </x:c>
      <x:c r="F188" s="94" t="n">
        <x:f>DGKC!F136</x:f>
        <x:v>0.008213306596683071</x:v>
      </x:c>
      <x:c r="G188" s="94" t="n">
        <x:f>DGKC!G136</x:f>
        <x:v>0.12066652759857006</x:v>
      </x:c>
      <x:c r="H188"/>
    </x:row>
    <x:row r="189" ht="15" hidden="0">
      <x:c r="A189" s="10" t="str">
        <x:v>MLCF</x:v>
      </x:c>
      <x:c r="B189" s="33"/>
      <x:c r="C189" s="94" t="n">
        <x:f>MLCF!C136</x:f>
        <x:v>0.1759822170452098</x:v>
      </x:c>
      <x:c r="D189" s="94" t="n">
        <x:f>MLCF!D136</x:f>
        <x:v>0.07473965893633715</x:v>
      </x:c>
      <x:c r="E189" s="94" t="n">
        <x:f>MLCF!E136</x:f>
        <x:v>0.07235844154915244</x:v>
      </x:c>
      <x:c r="F189" s="94" t="n">
        <x:f>MLCF!F136</x:f>
        <x:v>0.07934297520984508</x:v>
      </x:c>
      <x:c r="G189" s="94" t="n">
        <x:f>MLCF!G136</x:f>
        <x:v>0.24711008947956384</x:v>
      </x:c>
      <x:c r="H189"/>
    </x:row>
    <x:row r="190" ht="15" hidden="0">
      <x:c r="A190" s="10" t="str">
        <x:v>FCCL</x:v>
      </x:c>
      <x:c r="B190" s="33"/>
      <x:c r="C190" s="94" t="n">
        <x:f>FCCL!C136</x:f>
        <x:v>0.14302295902338913</x:v>
      </x:c>
      <x:c r="D190" s="94" t="n">
        <x:f>FCCL!D136</x:f>
        <x:v>0.13112336204567002</x:v>
      </x:c>
      <x:c r="E190" s="94" t="n">
        <x:f>FCCL!E136</x:f>
        <x:v>0.10929571726641699</x:v>
      </x:c>
      <x:c r="F190" s="94" t="n">
        <x:f>FCCL!F136</x:f>
        <x:v>0.10275526425549537</x:v>
      </x:c>
      <x:c r="G190" s="94" t="n">
        <x:f>FCCL!G136</x:f>
        <x:v>0.14980611609777766</x:v>
      </x:c>
      <x:c r="H190"/>
    </x:row>
    <x:row r="191" ht="15" hidden="0">
      <x:c r="A191" s="46" t="str">
        <x:v>Five-company average</x:v>
      </x:c>
      <x:c r="B191" s="47"/>
      <x:c r="C191" s="95" t="n">
        <x:f>IF(COUNT(C186:C190)=0,"n/m",AVERAGE(C186:C190))</x:f>
        <x:v>0.15408619861572653</x:v>
      </x:c>
      <x:c r="D191" s="95" t="n">
        <x:f>IF(COUNT(D186:D190)=0,"n/m",AVERAGE(D186:D190))</x:f>
        <x:v>0.11970854212044424</x:v>
      </x:c>
      <x:c r="E191" s="95" t="n">
        <x:f>IF(COUNT(E186:E190)=0,"n/m",AVERAGE(E186:E190))</x:f>
        <x:v>0.11860808644516738</x:v>
      </x:c>
      <x:c r="F191" s="95" t="n">
        <x:f>IF(COUNT(F186:F190)=0,"n/m",AVERAGE(F186:F190))</x:f>
        <x:v>0.13282864107865294</x:v>
      </x:c>
      <x:c r="G191" s="95" t="n">
        <x:f>IF(COUNT(G186:G190)=0,"n/m",AVERAGE(G186:G190))</x:f>
        <x:v>0.21834707156583955</x:v>
      </x:c>
      <x:c r="H191"/>
    </x:row>
    <x:row r="192" ht="15" hidden="0">
      <x:c r="A192"/>
      <x:c r="B192"/>
      <x:c r="C192"/>
      <x:c r="D192"/>
      <x:c r="E192"/>
      <x:c r="F192"/>
      <x:c r="G192"/>
      <x:c r="H192"/>
    </x:row>
    <x:row r="193" ht="15" hidden="0">
      <x:c r="A193" s="20" t="str">
        <x:v>24. Return on assets</x:v>
      </x:c>
      <x:c r="B193" s="43" t="str">
        <x:v>Net Profit / Average Total Assets</x:v>
      </x:c>
      <x:c r="C193" s="21"/>
      <x:c r="D193" s="21"/>
      <x:c r="E193" s="21"/>
      <x:c r="F193" s="21"/>
      <x:c r="G193" s="21"/>
      <x:c r="H193" t="str"/>
    </x:row>
    <x:row r="194" ht="15" hidden="0">
      <x:c r="A194" s="8" t="str">
        <x:v>KOHC</x:v>
      </x:c>
      <x:c r="B194" s="33"/>
      <x:c r="C194" s="93" t="n">
        <x:f>KOHC!C137</x:f>
        <x:v>0.10310501881607244</x:v>
      </x:c>
      <x:c r="D194" s="93" t="n">
        <x:f>KOHC!D137</x:f>
        <x:v>0.12649629238438423</x:v>
      </x:c>
      <x:c r="E194" s="93" t="n">
        <x:f>KOHC!E137</x:f>
        <x:v>0.12533816876597817</x:v>
      </x:c>
      <x:c r="F194" s="93" t="n">
        <x:f>KOHC!F137</x:f>
        <x:v>0.1641262004883521</x:v>
      </x:c>
      <x:c r="G194" s="93" t="n">
        <x:f>KOHC!G137</x:f>
        <x:v>0.184262568360198</x:v>
      </x:c>
      <x:c r="H194"/>
    </x:row>
    <x:row r="195">
      <x:c r="A195" s="10" t="str">
        <x:v>LUCK</x:v>
      </x:c>
      <x:c r="B195" s="33"/>
      <x:c r="C195" s="94" t="n">
        <x:f>LUCK!C137</x:f>
        <x:v>0.09629315480251932</x:v>
      </x:c>
      <x:c r="D195" s="94" t="n">
        <x:f>LUCK!D137</x:f>
        <x:v>0.08964110231836049</x:v>
      </x:c>
      <x:c r="E195" s="94" t="n">
        <x:f>LUCK!E137</x:f>
        <x:v>0.06896675970430062</x:v>
      </x:c>
      <x:c r="F195" s="94" t="n">
        <x:f>LUCK!F137</x:f>
        <x:v>0.12572899898802087</x:v>
      </x:c>
      <x:c r="G195" s="94" t="n">
        <x:f>LUCK!G137</x:f>
        <x:v>0.1321661377570831</x:v>
      </x:c>
      <x:c r="H195"/>
    </x:row>
    <x:row r="196" ht="15" hidden="0">
      <x:c r="A196" s="10" t="str">
        <x:v>DGKC</x:v>
      </x:c>
      <x:c r="B196" s="33"/>
      <x:c r="C196" s="94" t="n">
        <x:f>DGKC!C137</x:f>
        <x:v>0.02782819549249883</x:v>
      </x:c>
      <x:c r="D196" s="94" t="n">
        <x:f>DGKC!D137</x:f>
        <x:v>0.02165829357934079</x:v>
      </x:c>
      <x:c r="E196" s="94" t="str">
        <x:f>DGKC!E137</x:f>
        <x:v>n/m</x:v>
      </x:c>
      <x:c r="F196" s="94" t="n">
        <x:f>DGKC!F137</x:f>
        <x:v>0.003972156500839445</x:v>
      </x:c>
      <x:c r="G196" s="94" t="n">
        <x:f>DGKC!G137</x:f>
        <x:v>0.06102535496914953</x:v>
      </x:c>
      <x:c r="H196"/>
    </x:row>
    <x:row r="197" ht="15" hidden="0">
      <x:c r="A197" s="10" t="str">
        <x:v>MLCF</x:v>
      </x:c>
      <x:c r="B197" s="33"/>
      <x:c r="C197" s="94" t="n">
        <x:f>MLCF!C137</x:f>
        <x:v>0.09458077842208146</x:v>
      </x:c>
      <x:c r="D197" s="94" t="n">
        <x:f>MLCF!D137</x:f>
        <x:v>0.04885489790580065</x:v>
      </x:c>
      <x:c r="E197" s="94" t="n">
        <x:f>MLCF!E137</x:f>
        <x:v>0.05225242917103048</x:v>
      </x:c>
      <x:c r="F197" s="94" t="n">
        <x:f>MLCF!F137</x:f>
        <x:v>0.0557722788631608</x:v>
      </x:c>
      <x:c r="G197" s="94" t="n">
        <x:f>MLCF!G137</x:f>
        <x:v>0.1559593693017428</x:v>
      </x:c>
      <x:c r="H197"/>
    </x:row>
    <x:row r="198" ht="15" hidden="0">
      <x:c r="A198" s="10" t="str">
        <x:v>FCCL</x:v>
      </x:c>
      <x:c r="B198" s="33"/>
      <x:c r="C198" s="94" t="n">
        <x:f>FCCL!C137</x:f>
        <x:v>0.10974843292728989</x:v>
      </x:c>
      <x:c r="D198" s="94" t="n">
        <x:f>FCCL!D137</x:f>
        <x:v>0.09627783652403621</x:v>
      </x:c>
      <x:c r="E198" s="94" t="n">
        <x:f>FCCL!E137</x:f>
        <x:v>0.0589219651789994</x:v>
      </x:c>
      <x:c r="F198" s="94" t="n">
        <x:f>FCCL!F137</x:f>
        <x:v>0.05741100557431145</x:v>
      </x:c>
      <x:c r="G198" s="94" t="n">
        <x:f>FCCL!G137</x:f>
        <x:v>0.08639871390662689</x:v>
      </x:c>
      <x:c r="H198"/>
    </x:row>
    <x:row r="199" ht="15" hidden="0">
      <x:c r="A199" s="46" t="str">
        <x:v>Five-company average</x:v>
      </x:c>
      <x:c r="B199" s="47"/>
      <x:c r="C199" s="95" t="n">
        <x:f>IF(COUNT(C194:C198)=0,"n/m",AVERAGE(C194:C198))</x:f>
        <x:v>0.08631111609209238</x:v>
      </x:c>
      <x:c r="D199" s="95" t="n">
        <x:f>IF(COUNT(D194:D198)=0,"n/m",AVERAGE(D194:D198))</x:f>
        <x:v>0.07658568454238449</x:v>
      </x:c>
      <x:c r="E199" s="95" t="n">
        <x:f>IF(COUNT(E194:E198)=0,"n/m",AVERAGE(E194:E198))</x:f>
        <x:v>0.07636983070507718</x:v>
      </x:c>
      <x:c r="F199" s="95" t="n">
        <x:f>IF(COUNT(F194:F198)=0,"n/m",AVERAGE(F194:F198))</x:f>
        <x:v>0.08140212808293693</x:v>
      </x:c>
      <x:c r="G199" s="95" t="n">
        <x:f>IF(COUNT(G194:G198)=0,"n/m",AVERAGE(G194:G198))</x:f>
        <x:v>0.12396242885896007</x:v>
      </x:c>
      <x:c r="H199"/>
    </x:row>
    <x:row r="200" ht="15" hidden="0">
      <x:c r="A200"/>
      <x:c r="B200"/>
      <x:c r="C200"/>
      <x:c r="D200"/>
      <x:c r="E200"/>
      <x:c r="F200"/>
      <x:c r="G200"/>
      <x:c r="H200"/>
    </x:row>
    <x:row r="201" ht="15" hidden="0">
      <x:c r="A201" s="20" t="str">
        <x:v>25. Return on equity</x:v>
      </x:c>
      <x:c r="B201" s="43" t="str">
        <x:v>Net Profit / Average Equity</x:v>
      </x:c>
      <x:c r="C201" s="21"/>
      <x:c r="D201" s="21"/>
      <x:c r="E201" s="21"/>
      <x:c r="F201" s="21"/>
      <x:c r="G201" s="21"/>
      <x:c r="H201" t="str"/>
    </x:row>
    <x:row r="202" ht="15" hidden="0">
      <x:c r="A202" s="8" t="str">
        <x:v>KOHC</x:v>
      </x:c>
      <x:c r="B202" s="33"/>
      <x:c r="C202" s="93" t="n">
        <x:f>KOHC!C138</x:f>
        <x:v>0.1708175375326949</x:v>
      </x:c>
      <x:c r="D202" s="93" t="n">
        <x:f>KOHC!D138</x:f>
        <x:v>0.2031253153612202</x:v>
      </x:c>
      <x:c r="E202" s="93" t="n">
        <x:f>KOHC!E138</x:f>
        <x:v>0.1944909568032407</x:v>
      </x:c>
      <x:c r="F202" s="93" t="n">
        <x:f>KOHC!F138</x:f>
        <x:v>0.24134090965005384</x:v>
      </x:c>
      <x:c r="G202" s="93" t="n">
        <x:f>KOHC!G138</x:f>
        <x:v>0.25998290898160303</x:v>
      </x:c>
      <x:c r="H202"/>
    </x:row>
    <x:row r="203">
      <x:c r="A203" s="10" t="str">
        <x:v>LUCK</x:v>
      </x:c>
      <x:c r="B203" s="33"/>
      <x:c r="C203" s="94" t="n">
        <x:f>LUCK!C138</x:f>
        <x:v>0.13249756211762712</x:v>
      </x:c>
      <x:c r="D203" s="94" t="n">
        <x:f>LUCK!D138</x:f>
        <x:v>0.1265705399848834</x:v>
      </x:c>
      <x:c r="E203" s="94" t="n">
        <x:f>LUCK!E138</x:f>
        <x:v>0.10323783929435384</x:v>
      </x:c>
      <x:c r="F203" s="94" t="n">
        <x:f>LUCK!F138</x:f>
        <x:v>0.19715059997190104</x:v>
      </x:c>
      <x:c r="G203" s="94" t="n">
        <x:f>LUCK!G138</x:f>
        <x:v>0.2044798130421526</x:v>
      </x:c>
      <x:c r="H203"/>
    </x:row>
    <x:row r="204" ht="15" hidden="0">
      <x:c r="A204" s="10" t="str">
        <x:v>DGKC</x:v>
      </x:c>
      <x:c r="B204" s="33"/>
      <x:c r="C204" s="94" t="n">
        <x:f>DGKC!C138</x:f>
        <x:v>0.05311474576838488</x:v>
      </x:c>
      <x:c r="D204" s="94" t="n">
        <x:f>DGKC!D138</x:f>
        <x:v>0.041453492679972344</x:v>
      </x:c>
      <x:c r="E204" s="94" t="str">
        <x:f>DGKC!E138</x:f>
        <x:v>n/m</x:v>
      </x:c>
      <x:c r="F204" s="94" t="n">
        <x:f>DGKC!F138</x:f>
        <x:v>0.007746311290114197</x:v>
      </x:c>
      <x:c r="G204" s="94" t="n">
        <x:f>DGKC!G138</x:f>
        <x:v>0.10175126160150023</x:v>
      </x:c>
      <x:c r="H204"/>
    </x:row>
    <x:row r="205" ht="15" hidden="0">
      <x:c r="A205" s="10" t="str">
        <x:v>MLCF</x:v>
      </x:c>
      <x:c r="B205" s="33"/>
      <x:c r="C205" s="94" t="n">
        <x:f>MLCF!C138</x:f>
        <x:v>0.18163818640771748</x:v>
      </x:c>
      <x:c r="D205" s="94" t="n">
        <x:f>MLCF!D138</x:f>
        <x:v>0.09286217037724577</x:v>
      </x:c>
      <x:c r="E205" s="94" t="n">
        <x:f>MLCF!E138</x:f>
        <x:v>0.10510254167180039</x:v>
      </x:c>
      <x:c r="F205" s="94" t="n">
        <x:f>MLCF!F138</x:f>
        <x:v>0.10812221617479151</x:v>
      </x:c>
      <x:c r="G205" s="94" t="n">
        <x:f>MLCF!G138</x:f>
        <x:v>0.2746085954343051</x:v>
      </x:c>
      <x:c r="H205"/>
    </x:row>
    <x:row r="206" ht="15" hidden="0">
      <x:c r="A206" s="10" t="str">
        <x:v>FCCL</x:v>
      </x:c>
      <x:c r="B206" s="33"/>
      <x:c r="C206" s="94" t="n">
        <x:f>FCCL!C138</x:f>
        <x:v>0.16115839021414832</x:v>
      </x:c>
      <x:c r="D206" s="94" t="n">
        <x:f>FCCL!D138</x:f>
        <x:v>0.17559284966237051</x:v>
      </x:c>
      <x:c r="E206" s="94" t="n">
        <x:f>FCCL!E138</x:f>
        <x:v>0.12105723655011702</x:v>
      </x:c>
      <x:c r="F206" s="94" t="n">
        <x:f>FCCL!F138</x:f>
        <x:v>0.11868144080382984</x:v>
      </x:c>
      <x:c r="G206" s="94" t="n">
        <x:f>FCCL!G138</x:f>
        <x:v>0.1690380202363196</x:v>
      </x:c>
      <x:c r="H206"/>
    </x:row>
    <x:row r="207" ht="15" hidden="0">
      <x:c r="A207" s="46" t="str">
        <x:v>Five-company average</x:v>
      </x:c>
      <x:c r="B207" s="47"/>
      <x:c r="C207" s="95" t="n">
        <x:f>IF(COUNT(C202:C206)=0,"n/m",AVERAGE(C202:C206))</x:f>
        <x:v>0.13984528440811456</x:v>
      </x:c>
      <x:c r="D207" s="95" t="n">
        <x:f>IF(COUNT(D202:D206)=0,"n/m",AVERAGE(D202:D206))</x:f>
        <x:v>0.12792087361313845</x:v>
      </x:c>
      <x:c r="E207" s="95" t="n">
        <x:f>IF(COUNT(E202:E206)=0,"n/m",AVERAGE(E202:E206))</x:f>
        <x:v>0.13097214357987796</x:v>
      </x:c>
      <x:c r="F207" s="95" t="n">
        <x:f>IF(COUNT(F202:F206)=0,"n/m",AVERAGE(F202:F206))</x:f>
        <x:v>0.13460829557813808</x:v>
      </x:c>
      <x:c r="G207" s="95" t="n">
        <x:f>IF(COUNT(G202:G206)=0,"n/m",AVERAGE(G202:G206))</x:f>
        <x:v>0.2019721198591761</x:v>
      </x:c>
      <x:c r="H207"/>
    </x:row>
    <x:row r="208" ht="15" hidden="0">
      <x:c r="A208"/>
      <x:c r="B208"/>
      <x:c r="C208"/>
      <x:c r="D208"/>
      <x:c r="E208"/>
      <x:c r="F208"/>
      <x:c r="G208"/>
      <x:c r="H208"/>
    </x:row>
    <x:row r="209" ht="15" hidden="0">
      <x:c r="A209" s="20" t="str">
        <x:v>26. Return on invested capital</x:v>
      </x:c>
      <x:c r="B209" s="43" t="str">
        <x:v>NOPAT / Average Invested Capital</x:v>
      </x:c>
      <x:c r="C209" s="21"/>
      <x:c r="D209" s="21"/>
      <x:c r="E209" s="21"/>
      <x:c r="F209" s="21"/>
      <x:c r="G209" s="21"/>
      <x:c r="H209" t="str"/>
    </x:row>
    <x:row r="210" ht="15" hidden="0">
      <x:c r="A210" s="8" t="str">
        <x:v>KOHC</x:v>
      </x:c>
      <x:c r="B210" s="33"/>
      <x:c r="C210" s="93" t="n">
        <x:f>KOHC!C139</x:f>
        <x:v>0.14327122643181978</x:v>
      </x:c>
      <x:c r="D210" s="93" t="n">
        <x:f>KOHC!D139</x:f>
        <x:v>0.17824324729851332</x:v>
      </x:c>
      <x:c r="E210" s="93" t="n">
        <x:f>KOHC!E139</x:f>
        <x:v>0.18523585661078099</x:v>
      </x:c>
      <x:c r="F210" s="93" t="n">
        <x:f>KOHC!F139</x:f>
        <x:v>0.23611149584842697</x:v>
      </x:c>
      <x:c r="G210" s="93" t="n">
        <x:f>KOHC!G139</x:f>
        <x:v>0.2526376274461683</x:v>
      </x:c>
      <x:c r="H210"/>
    </x:row>
    <x:row r="211">
      <x:c r="A211" s="10" t="str">
        <x:v>LUCK</x:v>
      </x:c>
      <x:c r="B211" s="33"/>
      <x:c r="C211" s="94" t="n">
        <x:f>LUCK!C139</x:f>
        <x:v>0.12407020191785936</x:v>
      </x:c>
      <x:c r="D211" s="94" t="n">
        <x:f>LUCK!D139</x:f>
        <x:v>0.11634647447890245</x:v>
      </x:c>
      <x:c r="E211" s="94" t="n">
        <x:f>LUCK!E139</x:f>
        <x:v>0.09570891419697462</x:v>
      </x:c>
      <x:c r="F211" s="94" t="n">
        <x:f>LUCK!F139</x:f>
        <x:v>0.1787383675569278</x:v>
      </x:c>
      <x:c r="G211" s="94" t="n">
        <x:f>LUCK!G139</x:f>
        <x:v>0.18835780074997993</x:v>
      </x:c>
      <x:c r="H211"/>
    </x:row>
    <x:row r="212" ht="15" hidden="0">
      <x:c r="A212" s="10" t="str">
        <x:v>DGKC</x:v>
      </x:c>
      <x:c r="B212" s="33"/>
      <x:c r="C212" s="94" t="n">
        <x:f>DGKC!C139</x:f>
        <x:v>0.05185364586076227</x:v>
      </x:c>
      <x:c r="D212" s="94" t="n">
        <x:f>DGKC!D139</x:f>
        <x:v>0.0405309965203835</x:v>
      </x:c>
      <x:c r="E212" s="94" t="str">
        <x:f>DGKC!E139</x:f>
        <x:v>n/m</x:v>
      </x:c>
      <x:c r="F212" s="94" t="n">
        <x:f>DGKC!F139</x:f>
        <x:v>0.01909789097765336</x:v>
      </x:c>
      <x:c r="G212" s="94" t="n">
        <x:f>DGKC!G139</x:f>
        <x:v>0.09929184900187035</x:v>
      </x:c>
      <x:c r="H212"/>
    </x:row>
    <x:row r="213" ht="15" hidden="0">
      <x:c r="A213" s="10" t="str">
        <x:v>MLCF</x:v>
      </x:c>
      <x:c r="B213" s="33"/>
      <x:c r="C213" s="94" t="n">
        <x:f>MLCF!C139</x:f>
        <x:v>0.140804883114224</x:v>
      </x:c>
      <x:c r="D213" s="94" t="n">
        <x:f>MLCF!D139</x:f>
        <x:v>0.07552102511911654</x:v>
      </x:c>
      <x:c r="E213" s="94" t="n">
        <x:f>MLCF!E139</x:f>
        <x:v>0.08943041686178571</x:v>
      </x:c>
      <x:c r="F213" s="94" t="n">
        <x:f>MLCF!F139</x:f>
        <x:v>0.1128071865450392</x:v>
      </x:c>
      <x:c r="G213" s="94" t="n">
        <x:f>MLCF!G139</x:f>
        <x:v>0.25096399764604915</x:v>
      </x:c>
      <x:c r="H213"/>
    </x:row>
    <x:row r="214" ht="15" hidden="0">
      <x:c r="A214" s="10" t="str">
        <x:v>FCCL</x:v>
      </x:c>
      <x:c r="B214" s="33"/>
      <x:c r="C214" s="94" t="n">
        <x:f>FCCL!C139</x:f>
        <x:v>0.14667479520486254</x:v>
      </x:c>
      <x:c r="D214" s="94" t="n">
        <x:f>FCCL!D139</x:f>
        <x:v>0.14345364774826339</x:v>
      </x:c>
      <x:c r="E214" s="94" t="n">
        <x:f>FCCL!E139</x:f>
        <x:v>0.1007154983763438</x:v>
      </x:c>
      <x:c r="F214" s="94" t="n">
        <x:f>FCCL!F139</x:f>
        <x:v>0.10367976942536491</x:v>
      </x:c>
      <x:c r="G214" s="94" t="n">
        <x:f>FCCL!G139</x:f>
        <x:v>0.1442582907627069</x:v>
      </x:c>
      <x:c r="H214"/>
    </x:row>
    <x:row r="215" ht="15" hidden="0">
      <x:c r="A215" s="46" t="str">
        <x:v>Five-company average</x:v>
      </x:c>
      <x:c r="B215" s="47"/>
      <x:c r="C215" s="95" t="n">
        <x:f>IF(COUNT(C210:C214)=0,"n/m",AVERAGE(C210:C214))</x:f>
        <x:v>0.12133495050590559</x:v>
      </x:c>
      <x:c r="D215" s="95" t="n">
        <x:f>IF(COUNT(D210:D214)=0,"n/m",AVERAGE(D210:D214))</x:f>
        <x:v>0.11081907823303586</x:v>
      </x:c>
      <x:c r="E215" s="95" t="n">
        <x:f>IF(COUNT(E210:E214)=0,"n/m",AVERAGE(E210:E214))</x:f>
        <x:v>0.11777267151147128</x:v>
      </x:c>
      <x:c r="F215" s="95" t="n">
        <x:f>IF(COUNT(F210:F214)=0,"n/m",AVERAGE(F210:F214))</x:f>
        <x:v>0.13008694207068244</x:v>
      </x:c>
      <x:c r="G215" s="95" t="n">
        <x:f>IF(COUNT(G210:G214)=0,"n/m",AVERAGE(G210:G214))</x:f>
        <x:v>0.18710191312135493</x:v>
      </x:c>
      <x:c r="H215"/>
    </x:row>
    <x:row r="216" ht="15" hidden="0">
      <x:c r="A216"/>
      <x:c r="B216"/>
      <x:c r="C216"/>
      <x:c r="D216"/>
      <x:c r="E216"/>
      <x:c r="F216"/>
      <x:c r="G216"/>
      <x:c r="H216"/>
    </x:row>
    <x:row r="217" ht="15" hidden="0">
      <x:c r="A217" s="20" t="str">
        <x:v>27. Basic earning power</x:v>
      </x:c>
      <x:c r="B217" s="43" t="str">
        <x:v>EBIT / Average Total Assets</x:v>
      </x:c>
      <x:c r="C217" s="21"/>
      <x:c r="D217" s="21"/>
      <x:c r="E217" s="21"/>
      <x:c r="F217" s="21"/>
      <x:c r="G217" s="21"/>
      <x:c r="H217" t="str"/>
    </x:row>
    <x:row r="218" ht="15" hidden="0">
      <x:c r="A218" s="8" t="str">
        <x:v>KOHC</x:v>
      </x:c>
      <x:c r="B218" s="33"/>
      <x:c r="C218" s="93" t="n">
        <x:f>KOHC!C140</x:f>
        <x:v>0.15927842615719043</x:v>
      </x:c>
      <x:c r="D218" s="93" t="n">
        <x:f>KOHC!D140</x:f>
        <x:v>0.23825496283693048</x:v>
      </x:c>
      <x:c r="E218" s="93" t="n">
        <x:f>KOHC!E140</x:f>
        <x:v>0.24137695696625033</x:v>
      </x:c>
      <x:c r="F218" s="93" t="n">
        <x:f>KOHC!F140</x:f>
        <x:v>0.2667383296475893</x:v>
      </x:c>
      <x:c r="G218" s="93" t="n">
        <x:f>KOHC!G140</x:f>
        <x:v>0.28807830028219766</x:v>
      </x:c>
      <x:c r="H218"/>
    </x:row>
    <x:row r="219">
      <x:c r="A219" s="10" t="str">
        <x:v>LUCK</x:v>
      </x:c>
      <x:c r="B219" s="33"/>
      <x:c r="C219" s="94" t="n">
        <x:f>LUCK!C140</x:f>
        <x:v>0.11856914427701815</x:v>
      </x:c>
      <x:c r="D219" s="94" t="n">
        <x:f>LUCK!D140</x:f>
        <x:v>0.12782774158166904</x:v>
      </x:c>
      <x:c r="E219" s="94" t="n">
        <x:f>LUCK!E140</x:f>
        <x:v>0.11311909776428172</x:v>
      </x:c>
      <x:c r="F219" s="94" t="n">
        <x:f>LUCK!F140</x:f>
        <x:v>0.19221205649491527</x:v>
      </x:c>
      <x:c r="G219" s="94" t="n">
        <x:f>LUCK!G140</x:f>
        <x:v>0.19447652728583156</x:v>
      </x:c>
      <x:c r="H219"/>
    </x:row>
    <x:row r="220" ht="15" hidden="0">
      <x:c r="A220" s="10" t="str">
        <x:v>DGKC</x:v>
      </x:c>
      <x:c r="B220" s="33"/>
      <x:c r="C220" s="94" t="n">
        <x:f>DGKC!C140</x:f>
        <x:v>0.05752393646556941</x:v>
      </x:c>
      <x:c r="D220" s="94" t="n">
        <x:f>DGKC!D140</x:f>
        <x:v>0.06989042461377605</x:v>
      </x:c>
      <x:c r="E220" s="94" t="n">
        <x:f>DGKC!E140</x:f>
        <x:v>0.07302423924994239</x:v>
      </x:c>
      <x:c r="F220" s="94" t="n">
        <x:f>DGKC!F140</x:f>
        <x:v>0.07938523892404618</x:v>
      </x:c>
      <x:c r="G220" s="94" t="n">
        <x:f>DGKC!G140</x:f>
        <x:v>0.11870857622241335</x:v>
      </x:c>
      <x:c r="H220"/>
    </x:row>
    <x:row r="221" ht="15" hidden="0">
      <x:c r="A221" s="10" t="str">
        <x:v>MLCF</x:v>
      </x:c>
      <x:c r="B221" s="33"/>
      <x:c r="C221" s="94" t="n">
        <x:f>MLCF!C140</x:f>
        <x:v>0.13283318203671918</x:v>
      </x:c>
      <x:c r="D221" s="94" t="n">
        <x:f>MLCF!D140</x:f>
        <x:v>0.12023345655576649</x:v>
      </x:c>
      <x:c r="E221" s="94" t="n">
        <x:f>MLCF!E140</x:f>
        <x:v>0.1396147149844841</x:v>
      </x:c>
      <x:c r="F221" s="94" t="n">
        <x:f>MLCF!F140</x:f>
        <x:v>0.1382503777250139</x:v>
      </x:c>
      <x:c r="G221" s="94" t="n">
        <x:f>MLCF!G140</x:f>
        <x:v>0.23086739193474415</x:v>
      </x:c>
      <x:c r="H221"/>
    </x:row>
    <x:row r="222" ht="15" hidden="0">
      <x:c r="A222" s="10" t="str">
        <x:v>FCCL</x:v>
      </x:c>
      <x:c r="B222" s="33"/>
      <x:c r="C222" s="94" t="n">
        <x:f>FCCL!C140</x:f>
        <x:v>0.16494792527118216</x:v>
      </x:c>
      <x:c r="D222" s="94" t="n">
        <x:f>FCCL!D140</x:f>
        <x:v>0.1723137524694703</x:v>
      </x:c>
      <x:c r="E222" s="94" t="n">
        <x:f>FCCL!E140</x:f>
        <x:v>0.13103867634936517</x:v>
      </x:c>
      <x:c r="F222" s="94" t="n">
        <x:f>FCCL!F140</x:f>
        <x:v>0.1458556324666155</x:v>
      </x:c>
      <x:c r="G222" s="94" t="n">
        <x:f>FCCL!G140</x:f>
        <x:v>0.1769808100965798</x:v>
      </x:c>
      <x:c r="H222"/>
    </x:row>
    <x:row r="223" ht="15" hidden="0">
      <x:c r="A223" s="46" t="str">
        <x:v>Five-company average</x:v>
      </x:c>
      <x:c r="B223" s="47"/>
      <x:c r="C223" s="95" t="n">
        <x:f>IF(COUNT(C218:C222)=0,"n/m",AVERAGE(C218:C222))</x:f>
        <x:v>0.12663052284153586</x:v>
      </x:c>
      <x:c r="D223" s="95" t="n">
        <x:f>IF(COUNT(D218:D222)=0,"n/m",AVERAGE(D218:D222))</x:f>
        <x:v>0.1457040676115225</x:v>
      </x:c>
      <x:c r="E223" s="95" t="n">
        <x:f>IF(COUNT(E218:E222)=0,"n/m",AVERAGE(E218:E222))</x:f>
        <x:v>0.13963473706286472</x:v>
      </x:c>
      <x:c r="F223" s="95" t="n">
        <x:f>IF(COUNT(F218:F222)=0,"n/m",AVERAGE(F218:F222))</x:f>
        <x:v>0.16448832705163602</x:v>
      </x:c>
      <x:c r="G223" s="95" t="n">
        <x:f>IF(COUNT(G218:G222)=0,"n/m",AVERAGE(G218:G222))</x:f>
        <x:v>0.20182232116435334</x:v>
      </x:c>
      <x:c r="H223"/>
    </x:row>
    <x:row r="224" ht="15" hidden="0">
      <x:c r="A224"/>
      <x:c r="B224"/>
      <x:c r="C224"/>
      <x:c r="D224"/>
      <x:c r="E224"/>
      <x:c r="F224"/>
      <x:c r="G224"/>
      <x:c r="H224"/>
    </x:row>
    <x:row r="225" ht="22" hidden="0" customHeight="1">
      <x:c r="A225" s="76" t="str">
        <x:v>MARKET VALUE</x:v>
      </x:c>
      <x:c r="B225" s="75"/>
      <x:c r="C225" s="104" t="n">
        <x:f aca="0">FCCL!C139</x:f>
        <x:v>0.14667479520486254</x:v>
      </x:c>
      <x:c r="D225" s="104" t="n">
        <x:f aca="0">FCCL!D139</x:f>
        <x:v>0.14345364774826339</x:v>
      </x:c>
      <x:c r="E225" s="104" t="n">
        <x:f aca="0">FCCL!E139</x:f>
        <x:v>0.1007154983763438</x:v>
      </x:c>
      <x:c r="F225" s="104" t="n">
        <x:f aca="0">FCCL!F139</x:f>
        <x:v>0.10367976942536491</x:v>
      </x:c>
      <x:c r="G225" s="104" t="n">
        <x:f aca="0">FCCL!G139</x:f>
        <x:v>0.1442582907627069</x:v>
      </x:c>
      <x:c r="H225" s="71"/>
    </x:row>
    <x:row r="226" ht="15" hidden="0">
      <x:c r="A226" s="20" t="str">
        <x:v>28. Book value per share (Rs)</x:v>
      </x:c>
      <x:c r="B226" s="43" t="str">
        <x:v>Total Equity / Shares Outstanding</x:v>
      </x:c>
      <x:c r="C226" s="21"/>
      <x:c r="D226" s="21"/>
      <x:c r="E226" s="21"/>
      <x:c r="F226" s="21"/>
      <x:c r="G226" s="21"/>
      <x:c r="H226" s="15" t="str">
        <x:v>Descriptive mean; company size/share bases differ.</x:v>
      </x:c>
    </x:row>
    <x:row r="227">
      <x:c r="A227" s="8" t="str">
        <x:v>KOHC</x:v>
      </x:c>
      <x:c r="B227" s="33"/>
      <x:c r="C227" s="105" t="n">
        <x:f>KOHC!C142</x:f>
        <x:v>110.64122209168052</x:v>
      </x:c>
      <x:c r="D227" s="105" t="n">
        <x:f>KOHC!D142</x:f>
        <x:v>135.64693964412666</x:v>
      </x:c>
      <x:c r="E227" s="105" t="n">
        <x:f>KOHC!E142</x:f>
        <x:v>162.35106244484723</x:v>
      </x:c>
      <x:c r="F227" s="105" t="n">
        <x:f>KOHC!F142</x:f>
        <x:v>209.7928785338331</x:v>
      </x:c>
      <x:c r="G227" s="105" t="n">
        <x:f>KOHC!G142</x:f>
        <x:v>260.8226721418157</x:v>
      </x:c>
      <x:c r="H227"/>
    </x:row>
    <x:row r="228" ht="15" hidden="0">
      <x:c r="A228" s="10" t="str">
        <x:v>LUCK</x:v>
      </x:c>
      <x:c r="B228" s="33"/>
      <x:c r="C228" s="106" t="n">
        <x:f>LUCK!C142</x:f>
        <x:v>350.05878005411677</x:v>
      </x:c>
      <x:c r="D228" s="106" t="n">
        <x:f>LUCK!D142</x:f>
        <x:v>397.4961700811751</x:v>
      </x:c>
      <x:c r="E228" s="106" t="n">
        <x:f>LUCK!E142</x:f>
        <x:v>440.50456229600826</x:v>
      </x:c>
      <x:c r="F228" s="106" t="n">
        <x:f>LUCK!F142</x:f>
        <x:v>504.3046996587031</x:v>
      </x:c>
      <x:c r="G228" s="106" t="n">
        <x:f>LUCK!G142</x:f>
        <x:v>120.07535836177475</x:v>
      </x:c>
      <x:c r="H228"/>
    </x:row>
    <x:row r="229" ht="15" hidden="0">
      <x:c r="A229" s="10" t="str">
        <x:v>DGKC</x:v>
      </x:c>
      <x:c r="B229" s="33"/>
      <x:c r="C229" s="106" t="n">
        <x:f>DGKC!C142</x:f>
        <x:v>167.71209700741193</x:v>
      </x:c>
      <x:c r="D229" s="106" t="n">
        <x:f>DGKC!D142</x:f>
        <x:v>159.58697532246367</x:v>
      </x:c>
      <x:c r="E229" s="106" t="n">
        <x:f>DGKC!E142</x:f>
        <x:v>146.51786922779672</x:v>
      </x:c>
      <x:c r="F229" s="106" t="n">
        <x:f>DGKC!F142</x:f>
        <x:v>173.12082034314415</x:v>
      </x:c>
      <x:c r="G229" s="106" t="n">
        <x:f>DGKC!G142</x:f>
        <x:v>216.07703932560804</x:v>
      </x:c>
      <x:c r="H229"/>
    </x:row>
    <x:row r="230" ht="15" hidden="0">
      <x:c r="A230" s="10" t="str">
        <x:v>MLCF</x:v>
      </x:c>
      <x:c r="B230" s="33"/>
      <x:c r="C230" s="106" t="n">
        <x:f>MLCF!C142</x:f>
        <x:v>34.18097226539319</x:v>
      </x:c>
      <x:c r="D230" s="106" t="n">
        <x:f>MLCF!D142</x:f>
        <x:v>37.56155762745958</x:v>
      </x:c>
      <x:c r="E230" s="106" t="n">
        <x:f>MLCF!E142</x:f>
        <x:v>41.84401454069526</x:v>
      </x:c>
      <x:c r="F230" s="106" t="n">
        <x:f>MLCF!F142</x:f>
        <x:v>50.22698213930126</x:v>
      </x:c>
      <x:c r="G230" s="106" t="n">
        <x:f>MLCF!G142</x:f>
        <x:v>68.21701347489879</x:v>
      </x:c>
      <x:c r="H230"/>
    </x:row>
    <x:row r="231" ht="15" hidden="0">
      <x:c r="A231" s="10" t="str">
        <x:v>FCCL</x:v>
      </x:c>
      <x:c r="B231" s="33"/>
      <x:c r="C231" s="106" t="n">
        <x:f>FCCL!C142</x:f>
        <x:v>16.868689643176804</x:v>
      </x:c>
      <x:c r="D231" s="106" t="n">
        <x:f>FCCL!D142</x:f>
        <x:v>26.480675904195227</x:v>
      </x:c>
      <x:c r="E231" s="106" t="n">
        <x:f>FCCL!E142</x:f>
        <x:v>26.57145800660424</x:v>
      </x:c>
      <x:c r="F231" s="106" t="n">
        <x:f>FCCL!F142</x:f>
        <x:v>29.923935347634316</x:v>
      </x:c>
      <x:c r="G231" s="106" t="n">
        <x:f>FCCL!G142</x:f>
        <x:v>34.35688707280468</x:v>
      </x:c>
      <x:c r="H231"/>
    </x:row>
    <x:row r="232" ht="15" hidden="0">
      <x:c r="A232" s="46" t="str">
        <x:v>Five-company average</x:v>
      </x:c>
      <x:c r="B232" s="47"/>
      <x:c r="C232" s="107" t="n">
        <x:f>IF(COUNT(C227:C231)=0,"n/m",AVERAGE(C227:C231))</x:f>
        <x:v>135.89235221235583</x:v>
      </x:c>
      <x:c r="D232" s="107" t="n">
        <x:f>IF(COUNT(D227:D231)=0,"n/m",AVERAGE(D227:D231))</x:f>
        <x:v>151.35446371588404</x:v>
      </x:c>
      <x:c r="E232" s="107" t="n">
        <x:f>IF(COUNT(E227:E231)=0,"n/m",AVERAGE(E227:E231))</x:f>
        <x:v>163.55779330319035</x:v>
      </x:c>
      <x:c r="F232" s="107" t="n">
        <x:f>IF(COUNT(F227:F231)=0,"n/m",AVERAGE(F227:F231))</x:f>
        <x:v>193.47386320452318</x:v>
      </x:c>
      <x:c r="G232" s="107" t="n">
        <x:f>IF(COUNT(G227:G231)=0,"n/m",AVERAGE(G227:G231))</x:f>
        <x:v>139.90979407538038</x:v>
      </x:c>
      <x:c r="H232"/>
    </x:row>
    <x:row r="233" ht="15" hidden="0">
      <x:c r="A233"/>
      <x:c r="B233"/>
      <x:c r="C233"/>
      <x:c r="D233"/>
      <x:c r="E233"/>
      <x:c r="F233"/>
      <x:c r="G233"/>
      <x:c r="H233"/>
    </x:row>
    <x:row r="234" ht="15" hidden="0">
      <x:c r="A234" s="20" t="str">
        <x:v>29. Market-to-book ratio</x:v>
      </x:c>
      <x:c r="B234" s="43" t="str">
        <x:v>Share Price / BVPS</x:v>
      </x:c>
      <x:c r="C234" s="21"/>
      <x:c r="D234" s="21"/>
      <x:c r="E234" s="21"/>
      <x:c r="F234" s="21"/>
      <x:c r="G234" s="21"/>
      <x:c r="H234" t="str"/>
    </x:row>
    <x:row r="235">
      <x:c r="A235" s="8" t="str">
        <x:v>KOHC</x:v>
      </x:c>
      <x:c r="B235" s="33"/>
      <x:c r="C235" s="84" t="n">
        <x:f>KOHC!C143</x:f>
        <x:v>1.8663025958706099</x:v>
      </x:c>
      <x:c r="D235" s="84" t="n">
        <x:f>KOHC!D143</x:f>
        <x:v>0.959328683281757</x:v>
      </x:c>
      <x:c r="E235" s="84" t="n">
        <x:f>KOHC!E143</x:f>
        <x:v>1.0684870021034203</x:v>
      </x:c>
      <x:c r="F235" s="84" t="n">
        <x:f>KOHC!F143</x:f>
        <x:v>1.1937011482475721</x:v>
      </x:c>
      <x:c r="G235" s="84" t="n">
        <x:f>KOHC!G143</x:f>
        <x:v>1.4544747850514033</x:v>
      </x:c>
      <x:c r="H235"/>
    </x:row>
    <x:row r="236" ht="15" hidden="0">
      <x:c r="A236" s="10" t="str">
        <x:v>LUCK</x:v>
      </x:c>
      <x:c r="B236" s="33"/>
      <x:c r="C236" s="85" t="n">
        <x:f>LUCK!C143</x:f>
        <x:v>2.4665571875286716</x:v>
      </x:c>
      <x:c r="D236" s="85" t="n">
        <x:f>LUCK!D143</x:f>
        <x:v>1.154828736856148</x:v>
      </x:c>
      <x:c r="E236" s="85" t="n">
        <x:f>LUCK!E143</x:f>
        <x:v>1.185209064075864</x:v>
      </x:c>
      <x:c r="F236" s="85" t="n">
        <x:f>LUCK!F143</x:f>
        <x:v>1.7979804681845026</x:v>
      </x:c>
      <x:c r="G236" s="85" t="n">
        <x:f>LUCK!G143</x:f>
        <x:v>2.9584754511387614</x:v>
      </x:c>
      <x:c r="H236"/>
    </x:row>
    <x:row r="237" ht="15" hidden="0">
      <x:c r="A237" s="10" t="str">
        <x:v>DGKC</x:v>
      </x:c>
      <x:c r="B237" s="33"/>
      <x:c r="C237" s="85" t="n">
        <x:f>DGKC!C143</x:f>
        <x:v>0.7031096868032638</x:v>
      </x:c>
      <x:c r="D237" s="85" t="n">
        <x:f>DGKC!D143</x:f>
        <x:v>0.3916359707533251</x:v>
      </x:c>
      <x:c r="E237" s="85" t="n">
        <x:f>DGKC!E143</x:f>
        <x:v>0.35012794187063967</x:v>
      </x:c>
      <x:c r="F237" s="85" t="n">
        <x:f>DGKC!F143</x:f>
        <x:v>0.5214277509838222</x:v>
      </x:c>
      <x:c r="G237" s="85" t="n">
        <x:f>DGKC!G143</x:f>
        <x:v>0.7662082029480072</x:v>
      </x:c>
      <x:c r="H237"/>
    </x:row>
    <x:row r="238" ht="15" hidden="0">
      <x:c r="A238" s="10" t="str">
        <x:v>MLCF</x:v>
      </x:c>
      <x:c r="B238" s="33"/>
      <x:c r="C238" s="85" t="n">
        <x:f>MLCF!C143</x:f>
        <x:v>1.3744489078669448</x:v>
      </x:c>
      <x:c r="D238" s="85" t="n">
        <x:f>MLCF!D143</x:f>
        <x:v>0.7281380679486422</x:v>
      </x:c>
      <x:c r="E238" s="85" t="n">
        <x:f>MLCF!E143</x:f>
        <x:v>0.6770382887724061</x:v>
      </x:c>
      <x:c r="F238" s="85" t="n">
        <x:f>MLCF!F143</x:f>
        <x:v>0.7565654630534934</x:v>
      </x:c>
      <x:c r="G238" s="85" t="n">
        <x:f>MLCF!G143</x:f>
        <x:v>1.2354689205356633</x:v>
      </x:c>
      <x:c r="H238"/>
    </x:row>
    <x:row r="239" ht="15" hidden="0">
      <x:c r="A239" s="10" t="str">
        <x:v>FCCL</x:v>
      </x:c>
      <x:c r="B239" s="33"/>
      <x:c r="C239" s="85" t="n">
        <x:f>FCCL!C143</x:f>
        <x:v>1.3634728296339984</x:v>
      </x:c>
      <x:c r="D239" s="85" t="n">
        <x:f>FCCL!D143</x:f>
        <x:v>0.535107187266134</x:v>
      </x:c>
      <x:c r="E239" s="85" t="n">
        <x:f>FCCL!E143</x:f>
        <x:v>0.4425801548818697</x:v>
      </x:c>
      <x:c r="F239" s="85" t="n">
        <x:f>FCCL!F143</x:f>
        <x:v>0.7656078565151421</x:v>
      </x:c>
      <x:c r="G239" s="85" t="n">
        <x:f>FCCL!G143</x:f>
        <x:v>1.3001759998029245</x:v>
      </x:c>
      <x:c r="H239"/>
    </x:row>
    <x:row r="240" ht="15" hidden="0">
      <x:c r="A240" s="46" t="str">
        <x:v>Five-company average</x:v>
      </x:c>
      <x:c r="B240" s="47"/>
      <x:c r="C240" s="86" t="n">
        <x:f>IF(COUNT(C235:C239)=0,"n/m",AVERAGE(C235:C239))</x:f>
        <x:v>1.5547782415406979</x:v>
      </x:c>
      <x:c r="D240" s="86" t="n">
        <x:f>IF(COUNT(D235:D239)=0,"n/m",AVERAGE(D235:D239))</x:f>
        <x:v>0.7538077292212013</x:v>
      </x:c>
      <x:c r="E240" s="86" t="n">
        <x:f>IF(COUNT(E235:E239)=0,"n/m",AVERAGE(E235:E239))</x:f>
        <x:v>0.7446884903408398</x:v>
      </x:c>
      <x:c r="F240" s="86" t="n">
        <x:f>IF(COUNT(F235:F239)=0,"n/m",AVERAGE(F235:F239))</x:f>
        <x:v>1.0070565373969065</x:v>
      </x:c>
      <x:c r="G240" s="86" t="n">
        <x:f>IF(COUNT(G235:G239)=0,"n/m",AVERAGE(G235:G239))</x:f>
        <x:v>1.542960671895352</x:v>
      </x:c>
      <x:c r="H240"/>
    </x:row>
    <x:row r="241" ht="15" hidden="0">
      <x:c r="A241"/>
      <x:c r="B241"/>
      <x:c r="C241"/>
      <x:c r="D241"/>
      <x:c r="E241"/>
      <x:c r="F241"/>
      <x:c r="G241"/>
      <x:c r="H241"/>
    </x:row>
    <x:row r="242" ht="15" hidden="0">
      <x:c r="A242" s="20" t="str">
        <x:v>30. Earnings per share (Rs)</x:v>
      </x:c>
      <x:c r="B242" s="43" t="str">
        <x:v>Net Profit / Weighted Average Shares</x:v>
      </x:c>
      <x:c r="C242" s="21"/>
      <x:c r="D242" s="21"/>
      <x:c r="E242" s="21"/>
      <x:c r="F242" s="21"/>
      <x:c r="G242" s="21"/>
      <x:c r="H242" s="15" t="str">
        <x:v>Descriptive mean; company size/share bases differ.</x:v>
      </x:c>
    </x:row>
    <x:row r="243">
      <x:c r="A243" s="8" t="str">
        <x:v>KOHC</x:v>
      </x:c>
      <x:c r="B243" s="33"/>
      <x:c r="C243" s="105" t="n">
        <x:f>KOHC!C144</x:f>
        <x:v>17.412549352402124</x:v>
      </x:c>
      <x:c r="D243" s="105" t="n">
        <x:f>KOHC!D144</x:f>
        <x:v>25.013680261160516</x:v>
      </x:c>
      <x:c r="E243" s="105" t="n">
        <x:f>KOHC!E144</x:f>
        <x:v>28.978958275869324</x:v>
      </x:c>
      <x:c r="F243" s="105" t="n">
        <x:f>KOHC!F144</x:f>
        <x:v>45.27427267861498</x:v>
      </x:c>
      <x:c r="G243" s="105" t="n">
        <x:f>KOHC!G144</x:f>
        <x:v>59.84205460086993</x:v>
      </x:c>
      <x:c r="H243"/>
    </x:row>
    <x:row r="244">
      <x:c r="A244" s="10" t="str">
        <x:v>LUCK</x:v>
      </x:c>
      <x:c r="B244" s="33"/>
      <x:c r="C244" s="106" t="n">
        <x:f>LUCK!C144</x:f>
        <x:v>43.51044143795904</x:v>
      </x:c>
      <x:c r="D244" s="106" t="n">
        <x:f>LUCK!D144</x:f>
        <x:v>47.30921685349824</x:v>
      </x:c>
      <x:c r="E244" s="106" t="n">
        <x:f>LUCK!E144</x:f>
        <x:v>43.06151234984266</x:v>
      </x:c>
      <x:c r="F244" s="106" t="n">
        <x:f>LUCK!F144</x:f>
        <x:v>94.54058917711643</x:v>
      </x:c>
      <x:c r="G244" s="106" t="n">
        <x:f>LUCK!G144</x:f>
        <x:v>22.58850648464164</x:v>
      </x:c>
      <x:c r="H244"/>
    </x:row>
    <x:row r="245" ht="19.5" hidden="0" customHeight="1">
      <x:c r="A245" s="10" t="str">
        <x:v>DGKC</x:v>
      </x:c>
      <x:c r="B245" s="33"/>
      <x:c r="C245" s="106" t="n">
        <x:f>DGKC!C144</x:f>
        <x:v>8.493747127465003</x:v>
      </x:c>
      <x:c r="D245" s="106" t="n">
        <x:f>DGKC!D144</x:f>
        <x:v>6.783844570781772</x:v>
      </x:c>
      <x:c r="E245" s="106" t="str">
        <x:f>DGKC!E144</x:f>
        <x:v>n/m</x:v>
      </x:c>
      <x:c r="F245" s="106" t="n">
        <x:f>DGKC!F144</x:f>
        <x:v>1.2380103440270365</x:v>
      </x:c>
      <x:c r="G245" s="106" t="n">
        <x:f>DGKC!G144</x:f>
        <x:v>19.800685803443983</x:v>
      </x:c>
      <x:c r="H245"/>
    </x:row>
    <x:row r="246" ht="15" hidden="0">
      <x:c r="A246" s="10" t="str">
        <x:v>MLCF</x:v>
      </x:c>
      <x:c r="B246" s="33"/>
      <x:c r="C246" s="106" t="n">
        <x:f>MLCF!C144</x:f>
        <x:v>5.694115515511503</x:v>
      </x:c>
      <x:c r="D246" s="106" t="n">
        <x:f>MLCF!D144</x:f>
        <x:v>3.3041099784606085</x:v>
      </x:c>
      <x:c r="E246" s="106" t="n">
        <x:f>MLCF!E144</x:f>
        <x:v>4.18450538240459</x:v>
      </x:c>
      <x:c r="F246" s="106" t="n">
        <x:f>MLCF!F144</x:f>
        <x:v>4.979197496295721</x:v>
      </x:c>
      <x:c r="G246" s="106" t="n">
        <x:f>MLCF!G144</x:f>
        <x:v>16.262863426829693</x:v>
      </x:c>
      <x:c r="H246"/>
    </x:row>
    <x:row r="247" ht="15" hidden="0">
      <x:c r="A247" s="10" t="str">
        <x:v>FCCL</x:v>
      </x:c>
      <x:c r="B247" s="33"/>
      <x:c r="C247" s="106" t="n">
        <x:f>FCCL!C144</x:f>
        <x:v>2.5158090033808875</x:v>
      </x:c>
      <x:c r="D247" s="106" t="n">
        <x:f>FCCL!D144</x:f>
        <x:v>3.2621706372812294</x:v>
      </x:c>
      <x:c r="E247" s="106" t="n">
        <x:f>FCCL!E144</x:f>
        <x:v>3.0330791851886794</x:v>
      </x:c>
      <x:c r="F247" s="106" t="n">
        <x:f>FCCL!F144</x:f>
        <x:v>3.3524781610919856</x:v>
      </x:c>
      <x:c r="G247" s="106" t="n">
        <x:f>FCCL!G144</x:f>
        <x:v>5.432952809531124</x:v>
      </x:c>
      <x:c r="H247"/>
    </x:row>
    <x:row r="248" ht="15" hidden="0">
      <x:c r="A248" s="46" t="str">
        <x:v>Five-company average</x:v>
      </x:c>
      <x:c r="B248" s="47"/>
      <x:c r="C248" s="107" t="n">
        <x:f>IF(COUNT(C243:C247)=0,"n/m",AVERAGE(C243:C247))</x:f>
        <x:v>15.525332487343713</x:v>
      </x:c>
      <x:c r="D248" s="107" t="n">
        <x:f>IF(COUNT(D243:D247)=0,"n/m",AVERAGE(D243:D247))</x:f>
        <x:v>17.13460446023647</x:v>
      </x:c>
      <x:c r="E248" s="107" t="n">
        <x:f>IF(COUNT(E243:E247)=0,"n/m",AVERAGE(E243:E247))</x:f>
        <x:v>19.814513798326313</x:v>
      </x:c>
      <x:c r="F248" s="107" t="n">
        <x:f>IF(COUNT(F243:F247)=0,"n/m",AVERAGE(F243:F247))</x:f>
        <x:v>29.87690957142923</x:v>
      </x:c>
      <x:c r="G248" s="107" t="n">
        <x:f>IF(COUNT(G243:G247)=0,"n/m",AVERAGE(G243:G247))</x:f>
        <x:v>24.785412625063277</x:v>
      </x:c>
      <x:c r="H248"/>
    </x:row>
    <x:row r="249" ht="15" hidden="0">
      <x:c r="A249"/>
      <x:c r="B249"/>
      <x:c r="C249"/>
      <x:c r="D249"/>
      <x:c r="E249"/>
      <x:c r="F249"/>
      <x:c r="G249"/>
      <x:c r="H249"/>
    </x:row>
    <x:row r="250" ht="15" hidden="0">
      <x:c r="A250" s="20" t="str">
        <x:v>31. Price-to-earnings ratio</x:v>
      </x:c>
      <x:c r="B250" s="43" t="str">
        <x:v>Share Price / EPS</x:v>
      </x:c>
      <x:c r="C250" s="21"/>
      <x:c r="D250" s="21"/>
      <x:c r="E250" s="21"/>
      <x:c r="F250" s="21"/>
      <x:c r="G250" s="21"/>
      <x:c r="H250" s="15" t="str"/>
    </x:row>
    <x:row r="251" ht="15" hidden="0">
      <x:c r="A251" s="8" t="str">
        <x:v>KOHC</x:v>
      </x:c>
      <x:c r="B251" s="33"/>
      <x:c r="C251" s="84" t="n">
        <x:f>KOHC!C145</x:f>
        <x:v>11.858688571154802</x:v>
      </x:c>
      <x:c r="D251" s="84" t="n">
        <x:f>KOHC!D145</x:f>
        <x:v>5.202353217973155</x:v>
      </x:c>
      <x:c r="E251" s="84" t="n">
        <x:f>KOHC!E145</x:f>
        <x:v>5.986067488990722</x:v>
      </x:c>
      <x:c r="F251" s="84" t="n">
        <x:f>KOHC!F145</x:f>
        <x:v>5.531397528519306</x:v>
      </x:c>
      <x:c r="G251" s="84" t="n">
        <x:f>KOHC!G145</x:f>
        <x:v>6.339354531361382</x:v>
      </x:c>
      <x:c r="H251"/>
    </x:row>
    <x:row r="252" ht="15" hidden="0">
      <x:c r="A252" s="10" t="str">
        <x:v>LUCK</x:v>
      </x:c>
      <x:c r="B252" s="33"/>
      <x:c r="C252" s="85" t="n">
        <x:f>LUCK!C145</x:f>
        <x:v>19.844432082610968</x:v>
      </x:c>
      <x:c r="D252" s="85" t="n">
        <x:f>LUCK!D145</x:f>
        <x:v>9.702971863210132</x:v>
      </x:c>
      <x:c r="E252" s="85" t="n">
        <x:f>LUCK!E145</x:f>
        <x:v>12.124283879265743</x:v>
      </x:c>
      <x:c r="F252" s="85" t="n">
        <x:f>LUCK!F145</x:f>
        <x:v>9.590907015623658</x:v>
      </x:c>
      <x:c r="G252" s="85" t="n">
        <x:f>LUCK!G145</x:f>
        <x:v>15.726582022655393</x:v>
      </x:c>
      <x:c r="H252"/>
    </x:row>
    <x:row r="253">
      <x:c r="A253" s="10" t="str">
        <x:v>DGKC</x:v>
      </x:c>
      <x:c r="B253" s="33"/>
      <x:c r="C253" s="85" t="n">
        <x:f>DGKC!C145</x:f>
        <x:v>13.883154069739035</x:v>
      </x:c>
      <x:c r="D253" s="85" t="n">
        <x:f>DGKC!D145</x:f>
        <x:v>9.213064855464028</x:v>
      </x:c>
      <x:c r="E253" s="85" t="str">
        <x:f>DGKC!E145</x:f>
        <x:v>n/m</x:v>
      </x:c>
      <x:c r="F253" s="85" t="n">
        <x:f>DGKC!F145</x:f>
        <x:v>72.91538429829842</x:v>
      </x:c>
      <x:c r="G253" s="85" t="n">
        <x:f>DGKC!G145</x:f>
        <x:v>8.361326554214791</x:v>
      </x:c>
      <x:c r="H253"/>
    </x:row>
    <x:row r="254" ht="15" hidden="0">
      <x:c r="A254" s="10" t="str">
        <x:v>MLCF</x:v>
      </x:c>
      <x:c r="B254" s="33"/>
      <x:c r="C254" s="85" t="n">
        <x:f>MLCF!C145</x:f>
        <x:v>8.250622923265333</x:v>
      </x:c>
      <x:c r="D254" s="85" t="n">
        <x:f>MLCF!D145</x:f>
        <x:v>8.277569505341472</x:v>
      </x:c>
      <x:c r="E254" s="85" t="n">
        <x:f>MLCF!E145</x:f>
        <x:v>6.770214735324442</x:v>
      </x:c>
      <x:c r="F254" s="85" t="n">
        <x:f>MLCF!F145</x:f>
        <x:v>7.631751909473391</x:v>
      </x:c>
      <x:c r="G254" s="85" t="n">
        <x:f>MLCF!G145</x:f>
        <x:v>5.182359206248938</x:v>
      </x:c>
      <x:c r="H254"/>
    </x:row>
    <x:row r="255" ht="15" hidden="0">
      <x:c r="A255" s="10" t="str">
        <x:v>FCCL</x:v>
      </x:c>
      <x:c r="B255" s="33"/>
      <x:c r="C255" s="85" t="n">
        <x:f>FCCL!C145</x:f>
        <x:v>9.14218844478706</x:v>
      </x:c>
      <x:c r="D255" s="85" t="n">
        <x:f>FCCL!D145</x:f>
        <x:v>4.343733536823694</x:v>
      </x:c>
      <x:c r="E255" s="85" t="n">
        <x:f>FCCL!E145</x:f>
        <x:v>3.877247932539039</x:v>
      </x:c>
      <x:c r="F255" s="85" t="n">
        <x:f>FCCL!F145</x:f>
        <x:v>6.833750705936781</x:v>
      </x:c>
      <x:c r="G255" s="85" t="n">
        <x:f>FCCL!G145</x:f>
        <x:v>8.222048224242743</x:v>
      </x:c>
      <x:c r="H255"/>
    </x:row>
    <x:row r="256" ht="15" hidden="0">
      <x:c r="A256" s="46" t="str">
        <x:v>Five-company average</x:v>
      </x:c>
      <x:c r="B256" s="47"/>
      <x:c r="C256" s="86" t="n">
        <x:f>IF(COUNT(C251:C255)=0,"n/m",AVERAGE(C251:C255))</x:f>
        <x:v>12.59581721831144</x:v>
      </x:c>
      <x:c r="D256" s="86" t="n">
        <x:f>IF(COUNT(D251:D255)=0,"n/m",AVERAGE(D251:D255))</x:f>
        <x:v>7.347938595762495</x:v>
      </x:c>
      <x:c r="E256" s="86" t="n">
        <x:f>IF(COUNT(E251:E255)=0,"n/m",AVERAGE(E251:E255))</x:f>
        <x:v>7.189453509029987</x:v>
      </x:c>
      <x:c r="F256" s="86" t="n">
        <x:f>IF(COUNT(F251:F255)=0,"n/m",AVERAGE(F251:F255))</x:f>
        <x:v>20.50063829157031</x:v>
      </x:c>
      <x:c r="G256" s="86" t="n">
        <x:f>IF(COUNT(G251:G255)=0,"n/m",AVERAGE(G251:G255))</x:f>
        <x:v>8.76633410774465</x:v>
      </x:c>
      <x:c r="H256"/>
    </x:row>
    <x:row r="257" ht="15" hidden="0">
      <x:c r="A257"/>
      <x:c r="B257"/>
      <x:c r="C257"/>
      <x:c r="D257"/>
      <x:c r="E257"/>
      <x:c r="F257"/>
      <x:c r="G257"/>
      <x:c r="H257"/>
    </x:row>
    <x:row r="258" ht="15" hidden="0">
      <x:c r="A258" s="20" t="str">
        <x:v>32. Dividend yield</x:v>
      </x:c>
      <x:c r="B258" s="43" t="str">
        <x:v>DPS / Share Price</x:v>
      </x:c>
      <x:c r="C258" s="21"/>
      <x:c r="D258" s="21"/>
      <x:c r="E258" s="21"/>
      <x:c r="F258" s="21"/>
      <x:c r="G258" s="21"/>
      <x:c r="H258" t="str"/>
    </x:row>
    <x:row r="259" ht="15" hidden="0">
      <x:c r="A259" s="8" t="str">
        <x:v>KOHC</x:v>
      </x:c>
      <x:c r="B259" s="33"/>
      <x:c r="C259" s="93" t="n">
        <x:f>KOHC!C146</x:f>
        <x:v>0</x:v>
      </x:c>
      <x:c r="D259" s="93" t="n">
        <x:f>KOHC!D146</x:f>
        <x:v>0</x:v>
      </x:c>
      <x:c r="E259" s="93" t="n">
        <x:f>KOHC!E146</x:f>
        <x:v>0</x:v>
      </x:c>
      <x:c r="F259" s="93" t="n">
        <x:f>KOHC!F146</x:f>
        <x:v>0</x:v>
      </x:c>
      <x:c r="G259" s="93" t="n">
        <x:f>KOHC!G146</x:f>
        <x:v>0</x:v>
      </x:c>
      <x:c r="H259"/>
    </x:row>
    <x:row r="260" ht="15" hidden="0">
      <x:c r="A260" s="10" t="str">
        <x:v>LUCK</x:v>
      </x:c>
      <x:c r="B260" s="33"/>
      <x:c r="C260" s="94" t="n">
        <x:f>LUCK!C146</x:f>
        <x:v>0</x:v>
      </x:c>
      <x:c r="D260" s="94" t="n">
        <x:f>LUCK!D146</x:f>
        <x:v>0</x:v>
      </x:c>
      <x:c r="E260" s="94" t="n">
        <x:f>LUCK!E146</x:f>
        <x:v>0.034476814342354764</x:v>
      </x:c>
      <x:c r="F260" s="94" t="n">
        <x:f>LUCK!F146</x:f>
        <x:v>0.016542962072502287</x:v>
      </x:c>
      <x:c r="G260" s="94" t="n">
        <x:f>LUCK!G146</x:f>
        <x:v>0.011259993244004052</x:v>
      </x:c>
      <x:c r="H260"/>
    </x:row>
    <x:row r="261">
      <x:c r="A261" s="10" t="str">
        <x:v>DGKC</x:v>
      </x:c>
      <x:c r="B261" s="33"/>
      <x:c r="C261" s="94" t="n">
        <x:f>DGKC!C146</x:f>
        <x:v>0.008480325644504749</x:v>
      </x:c>
      <x:c r="D261" s="94" t="n">
        <x:f>DGKC!D146</x:f>
        <x:v>0.016</x:v>
      </x:c>
      <x:c r="E261" s="94" t="n">
        <x:f>DGKC!E146</x:f>
        <x:v>0</x:v>
      </x:c>
      <x:c r="F261" s="94" t="n">
        <x:f>DGKC!F146</x:f>
        <x:v>0</x:v>
      </x:c>
      <x:c r="G261" s="94" t="n">
        <x:f>DGKC!G146</x:f>
        <x:v>0.012080212611741966</x:v>
      </x:c>
      <x:c r="H261"/>
    </x:row>
    <x:row r="262" ht="15" hidden="0">
      <x:c r="A262" s="10" t="str">
        <x:v>MLCF</x:v>
      </x:c>
      <x:c r="B262" s="33"/>
      <x:c r="C262" s="94" t="n">
        <x:f>MLCF!C146</x:f>
        <x:v>0</x:v>
      </x:c>
      <x:c r="D262" s="94" t="n">
        <x:f>MLCF!D146</x:f>
        <x:v>0</x:v>
      </x:c>
      <x:c r="E262" s="94" t="n">
        <x:f>MLCF!E146</x:f>
        <x:v>0</x:v>
      </x:c>
      <x:c r="F262" s="94" t="n">
        <x:f>MLCF!F146</x:f>
        <x:v>0</x:v>
      </x:c>
      <x:c r="G262" s="94" t="n">
        <x:f>MLCF!G146</x:f>
        <x:v>0</x:v>
      </x:c>
      <x:c r="H262"/>
    </x:row>
    <x:row r="263" ht="15" hidden="0">
      <x:c r="A263" s="10" t="str">
        <x:v>FCCL</x:v>
      </x:c>
      <x:c r="B263" s="33"/>
      <x:c r="C263" s="94" t="n">
        <x:f>FCCL!C146</x:f>
        <x:v>0</x:v>
      </x:c>
      <x:c r="D263" s="94" t="n">
        <x:f>FCCL!D146</x:f>
        <x:v>0</x:v>
      </x:c>
      <x:c r="E263" s="94" t="n">
        <x:f>FCCL!E146</x:f>
        <x:v>0</x:v>
      </x:c>
      <x:c r="F263" s="94" t="n">
        <x:f>FCCL!F146</x:f>
        <x:v>0.04364906154517678</x:v>
      </x:c>
      <x:c r="G263" s="94" t="n">
        <x:f>FCCL!G146</x:f>
        <x:v>0.027982986344302664</x:v>
      </x:c>
      <x:c r="H263"/>
    </x:row>
    <x:row r="264" ht="15" hidden="0">
      <x:c r="A264" s="46" t="str">
        <x:v>Five-company average</x:v>
      </x:c>
      <x:c r="B264" s="47"/>
      <x:c r="C264" s="95" t="n">
        <x:f>IF(COUNT(C259:C263)=0,"n/m",AVERAGE(C259:C263))</x:f>
        <x:v>0.0016960651289009497</x:v>
      </x:c>
      <x:c r="D264" s="95" t="n">
        <x:f>IF(COUNT(D259:D263)=0,"n/m",AVERAGE(D259:D263))</x:f>
        <x:v>0.0032</x:v>
      </x:c>
      <x:c r="E264" s="95" t="n">
        <x:f>IF(COUNT(E259:E263)=0,"n/m",AVERAGE(E259:E263))</x:f>
        <x:v>0.006895362868470953</x:v>
      </x:c>
      <x:c r="F264" s="95" t="n">
        <x:f>IF(COUNT(F259:F263)=0,"n/m",AVERAGE(F259:F263))</x:f>
        <x:v>0.012038404723535814</x:v>
      </x:c>
      <x:c r="G264" s="95" t="n">
        <x:f>IF(COUNT(G259:G263)=0,"n/m",AVERAGE(G259:G263))</x:f>
        <x:v>0.010264638440009737</x:v>
      </x:c>
      <x:c r="H264"/>
    </x:row>
    <x:row r="265" ht="15" hidden="0">
      <x:c r="A265"/>
      <x:c r="B265"/>
      <x:c r="C265"/>
      <x:c r="D265"/>
      <x:c r="E265"/>
      <x:c r="F265"/>
      <x:c r="G265"/>
      <x:c r="H265"/>
    </x:row>
    <x:row r="266" ht="15" hidden="0">
      <x:c r="A266" s="20" t="str">
        <x:v>33. Dividend payout ratio</x:v>
      </x:c>
      <x:c r="B266" s="43" t="str">
        <x:v>DPS / EPS</x:v>
      </x:c>
      <x:c r="C266" s="21"/>
      <x:c r="D266" s="21"/>
      <x:c r="E266" s="21"/>
      <x:c r="F266" s="21"/>
      <x:c r="G266" s="21"/>
      <x:c r="H266" s="15" t="str"/>
    </x:row>
    <x:row r="267" ht="15" hidden="0">
      <x:c r="A267" s="8" t="str">
        <x:v>KOHC</x:v>
      </x:c>
      <x:c r="B267" s="33"/>
      <x:c r="C267" s="93" t="n">
        <x:f>KOHC!C147</x:f>
        <x:v>0</x:v>
      </x:c>
      <x:c r="D267" s="93" t="n">
        <x:f>KOHC!D147</x:f>
        <x:v>0</x:v>
      </x:c>
      <x:c r="E267" s="93" t="n">
        <x:f>KOHC!E147</x:f>
        <x:v>0</x:v>
      </x:c>
      <x:c r="F267" s="93" t="n">
        <x:f>KOHC!F147</x:f>
        <x:v>0</x:v>
      </x:c>
      <x:c r="G267" s="93" t="n">
        <x:f>KOHC!G147</x:f>
        <x:v>0</x:v>
      </x:c>
      <x:c r="H267"/>
    </x:row>
    <x:row r="268" ht="15" hidden="0">
      <x:c r="A268" s="10" t="str">
        <x:v>LUCK</x:v>
      </x:c>
      <x:c r="B268" s="33"/>
      <x:c r="C268" s="94" t="n">
        <x:f>LUCK!C147</x:f>
        <x:v>0</x:v>
      </x:c>
      <x:c r="D268" s="94" t="n">
        <x:f>LUCK!D147</x:f>
        <x:v>0</x:v>
      </x:c>
      <x:c r="E268" s="94" t="n">
        <x:f>LUCK!E147</x:f>
        <x:v>0.4180066843394498</x:v>
      </x:c>
      <x:c r="F268" s="94" t="n">
        <x:f>LUCK!F147</x:f>
        <x:v>0.1586620110003583</x:v>
      </x:c>
      <x:c r="G268" s="94" t="n">
        <x:f>LUCK!G147</x:f>
        <x:v>0.17708120732637533</x:v>
      </x:c>
      <x:c r="H268"/>
    </x:row>
    <x:row r="269">
      <x:c r="A269" s="10" t="str">
        <x:v>DGKC</x:v>
      </x:c>
      <x:c r="B269" s="33"/>
      <x:c r="C269" s="94" t="n">
        <x:f>DGKC!C147</x:f>
        <x:v>0.11773366748421842</x:v>
      </x:c>
      <x:c r="D269" s="94" t="n">
        <x:f>DGKC!D147</x:f>
        <x:v>0.14740903768742444</x:v>
      </x:c>
      <x:c r="E269" s="94" t="str">
        <x:f>DGKC!E147</x:f>
        <x:v>n/m</x:v>
      </x:c>
      <x:c r="F269" s="94" t="n">
        <x:f>DGKC!F147</x:f>
        <x:v>0</x:v>
      </x:c>
      <x:c r="G269" s="94" t="n">
        <x:f>DGKC!G147</x:f>
        <x:v>0.10100660249111851</x:v>
      </x:c>
      <x:c r="H269"/>
    </x:row>
    <x:row r="270" ht="15" hidden="0">
      <x:c r="A270" s="10" t="str">
        <x:v>MLCF</x:v>
      </x:c>
      <x:c r="B270" s="33"/>
      <x:c r="C270" s="94" t="n">
        <x:f>MLCF!C147</x:f>
        <x:v>0</x:v>
      </x:c>
      <x:c r="D270" s="94" t="n">
        <x:f>MLCF!D147</x:f>
        <x:v>0</x:v>
      </x:c>
      <x:c r="E270" s="94" t="n">
        <x:f>MLCF!E147</x:f>
        <x:v>0</x:v>
      </x:c>
      <x:c r="F270" s="94" t="n">
        <x:f>MLCF!F147</x:f>
        <x:v>0</x:v>
      </x:c>
      <x:c r="G270" s="94" t="n">
        <x:f>MLCF!G147</x:f>
        <x:v>0</x:v>
      </x:c>
      <x:c r="H270"/>
    </x:row>
    <x:row r="271" ht="15" hidden="0">
      <x:c r="A271" s="10" t="str">
        <x:v>FCCL</x:v>
      </x:c>
      <x:c r="B271" s="33"/>
      <x:c r="C271" s="94" t="n">
        <x:f>FCCL!C147</x:f>
        <x:v>0</x:v>
      </x:c>
      <x:c r="D271" s="94" t="n">
        <x:f>FCCL!D147</x:f>
        <x:v>0</x:v>
      </x:c>
      <x:c r="E271" s="94" t="n">
        <x:f>FCCL!E147</x:f>
        <x:v>0</x:v>
      </x:c>
      <x:c r="F271" s="94" t="n">
        <x:f>FCCL!F147</x:f>
        <x:v>0.29828680514782985</x:v>
      </x:c>
      <x:c r="G271" s="94" t="n">
        <x:f>FCCL!G147</x:f>
        <x:v>0.23007746318118263</x:v>
      </x:c>
      <x:c r="H271"/>
    </x:row>
    <x:row r="272" ht="15" hidden="0">
      <x:c r="A272" s="46" t="str">
        <x:v>Five-company average</x:v>
      </x:c>
      <x:c r="B272" s="47"/>
      <x:c r="C272" s="95" t="n">
        <x:f>IF(COUNT(C267:C271)=0,"n/m",AVERAGE(C267:C271))</x:f>
        <x:v>0.023546733496843684</x:v>
      </x:c>
      <x:c r="D272" s="95" t="n">
        <x:f>IF(COUNT(D267:D271)=0,"n/m",AVERAGE(D267:D271))</x:f>
        <x:v>0.02948180753748489</x:v>
      </x:c>
      <x:c r="E272" s="95" t="n">
        <x:f>IF(COUNT(E267:E271)=0,"n/m",AVERAGE(E267:E271))</x:f>
        <x:v>0.10450167108486245</x:v>
      </x:c>
      <x:c r="F272" s="95" t="n">
        <x:f>IF(COUNT(F267:F271)=0,"n/m",AVERAGE(F267:F271))</x:f>
        <x:v>0.09138976322963763</x:v>
      </x:c>
      <x:c r="G272" s="95" t="n">
        <x:f>IF(COUNT(G267:G271)=0,"n/m",AVERAGE(G267:G271))</x:f>
        <x:v>0.10163305459973529</x:v>
      </x:c>
      <x:c r="H272"/>
    </x:row>
    <x:row r="273" ht="15" hidden="0">
      <x:c r="A273"/>
      <x:c r="B273"/>
      <x:c r="C273"/>
      <x:c r="D273"/>
      <x:c r="E273"/>
      <x:c r="F273"/>
      <x:c r="G273"/>
      <x:c r="H273"/>
    </x:row>
    <x:row r="274" ht="15" hidden="0">
      <x:c r="A274"/>
      <x:c r="B274"/>
      <x:c r="C274">
        <x:f aca="0"/>
      </x:c>
      <x:c r="D274">
        <x:f aca="0"/>
      </x:c>
      <x:c r="E274">
        <x:f aca="0"/>
      </x:c>
      <x:c r="F274">
        <x:f aca="0"/>
      </x:c>
      <x:c r="G274">
        <x:f aca="0"/>
      </x:c>
    </x:row>
    <x:row r="275" ht="15" hidden="0">
      <x:c r="A275"/>
      <x:c r="B275"/>
      <x:c r="C275">
        <x:f aca="0"/>
      </x:c>
      <x:c r="D275">
        <x:f aca="0"/>
      </x:c>
      <x:c r="E275">
        <x:f aca="0"/>
      </x:c>
      <x:c r="F275">
        <x:f aca="0"/>
      </x:c>
      <x:c r="G275">
        <x:f aca="0"/>
      </x:c>
    </x:row>
    <x:row r="276" ht="15" hidden="0">
      <x:c r="A276"/>
      <x:c r="B276"/>
      <x:c r="C276">
        <x:f aca="0"/>
      </x:c>
      <x:c r="D276">
        <x:f aca="0"/>
      </x:c>
      <x:c r="E276">
        <x:f aca="0"/>
      </x:c>
      <x:c r="F276">
        <x:f aca="0"/>
      </x:c>
      <x:c r="G276">
        <x:f aca="0"/>
      </x:c>
    </x:row>
    <x:row r="278" ht="15" hidden="0">
      <x:c r="A278"/>
      <x:c r="B278"/>
      <x:c r="C278"/>
      <x:c r="D278"/>
      <x:c r="E278"/>
      <x:c r="F278"/>
      <x:c r="G278"/>
    </x:row>
    <x:row r="279" ht="15" hidden="0">
      <x:c r="A279"/>
      <x:c r="B279"/>
      <x:c r="C279">
        <x:f aca="0"/>
      </x:c>
      <x:c r="D279">
        <x:f aca="0"/>
      </x:c>
      <x:c r="E279">
        <x:f aca="0"/>
      </x:c>
      <x:c r="F279">
        <x:f aca="0"/>
      </x:c>
      <x:c r="G279">
        <x:f aca="0"/>
      </x:c>
    </x:row>
    <x:row r="280" ht="15" hidden="0">
      <x:c r="A280"/>
      <x:c r="B280"/>
      <x:c r="C280">
        <x:f aca="0"/>
      </x:c>
      <x:c r="D280">
        <x:f aca="0"/>
      </x:c>
      <x:c r="E280">
        <x:f aca="0"/>
      </x:c>
      <x:c r="F280">
        <x:f aca="0"/>
      </x:c>
      <x:c r="G280">
        <x:f aca="0"/>
      </x:c>
    </x:row>
    <x:row r="281" ht="15" hidden="0">
      <x:c r="A281"/>
      <x:c r="B281"/>
      <x:c r="C281">
        <x:f aca="0"/>
      </x:c>
      <x:c r="D281">
        <x:f aca="0"/>
      </x:c>
      <x:c r="E281">
        <x:f aca="0"/>
      </x:c>
      <x:c r="F281">
        <x:f aca="0"/>
      </x:c>
      <x:c r="G281">
        <x:f aca="0"/>
      </x:c>
    </x:row>
    <x:row r="282" ht="15" hidden="0">
      <x:c r="A282"/>
      <x:c r="B282"/>
      <x:c r="C282">
        <x:f aca="0"/>
      </x:c>
      <x:c r="D282">
        <x:f aca="0"/>
      </x:c>
      <x:c r="E282">
        <x:f aca="0"/>
      </x:c>
      <x:c r="F282">
        <x:f aca="0"/>
      </x:c>
      <x:c r="G282">
        <x:f aca="0"/>
      </x:c>
    </x:row>
    <x:row r="283" ht="15" hidden="0">
      <x:c r="A283"/>
      <x:c r="B283"/>
      <x:c r="C283">
        <x:f aca="0"/>
      </x:c>
      <x:c r="D283">
        <x:f aca="0"/>
      </x:c>
      <x:c r="E283">
        <x:f aca="0"/>
      </x:c>
      <x:c r="F283">
        <x:f aca="0"/>
      </x:c>
      <x:c r="G283">
        <x:f aca="0"/>
      </x:c>
    </x:row>
    <x:row r="284" ht="15" hidden="0">
      <x:c r="A284"/>
      <x:c r="B284"/>
      <x:c r="C284">
        <x:f aca="0"/>
      </x:c>
      <x:c r="D284">
        <x:f aca="0"/>
      </x:c>
      <x:c r="E284">
        <x:f aca="0"/>
      </x:c>
      <x:c r="F284">
        <x:f aca="0"/>
      </x:c>
      <x:c r="G284">
        <x:f aca="0"/>
      </x:c>
    </x:row>
    <x:row r="286" ht="15" hidden="0">
      <x:c r="A286"/>
      <x:c r="B286"/>
      <x:c r="C286"/>
      <x:c r="D286"/>
      <x:c r="E286"/>
      <x:c r="F286"/>
      <x:c r="G286"/>
      <x:c r="H286"/>
    </x:row>
    <x:row r="287" ht="15" hidden="0">
      <x:c r="A287"/>
      <x:c r="B287"/>
      <x:c r="C287">
        <x:f aca="0"/>
      </x:c>
      <x:c r="D287">
        <x:f aca="0"/>
      </x:c>
      <x:c r="E287">
        <x:f aca="0"/>
      </x:c>
      <x:c r="F287">
        <x:f aca="0"/>
      </x:c>
      <x:c r="G287">
        <x:f aca="0"/>
      </x:c>
    </x:row>
    <x:row r="288" ht="15" hidden="0">
      <x:c r="A288"/>
      <x:c r="B288"/>
      <x:c r="C288">
        <x:f aca="0"/>
      </x:c>
      <x:c r="D288">
        <x:f aca="0"/>
      </x:c>
      <x:c r="E288">
        <x:f aca="0"/>
      </x:c>
      <x:c r="F288">
        <x:f aca="0"/>
      </x:c>
      <x:c r="G288">
        <x:f aca="0"/>
      </x:c>
    </x:row>
    <x:row r="289" ht="15" hidden="0">
      <x:c r="A289"/>
      <x:c r="B289"/>
      <x:c r="C289">
        <x:f aca="0"/>
      </x:c>
      <x:c r="D289">
        <x:f aca="0"/>
      </x:c>
      <x:c r="E289">
        <x:f aca="0"/>
      </x:c>
      <x:c r="F289">
        <x:f aca="0"/>
      </x:c>
      <x:c r="G289">
        <x:f aca="0"/>
      </x:c>
    </x:row>
    <x:row r="290" ht="15" hidden="0">
      <x:c r="A290"/>
      <x:c r="B290"/>
      <x:c r="C290">
        <x:f aca="0"/>
      </x:c>
      <x:c r="D290">
        <x:f aca="0"/>
      </x:c>
      <x:c r="E290">
        <x:f aca="0"/>
      </x:c>
      <x:c r="F290">
        <x:f aca="0"/>
      </x:c>
      <x:c r="G290">
        <x:f aca="0"/>
      </x:c>
    </x:row>
    <x:row r="291" ht="15" hidden="0">
      <x:c r="A291"/>
      <x:c r="B291"/>
      <x:c r="C291">
        <x:f aca="0"/>
      </x:c>
      <x:c r="D291">
        <x:f aca="0"/>
      </x:c>
      <x:c r="E291">
        <x:f aca="0"/>
      </x:c>
      <x:c r="F291">
        <x:f aca="0"/>
      </x:c>
      <x:c r="G291">
        <x:f aca="0"/>
      </x:c>
    </x:row>
    <x:row r="292" ht="15" hidden="0">
      <x:c r="A292"/>
      <x:c r="B292"/>
      <x:c r="C292">
        <x:f aca="0"/>
      </x:c>
      <x:c r="D292">
        <x:f aca="0"/>
      </x:c>
      <x:c r="E292">
        <x:f aca="0"/>
      </x:c>
      <x:c r="F292">
        <x:f aca="0"/>
      </x:c>
      <x:c r="G292">
        <x:f aca="0"/>
      </x:c>
    </x:row>
    <x:row r="295" ht="19.5" hidden="0" customHeight="1">
      <x:c r="A295"/>
      <x:c r="B295"/>
      <x:c r="C295"/>
      <x:c r="D295"/>
      <x:c r="E295"/>
      <x:c r="F295"/>
      <x:c r="G295"/>
    </x:row>
    <x:row r="296" ht="15" hidden="0">
      <x:c r="A296"/>
      <x:c r="B296"/>
      <x:c r="C296"/>
      <x:c r="D296"/>
      <x:c r="E296"/>
      <x:c r="F296"/>
      <x:c r="G296"/>
    </x:row>
    <x:row r="297" ht="15" hidden="0">
      <x:c r="A297"/>
      <x:c r="B297"/>
      <x:c r="C297">
        <x:f aca="0"/>
      </x:c>
      <x:c r="D297">
        <x:f aca="0"/>
      </x:c>
      <x:c r="E297">
        <x:f aca="0"/>
      </x:c>
      <x:c r="F297">
        <x:f aca="0"/>
      </x:c>
      <x:c r="G297">
        <x:f aca="0"/>
      </x:c>
    </x:row>
    <x:row r="298" ht="15" hidden="0">
      <x:c r="A298"/>
      <x:c r="B298"/>
      <x:c r="C298">
        <x:f aca="0"/>
      </x:c>
      <x:c r="D298">
        <x:f aca="0"/>
      </x:c>
      <x:c r="E298">
        <x:f aca="0"/>
      </x:c>
      <x:c r="F298">
        <x:f aca="0"/>
      </x:c>
      <x:c r="G298">
        <x:f aca="0"/>
      </x:c>
    </x:row>
    <x:row r="299" ht="15" hidden="0">
      <x:c r="A299"/>
      <x:c r="B299"/>
      <x:c r="C299">
        <x:f aca="0"/>
      </x:c>
      <x:c r="D299">
        <x:f aca="0"/>
      </x:c>
      <x:c r="E299">
        <x:f aca="0"/>
      </x:c>
      <x:c r="F299">
        <x:f aca="0"/>
      </x:c>
      <x:c r="G299">
        <x:f aca="0"/>
      </x:c>
    </x:row>
    <x:row r="300" ht="15" hidden="0">
      <x:c r="A300"/>
      <x:c r="B300"/>
      <x:c r="C300">
        <x:f aca="0"/>
      </x:c>
      <x:c r="D300">
        <x:f aca="0"/>
      </x:c>
      <x:c r="E300">
        <x:f aca="0"/>
      </x:c>
      <x:c r="F300">
        <x:f aca="0"/>
      </x:c>
      <x:c r="G300">
        <x:f aca="0"/>
      </x:c>
    </x:row>
    <x:row r="301" ht="15" hidden="0">
      <x:c r="A301"/>
      <x:c r="B301"/>
      <x:c r="C301">
        <x:f aca="0"/>
      </x:c>
      <x:c r="D301">
        <x:f aca="0"/>
      </x:c>
      <x:c r="E301">
        <x:f aca="0"/>
      </x:c>
      <x:c r="F301">
        <x:f aca="0"/>
      </x:c>
      <x:c r="G301">
        <x:f aca="0"/>
      </x:c>
    </x:row>
    <x:row r="302" ht="15" hidden="0">
      <x:c r="A302"/>
      <x:c r="B302"/>
      <x:c r="C302">
        <x:f aca="0"/>
      </x:c>
      <x:c r="D302">
        <x:f aca="0"/>
      </x:c>
      <x:c r="E302">
        <x:f aca="0"/>
      </x:c>
      <x:c r="F302">
        <x:f aca="0"/>
      </x:c>
      <x:c r="G302">
        <x:f aca="0"/>
      </x:c>
    </x:row>
  </x:sheetData>
  <x:mergeCells>
    <x:mergeCell ref="A5:H5"/>
    <x:mergeCell ref="A46:H46"/>
    <x:mergeCell ref="A127:H127"/>
    <x:mergeCell ref="A168:H168"/>
    <x:mergeCell ref="A225:H2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08D57"/>
  </x:sheetPr>
  <x:sheetViews>
    <x:sheetView showGridLines="0" workbookViewId="0"/>
  </x:sheetViews>
  <x:sheetFormatPr defaultColWidth="8.6796875" defaultRowHeight="15"/>
  <x:sheetData>
    <x:row r="1" ht="19.700000762939453" hidden="0">
      <x:c r="B1" s="1" t="s">
        <x:v>167</x:v>
      </x:c>
    </x:row>
    <x:row r="2" ht="15" hidden="0">
      <x:c r="B2" s="16" t="s">
        <x:v>168</x:v>
      </x:c>
    </x:row>
    <x:row r="4" ht="15" hidden="0">
      <x:c r="B4" s="61" t="s">
        <x:v>169</x:v>
      </x:c>
    </x:row>
    <x:row r="21" ht="15" hidden="0">
      <x:c r="B21" s="61" t="s">
        <x:v>170</x:v>
      </x:c>
    </x:row>
    <x:row r="54" ht="15" hidden="0">
      <x:c r="B54" s="61" t="s">
        <x:v>171</x:v>
      </x:c>
    </x:row>
    <x:row r="71" ht="15" hidden="0">
      <x:c r="B71" s="61" t="s">
        <x:v>172</x:v>
      </x:c>
    </x:row>
    <x:row r="104" ht="15" hidden="0">
      <x:c r="B104" s="61" t="s">
        <x:v>173</x:v>
      </x:c>
    </x:row>
    <x:row r="121" ht="15" hidden="0">
      <x:c r="B121" s="61"/>
    </x:row>
  </x:sheetData>
  <x:pageMargins left="0.7" right="0.7" top="0.75" bottom="0.75" header="0.3" footer="0.3"/>
  <x:drawing xmlns:r="http://schemas.openxmlformats.org/officeDocument/2006/relationships" r:id="R466a9bc199734996"/>
</x:worksheet>
</file>