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snwa\Documents\Codex\2026-10-22\mandatory-historical-share-price-verification-using\outputs\dividend-verification\"/>
    </mc:Choice>
  </mc:AlternateContent>
  <xr:revisionPtr revIDLastSave="0" documentId="13_ncr:1_{4A601687-1284-4679-8AB2-804CF39F32E8}" xr6:coauthVersionLast="47" xr6:coauthVersionMax="47" xr10:uidLastSave="{00000000-0000-0000-0000-000000000000}"/>
  <bookViews>
    <workbookView xWindow="-108" yWindow="-108" windowWidth="23256" windowHeight="13896" xr2:uid="{00000000-000D-0000-FFFF-FFFF00000000}"/>
  </bookViews>
  <sheets>
    <sheet name="Overview" sheetId="1" r:id="rId1"/>
    <sheet name="KOHC" sheetId="2" r:id="rId2"/>
    <sheet name="LUCK" sheetId="3" r:id="rId3"/>
    <sheet name="DGKC" sheetId="4" r:id="rId4"/>
    <sheet name="MLCF" sheetId="5" r:id="rId5"/>
    <sheet name="FCCL" sheetId="6" r:id="rId6"/>
    <sheet name="Industry Averages" sheetId="7" r:id="rId7"/>
    <sheet name="Charts" sheetId="8" r:id="rId8"/>
  </sheets>
  <definedNames>
    <definedName name="_xlnm.Print_Area" localSheetId="3">DGKC!$A$1:$H$218</definedName>
    <definedName name="_xlnm.Print_Area" localSheetId="5">FCCL!$A$1:$H$218</definedName>
    <definedName name="_xlnm.Print_Area" localSheetId="6">'Industry Averages'!$A$1:$H$226</definedName>
    <definedName name="_xlnm.Print_Area" localSheetId="1">KOHC!$A$1:$H$218</definedName>
    <definedName name="_xlnm.Print_Area" localSheetId="2">LUCK!$A$1:$H$218</definedName>
    <definedName name="_xlnm.Print_Area" localSheetId="4">MLCF!$A$1:$H$218</definedName>
    <definedName name="_xlnm.Print_Area" localSheetId="0">Overview!$A$1:$G$48</definedName>
    <definedName name="_xlnm.Print_Titles" localSheetId="6">'Industry Averages'!$1:$4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2" i="6" l="1"/>
  <c r="G212" i="6"/>
  <c r="F212" i="6"/>
  <c r="E212" i="6"/>
  <c r="D212" i="6"/>
  <c r="H211" i="6"/>
  <c r="G211" i="6"/>
  <c r="F211" i="6"/>
  <c r="E211" i="6"/>
  <c r="D211" i="6"/>
  <c r="H191" i="6"/>
  <c r="G191" i="6"/>
  <c r="F191" i="6"/>
  <c r="E191" i="6"/>
  <c r="D191" i="6"/>
  <c r="H190" i="6"/>
  <c r="G190" i="6"/>
  <c r="F190" i="6"/>
  <c r="E190" i="6"/>
  <c r="D190" i="6"/>
  <c r="H185" i="6"/>
  <c r="G185" i="6"/>
  <c r="F185" i="6"/>
  <c r="E185" i="6"/>
  <c r="D185" i="6"/>
  <c r="H180" i="6"/>
  <c r="G180" i="6"/>
  <c r="F180" i="6"/>
  <c r="E180" i="6"/>
  <c r="D180" i="6"/>
  <c r="H174" i="6"/>
  <c r="G174" i="6"/>
  <c r="F174" i="6"/>
  <c r="E174" i="6"/>
  <c r="D174" i="6"/>
  <c r="H172" i="6"/>
  <c r="G172" i="6"/>
  <c r="F172" i="6"/>
  <c r="E172" i="6"/>
  <c r="D172" i="6"/>
  <c r="H171" i="6"/>
  <c r="G171" i="6"/>
  <c r="F171" i="6"/>
  <c r="E171" i="6"/>
  <c r="D171" i="6"/>
  <c r="H169" i="6"/>
  <c r="G169" i="6"/>
  <c r="F169" i="6"/>
  <c r="E169" i="6"/>
  <c r="D169" i="6"/>
  <c r="H167" i="6"/>
  <c r="G167" i="6"/>
  <c r="F167" i="6"/>
  <c r="E167" i="6"/>
  <c r="D167" i="6"/>
  <c r="H140" i="6"/>
  <c r="H215" i="7" s="1"/>
  <c r="G140" i="6"/>
  <c r="G215" i="7" s="1"/>
  <c r="F140" i="6"/>
  <c r="F215" i="7" s="1"/>
  <c r="E140" i="6"/>
  <c r="E215" i="7" s="1"/>
  <c r="D140" i="6"/>
  <c r="D215" i="7" s="1"/>
  <c r="H120" i="6"/>
  <c r="H76" i="7" s="1"/>
  <c r="Y43" i="8" s="1"/>
  <c r="G120" i="6"/>
  <c r="G76" i="7" s="1"/>
  <c r="Y42" i="8" s="1"/>
  <c r="F120" i="6"/>
  <c r="F76" i="7" s="1"/>
  <c r="Y41" i="8" s="1"/>
  <c r="E120" i="6"/>
  <c r="E76" i="7" s="1"/>
  <c r="Y40" i="8" s="1"/>
  <c r="D120" i="6"/>
  <c r="D76" i="7" s="1"/>
  <c r="Y39" i="8" s="1"/>
  <c r="H119" i="6"/>
  <c r="H68" i="7" s="1"/>
  <c r="Y35" i="8" s="1"/>
  <c r="G119" i="6"/>
  <c r="G68" i="7" s="1"/>
  <c r="Y34" i="8" s="1"/>
  <c r="F119" i="6"/>
  <c r="F68" i="7" s="1"/>
  <c r="Y33" i="8" s="1"/>
  <c r="E119" i="6"/>
  <c r="E68" i="7" s="1"/>
  <c r="Y32" i="8" s="1"/>
  <c r="D119" i="6"/>
  <c r="D68" i="7" s="1"/>
  <c r="Y31" i="8" s="1"/>
  <c r="H117" i="6"/>
  <c r="H52" i="7" s="1"/>
  <c r="G117" i="6"/>
  <c r="G52" i="7" s="1"/>
  <c r="F117" i="6"/>
  <c r="F52" i="7" s="1"/>
  <c r="E117" i="6"/>
  <c r="E52" i="7" s="1"/>
  <c r="D117" i="6"/>
  <c r="D52" i="7" s="1"/>
  <c r="H103" i="6"/>
  <c r="H213" i="6" s="1"/>
  <c r="H214" i="6" s="1"/>
  <c r="G103" i="6"/>
  <c r="G213" i="6" s="1"/>
  <c r="G214" i="6" s="1"/>
  <c r="F103" i="6"/>
  <c r="E103" i="6"/>
  <c r="E213" i="6" s="1"/>
  <c r="E214" i="6" s="1"/>
  <c r="D103" i="6"/>
  <c r="D213" i="6" s="1"/>
  <c r="D214" i="6" s="1"/>
  <c r="H85" i="6"/>
  <c r="G85" i="6"/>
  <c r="F85" i="6"/>
  <c r="E85" i="6"/>
  <c r="D85" i="6"/>
  <c r="I66" i="6"/>
  <c r="H66" i="6"/>
  <c r="G66" i="6"/>
  <c r="F66" i="6"/>
  <c r="E66" i="6"/>
  <c r="D66" i="6"/>
  <c r="I56" i="6"/>
  <c r="H56" i="6"/>
  <c r="G56" i="6"/>
  <c r="F56" i="6"/>
  <c r="E56" i="6"/>
  <c r="D56" i="6"/>
  <c r="I55" i="6"/>
  <c r="H55" i="6"/>
  <c r="G55" i="6"/>
  <c r="F55" i="6"/>
  <c r="E55" i="6"/>
  <c r="D55" i="6"/>
  <c r="I54" i="6"/>
  <c r="H54" i="6"/>
  <c r="G54" i="6"/>
  <c r="F54" i="6"/>
  <c r="E54" i="6"/>
  <c r="D54" i="6"/>
  <c r="I53" i="6"/>
  <c r="H53" i="6"/>
  <c r="G53" i="6"/>
  <c r="F53" i="6"/>
  <c r="E53" i="6"/>
  <c r="D53" i="6"/>
  <c r="I48" i="6"/>
  <c r="I60" i="6" s="1"/>
  <c r="H48" i="6"/>
  <c r="G48" i="6"/>
  <c r="F48" i="6"/>
  <c r="E48" i="6"/>
  <c r="D48" i="6"/>
  <c r="I36" i="6"/>
  <c r="I49" i="6" s="1"/>
  <c r="H36" i="6"/>
  <c r="G36" i="6"/>
  <c r="F36" i="6"/>
  <c r="E36" i="6"/>
  <c r="D36" i="6"/>
  <c r="I29" i="6"/>
  <c r="H29" i="6"/>
  <c r="G29" i="6"/>
  <c r="F29" i="6"/>
  <c r="E29" i="6"/>
  <c r="D29" i="6"/>
  <c r="I24" i="6"/>
  <c r="I59" i="6" s="1"/>
  <c r="H24" i="6"/>
  <c r="G24" i="6"/>
  <c r="F24" i="6"/>
  <c r="E24" i="6"/>
  <c r="D24" i="6"/>
  <c r="I16" i="6"/>
  <c r="I25" i="6" s="1"/>
  <c r="H16" i="6"/>
  <c r="G16" i="6"/>
  <c r="F16" i="6"/>
  <c r="E16" i="6"/>
  <c r="D16" i="6"/>
  <c r="H212" i="5"/>
  <c r="G212" i="5"/>
  <c r="F212" i="5"/>
  <c r="E212" i="5"/>
  <c r="D212" i="5"/>
  <c r="H211" i="5"/>
  <c r="G211" i="5"/>
  <c r="F211" i="5"/>
  <c r="E211" i="5"/>
  <c r="D211" i="5"/>
  <c r="H191" i="5"/>
  <c r="G191" i="5"/>
  <c r="F191" i="5"/>
  <c r="E191" i="5"/>
  <c r="D191" i="5"/>
  <c r="H190" i="5"/>
  <c r="G190" i="5"/>
  <c r="F190" i="5"/>
  <c r="E190" i="5"/>
  <c r="D190" i="5"/>
  <c r="H187" i="5"/>
  <c r="G187" i="5"/>
  <c r="F187" i="5"/>
  <c r="E187" i="5"/>
  <c r="D187" i="5"/>
  <c r="H185" i="5"/>
  <c r="G185" i="5"/>
  <c r="F185" i="5"/>
  <c r="E185" i="5"/>
  <c r="D185" i="5"/>
  <c r="H180" i="5"/>
  <c r="G180" i="5"/>
  <c r="F180" i="5"/>
  <c r="E180" i="5"/>
  <c r="D180" i="5"/>
  <c r="H174" i="5"/>
  <c r="G174" i="5"/>
  <c r="F174" i="5"/>
  <c r="E174" i="5"/>
  <c r="D174" i="5"/>
  <c r="H172" i="5"/>
  <c r="G172" i="5"/>
  <c r="F172" i="5"/>
  <c r="E172" i="5"/>
  <c r="D172" i="5"/>
  <c r="H171" i="5"/>
  <c r="G171" i="5"/>
  <c r="F171" i="5"/>
  <c r="E171" i="5"/>
  <c r="D171" i="5"/>
  <c r="H169" i="5"/>
  <c r="G169" i="5"/>
  <c r="F169" i="5"/>
  <c r="E169" i="5"/>
  <c r="D169" i="5"/>
  <c r="H167" i="5"/>
  <c r="G167" i="5"/>
  <c r="F167" i="5"/>
  <c r="E167" i="5"/>
  <c r="D167" i="5"/>
  <c r="H140" i="5"/>
  <c r="H214" i="7" s="1"/>
  <c r="G140" i="5"/>
  <c r="G214" i="7" s="1"/>
  <c r="F140" i="5"/>
  <c r="F214" i="7" s="1"/>
  <c r="E140" i="5"/>
  <c r="E214" i="7" s="1"/>
  <c r="D140" i="5"/>
  <c r="D214" i="7" s="1"/>
  <c r="H120" i="5"/>
  <c r="H75" i="7" s="1"/>
  <c r="X43" i="8" s="1"/>
  <c r="G120" i="5"/>
  <c r="G75" i="7" s="1"/>
  <c r="X42" i="8" s="1"/>
  <c r="F120" i="5"/>
  <c r="F75" i="7" s="1"/>
  <c r="X41" i="8" s="1"/>
  <c r="E120" i="5"/>
  <c r="E75" i="7" s="1"/>
  <c r="X40" i="8" s="1"/>
  <c r="D120" i="5"/>
  <c r="D75" i="7" s="1"/>
  <c r="X39" i="8" s="1"/>
  <c r="H119" i="5"/>
  <c r="H67" i="7" s="1"/>
  <c r="X35" i="8" s="1"/>
  <c r="G119" i="5"/>
  <c r="G67" i="7" s="1"/>
  <c r="X34" i="8" s="1"/>
  <c r="F119" i="5"/>
  <c r="F67" i="7" s="1"/>
  <c r="X33" i="8" s="1"/>
  <c r="E119" i="5"/>
  <c r="E67" i="7" s="1"/>
  <c r="X32" i="8" s="1"/>
  <c r="D119" i="5"/>
  <c r="D67" i="7" s="1"/>
  <c r="X31" i="8" s="1"/>
  <c r="H117" i="5"/>
  <c r="H51" i="7" s="1"/>
  <c r="G117" i="5"/>
  <c r="G51" i="7" s="1"/>
  <c r="F117" i="5"/>
  <c r="F51" i="7" s="1"/>
  <c r="E117" i="5"/>
  <c r="E51" i="7" s="1"/>
  <c r="D117" i="5"/>
  <c r="D51" i="7" s="1"/>
  <c r="H113" i="5"/>
  <c r="H26" i="7" s="1"/>
  <c r="G113" i="5"/>
  <c r="G26" i="7" s="1"/>
  <c r="F113" i="5"/>
  <c r="F26" i="7" s="1"/>
  <c r="E113" i="5"/>
  <c r="E26" i="7" s="1"/>
  <c r="D113" i="5"/>
  <c r="D26" i="7" s="1"/>
  <c r="H111" i="5"/>
  <c r="H10" i="7" s="1"/>
  <c r="X11" i="8" s="1"/>
  <c r="G111" i="5"/>
  <c r="G10" i="7" s="1"/>
  <c r="X10" i="8" s="1"/>
  <c r="F111" i="5"/>
  <c r="F10" i="7" s="1"/>
  <c r="X9" i="8" s="1"/>
  <c r="E111" i="5"/>
  <c r="E10" i="7" s="1"/>
  <c r="X8" i="8" s="1"/>
  <c r="D111" i="5"/>
  <c r="D10" i="7" s="1"/>
  <c r="X7" i="8" s="1"/>
  <c r="H103" i="5"/>
  <c r="G103" i="5"/>
  <c r="F103" i="5"/>
  <c r="E103" i="5"/>
  <c r="D103" i="5"/>
  <c r="H85" i="5"/>
  <c r="G85" i="5"/>
  <c r="F85" i="5"/>
  <c r="E85" i="5"/>
  <c r="D85" i="5"/>
  <c r="I66" i="5"/>
  <c r="H66" i="5"/>
  <c r="G66" i="5"/>
  <c r="F66" i="5"/>
  <c r="E66" i="5"/>
  <c r="D66" i="5"/>
  <c r="I56" i="5"/>
  <c r="H56" i="5"/>
  <c r="G56" i="5"/>
  <c r="F56" i="5"/>
  <c r="E56" i="5"/>
  <c r="D56" i="5"/>
  <c r="I55" i="5"/>
  <c r="H55" i="5"/>
  <c r="G55" i="5"/>
  <c r="F55" i="5"/>
  <c r="E55" i="5"/>
  <c r="D55" i="5"/>
  <c r="I54" i="5"/>
  <c r="H54" i="5"/>
  <c r="H112" i="5" s="1"/>
  <c r="H18" i="7" s="1"/>
  <c r="X19" i="8" s="1"/>
  <c r="G54" i="5"/>
  <c r="F54" i="5"/>
  <c r="E54" i="5"/>
  <c r="D54" i="5"/>
  <c r="I53" i="5"/>
  <c r="H53" i="5"/>
  <c r="G53" i="5"/>
  <c r="F53" i="5"/>
  <c r="E53" i="5"/>
  <c r="D53" i="5"/>
  <c r="I52" i="5"/>
  <c r="H52" i="5"/>
  <c r="G52" i="5"/>
  <c r="F52" i="5"/>
  <c r="E52" i="5"/>
  <c r="D52" i="5"/>
  <c r="I48" i="5"/>
  <c r="I60" i="5" s="1"/>
  <c r="H48" i="5"/>
  <c r="H60" i="5" s="1"/>
  <c r="G48" i="5"/>
  <c r="G60" i="5" s="1"/>
  <c r="F48" i="5"/>
  <c r="E48" i="5"/>
  <c r="D48" i="5"/>
  <c r="I36" i="5"/>
  <c r="I49" i="5" s="1"/>
  <c r="H36" i="5"/>
  <c r="G36" i="5"/>
  <c r="F36" i="5"/>
  <c r="E36" i="5"/>
  <c r="D36" i="5"/>
  <c r="I29" i="5"/>
  <c r="H29" i="5"/>
  <c r="G29" i="5"/>
  <c r="F29" i="5"/>
  <c r="E29" i="5"/>
  <c r="D29" i="5"/>
  <c r="I24" i="5"/>
  <c r="I59" i="5" s="1"/>
  <c r="H24" i="5"/>
  <c r="H114" i="5" s="1"/>
  <c r="H34" i="7" s="1"/>
  <c r="G24" i="5"/>
  <c r="G114" i="5" s="1"/>
  <c r="G34" i="7" s="1"/>
  <c r="F24" i="5"/>
  <c r="F114" i="5" s="1"/>
  <c r="F34" i="7" s="1"/>
  <c r="E24" i="5"/>
  <c r="E114" i="5" s="1"/>
  <c r="E34" i="7" s="1"/>
  <c r="D24" i="5"/>
  <c r="D114" i="5" s="1"/>
  <c r="D34" i="7" s="1"/>
  <c r="I16" i="5"/>
  <c r="I25" i="5" s="1"/>
  <c r="H16" i="5"/>
  <c r="G16" i="5"/>
  <c r="F16" i="5"/>
  <c r="E16" i="5"/>
  <c r="D16" i="5"/>
  <c r="H212" i="4"/>
  <c r="G212" i="4"/>
  <c r="F212" i="4"/>
  <c r="E212" i="4"/>
  <c r="D212" i="4"/>
  <c r="H211" i="4"/>
  <c r="G211" i="4"/>
  <c r="F211" i="4"/>
  <c r="E211" i="4"/>
  <c r="D211" i="4"/>
  <c r="H191" i="4"/>
  <c r="G191" i="4"/>
  <c r="F191" i="4"/>
  <c r="E191" i="4"/>
  <c r="D191" i="4"/>
  <c r="H190" i="4"/>
  <c r="G190" i="4"/>
  <c r="F190" i="4"/>
  <c r="E190" i="4"/>
  <c r="D190" i="4"/>
  <c r="H185" i="4"/>
  <c r="G185" i="4"/>
  <c r="F185" i="4"/>
  <c r="E185" i="4"/>
  <c r="D185" i="4"/>
  <c r="H180" i="4"/>
  <c r="G180" i="4"/>
  <c r="F180" i="4"/>
  <c r="E180" i="4"/>
  <c r="D180" i="4"/>
  <c r="H174" i="4"/>
  <c r="G174" i="4"/>
  <c r="F174" i="4"/>
  <c r="E174" i="4"/>
  <c r="D174" i="4"/>
  <c r="H172" i="4"/>
  <c r="G172" i="4"/>
  <c r="F172" i="4"/>
  <c r="E172" i="4"/>
  <c r="D172" i="4"/>
  <c r="H171" i="4"/>
  <c r="G171" i="4"/>
  <c r="F171" i="4"/>
  <c r="E171" i="4"/>
  <c r="D171" i="4"/>
  <c r="H169" i="4"/>
  <c r="G169" i="4"/>
  <c r="F169" i="4"/>
  <c r="E169" i="4"/>
  <c r="D169" i="4"/>
  <c r="H167" i="4"/>
  <c r="G167" i="4"/>
  <c r="F167" i="4"/>
  <c r="E167" i="4"/>
  <c r="D167" i="4"/>
  <c r="H140" i="4"/>
  <c r="H213" i="7" s="1"/>
  <c r="G140" i="4"/>
  <c r="G213" i="7" s="1"/>
  <c r="F140" i="4"/>
  <c r="F213" i="7" s="1"/>
  <c r="E140" i="4"/>
  <c r="E213" i="7" s="1"/>
  <c r="D140" i="4"/>
  <c r="D213" i="7" s="1"/>
  <c r="H120" i="4"/>
  <c r="H74" i="7" s="1"/>
  <c r="W43" i="8" s="1"/>
  <c r="G120" i="4"/>
  <c r="G74" i="7" s="1"/>
  <c r="W42" i="8" s="1"/>
  <c r="F120" i="4"/>
  <c r="F74" i="7" s="1"/>
  <c r="W41" i="8" s="1"/>
  <c r="E120" i="4"/>
  <c r="E74" i="7" s="1"/>
  <c r="W40" i="8" s="1"/>
  <c r="D120" i="4"/>
  <c r="D74" i="7" s="1"/>
  <c r="W39" i="8" s="1"/>
  <c r="H119" i="4"/>
  <c r="H66" i="7" s="1"/>
  <c r="W35" i="8" s="1"/>
  <c r="G119" i="4"/>
  <c r="G66" i="7" s="1"/>
  <c r="W34" i="8" s="1"/>
  <c r="F119" i="4"/>
  <c r="F66" i="7" s="1"/>
  <c r="W33" i="8" s="1"/>
  <c r="E119" i="4"/>
  <c r="E66" i="7" s="1"/>
  <c r="W32" i="8" s="1"/>
  <c r="D119" i="4"/>
  <c r="D66" i="7" s="1"/>
  <c r="W31" i="8" s="1"/>
  <c r="H117" i="4"/>
  <c r="H50" i="7" s="1"/>
  <c r="G117" i="4"/>
  <c r="G50" i="7" s="1"/>
  <c r="F117" i="4"/>
  <c r="F50" i="7" s="1"/>
  <c r="E117" i="4"/>
  <c r="E50" i="7" s="1"/>
  <c r="D117" i="4"/>
  <c r="D50" i="7" s="1"/>
  <c r="H103" i="4"/>
  <c r="H213" i="4" s="1"/>
  <c r="G103" i="4"/>
  <c r="G213" i="4" s="1"/>
  <c r="F103" i="4"/>
  <c r="F213" i="4" s="1"/>
  <c r="E103" i="4"/>
  <c r="E213" i="4" s="1"/>
  <c r="D103" i="4"/>
  <c r="D213" i="4" s="1"/>
  <c r="H85" i="4"/>
  <c r="G85" i="4"/>
  <c r="F85" i="4"/>
  <c r="E85" i="4"/>
  <c r="D85" i="4"/>
  <c r="I66" i="4"/>
  <c r="H66" i="4"/>
  <c r="G66" i="4"/>
  <c r="F66" i="4"/>
  <c r="E66" i="4"/>
  <c r="D66" i="4"/>
  <c r="I56" i="4"/>
  <c r="H56" i="4"/>
  <c r="G56" i="4"/>
  <c r="F56" i="4"/>
  <c r="E56" i="4"/>
  <c r="D56" i="4"/>
  <c r="I55" i="4"/>
  <c r="H55" i="4"/>
  <c r="G55" i="4"/>
  <c r="F55" i="4"/>
  <c r="E55" i="4"/>
  <c r="D55" i="4"/>
  <c r="I54" i="4"/>
  <c r="H54" i="4"/>
  <c r="G54" i="4"/>
  <c r="F54" i="4"/>
  <c r="E54" i="4"/>
  <c r="D54" i="4"/>
  <c r="I53" i="4"/>
  <c r="H53" i="4"/>
  <c r="G53" i="4"/>
  <c r="F53" i="4"/>
  <c r="E53" i="4"/>
  <c r="D53" i="4"/>
  <c r="I48" i="4"/>
  <c r="I60" i="4" s="1"/>
  <c r="H48" i="4"/>
  <c r="G48" i="4"/>
  <c r="F48" i="4"/>
  <c r="E48" i="4"/>
  <c r="D48" i="4"/>
  <c r="I36" i="4"/>
  <c r="I49" i="4" s="1"/>
  <c r="H36" i="4"/>
  <c r="G36" i="4"/>
  <c r="F36" i="4"/>
  <c r="E36" i="4"/>
  <c r="D36" i="4"/>
  <c r="I29" i="4"/>
  <c r="H29" i="4"/>
  <c r="G29" i="4"/>
  <c r="F29" i="4"/>
  <c r="E29" i="4"/>
  <c r="D29" i="4"/>
  <c r="I24" i="4"/>
  <c r="I59" i="4" s="1"/>
  <c r="H24" i="4"/>
  <c r="G24" i="4"/>
  <c r="F24" i="4"/>
  <c r="E24" i="4"/>
  <c r="D24" i="4"/>
  <c r="I16" i="4"/>
  <c r="I25" i="4" s="1"/>
  <c r="H16" i="4"/>
  <c r="G16" i="4"/>
  <c r="F16" i="4"/>
  <c r="E16" i="4"/>
  <c r="D16" i="4"/>
  <c r="H212" i="3"/>
  <c r="G212" i="3"/>
  <c r="F212" i="3"/>
  <c r="E212" i="3"/>
  <c r="D212" i="3"/>
  <c r="H211" i="3"/>
  <c r="G211" i="3"/>
  <c r="F211" i="3"/>
  <c r="E211" i="3"/>
  <c r="D211" i="3"/>
  <c r="H191" i="3"/>
  <c r="G191" i="3"/>
  <c r="F191" i="3"/>
  <c r="E191" i="3"/>
  <c r="D191" i="3"/>
  <c r="H190" i="3"/>
  <c r="G190" i="3"/>
  <c r="F190" i="3"/>
  <c r="E190" i="3"/>
  <c r="D190" i="3"/>
  <c r="H189" i="3"/>
  <c r="G189" i="3"/>
  <c r="F189" i="3"/>
  <c r="E189" i="3"/>
  <c r="H185" i="3"/>
  <c r="G185" i="3"/>
  <c r="F185" i="3"/>
  <c r="E185" i="3"/>
  <c r="D185" i="3"/>
  <c r="H181" i="3"/>
  <c r="G181" i="3"/>
  <c r="F181" i="3"/>
  <c r="E181" i="3"/>
  <c r="D181" i="3"/>
  <c r="H180" i="3"/>
  <c r="G180" i="3"/>
  <c r="F180" i="3"/>
  <c r="E180" i="3"/>
  <c r="D180" i="3"/>
  <c r="H174" i="3"/>
  <c r="G174" i="3"/>
  <c r="F174" i="3"/>
  <c r="E174" i="3"/>
  <c r="D174" i="3"/>
  <c r="H172" i="3"/>
  <c r="G172" i="3"/>
  <c r="F172" i="3"/>
  <c r="E172" i="3"/>
  <c r="D172" i="3"/>
  <c r="H171" i="3"/>
  <c r="G171" i="3"/>
  <c r="F171" i="3"/>
  <c r="E171" i="3"/>
  <c r="D171" i="3"/>
  <c r="H169" i="3"/>
  <c r="G169" i="3"/>
  <c r="F169" i="3"/>
  <c r="E169" i="3"/>
  <c r="D169" i="3"/>
  <c r="H168" i="3"/>
  <c r="G168" i="3"/>
  <c r="F168" i="3"/>
  <c r="E168" i="3"/>
  <c r="D168" i="3"/>
  <c r="H167" i="3"/>
  <c r="G167" i="3"/>
  <c r="F167" i="3"/>
  <c r="E167" i="3"/>
  <c r="D167" i="3"/>
  <c r="H140" i="3"/>
  <c r="H212" i="7" s="1"/>
  <c r="G140" i="3"/>
  <c r="G212" i="7" s="1"/>
  <c r="F140" i="3"/>
  <c r="F212" i="7" s="1"/>
  <c r="E140" i="3"/>
  <c r="E212" i="7" s="1"/>
  <c r="D140" i="3"/>
  <c r="D212" i="7" s="1"/>
  <c r="H128" i="3"/>
  <c r="H123" i="7" s="1"/>
  <c r="G128" i="3"/>
  <c r="G123" i="7" s="1"/>
  <c r="F128" i="3"/>
  <c r="F123" i="7" s="1"/>
  <c r="E128" i="3"/>
  <c r="E123" i="7" s="1"/>
  <c r="D128" i="3"/>
  <c r="D123" i="7" s="1"/>
  <c r="H125" i="3"/>
  <c r="H106" i="7" s="1"/>
  <c r="G125" i="3"/>
  <c r="G106" i="7" s="1"/>
  <c r="F125" i="3"/>
  <c r="F106" i="7" s="1"/>
  <c r="E125" i="3"/>
  <c r="E106" i="7" s="1"/>
  <c r="D125" i="3"/>
  <c r="D106" i="7" s="1"/>
  <c r="H124" i="3"/>
  <c r="H98" i="7" s="1"/>
  <c r="V59" i="8" s="1"/>
  <c r="G124" i="3"/>
  <c r="G98" i="7" s="1"/>
  <c r="V58" i="8" s="1"/>
  <c r="F124" i="3"/>
  <c r="F98" i="7" s="1"/>
  <c r="V57" i="8" s="1"/>
  <c r="E124" i="3"/>
  <c r="E98" i="7" s="1"/>
  <c r="V56" i="8" s="1"/>
  <c r="D124" i="3"/>
  <c r="D98" i="7" s="1"/>
  <c r="V55" i="8" s="1"/>
  <c r="H120" i="3"/>
  <c r="H73" i="7" s="1"/>
  <c r="V43" i="8" s="1"/>
  <c r="G120" i="3"/>
  <c r="G73" i="7" s="1"/>
  <c r="V42" i="8" s="1"/>
  <c r="F120" i="3"/>
  <c r="F73" i="7" s="1"/>
  <c r="V41" i="8" s="1"/>
  <c r="E120" i="3"/>
  <c r="E73" i="7" s="1"/>
  <c r="V40" i="8" s="1"/>
  <c r="D120" i="3"/>
  <c r="D73" i="7" s="1"/>
  <c r="V39" i="8" s="1"/>
  <c r="H119" i="3"/>
  <c r="H65" i="7" s="1"/>
  <c r="V35" i="8" s="1"/>
  <c r="G119" i="3"/>
  <c r="G65" i="7" s="1"/>
  <c r="V34" i="8" s="1"/>
  <c r="F119" i="3"/>
  <c r="F65" i="7" s="1"/>
  <c r="V33" i="8" s="1"/>
  <c r="E119" i="3"/>
  <c r="E65" i="7" s="1"/>
  <c r="V32" i="8" s="1"/>
  <c r="D119" i="3"/>
  <c r="D65" i="7" s="1"/>
  <c r="V31" i="8" s="1"/>
  <c r="H118" i="3"/>
  <c r="H57" i="7" s="1"/>
  <c r="G118" i="3"/>
  <c r="G57" i="7" s="1"/>
  <c r="F118" i="3"/>
  <c r="F57" i="7" s="1"/>
  <c r="E118" i="3"/>
  <c r="E57" i="7" s="1"/>
  <c r="D118" i="3"/>
  <c r="D57" i="7" s="1"/>
  <c r="H117" i="3"/>
  <c r="H49" i="7" s="1"/>
  <c r="G117" i="3"/>
  <c r="G49" i="7" s="1"/>
  <c r="F117" i="3"/>
  <c r="F49" i="7" s="1"/>
  <c r="E117" i="3"/>
  <c r="E49" i="7" s="1"/>
  <c r="D117" i="3"/>
  <c r="D49" i="7" s="1"/>
  <c r="H116" i="3"/>
  <c r="H41" i="7" s="1"/>
  <c r="V27" i="8" s="1"/>
  <c r="G116" i="3"/>
  <c r="G41" i="7" s="1"/>
  <c r="V26" i="8" s="1"/>
  <c r="F116" i="3"/>
  <c r="F41" i="7" s="1"/>
  <c r="V25" i="8" s="1"/>
  <c r="E116" i="3"/>
  <c r="E41" i="7" s="1"/>
  <c r="V24" i="8" s="1"/>
  <c r="D116" i="3"/>
  <c r="D41" i="7" s="1"/>
  <c r="V23" i="8" s="1"/>
  <c r="H114" i="3"/>
  <c r="H32" i="7" s="1"/>
  <c r="G114" i="3"/>
  <c r="G32" i="7" s="1"/>
  <c r="F114" i="3"/>
  <c r="F32" i="7" s="1"/>
  <c r="E114" i="3"/>
  <c r="E32" i="7" s="1"/>
  <c r="D114" i="3"/>
  <c r="D32" i="7" s="1"/>
  <c r="H113" i="3"/>
  <c r="H24" i="7" s="1"/>
  <c r="G113" i="3"/>
  <c r="G24" i="7" s="1"/>
  <c r="F113" i="3"/>
  <c r="F24" i="7" s="1"/>
  <c r="E113" i="3"/>
  <c r="E24" i="7" s="1"/>
  <c r="D113" i="3"/>
  <c r="D24" i="7" s="1"/>
  <c r="H112" i="3"/>
  <c r="H16" i="7" s="1"/>
  <c r="V19" i="8" s="1"/>
  <c r="G112" i="3"/>
  <c r="G16" i="7" s="1"/>
  <c r="V18" i="8" s="1"/>
  <c r="F112" i="3"/>
  <c r="F16" i="7" s="1"/>
  <c r="V17" i="8" s="1"/>
  <c r="E112" i="3"/>
  <c r="E16" i="7" s="1"/>
  <c r="V16" i="8" s="1"/>
  <c r="H103" i="3"/>
  <c r="G103" i="3"/>
  <c r="F103" i="3"/>
  <c r="E103" i="3"/>
  <c r="D103" i="3"/>
  <c r="H85" i="3"/>
  <c r="G85" i="3"/>
  <c r="F85" i="3"/>
  <c r="E85" i="3"/>
  <c r="D85" i="3"/>
  <c r="I66" i="3"/>
  <c r="I71" i="3" s="1"/>
  <c r="H66" i="3"/>
  <c r="H71" i="3" s="1"/>
  <c r="G66" i="3"/>
  <c r="G71" i="3" s="1"/>
  <c r="F66" i="3"/>
  <c r="F71" i="3" s="1"/>
  <c r="E66" i="3"/>
  <c r="E71" i="3" s="1"/>
  <c r="D66" i="3"/>
  <c r="D71" i="3" s="1"/>
  <c r="I56" i="3"/>
  <c r="H56" i="3"/>
  <c r="G56" i="3"/>
  <c r="F56" i="3"/>
  <c r="E56" i="3"/>
  <c r="D56" i="3"/>
  <c r="I55" i="3"/>
  <c r="H55" i="3"/>
  <c r="G55" i="3"/>
  <c r="F55" i="3"/>
  <c r="E55" i="3"/>
  <c r="D55" i="3"/>
  <c r="I54" i="3"/>
  <c r="H54" i="3"/>
  <c r="G54" i="3"/>
  <c r="F54" i="3"/>
  <c r="E54" i="3"/>
  <c r="D54" i="3"/>
  <c r="I53" i="3"/>
  <c r="H53" i="3"/>
  <c r="G53" i="3"/>
  <c r="F53" i="3"/>
  <c r="E53" i="3"/>
  <c r="D53" i="3"/>
  <c r="I48" i="3"/>
  <c r="I60" i="3" s="1"/>
  <c r="H48" i="3"/>
  <c r="H60" i="3" s="1"/>
  <c r="G48" i="3"/>
  <c r="G60" i="3" s="1"/>
  <c r="F48" i="3"/>
  <c r="F60" i="3" s="1"/>
  <c r="E48" i="3"/>
  <c r="E60" i="3" s="1"/>
  <c r="D48" i="3"/>
  <c r="D60" i="3" s="1"/>
  <c r="I36" i="3"/>
  <c r="I49" i="3" s="1"/>
  <c r="H36" i="3"/>
  <c r="H49" i="3" s="1"/>
  <c r="G36" i="3"/>
  <c r="G49" i="3" s="1"/>
  <c r="F36" i="3"/>
  <c r="F49" i="3" s="1"/>
  <c r="E36" i="3"/>
  <c r="E49" i="3" s="1"/>
  <c r="D36" i="3"/>
  <c r="D49" i="3" s="1"/>
  <c r="I29" i="3"/>
  <c r="H29" i="3"/>
  <c r="H50" i="3" s="1"/>
  <c r="G29" i="3"/>
  <c r="F29" i="3"/>
  <c r="E29" i="3"/>
  <c r="D29" i="3"/>
  <c r="I24" i="3"/>
  <c r="I59" i="3" s="1"/>
  <c r="H24" i="3"/>
  <c r="G24" i="3"/>
  <c r="F24" i="3"/>
  <c r="E24" i="3"/>
  <c r="D24" i="3"/>
  <c r="I16" i="3"/>
  <c r="I25" i="3" s="1"/>
  <c r="H16" i="3"/>
  <c r="H25" i="3" s="1"/>
  <c r="G16" i="3"/>
  <c r="G25" i="3" s="1"/>
  <c r="F16" i="3"/>
  <c r="F25" i="3" s="1"/>
  <c r="E16" i="3"/>
  <c r="E25" i="3" s="1"/>
  <c r="D16" i="3"/>
  <c r="D25" i="3" s="1"/>
  <c r="H212" i="2"/>
  <c r="G212" i="2"/>
  <c r="F212" i="2"/>
  <c r="E212" i="2"/>
  <c r="D212" i="2"/>
  <c r="H211" i="2"/>
  <c r="G211" i="2"/>
  <c r="F211" i="2"/>
  <c r="E211" i="2"/>
  <c r="D211" i="2"/>
  <c r="H191" i="2"/>
  <c r="G191" i="2"/>
  <c r="F191" i="2"/>
  <c r="E191" i="2"/>
  <c r="D191" i="2"/>
  <c r="H190" i="2"/>
  <c r="G190" i="2"/>
  <c r="F190" i="2"/>
  <c r="E190" i="2"/>
  <c r="D190" i="2"/>
  <c r="H185" i="2"/>
  <c r="G185" i="2"/>
  <c r="F185" i="2"/>
  <c r="E185" i="2"/>
  <c r="D185" i="2"/>
  <c r="H180" i="2"/>
  <c r="G180" i="2"/>
  <c r="F180" i="2"/>
  <c r="E180" i="2"/>
  <c r="D180" i="2"/>
  <c r="H174" i="2"/>
  <c r="G174" i="2"/>
  <c r="F174" i="2"/>
  <c r="E174" i="2"/>
  <c r="D174" i="2"/>
  <c r="H172" i="2"/>
  <c r="G172" i="2"/>
  <c r="F172" i="2"/>
  <c r="E172" i="2"/>
  <c r="D172" i="2"/>
  <c r="H171" i="2"/>
  <c r="G171" i="2"/>
  <c r="F171" i="2"/>
  <c r="E171" i="2"/>
  <c r="D171" i="2"/>
  <c r="H169" i="2"/>
  <c r="G169" i="2"/>
  <c r="F169" i="2"/>
  <c r="E169" i="2"/>
  <c r="D169" i="2"/>
  <c r="H167" i="2"/>
  <c r="G167" i="2"/>
  <c r="F167" i="2"/>
  <c r="E167" i="2"/>
  <c r="D167" i="2"/>
  <c r="H140" i="2"/>
  <c r="H211" i="7" s="1"/>
  <c r="G140" i="2"/>
  <c r="G211" i="7" s="1"/>
  <c r="F140" i="2"/>
  <c r="F211" i="7" s="1"/>
  <c r="E140" i="2"/>
  <c r="E211" i="7" s="1"/>
  <c r="D140" i="2"/>
  <c r="D211" i="7" s="1"/>
  <c r="H120" i="2"/>
  <c r="H72" i="7" s="1"/>
  <c r="G120" i="2"/>
  <c r="G72" i="7" s="1"/>
  <c r="F120" i="2"/>
  <c r="F72" i="7" s="1"/>
  <c r="E120" i="2"/>
  <c r="E72" i="7" s="1"/>
  <c r="D120" i="2"/>
  <c r="D72" i="7" s="1"/>
  <c r="H119" i="2"/>
  <c r="H64" i="7" s="1"/>
  <c r="G119" i="2"/>
  <c r="G64" i="7" s="1"/>
  <c r="F119" i="2"/>
  <c r="F64" i="7" s="1"/>
  <c r="E119" i="2"/>
  <c r="E64" i="7" s="1"/>
  <c r="D119" i="2"/>
  <c r="D64" i="7" s="1"/>
  <c r="H117" i="2"/>
  <c r="H48" i="7" s="1"/>
  <c r="G117" i="2"/>
  <c r="G48" i="7" s="1"/>
  <c r="F117" i="2"/>
  <c r="F48" i="7" s="1"/>
  <c r="E117" i="2"/>
  <c r="E48" i="7" s="1"/>
  <c r="D117" i="2"/>
  <c r="D48" i="7" s="1"/>
  <c r="H103" i="2"/>
  <c r="H213" i="2" s="1"/>
  <c r="G103" i="2"/>
  <c r="G213" i="2" s="1"/>
  <c r="F103" i="2"/>
  <c r="F213" i="2" s="1"/>
  <c r="E103" i="2"/>
  <c r="E213" i="2" s="1"/>
  <c r="D103" i="2"/>
  <c r="D213" i="2" s="1"/>
  <c r="H85" i="2"/>
  <c r="G85" i="2"/>
  <c r="F85" i="2"/>
  <c r="E85" i="2"/>
  <c r="D85" i="2"/>
  <c r="I66" i="2"/>
  <c r="H66" i="2"/>
  <c r="G66" i="2"/>
  <c r="F66" i="2"/>
  <c r="E66" i="2"/>
  <c r="D66" i="2"/>
  <c r="I56" i="2"/>
  <c r="H56" i="2"/>
  <c r="G56" i="2"/>
  <c r="F56" i="2"/>
  <c r="E56" i="2"/>
  <c r="D56" i="2"/>
  <c r="I55" i="2"/>
  <c r="H55" i="2"/>
  <c r="G55" i="2"/>
  <c r="F55" i="2"/>
  <c r="E55" i="2"/>
  <c r="D55" i="2"/>
  <c r="I54" i="2"/>
  <c r="H54" i="2"/>
  <c r="G54" i="2"/>
  <c r="F54" i="2"/>
  <c r="E54" i="2"/>
  <c r="D54" i="2"/>
  <c r="I53" i="2"/>
  <c r="H53" i="2"/>
  <c r="G53" i="2"/>
  <c r="F53" i="2"/>
  <c r="E53" i="2"/>
  <c r="D53" i="2"/>
  <c r="I48" i="2"/>
  <c r="I60" i="2" s="1"/>
  <c r="H48" i="2"/>
  <c r="G48" i="2"/>
  <c r="F48" i="2"/>
  <c r="E48" i="2"/>
  <c r="D48" i="2"/>
  <c r="I36" i="2"/>
  <c r="I49" i="2" s="1"/>
  <c r="H36" i="2"/>
  <c r="G36" i="2"/>
  <c r="F36" i="2"/>
  <c r="E36" i="2"/>
  <c r="D36" i="2"/>
  <c r="I29" i="2"/>
  <c r="H29" i="2"/>
  <c r="G29" i="2"/>
  <c r="F29" i="2"/>
  <c r="E29" i="2"/>
  <c r="D29" i="2"/>
  <c r="I24" i="2"/>
  <c r="I59" i="2" s="1"/>
  <c r="H24" i="2"/>
  <c r="G24" i="2"/>
  <c r="F24" i="2"/>
  <c r="E24" i="2"/>
  <c r="D24" i="2"/>
  <c r="I16" i="2"/>
  <c r="I25" i="2" s="1"/>
  <c r="H16" i="2"/>
  <c r="G16" i="2"/>
  <c r="F16" i="2"/>
  <c r="E16" i="2"/>
  <c r="D16" i="2"/>
  <c r="H214" i="4" l="1"/>
  <c r="G214" i="4"/>
  <c r="F214" i="4"/>
  <c r="D214" i="4"/>
  <c r="E214" i="4"/>
  <c r="H58" i="3"/>
  <c r="D189" i="3"/>
  <c r="H123" i="3"/>
  <c r="H90" i="7" s="1"/>
  <c r="G123" i="3"/>
  <c r="G90" i="7" s="1"/>
  <c r="F123" i="3"/>
  <c r="F90" i="7" s="1"/>
  <c r="E123" i="3"/>
  <c r="E90" i="7" s="1"/>
  <c r="D123" i="3"/>
  <c r="D90" i="7" s="1"/>
  <c r="G53" i="7"/>
  <c r="F53" i="7"/>
  <c r="E53" i="7"/>
  <c r="D53" i="7"/>
  <c r="H214" i="2"/>
  <c r="G214" i="2"/>
  <c r="F214" i="2"/>
  <c r="E214" i="2"/>
  <c r="D214" i="2"/>
  <c r="D71" i="5"/>
  <c r="D168" i="5"/>
  <c r="D128" i="5"/>
  <c r="D125" i="7" s="1"/>
  <c r="I58" i="5"/>
  <c r="D188" i="5"/>
  <c r="H58" i="5"/>
  <c r="H125" i="5"/>
  <c r="H108" i="7" s="1"/>
  <c r="H124" i="5"/>
  <c r="H100" i="7" s="1"/>
  <c r="X59" i="8" s="1"/>
  <c r="G58" i="5"/>
  <c r="G124" i="5"/>
  <c r="G100" i="7" s="1"/>
  <c r="X58" i="8" s="1"/>
  <c r="G125" i="5"/>
  <c r="G108" i="7" s="1"/>
  <c r="H188" i="5"/>
  <c r="F58" i="5"/>
  <c r="F124" i="5"/>
  <c r="F100" i="7" s="1"/>
  <c r="X57" i="8" s="1"/>
  <c r="G188" i="5"/>
  <c r="F125" i="5"/>
  <c r="F108" i="7" s="1"/>
  <c r="E58" i="5"/>
  <c r="E125" i="5"/>
  <c r="E108" i="7" s="1"/>
  <c r="E124" i="5"/>
  <c r="E100" i="7" s="1"/>
  <c r="X56" i="8" s="1"/>
  <c r="F188" i="5"/>
  <c r="D58" i="5"/>
  <c r="D125" i="5"/>
  <c r="D108" i="7" s="1"/>
  <c r="D124" i="5"/>
  <c r="D100" i="7" s="1"/>
  <c r="X55" i="8" s="1"/>
  <c r="E188" i="5"/>
  <c r="D116" i="5"/>
  <c r="D43" i="7" s="1"/>
  <c r="X23" i="8" s="1"/>
  <c r="D118" i="5"/>
  <c r="D59" i="7" s="1"/>
  <c r="D189" i="5"/>
  <c r="G112" i="5"/>
  <c r="G18" i="7" s="1"/>
  <c r="X18" i="8" s="1"/>
  <c r="H118" i="5"/>
  <c r="H59" i="7" s="1"/>
  <c r="H116" i="5"/>
  <c r="H43" i="7" s="1"/>
  <c r="X27" i="8" s="1"/>
  <c r="H189" i="5"/>
  <c r="G118" i="5"/>
  <c r="G59" i="7" s="1"/>
  <c r="G116" i="5"/>
  <c r="G43" i="7" s="1"/>
  <c r="X26" i="8" s="1"/>
  <c r="G189" i="5"/>
  <c r="F112" i="5"/>
  <c r="F18" i="7" s="1"/>
  <c r="X17" i="8" s="1"/>
  <c r="F118" i="5"/>
  <c r="F59" i="7" s="1"/>
  <c r="F116" i="5"/>
  <c r="F43" i="7" s="1"/>
  <c r="X25" i="8" s="1"/>
  <c r="F189" i="5"/>
  <c r="E112" i="5"/>
  <c r="E18" i="7" s="1"/>
  <c r="X16" i="8" s="1"/>
  <c r="E116" i="5"/>
  <c r="E43" i="7" s="1"/>
  <c r="X24" i="8" s="1"/>
  <c r="E118" i="5"/>
  <c r="E59" i="7" s="1"/>
  <c r="D112" i="5"/>
  <c r="D18" i="7" s="1"/>
  <c r="X15" i="8" s="1"/>
  <c r="E189" i="5"/>
  <c r="H59" i="3"/>
  <c r="H111" i="3"/>
  <c r="H8" i="7" s="1"/>
  <c r="V11" i="8" s="1"/>
  <c r="G59" i="3"/>
  <c r="G111" i="3"/>
  <c r="G8" i="7" s="1"/>
  <c r="V10" i="8" s="1"/>
  <c r="F59" i="3"/>
  <c r="F111" i="3"/>
  <c r="F8" i="7" s="1"/>
  <c r="V9" i="8" s="1"/>
  <c r="E59" i="3"/>
  <c r="E111" i="3"/>
  <c r="E8" i="7" s="1"/>
  <c r="V8" i="8" s="1"/>
  <c r="D59" i="3"/>
  <c r="D112" i="3"/>
  <c r="D16" i="7" s="1"/>
  <c r="V15" i="8" s="1"/>
  <c r="D111" i="3"/>
  <c r="D8" i="7" s="1"/>
  <c r="V7" i="8" s="1"/>
  <c r="U43" i="8"/>
  <c r="H77" i="7"/>
  <c r="Z43" i="8" s="1"/>
  <c r="G77" i="7"/>
  <c r="Z42" i="8" s="1"/>
  <c r="U42" i="8"/>
  <c r="U41" i="8"/>
  <c r="F77" i="7"/>
  <c r="Z41" i="8" s="1"/>
  <c r="U40" i="8"/>
  <c r="E77" i="7"/>
  <c r="Z40" i="8" s="1"/>
  <c r="U39" i="8"/>
  <c r="D77" i="7"/>
  <c r="Z39" i="8" s="1"/>
  <c r="F104" i="6"/>
  <c r="F213" i="6"/>
  <c r="F214" i="6" s="1"/>
  <c r="I71" i="6"/>
  <c r="D181" i="6"/>
  <c r="H168" i="6"/>
  <c r="H71" i="6"/>
  <c r="H128" i="6"/>
  <c r="H126" i="7" s="1"/>
  <c r="G71" i="6"/>
  <c r="G128" i="6"/>
  <c r="G126" i="7" s="1"/>
  <c r="H181" i="6"/>
  <c r="G168" i="6"/>
  <c r="F71" i="6"/>
  <c r="G181" i="6"/>
  <c r="F128" i="6"/>
  <c r="F126" i="7" s="1"/>
  <c r="F168" i="6"/>
  <c r="F181" i="6"/>
  <c r="E168" i="6"/>
  <c r="E71" i="6"/>
  <c r="E128" i="6"/>
  <c r="E126" i="7" s="1"/>
  <c r="D128" i="6"/>
  <c r="D126" i="7" s="1"/>
  <c r="D71" i="6"/>
  <c r="D168" i="6"/>
  <c r="E181" i="6"/>
  <c r="D188" i="6"/>
  <c r="I58" i="6"/>
  <c r="H58" i="6"/>
  <c r="H124" i="6"/>
  <c r="H101" i="7" s="1"/>
  <c r="Y59" i="8" s="1"/>
  <c r="H125" i="6"/>
  <c r="H109" i="7" s="1"/>
  <c r="G58" i="6"/>
  <c r="G124" i="6"/>
  <c r="G101" i="7" s="1"/>
  <c r="Y58" i="8" s="1"/>
  <c r="G125" i="6"/>
  <c r="G109" i="7" s="1"/>
  <c r="H188" i="6"/>
  <c r="F58" i="6"/>
  <c r="F125" i="6"/>
  <c r="F109" i="7" s="1"/>
  <c r="G188" i="6"/>
  <c r="F124" i="6"/>
  <c r="F101" i="7" s="1"/>
  <c r="Y57" i="8" s="1"/>
  <c r="F188" i="6"/>
  <c r="E124" i="6"/>
  <c r="E101" i="7" s="1"/>
  <c r="Y56" i="8" s="1"/>
  <c r="E125" i="6"/>
  <c r="E109" i="7" s="1"/>
  <c r="E58" i="6"/>
  <c r="D58" i="6"/>
  <c r="E188" i="6"/>
  <c r="D125" i="6"/>
  <c r="D109" i="7" s="1"/>
  <c r="D124" i="6"/>
  <c r="D101" i="7" s="1"/>
  <c r="Y55" i="8" s="1"/>
  <c r="D189" i="6"/>
  <c r="D118" i="6"/>
  <c r="D60" i="7" s="1"/>
  <c r="D116" i="6"/>
  <c r="D44" i="7" s="1"/>
  <c r="Y23" i="8" s="1"/>
  <c r="H189" i="6"/>
  <c r="H116" i="6"/>
  <c r="H44" i="7" s="1"/>
  <c r="Y27" i="8" s="1"/>
  <c r="H118" i="6"/>
  <c r="H60" i="7" s="1"/>
  <c r="G118" i="6"/>
  <c r="G60" i="7" s="1"/>
  <c r="G116" i="6"/>
  <c r="G44" i="7" s="1"/>
  <c r="Y26" i="8" s="1"/>
  <c r="G189" i="6"/>
  <c r="F116" i="6"/>
  <c r="F44" i="7" s="1"/>
  <c r="Y25" i="8" s="1"/>
  <c r="F189" i="6"/>
  <c r="F118" i="6"/>
  <c r="F60" i="7" s="1"/>
  <c r="D157" i="6"/>
  <c r="E116" i="6"/>
  <c r="E44" i="7" s="1"/>
  <c r="Y24" i="8" s="1"/>
  <c r="E118" i="6"/>
  <c r="E60" i="7" s="1"/>
  <c r="E189" i="6"/>
  <c r="H60" i="6"/>
  <c r="H164" i="6"/>
  <c r="H113" i="6"/>
  <c r="H27" i="7" s="1"/>
  <c r="G164" i="6"/>
  <c r="G60" i="6"/>
  <c r="G113" i="6"/>
  <c r="G27" i="7" s="1"/>
  <c r="F60" i="6"/>
  <c r="F113" i="6"/>
  <c r="F27" i="7" s="1"/>
  <c r="F164" i="6"/>
  <c r="E113" i="6"/>
  <c r="E27" i="7" s="1"/>
  <c r="E60" i="6"/>
  <c r="E164" i="6"/>
  <c r="D164" i="6"/>
  <c r="D60" i="6"/>
  <c r="D113" i="6"/>
  <c r="D27" i="7" s="1"/>
  <c r="H163" i="6"/>
  <c r="H49" i="6"/>
  <c r="H123" i="6" s="1"/>
  <c r="H93" i="7" s="1"/>
  <c r="G163" i="6"/>
  <c r="G49" i="6"/>
  <c r="F163" i="6"/>
  <c r="F49" i="6"/>
  <c r="E163" i="6"/>
  <c r="E49" i="6"/>
  <c r="D49" i="6"/>
  <c r="D163" i="6"/>
  <c r="D187" i="6"/>
  <c r="I50" i="6"/>
  <c r="H162" i="6"/>
  <c r="H139" i="6"/>
  <c r="H207" i="7" s="1"/>
  <c r="Y107" i="8" s="1"/>
  <c r="H50" i="6"/>
  <c r="H137" i="6"/>
  <c r="H191" i="7" s="1"/>
  <c r="G162" i="6"/>
  <c r="H187" i="6"/>
  <c r="G137" i="6"/>
  <c r="G191" i="7" s="1"/>
  <c r="G139" i="6"/>
  <c r="G207" i="7" s="1"/>
  <c r="Y106" i="8" s="1"/>
  <c r="G187" i="6"/>
  <c r="F139" i="6"/>
  <c r="F207" i="7" s="1"/>
  <c r="Y105" i="8" s="1"/>
  <c r="F137" i="6"/>
  <c r="F191" i="7" s="1"/>
  <c r="F187" i="6"/>
  <c r="E137" i="6"/>
  <c r="E191" i="7" s="1"/>
  <c r="E139" i="6"/>
  <c r="E207" i="7" s="1"/>
  <c r="Y104" i="8" s="1"/>
  <c r="D137" i="6"/>
  <c r="D191" i="7" s="1"/>
  <c r="D139" i="6"/>
  <c r="D207" i="7" s="1"/>
  <c r="Y103" i="8" s="1"/>
  <c r="E187" i="6"/>
  <c r="H114" i="6"/>
  <c r="H35" i="7" s="1"/>
  <c r="H112" i="6"/>
  <c r="H19" i="7" s="1"/>
  <c r="Y19" i="8" s="1"/>
  <c r="H59" i="6"/>
  <c r="H111" i="6"/>
  <c r="H11" i="7" s="1"/>
  <c r="Y11" i="8" s="1"/>
  <c r="G114" i="6"/>
  <c r="G35" i="7" s="1"/>
  <c r="G112" i="6"/>
  <c r="G19" i="7" s="1"/>
  <c r="Y18" i="8" s="1"/>
  <c r="G59" i="6"/>
  <c r="G111" i="6"/>
  <c r="G11" i="7" s="1"/>
  <c r="Y10" i="8" s="1"/>
  <c r="F59" i="6"/>
  <c r="F112" i="6"/>
  <c r="F19" i="7" s="1"/>
  <c r="Y17" i="8" s="1"/>
  <c r="F114" i="6"/>
  <c r="F35" i="7" s="1"/>
  <c r="F111" i="6"/>
  <c r="F11" i="7" s="1"/>
  <c r="Y9" i="8" s="1"/>
  <c r="E59" i="6"/>
  <c r="E111" i="6"/>
  <c r="E11" i="7" s="1"/>
  <c r="Y8" i="8" s="1"/>
  <c r="E112" i="6"/>
  <c r="E19" i="7" s="1"/>
  <c r="Y16" i="8" s="1"/>
  <c r="E114" i="6"/>
  <c r="E35" i="7" s="1"/>
  <c r="D114" i="6"/>
  <c r="D35" i="7" s="1"/>
  <c r="D59" i="6"/>
  <c r="D112" i="6"/>
  <c r="D19" i="7" s="1"/>
  <c r="Y15" i="8" s="1"/>
  <c r="D111" i="6"/>
  <c r="D11" i="7" s="1"/>
  <c r="Y7" i="8" s="1"/>
  <c r="H25" i="6"/>
  <c r="G25" i="6"/>
  <c r="F25" i="6"/>
  <c r="E25" i="6"/>
  <c r="E156" i="6"/>
  <c r="D25" i="6"/>
  <c r="H139" i="5"/>
  <c r="H206" i="7" s="1"/>
  <c r="X107" i="8" s="1"/>
  <c r="H137" i="5"/>
  <c r="H190" i="7" s="1"/>
  <c r="H213" i="5"/>
  <c r="H214" i="5" s="1"/>
  <c r="G139" i="5"/>
  <c r="G206" i="7" s="1"/>
  <c r="X106" i="8" s="1"/>
  <c r="G213" i="5"/>
  <c r="G214" i="5" s="1"/>
  <c r="G137" i="5"/>
  <c r="G190" i="7" s="1"/>
  <c r="F213" i="5"/>
  <c r="F214" i="5" s="1"/>
  <c r="F137" i="5"/>
  <c r="F190" i="7" s="1"/>
  <c r="F139" i="5"/>
  <c r="F206" i="7" s="1"/>
  <c r="X105" i="8" s="1"/>
  <c r="E213" i="5"/>
  <c r="E214" i="5" s="1"/>
  <c r="E137" i="5"/>
  <c r="E190" i="7" s="1"/>
  <c r="E139" i="5"/>
  <c r="E206" i="7" s="1"/>
  <c r="X104" i="8" s="1"/>
  <c r="D213" i="5"/>
  <c r="D214" i="5" s="1"/>
  <c r="D137" i="5"/>
  <c r="D190" i="7" s="1"/>
  <c r="D139" i="5"/>
  <c r="D206" i="7" s="1"/>
  <c r="X103" i="8" s="1"/>
  <c r="D181" i="5"/>
  <c r="I71" i="5"/>
  <c r="H128" i="5"/>
  <c r="H125" i="7" s="1"/>
  <c r="H168" i="5"/>
  <c r="H71" i="5"/>
  <c r="G71" i="5"/>
  <c r="G168" i="5"/>
  <c r="H181" i="5"/>
  <c r="G128" i="5"/>
  <c r="G125" i="7" s="1"/>
  <c r="G181" i="5"/>
  <c r="F168" i="5"/>
  <c r="F71" i="5"/>
  <c r="F128" i="5"/>
  <c r="F125" i="7" s="1"/>
  <c r="E71" i="5"/>
  <c r="E181" i="5"/>
  <c r="E168" i="5"/>
  <c r="F181" i="5"/>
  <c r="E128" i="5"/>
  <c r="E125" i="7" s="1"/>
  <c r="F60" i="5"/>
  <c r="E60" i="5"/>
  <c r="D60" i="5"/>
  <c r="H49" i="5"/>
  <c r="G49" i="5"/>
  <c r="F49" i="5"/>
  <c r="E49" i="5"/>
  <c r="D49" i="5"/>
  <c r="E50" i="5"/>
  <c r="D50" i="5"/>
  <c r="H59" i="5"/>
  <c r="G59" i="5"/>
  <c r="F59" i="5"/>
  <c r="E59" i="5"/>
  <c r="D59" i="5"/>
  <c r="H25" i="5"/>
  <c r="H163" i="5" s="1"/>
  <c r="G25" i="5"/>
  <c r="G163" i="5" s="1"/>
  <c r="F25" i="5"/>
  <c r="E25" i="5"/>
  <c r="E164" i="5" s="1"/>
  <c r="E156" i="5"/>
  <c r="D25" i="5"/>
  <c r="D164" i="5" s="1"/>
  <c r="I71" i="4"/>
  <c r="D181" i="4"/>
  <c r="H168" i="4"/>
  <c r="H128" i="4"/>
  <c r="H124" i="7" s="1"/>
  <c r="H71" i="4"/>
  <c r="G128" i="4"/>
  <c r="G124" i="7" s="1"/>
  <c r="G168" i="4"/>
  <c r="G71" i="4"/>
  <c r="H181" i="4"/>
  <c r="F168" i="4"/>
  <c r="F128" i="4"/>
  <c r="F124" i="7" s="1"/>
  <c r="F71" i="4"/>
  <c r="G181" i="4"/>
  <c r="E168" i="4"/>
  <c r="E128" i="4"/>
  <c r="E124" i="7" s="1"/>
  <c r="E71" i="4"/>
  <c r="F181" i="4"/>
  <c r="D71" i="4"/>
  <c r="D168" i="4"/>
  <c r="D128" i="4"/>
  <c r="D124" i="7" s="1"/>
  <c r="E181" i="4"/>
  <c r="I58" i="4"/>
  <c r="D188" i="4"/>
  <c r="H125" i="4"/>
  <c r="H107" i="7" s="1"/>
  <c r="H124" i="4"/>
  <c r="H99" i="7" s="1"/>
  <c r="W59" i="8" s="1"/>
  <c r="H58" i="4"/>
  <c r="G124" i="4"/>
  <c r="G99" i="7" s="1"/>
  <c r="W58" i="8" s="1"/>
  <c r="G125" i="4"/>
  <c r="G107" i="7" s="1"/>
  <c r="G58" i="4"/>
  <c r="H188" i="4"/>
  <c r="F125" i="4"/>
  <c r="F107" i="7" s="1"/>
  <c r="F124" i="4"/>
  <c r="F99" i="7" s="1"/>
  <c r="W57" i="8" s="1"/>
  <c r="F58" i="4"/>
  <c r="G188" i="4"/>
  <c r="E125" i="4"/>
  <c r="E107" i="7" s="1"/>
  <c r="E58" i="4"/>
  <c r="F188" i="4"/>
  <c r="E124" i="4"/>
  <c r="E99" i="7" s="1"/>
  <c r="W56" i="8" s="1"/>
  <c r="D58" i="4"/>
  <c r="E188" i="4"/>
  <c r="D124" i="4"/>
  <c r="D99" i="7" s="1"/>
  <c r="W55" i="8" s="1"/>
  <c r="D125" i="4"/>
  <c r="D107" i="7" s="1"/>
  <c r="D118" i="4"/>
  <c r="D58" i="7" s="1"/>
  <c r="D116" i="4"/>
  <c r="D42" i="7" s="1"/>
  <c r="W23" i="8" s="1"/>
  <c r="D189" i="4"/>
  <c r="H189" i="4"/>
  <c r="H116" i="4"/>
  <c r="H42" i="7" s="1"/>
  <c r="W27" i="8" s="1"/>
  <c r="H118" i="4"/>
  <c r="H58" i="7" s="1"/>
  <c r="G116" i="4"/>
  <c r="G42" i="7" s="1"/>
  <c r="W26" i="8" s="1"/>
  <c r="G189" i="4"/>
  <c r="G118" i="4"/>
  <c r="G58" i="7" s="1"/>
  <c r="F189" i="4"/>
  <c r="F118" i="4"/>
  <c r="F58" i="7" s="1"/>
  <c r="F116" i="4"/>
  <c r="F42" i="7" s="1"/>
  <c r="W25" i="8" s="1"/>
  <c r="E189" i="4"/>
  <c r="E116" i="4"/>
  <c r="E42" i="7" s="1"/>
  <c r="W24" i="8" s="1"/>
  <c r="E118" i="4"/>
  <c r="E58" i="7" s="1"/>
  <c r="H60" i="4"/>
  <c r="H113" i="4"/>
  <c r="H25" i="7" s="1"/>
  <c r="G113" i="4"/>
  <c r="G25" i="7" s="1"/>
  <c r="G60" i="4"/>
  <c r="F60" i="4"/>
  <c r="F113" i="4"/>
  <c r="F25" i="7" s="1"/>
  <c r="E60" i="4"/>
  <c r="E113" i="4"/>
  <c r="E25" i="7" s="1"/>
  <c r="D60" i="4"/>
  <c r="D113" i="4"/>
  <c r="D25" i="7" s="1"/>
  <c r="H49" i="4"/>
  <c r="G49" i="4"/>
  <c r="F49" i="4"/>
  <c r="E49" i="4"/>
  <c r="D49" i="4"/>
  <c r="I50" i="4"/>
  <c r="D187" i="4"/>
  <c r="H50" i="4"/>
  <c r="H137" i="4"/>
  <c r="H189" i="7" s="1"/>
  <c r="H139" i="4"/>
  <c r="H205" i="7" s="1"/>
  <c r="W107" i="8" s="1"/>
  <c r="H187" i="4"/>
  <c r="G50" i="4"/>
  <c r="G137" i="4"/>
  <c r="G189" i="7" s="1"/>
  <c r="G139" i="4"/>
  <c r="G205" i="7" s="1"/>
  <c r="W106" i="8" s="1"/>
  <c r="G187" i="4"/>
  <c r="F139" i="4"/>
  <c r="F205" i="7" s="1"/>
  <c r="W105" i="8" s="1"/>
  <c r="F50" i="4"/>
  <c r="F137" i="4"/>
  <c r="F189" i="7" s="1"/>
  <c r="E137" i="4"/>
  <c r="E189" i="7" s="1"/>
  <c r="E139" i="4"/>
  <c r="E205" i="7" s="1"/>
  <c r="W104" i="8" s="1"/>
  <c r="F187" i="4"/>
  <c r="E50" i="4"/>
  <c r="E187" i="4"/>
  <c r="D137" i="4"/>
  <c r="D189" i="7" s="1"/>
  <c r="D50" i="4"/>
  <c r="D139" i="4"/>
  <c r="D205" i="7" s="1"/>
  <c r="W103" i="8" s="1"/>
  <c r="H112" i="4"/>
  <c r="H17" i="7" s="1"/>
  <c r="W19" i="8" s="1"/>
  <c r="H59" i="4"/>
  <c r="H114" i="4"/>
  <c r="H33" i="7" s="1"/>
  <c r="H111" i="4"/>
  <c r="H9" i="7" s="1"/>
  <c r="W11" i="8" s="1"/>
  <c r="G114" i="4"/>
  <c r="G33" i="7" s="1"/>
  <c r="G111" i="4"/>
  <c r="G9" i="7" s="1"/>
  <c r="W10" i="8" s="1"/>
  <c r="G112" i="4"/>
  <c r="G17" i="7" s="1"/>
  <c r="W18" i="8" s="1"/>
  <c r="G59" i="4"/>
  <c r="F59" i="4"/>
  <c r="F114" i="4"/>
  <c r="F33" i="7" s="1"/>
  <c r="F111" i="4"/>
  <c r="F9" i="7" s="1"/>
  <c r="W9" i="8" s="1"/>
  <c r="F112" i="4"/>
  <c r="F17" i="7" s="1"/>
  <c r="W17" i="8" s="1"/>
  <c r="E59" i="4"/>
  <c r="E112" i="4"/>
  <c r="E17" i="7" s="1"/>
  <c r="W16" i="8" s="1"/>
  <c r="E111" i="4"/>
  <c r="E9" i="7" s="1"/>
  <c r="W8" i="8" s="1"/>
  <c r="E114" i="4"/>
  <c r="E33" i="7" s="1"/>
  <c r="D112" i="4"/>
  <c r="D17" i="7" s="1"/>
  <c r="W15" i="8" s="1"/>
  <c r="D59" i="4"/>
  <c r="D111" i="4"/>
  <c r="D9" i="7" s="1"/>
  <c r="W7" i="8" s="1"/>
  <c r="D114" i="4"/>
  <c r="D33" i="7" s="1"/>
  <c r="H25" i="4"/>
  <c r="H156" i="4"/>
  <c r="G25" i="4"/>
  <c r="G156" i="4" s="1"/>
  <c r="F25" i="4"/>
  <c r="F156" i="4"/>
  <c r="E25" i="4"/>
  <c r="E156" i="4"/>
  <c r="D25" i="4"/>
  <c r="D156" i="4" s="1"/>
  <c r="H213" i="3"/>
  <c r="H214" i="3" s="1"/>
  <c r="H139" i="3"/>
  <c r="H204" i="7" s="1"/>
  <c r="V107" i="8" s="1"/>
  <c r="H137" i="3"/>
  <c r="H188" i="7" s="1"/>
  <c r="G139" i="3"/>
  <c r="G204" i="7" s="1"/>
  <c r="V106" i="8" s="1"/>
  <c r="G137" i="3"/>
  <c r="G188" i="7" s="1"/>
  <c r="G213" i="3"/>
  <c r="G214" i="3" s="1"/>
  <c r="F213" i="3"/>
  <c r="F214" i="3" s="1"/>
  <c r="F137" i="3"/>
  <c r="F188" i="7" s="1"/>
  <c r="F139" i="3"/>
  <c r="F204" i="7" s="1"/>
  <c r="V105" i="8" s="1"/>
  <c r="E137" i="3"/>
  <c r="E188" i="7" s="1"/>
  <c r="E213" i="3"/>
  <c r="E214" i="3" s="1"/>
  <c r="E139" i="3"/>
  <c r="E204" i="7" s="1"/>
  <c r="V104" i="8" s="1"/>
  <c r="D213" i="3"/>
  <c r="D214" i="3" s="1"/>
  <c r="D137" i="3"/>
  <c r="D188" i="7" s="1"/>
  <c r="D139" i="3"/>
  <c r="D204" i="7" s="1"/>
  <c r="V103" i="8" s="1"/>
  <c r="I76" i="3"/>
  <c r="D182" i="3"/>
  <c r="H76" i="3"/>
  <c r="H170" i="3"/>
  <c r="G76" i="3"/>
  <c r="G170" i="3"/>
  <c r="H182" i="3"/>
  <c r="F76" i="3"/>
  <c r="F170" i="3"/>
  <c r="G182" i="3"/>
  <c r="E76" i="3"/>
  <c r="E170" i="3"/>
  <c r="F182" i="3"/>
  <c r="D76" i="3"/>
  <c r="D170" i="3"/>
  <c r="E182" i="3"/>
  <c r="I58" i="3"/>
  <c r="D188" i="3"/>
  <c r="G58" i="3"/>
  <c r="H188" i="3"/>
  <c r="F58" i="3"/>
  <c r="G188" i="3"/>
  <c r="F188" i="3"/>
  <c r="E58" i="3"/>
  <c r="E188" i="3"/>
  <c r="D58" i="3"/>
  <c r="D187" i="3"/>
  <c r="I50" i="3"/>
  <c r="H187" i="3"/>
  <c r="G50" i="3"/>
  <c r="G187" i="3"/>
  <c r="F50" i="3"/>
  <c r="E50" i="3"/>
  <c r="F187" i="3"/>
  <c r="E187" i="3"/>
  <c r="D50" i="3"/>
  <c r="H121" i="3"/>
  <c r="H81" i="7" s="1"/>
  <c r="V51" i="8" s="1"/>
  <c r="H155" i="3"/>
  <c r="H156" i="3"/>
  <c r="H157" i="3"/>
  <c r="H158" i="3"/>
  <c r="H159" i="3"/>
  <c r="H160" i="3"/>
  <c r="H161" i="3"/>
  <c r="H162" i="3"/>
  <c r="H163" i="3"/>
  <c r="H164" i="3"/>
  <c r="H165" i="3"/>
  <c r="G121" i="3"/>
  <c r="G81" i="7" s="1"/>
  <c r="V50" i="8" s="1"/>
  <c r="G155" i="3"/>
  <c r="G156" i="3"/>
  <c r="G157" i="3"/>
  <c r="G158" i="3"/>
  <c r="G159" i="3"/>
  <c r="G160" i="3"/>
  <c r="G161" i="3"/>
  <c r="G162" i="3"/>
  <c r="G163" i="3"/>
  <c r="G164" i="3"/>
  <c r="G165" i="3"/>
  <c r="H186" i="3"/>
  <c r="F121" i="3"/>
  <c r="F81" i="7" s="1"/>
  <c r="V49" i="8" s="1"/>
  <c r="F155" i="3"/>
  <c r="F156" i="3"/>
  <c r="F157" i="3"/>
  <c r="F158" i="3"/>
  <c r="F159" i="3"/>
  <c r="F160" i="3"/>
  <c r="F161" i="3"/>
  <c r="F162" i="3"/>
  <c r="F163" i="3"/>
  <c r="F164" i="3"/>
  <c r="F165" i="3"/>
  <c r="G186" i="3"/>
  <c r="E121" i="3"/>
  <c r="E81" i="7" s="1"/>
  <c r="V48" i="8" s="1"/>
  <c r="E155" i="3"/>
  <c r="E156" i="3"/>
  <c r="E157" i="3"/>
  <c r="E158" i="3"/>
  <c r="E159" i="3"/>
  <c r="E160" i="3"/>
  <c r="E161" i="3"/>
  <c r="E162" i="3"/>
  <c r="E163" i="3"/>
  <c r="E164" i="3"/>
  <c r="E165" i="3"/>
  <c r="F186" i="3"/>
  <c r="D121" i="3"/>
  <c r="D81" i="7" s="1"/>
  <c r="V47" i="8" s="1"/>
  <c r="D155" i="3"/>
  <c r="D156" i="3"/>
  <c r="D157" i="3"/>
  <c r="D158" i="3"/>
  <c r="D159" i="3"/>
  <c r="D160" i="3"/>
  <c r="D161" i="3"/>
  <c r="D162" i="3"/>
  <c r="D163" i="3"/>
  <c r="D164" i="3"/>
  <c r="D165" i="3"/>
  <c r="E186" i="3"/>
  <c r="H69" i="7"/>
  <c r="Z35" i="8" s="1"/>
  <c r="U35" i="8"/>
  <c r="G69" i="7"/>
  <c r="Z34" i="8" s="1"/>
  <c r="U34" i="8"/>
  <c r="F69" i="7"/>
  <c r="Z33" i="8" s="1"/>
  <c r="U33" i="8"/>
  <c r="E69" i="7"/>
  <c r="Z32" i="8" s="1"/>
  <c r="U32" i="8"/>
  <c r="D69" i="7"/>
  <c r="Z31" i="8" s="1"/>
  <c r="U31" i="8"/>
  <c r="D181" i="2"/>
  <c r="I71" i="2"/>
  <c r="H71" i="2"/>
  <c r="H168" i="2"/>
  <c r="H128" i="2"/>
  <c r="H122" i="7" s="1"/>
  <c r="G71" i="2"/>
  <c r="G168" i="2"/>
  <c r="G128" i="2"/>
  <c r="G122" i="7" s="1"/>
  <c r="H181" i="2"/>
  <c r="G181" i="2"/>
  <c r="F71" i="2"/>
  <c r="F168" i="2"/>
  <c r="F128" i="2"/>
  <c r="F122" i="7" s="1"/>
  <c r="F181" i="2"/>
  <c r="E168" i="2"/>
  <c r="E71" i="2"/>
  <c r="E128" i="2"/>
  <c r="E122" i="7" s="1"/>
  <c r="D71" i="2"/>
  <c r="D128" i="2"/>
  <c r="D122" i="7" s="1"/>
  <c r="D168" i="2"/>
  <c r="E181" i="2"/>
  <c r="D188" i="2"/>
  <c r="I58" i="2"/>
  <c r="H125" i="2"/>
  <c r="H105" i="7" s="1"/>
  <c r="H58" i="2"/>
  <c r="H124" i="2"/>
  <c r="H97" i="7" s="1"/>
  <c r="G58" i="2"/>
  <c r="G124" i="2"/>
  <c r="G97" i="7" s="1"/>
  <c r="H188" i="2"/>
  <c r="G125" i="2"/>
  <c r="G105" i="7" s="1"/>
  <c r="F124" i="2"/>
  <c r="F97" i="7" s="1"/>
  <c r="F125" i="2"/>
  <c r="F105" i="7" s="1"/>
  <c r="G188" i="2"/>
  <c r="F58" i="2"/>
  <c r="E58" i="2"/>
  <c r="E125" i="2"/>
  <c r="E105" i="7" s="1"/>
  <c r="E124" i="2"/>
  <c r="E97" i="7" s="1"/>
  <c r="F188" i="2"/>
  <c r="D58" i="2"/>
  <c r="E188" i="2"/>
  <c r="D125" i="2"/>
  <c r="D105" i="7" s="1"/>
  <c r="D124" i="2"/>
  <c r="D97" i="7" s="1"/>
  <c r="D116" i="2"/>
  <c r="D40" i="7" s="1"/>
  <c r="D189" i="2"/>
  <c r="D118" i="2"/>
  <c r="D56" i="7" s="1"/>
  <c r="H116" i="2"/>
  <c r="H40" i="7" s="1"/>
  <c r="H189" i="2"/>
  <c r="H118" i="2"/>
  <c r="H56" i="7" s="1"/>
  <c r="G116" i="2"/>
  <c r="G40" i="7" s="1"/>
  <c r="G118" i="2"/>
  <c r="G56" i="7" s="1"/>
  <c r="G189" i="2"/>
  <c r="F189" i="2"/>
  <c r="F116" i="2"/>
  <c r="F40" i="7" s="1"/>
  <c r="F118" i="2"/>
  <c r="F56" i="7" s="1"/>
  <c r="E189" i="2"/>
  <c r="E118" i="2"/>
  <c r="E56" i="7" s="1"/>
  <c r="E116" i="2"/>
  <c r="E40" i="7" s="1"/>
  <c r="H113" i="2"/>
  <c r="H23" i="7" s="1"/>
  <c r="H60" i="2"/>
  <c r="G60" i="2"/>
  <c r="G113" i="2"/>
  <c r="G23" i="7" s="1"/>
  <c r="F60" i="2"/>
  <c r="F113" i="2"/>
  <c r="F23" i="7" s="1"/>
  <c r="E60" i="2"/>
  <c r="E113" i="2"/>
  <c r="E23" i="7" s="1"/>
  <c r="D113" i="2"/>
  <c r="D23" i="7" s="1"/>
  <c r="D60" i="2"/>
  <c r="H49" i="2"/>
  <c r="H50" i="2" s="1"/>
  <c r="G49" i="2"/>
  <c r="G50" i="2" s="1"/>
  <c r="F49" i="2"/>
  <c r="E49" i="2"/>
  <c r="D49" i="2"/>
  <c r="I50" i="2"/>
  <c r="D187" i="2"/>
  <c r="H139" i="2"/>
  <c r="H203" i="7" s="1"/>
  <c r="H137" i="2"/>
  <c r="H187" i="7" s="1"/>
  <c r="G139" i="2"/>
  <c r="G203" i="7" s="1"/>
  <c r="G137" i="2"/>
  <c r="G187" i="7" s="1"/>
  <c r="H187" i="2"/>
  <c r="F139" i="2"/>
  <c r="F203" i="7" s="1"/>
  <c r="F50" i="2"/>
  <c r="F137" i="2"/>
  <c r="F187" i="7" s="1"/>
  <c r="G187" i="2"/>
  <c r="E139" i="2"/>
  <c r="E203" i="7" s="1"/>
  <c r="E50" i="2"/>
  <c r="F187" i="2"/>
  <c r="E137" i="2"/>
  <c r="E187" i="7" s="1"/>
  <c r="E187" i="2"/>
  <c r="D137" i="2"/>
  <c r="D187" i="7" s="1"/>
  <c r="D50" i="2"/>
  <c r="D139" i="2"/>
  <c r="D203" i="7" s="1"/>
  <c r="H111" i="2"/>
  <c r="H7" i="7" s="1"/>
  <c r="H59" i="2"/>
  <c r="H114" i="2"/>
  <c r="H31" i="7" s="1"/>
  <c r="H112" i="2"/>
  <c r="H15" i="7" s="1"/>
  <c r="G112" i="2"/>
  <c r="G15" i="7" s="1"/>
  <c r="G111" i="2"/>
  <c r="G7" i="7" s="1"/>
  <c r="G59" i="2"/>
  <c r="G114" i="2"/>
  <c r="G31" i="7" s="1"/>
  <c r="F111" i="2"/>
  <c r="F7" i="7" s="1"/>
  <c r="F114" i="2"/>
  <c r="F31" i="7" s="1"/>
  <c r="F112" i="2"/>
  <c r="F15" i="7" s="1"/>
  <c r="F59" i="2"/>
  <c r="E111" i="2"/>
  <c r="E7" i="7" s="1"/>
  <c r="E59" i="2"/>
  <c r="E114" i="2"/>
  <c r="E31" i="7" s="1"/>
  <c r="E112" i="2"/>
  <c r="E15" i="7" s="1"/>
  <c r="D111" i="2"/>
  <c r="D7" i="7" s="1"/>
  <c r="D59" i="2"/>
  <c r="D112" i="2"/>
  <c r="D15" i="7" s="1"/>
  <c r="D114" i="2"/>
  <c r="D31" i="7" s="1"/>
  <c r="H25" i="2"/>
  <c r="H156" i="2"/>
  <c r="G25" i="2"/>
  <c r="G156" i="2"/>
  <c r="F25" i="2"/>
  <c r="E25" i="2"/>
  <c r="D25" i="2"/>
  <c r="D165" i="2" s="1"/>
  <c r="H216" i="7"/>
  <c r="G216" i="7"/>
  <c r="F216" i="7"/>
  <c r="E216" i="7"/>
  <c r="D216" i="7"/>
  <c r="I50" i="5"/>
  <c r="D186" i="3"/>
  <c r="H53" i="7"/>
  <c r="E182" i="5" l="1"/>
  <c r="D127" i="7"/>
  <c r="H110" i="7"/>
  <c r="G110" i="7"/>
  <c r="F110" i="7"/>
  <c r="E110" i="7"/>
  <c r="D110" i="7"/>
  <c r="D61" i="7"/>
  <c r="D76" i="5"/>
  <c r="D170" i="5"/>
  <c r="F164" i="5"/>
  <c r="F163" i="5"/>
  <c r="D182" i="6"/>
  <c r="I76" i="6"/>
  <c r="H76" i="6"/>
  <c r="H170" i="6"/>
  <c r="G76" i="6"/>
  <c r="G170" i="6"/>
  <c r="H182" i="6"/>
  <c r="F170" i="6"/>
  <c r="G182" i="6"/>
  <c r="F76" i="6"/>
  <c r="E76" i="6"/>
  <c r="E170" i="6"/>
  <c r="F182" i="6"/>
  <c r="D170" i="6"/>
  <c r="E182" i="6"/>
  <c r="D76" i="6"/>
  <c r="H157" i="6"/>
  <c r="H155" i="6"/>
  <c r="H159" i="6"/>
  <c r="H160" i="6"/>
  <c r="H158" i="6"/>
  <c r="H121" i="6"/>
  <c r="H84" i="7" s="1"/>
  <c r="Y51" i="8" s="1"/>
  <c r="H186" i="6"/>
  <c r="G158" i="6"/>
  <c r="G160" i="6"/>
  <c r="G155" i="6"/>
  <c r="G159" i="6"/>
  <c r="G121" i="6"/>
  <c r="G84" i="7" s="1"/>
  <c r="Y50" i="8" s="1"/>
  <c r="F159" i="6"/>
  <c r="F160" i="6"/>
  <c r="F121" i="6"/>
  <c r="F84" i="7" s="1"/>
  <c r="Y49" i="8" s="1"/>
  <c r="F155" i="6"/>
  <c r="F158" i="6"/>
  <c r="G186" i="6"/>
  <c r="E158" i="6"/>
  <c r="E159" i="6"/>
  <c r="E160" i="6"/>
  <c r="E121" i="6"/>
  <c r="E84" i="7" s="1"/>
  <c r="Y48" i="8" s="1"/>
  <c r="F186" i="6"/>
  <c r="E155" i="6"/>
  <c r="D186" i="6"/>
  <c r="D159" i="6"/>
  <c r="D160" i="6"/>
  <c r="E186" i="6"/>
  <c r="D155" i="6"/>
  <c r="D158" i="6"/>
  <c r="D121" i="6"/>
  <c r="D84" i="7" s="1"/>
  <c r="Y47" i="8" s="1"/>
  <c r="D86" i="5"/>
  <c r="D87" i="5" s="1"/>
  <c r="D173" i="5"/>
  <c r="D82" i="5"/>
  <c r="D79" i="5"/>
  <c r="I76" i="5"/>
  <c r="D182" i="5"/>
  <c r="H76" i="5"/>
  <c r="H170" i="5"/>
  <c r="G76" i="5"/>
  <c r="H182" i="5"/>
  <c r="G170" i="5"/>
  <c r="G182" i="5"/>
  <c r="F76" i="5"/>
  <c r="F170" i="5"/>
  <c r="F182" i="5"/>
  <c r="E170" i="5"/>
  <c r="E76" i="5"/>
  <c r="H121" i="5"/>
  <c r="H83" i="7" s="1"/>
  <c r="X51" i="8" s="1"/>
  <c r="H155" i="5"/>
  <c r="H157" i="5"/>
  <c r="H158" i="5"/>
  <c r="H159" i="5"/>
  <c r="H160" i="5"/>
  <c r="H164" i="5"/>
  <c r="H165" i="5"/>
  <c r="G121" i="5"/>
  <c r="G83" i="7" s="1"/>
  <c r="X50" i="8" s="1"/>
  <c r="G155" i="5"/>
  <c r="G157" i="5"/>
  <c r="G158" i="5"/>
  <c r="G159" i="5"/>
  <c r="G160" i="5"/>
  <c r="G164" i="5"/>
  <c r="G165" i="5"/>
  <c r="H186" i="5"/>
  <c r="F121" i="5"/>
  <c r="F83" i="7" s="1"/>
  <c r="X49" i="8" s="1"/>
  <c r="F155" i="5"/>
  <c r="F157" i="5"/>
  <c r="F158" i="5"/>
  <c r="F159" i="5"/>
  <c r="F160" i="5"/>
  <c r="F165" i="5"/>
  <c r="G186" i="5"/>
  <c r="E121" i="5"/>
  <c r="E83" i="7" s="1"/>
  <c r="X48" i="8" s="1"/>
  <c r="E155" i="5"/>
  <c r="E157" i="5"/>
  <c r="E158" i="5"/>
  <c r="E159" i="5"/>
  <c r="E160" i="5"/>
  <c r="E165" i="5"/>
  <c r="F186" i="5"/>
  <c r="D186" i="5"/>
  <c r="D121" i="5"/>
  <c r="D83" i="7" s="1"/>
  <c r="X47" i="8" s="1"/>
  <c r="D155" i="5"/>
  <c r="D157" i="5"/>
  <c r="D158" i="5"/>
  <c r="D159" i="5"/>
  <c r="D160" i="5"/>
  <c r="D165" i="5"/>
  <c r="E186" i="5"/>
  <c r="D182" i="4"/>
  <c r="I76" i="4"/>
  <c r="H170" i="4"/>
  <c r="H76" i="4"/>
  <c r="G170" i="4"/>
  <c r="H182" i="4"/>
  <c r="G76" i="4"/>
  <c r="F76" i="4"/>
  <c r="F170" i="4"/>
  <c r="G182" i="4"/>
  <c r="E76" i="4"/>
  <c r="E170" i="4"/>
  <c r="F182" i="4"/>
  <c r="D170" i="4"/>
  <c r="E182" i="4"/>
  <c r="D76" i="4"/>
  <c r="H157" i="4"/>
  <c r="H121" i="4"/>
  <c r="H82" i="7" s="1"/>
  <c r="W51" i="8" s="1"/>
  <c r="H155" i="4"/>
  <c r="H158" i="4"/>
  <c r="H159" i="4"/>
  <c r="H160" i="4"/>
  <c r="G121" i="4"/>
  <c r="G82" i="7" s="1"/>
  <c r="W50" i="8" s="1"/>
  <c r="G155" i="4"/>
  <c r="G158" i="4"/>
  <c r="G159" i="4"/>
  <c r="G160" i="4"/>
  <c r="H186" i="4"/>
  <c r="F121" i="4"/>
  <c r="F82" i="7" s="1"/>
  <c r="W49" i="8" s="1"/>
  <c r="F155" i="4"/>
  <c r="F158" i="4"/>
  <c r="F159" i="4"/>
  <c r="F160" i="4"/>
  <c r="G186" i="4"/>
  <c r="E121" i="4"/>
  <c r="E82" i="7" s="1"/>
  <c r="W48" i="8" s="1"/>
  <c r="E155" i="4"/>
  <c r="E158" i="4"/>
  <c r="E159" i="4"/>
  <c r="E160" i="4"/>
  <c r="F186" i="4"/>
  <c r="D186" i="4"/>
  <c r="D121" i="4"/>
  <c r="D82" i="7" s="1"/>
  <c r="W47" i="8" s="1"/>
  <c r="D155" i="4"/>
  <c r="D158" i="4"/>
  <c r="D159" i="4"/>
  <c r="D160" i="4"/>
  <c r="E186" i="4"/>
  <c r="I79" i="3"/>
  <c r="I82" i="3"/>
  <c r="H79" i="3"/>
  <c r="H82" i="3"/>
  <c r="H173" i="3"/>
  <c r="H86" i="3"/>
  <c r="H87" i="3" s="1"/>
  <c r="H88" i="3" s="1"/>
  <c r="H133" i="3" s="1"/>
  <c r="H163" i="7" s="1"/>
  <c r="V91" i="8" s="1"/>
  <c r="G79" i="3"/>
  <c r="G82" i="3"/>
  <c r="G173" i="3"/>
  <c r="G86" i="3"/>
  <c r="G87" i="3" s="1"/>
  <c r="G88" i="3" s="1"/>
  <c r="G133" i="3" s="1"/>
  <c r="G163" i="7" s="1"/>
  <c r="V90" i="8" s="1"/>
  <c r="F79" i="3"/>
  <c r="F82" i="3"/>
  <c r="F173" i="3"/>
  <c r="F86" i="3"/>
  <c r="F87" i="3" s="1"/>
  <c r="F88" i="3" s="1"/>
  <c r="F133" i="3" s="1"/>
  <c r="F163" i="7" s="1"/>
  <c r="V89" i="8" s="1"/>
  <c r="E79" i="3"/>
  <c r="E82" i="3"/>
  <c r="E173" i="3"/>
  <c r="E86" i="3"/>
  <c r="E87" i="3" s="1"/>
  <c r="E88" i="3" s="1"/>
  <c r="E133" i="3" s="1"/>
  <c r="E163" i="7" s="1"/>
  <c r="V88" i="8" s="1"/>
  <c r="D79" i="3"/>
  <c r="D82" i="3"/>
  <c r="D86" i="3"/>
  <c r="D87" i="3" s="1"/>
  <c r="D88" i="3" s="1"/>
  <c r="D133" i="3" s="1"/>
  <c r="D163" i="7" s="1"/>
  <c r="V87" i="8" s="1"/>
  <c r="D173" i="3"/>
  <c r="I76" i="2"/>
  <c r="D182" i="2"/>
  <c r="H76" i="2"/>
  <c r="H170" i="2"/>
  <c r="G76" i="2"/>
  <c r="G170" i="2"/>
  <c r="H182" i="2"/>
  <c r="F170" i="2"/>
  <c r="G182" i="2"/>
  <c r="F76" i="2"/>
  <c r="E76" i="2"/>
  <c r="E170" i="2"/>
  <c r="F182" i="2"/>
  <c r="D76" i="2"/>
  <c r="D170" i="2"/>
  <c r="E182" i="2"/>
  <c r="H102" i="7"/>
  <c r="Z59" i="8" s="1"/>
  <c r="U59" i="8"/>
  <c r="G102" i="7"/>
  <c r="Z58" i="8" s="1"/>
  <c r="U58" i="8"/>
  <c r="F102" i="7"/>
  <c r="Z57" i="8" s="1"/>
  <c r="U57" i="8"/>
  <c r="E102" i="7"/>
  <c r="Z56" i="8" s="1"/>
  <c r="U56" i="8"/>
  <c r="D102" i="7"/>
  <c r="Z55" i="8" s="1"/>
  <c r="U55" i="8"/>
  <c r="D45" i="7"/>
  <c r="Z23" i="8" s="1"/>
  <c r="U23" i="8"/>
  <c r="U27" i="8"/>
  <c r="H45" i="7"/>
  <c r="Z27" i="8" s="1"/>
  <c r="U26" i="8"/>
  <c r="G45" i="7"/>
  <c r="Z26" i="8" s="1"/>
  <c r="F45" i="7"/>
  <c r="Z25" i="8" s="1"/>
  <c r="U25" i="8"/>
  <c r="E45" i="7"/>
  <c r="Z24" i="8" s="1"/>
  <c r="U24" i="8"/>
  <c r="H208" i="7"/>
  <c r="Z107" i="8" s="1"/>
  <c r="U107" i="8"/>
  <c r="U106" i="8"/>
  <c r="G208" i="7"/>
  <c r="Z106" i="8" s="1"/>
  <c r="F208" i="7"/>
  <c r="Z105" i="8" s="1"/>
  <c r="U105" i="8"/>
  <c r="E208" i="7"/>
  <c r="Z104" i="8" s="1"/>
  <c r="U104" i="8"/>
  <c r="D208" i="7"/>
  <c r="Z103" i="8" s="1"/>
  <c r="U103" i="8"/>
  <c r="H12" i="7"/>
  <c r="Z11" i="8" s="1"/>
  <c r="U11" i="8"/>
  <c r="H20" i="7"/>
  <c r="Z19" i="8" s="1"/>
  <c r="U19" i="8"/>
  <c r="U18" i="8"/>
  <c r="G20" i="7"/>
  <c r="Z18" i="8" s="1"/>
  <c r="G12" i="7"/>
  <c r="Z10" i="8" s="1"/>
  <c r="U10" i="8"/>
  <c r="F12" i="7"/>
  <c r="Z9" i="8" s="1"/>
  <c r="U9" i="8"/>
  <c r="F20" i="7"/>
  <c r="Z17" i="8" s="1"/>
  <c r="U17" i="8"/>
  <c r="E12" i="7"/>
  <c r="Z8" i="8" s="1"/>
  <c r="U8" i="8"/>
  <c r="E20" i="7"/>
  <c r="Z16" i="8" s="1"/>
  <c r="U16" i="8"/>
  <c r="D12" i="7"/>
  <c r="Z7" i="8" s="1"/>
  <c r="U7" i="8"/>
  <c r="D20" i="7"/>
  <c r="Z15" i="8" s="1"/>
  <c r="U15" i="8"/>
  <c r="D36" i="7"/>
  <c r="C36" i="7"/>
  <c r="H157" i="2"/>
  <c r="H121" i="2"/>
  <c r="H80" i="7" s="1"/>
  <c r="H155" i="2"/>
  <c r="H158" i="2"/>
  <c r="H159" i="2"/>
  <c r="H160" i="2"/>
  <c r="G121" i="2"/>
  <c r="G80" i="7" s="1"/>
  <c r="G155" i="2"/>
  <c r="G158" i="2"/>
  <c r="G159" i="2"/>
  <c r="G160" i="2"/>
  <c r="H186" i="2"/>
  <c r="F121" i="2"/>
  <c r="F80" i="7" s="1"/>
  <c r="F155" i="2"/>
  <c r="F158" i="2"/>
  <c r="F159" i="2"/>
  <c r="F160" i="2"/>
  <c r="G186" i="2"/>
  <c r="E121" i="2"/>
  <c r="E80" i="7" s="1"/>
  <c r="E155" i="2"/>
  <c r="E158" i="2"/>
  <c r="E159" i="2"/>
  <c r="E160" i="2"/>
  <c r="F186" i="2"/>
  <c r="D186" i="2"/>
  <c r="D121" i="2"/>
  <c r="D80" i="7" s="1"/>
  <c r="D155" i="2"/>
  <c r="D158" i="2"/>
  <c r="D159" i="2"/>
  <c r="D160" i="2"/>
  <c r="E186" i="2"/>
  <c r="E123" i="5"/>
  <c r="E92" i="7" s="1"/>
  <c r="D123" i="5"/>
  <c r="D92" i="7" s="1"/>
  <c r="H123" i="4"/>
  <c r="H91" i="7" s="1"/>
  <c r="G123" i="4"/>
  <c r="G91" i="7" s="1"/>
  <c r="E123" i="4"/>
  <c r="E91" i="7" s="1"/>
  <c r="F123" i="4"/>
  <c r="F91" i="7" s="1"/>
  <c r="D123" i="4"/>
  <c r="D91" i="7" s="1"/>
  <c r="H127" i="7"/>
  <c r="G127" i="7"/>
  <c r="F127" i="7"/>
  <c r="E127" i="7"/>
  <c r="H61" i="7"/>
  <c r="G61" i="7"/>
  <c r="F61" i="7"/>
  <c r="E61" i="7"/>
  <c r="H28" i="7"/>
  <c r="G28" i="7"/>
  <c r="F28" i="7"/>
  <c r="E28" i="7"/>
  <c r="D28" i="7"/>
  <c r="H123" i="2"/>
  <c r="H89" i="7" s="1"/>
  <c r="H94" i="7" s="1"/>
  <c r="G123" i="2"/>
  <c r="G89" i="7" s="1"/>
  <c r="F123" i="2"/>
  <c r="F89" i="7" s="1"/>
  <c r="E123" i="2"/>
  <c r="E89" i="7" s="1"/>
  <c r="D123" i="2"/>
  <c r="D89" i="7" s="1"/>
  <c r="H192" i="7"/>
  <c r="G192" i="7"/>
  <c r="F192" i="7"/>
  <c r="E192" i="7"/>
  <c r="D192" i="7"/>
  <c r="H36" i="7"/>
  <c r="G36" i="7"/>
  <c r="F36" i="7"/>
  <c r="E36" i="7"/>
  <c r="G123" i="6"/>
  <c r="G93" i="7" s="1"/>
  <c r="G50" i="6"/>
  <c r="F123" i="6"/>
  <c r="F93" i="7" s="1"/>
  <c r="F50" i="6"/>
  <c r="E123" i="6"/>
  <c r="E93" i="7" s="1"/>
  <c r="E50" i="6"/>
  <c r="D123" i="6"/>
  <c r="D93" i="7" s="1"/>
  <c r="D50" i="6"/>
  <c r="H165" i="6"/>
  <c r="H156" i="6"/>
  <c r="H161" i="6"/>
  <c r="G165" i="6"/>
  <c r="G156" i="6"/>
  <c r="G157" i="6"/>
  <c r="G161" i="6"/>
  <c r="F165" i="6"/>
  <c r="F162" i="6"/>
  <c r="F161" i="6"/>
  <c r="F157" i="6"/>
  <c r="F156" i="6"/>
  <c r="E165" i="6"/>
  <c r="E157" i="6"/>
  <c r="E162" i="6"/>
  <c r="E161" i="6"/>
  <c r="D165" i="6"/>
  <c r="D162" i="6"/>
  <c r="D161" i="6"/>
  <c r="D156" i="6"/>
  <c r="H123" i="5"/>
  <c r="H92" i="7" s="1"/>
  <c r="H50" i="5"/>
  <c r="G123" i="5"/>
  <c r="G92" i="7" s="1"/>
  <c r="G50" i="5"/>
  <c r="F123" i="5"/>
  <c r="F92" i="7" s="1"/>
  <c r="F50" i="5"/>
  <c r="H162" i="5"/>
  <c r="H161" i="5"/>
  <c r="H156" i="5"/>
  <c r="G162" i="5"/>
  <c r="G161" i="5"/>
  <c r="G156" i="5"/>
  <c r="F162" i="5"/>
  <c r="F161" i="5"/>
  <c r="F156" i="5"/>
  <c r="E163" i="5"/>
  <c r="E162" i="5"/>
  <c r="E161" i="5"/>
  <c r="D156" i="5"/>
  <c r="D163" i="5"/>
  <c r="D162" i="5"/>
  <c r="D161" i="5"/>
  <c r="H163" i="4"/>
  <c r="H165" i="4"/>
  <c r="H162" i="4"/>
  <c r="H161" i="4"/>
  <c r="H164" i="4"/>
  <c r="G165" i="4"/>
  <c r="G164" i="4"/>
  <c r="G161" i="4"/>
  <c r="G157" i="4"/>
  <c r="G163" i="4"/>
  <c r="G162" i="4"/>
  <c r="F165" i="4"/>
  <c r="F164" i="4"/>
  <c r="F157" i="4"/>
  <c r="F162" i="4"/>
  <c r="F163" i="4"/>
  <c r="F161" i="4"/>
  <c r="E161" i="4"/>
  <c r="E164" i="4"/>
  <c r="E163" i="4"/>
  <c r="E162" i="4"/>
  <c r="E165" i="4"/>
  <c r="E157" i="4"/>
  <c r="D163" i="4"/>
  <c r="D162" i="4"/>
  <c r="D161" i="4"/>
  <c r="D165" i="4"/>
  <c r="D157" i="4"/>
  <c r="D164" i="4"/>
  <c r="H165" i="2"/>
  <c r="H164" i="2"/>
  <c r="H163" i="2"/>
  <c r="H162" i="2"/>
  <c r="H161" i="2"/>
  <c r="G165" i="2"/>
  <c r="G163" i="2"/>
  <c r="G164" i="2"/>
  <c r="G162" i="2"/>
  <c r="G157" i="2"/>
  <c r="G161" i="2"/>
  <c r="F157" i="2"/>
  <c r="F163" i="2"/>
  <c r="F165" i="2"/>
  <c r="F162" i="2"/>
  <c r="F164" i="2"/>
  <c r="F161" i="2"/>
  <c r="F156" i="2"/>
  <c r="E164" i="2"/>
  <c r="E157" i="2"/>
  <c r="E163" i="2"/>
  <c r="E162" i="2"/>
  <c r="E165" i="2"/>
  <c r="E161" i="2"/>
  <c r="E156" i="2"/>
  <c r="D164" i="2"/>
  <c r="D163" i="2"/>
  <c r="D157" i="2"/>
  <c r="D162" i="2"/>
  <c r="D161" i="2"/>
  <c r="D156" i="2"/>
  <c r="D94" i="7" l="1"/>
  <c r="F94" i="7"/>
  <c r="G94" i="7"/>
  <c r="E94" i="7"/>
  <c r="I82" i="6"/>
  <c r="I79" i="6"/>
  <c r="H82" i="6"/>
  <c r="H86" i="6"/>
  <c r="H87" i="6" s="1"/>
  <c r="H88" i="6" s="1"/>
  <c r="H133" i="6" s="1"/>
  <c r="H166" i="7" s="1"/>
  <c r="Y91" i="8" s="1"/>
  <c r="H173" i="6"/>
  <c r="H79" i="6"/>
  <c r="G173" i="6"/>
  <c r="G79" i="6"/>
  <c r="G86" i="6"/>
  <c r="G87" i="6" s="1"/>
  <c r="G82" i="6"/>
  <c r="F86" i="6"/>
  <c r="F87" i="6" s="1"/>
  <c r="F82" i="6"/>
  <c r="F79" i="6"/>
  <c r="F173" i="6"/>
  <c r="E79" i="6"/>
  <c r="E173" i="6"/>
  <c r="E82" i="6"/>
  <c r="E86" i="6"/>
  <c r="E87" i="6" s="1"/>
  <c r="E88" i="6" s="1"/>
  <c r="E133" i="6" s="1"/>
  <c r="E166" i="7" s="1"/>
  <c r="Y88" i="8" s="1"/>
  <c r="D86" i="6"/>
  <c r="D87" i="6" s="1"/>
  <c r="D173" i="6"/>
  <c r="D79" i="6"/>
  <c r="D82" i="6"/>
  <c r="D83" i="5"/>
  <c r="D141" i="5" s="1"/>
  <c r="D222" i="7" s="1"/>
  <c r="X111" i="8" s="1"/>
  <c r="D126" i="5"/>
  <c r="D116" i="7" s="1"/>
  <c r="X63" i="8" s="1"/>
  <c r="D129" i="5"/>
  <c r="D133" i="7" s="1"/>
  <c r="X71" i="8" s="1"/>
  <c r="D134" i="5"/>
  <c r="D173" i="7" s="1"/>
  <c r="D130" i="5"/>
  <c r="D141" i="7" s="1"/>
  <c r="D131" i="5"/>
  <c r="D149" i="7" s="1"/>
  <c r="D132" i="5"/>
  <c r="D157" i="7" s="1"/>
  <c r="X79" i="8" s="1"/>
  <c r="D136" i="5"/>
  <c r="D182" i="7" s="1"/>
  <c r="D138" i="5"/>
  <c r="D198" i="7" s="1"/>
  <c r="X95" i="8" s="1"/>
  <c r="D175" i="5"/>
  <c r="I79" i="5"/>
  <c r="D184" i="5" s="1"/>
  <c r="I82" i="5"/>
  <c r="H86" i="5"/>
  <c r="H87" i="5" s="1"/>
  <c r="H79" i="5"/>
  <c r="H82" i="5"/>
  <c r="H173" i="5"/>
  <c r="G82" i="5"/>
  <c r="G86" i="5"/>
  <c r="G87" i="5" s="1"/>
  <c r="G88" i="5" s="1"/>
  <c r="G133" i="5" s="1"/>
  <c r="G165" i="7" s="1"/>
  <c r="X90" i="8" s="1"/>
  <c r="G173" i="5"/>
  <c r="G79" i="5"/>
  <c r="F79" i="5"/>
  <c r="F82" i="5"/>
  <c r="F173" i="5"/>
  <c r="F86" i="5"/>
  <c r="F87" i="5" s="1"/>
  <c r="F88" i="5" s="1"/>
  <c r="F133" i="5" s="1"/>
  <c r="F165" i="7" s="1"/>
  <c r="X89" i="8" s="1"/>
  <c r="E82" i="5"/>
  <c r="E86" i="5"/>
  <c r="E87" i="5" s="1"/>
  <c r="E88" i="5" s="1"/>
  <c r="E133" i="5" s="1"/>
  <c r="E165" i="7" s="1"/>
  <c r="X88" i="8" s="1"/>
  <c r="E79" i="5"/>
  <c r="E184" i="5" s="1"/>
  <c r="E173" i="5"/>
  <c r="I79" i="4"/>
  <c r="D184" i="4" s="1"/>
  <c r="I82" i="4"/>
  <c r="H82" i="4"/>
  <c r="H173" i="4"/>
  <c r="H86" i="4"/>
  <c r="H87" i="4" s="1"/>
  <c r="H88" i="4" s="1"/>
  <c r="H133" i="4" s="1"/>
  <c r="H164" i="7" s="1"/>
  <c r="W91" i="8" s="1"/>
  <c r="H79" i="4"/>
  <c r="G86" i="4"/>
  <c r="G87" i="4" s="1"/>
  <c r="G79" i="4"/>
  <c r="G82" i="4"/>
  <c r="G173" i="4"/>
  <c r="F86" i="4"/>
  <c r="F87" i="4" s="1"/>
  <c r="F173" i="4"/>
  <c r="F82" i="4"/>
  <c r="F79" i="4"/>
  <c r="E82" i="4"/>
  <c r="E86" i="4"/>
  <c r="E87" i="4" s="1"/>
  <c r="E88" i="4" s="1"/>
  <c r="E133" i="4" s="1"/>
  <c r="E164" i="7" s="1"/>
  <c r="W88" i="8" s="1"/>
  <c r="E79" i="4"/>
  <c r="E173" i="4"/>
  <c r="D79" i="4"/>
  <c r="D86" i="4"/>
  <c r="D87" i="4" s="1"/>
  <c r="D82" i="4"/>
  <c r="D173" i="4"/>
  <c r="H130" i="3"/>
  <c r="H139" i="7" s="1"/>
  <c r="H131" i="3"/>
  <c r="H147" i="7" s="1"/>
  <c r="H132" i="3"/>
  <c r="H155" i="7" s="1"/>
  <c r="V83" i="8" s="1"/>
  <c r="H136" i="3"/>
  <c r="H180" i="7" s="1"/>
  <c r="H138" i="3"/>
  <c r="H196" i="7" s="1"/>
  <c r="V99" i="8" s="1"/>
  <c r="H175" i="3"/>
  <c r="H83" i="3"/>
  <c r="H141" i="3" s="1"/>
  <c r="H220" i="7" s="1"/>
  <c r="V115" i="8" s="1"/>
  <c r="H126" i="3"/>
  <c r="H114" i="7" s="1"/>
  <c r="V67" i="8" s="1"/>
  <c r="H129" i="3"/>
  <c r="H131" i="7" s="1"/>
  <c r="V75" i="8" s="1"/>
  <c r="H134" i="3"/>
  <c r="H171" i="7" s="1"/>
  <c r="G130" i="3"/>
  <c r="G139" i="7" s="1"/>
  <c r="G131" i="3"/>
  <c r="G147" i="7" s="1"/>
  <c r="G132" i="3"/>
  <c r="G155" i="7" s="1"/>
  <c r="V82" i="8" s="1"/>
  <c r="G136" i="3"/>
  <c r="G180" i="7" s="1"/>
  <c r="G138" i="3"/>
  <c r="G196" i="7" s="1"/>
  <c r="V98" i="8" s="1"/>
  <c r="G175" i="3"/>
  <c r="H184" i="3"/>
  <c r="G83" i="3"/>
  <c r="G141" i="3" s="1"/>
  <c r="G220" i="7" s="1"/>
  <c r="V114" i="8" s="1"/>
  <c r="G126" i="3"/>
  <c r="G114" i="7" s="1"/>
  <c r="V66" i="8" s="1"/>
  <c r="G129" i="3"/>
  <c r="G131" i="7" s="1"/>
  <c r="V74" i="8" s="1"/>
  <c r="G134" i="3"/>
  <c r="G171" i="7" s="1"/>
  <c r="F130" i="3"/>
  <c r="F139" i="7" s="1"/>
  <c r="F131" i="3"/>
  <c r="F147" i="7" s="1"/>
  <c r="F132" i="3"/>
  <c r="F155" i="7" s="1"/>
  <c r="V81" i="8" s="1"/>
  <c r="F136" i="3"/>
  <c r="F180" i="7" s="1"/>
  <c r="F138" i="3"/>
  <c r="F196" i="7" s="1"/>
  <c r="V97" i="8" s="1"/>
  <c r="F175" i="3"/>
  <c r="G184" i="3"/>
  <c r="F83" i="3"/>
  <c r="F141" i="3" s="1"/>
  <c r="F220" i="7" s="1"/>
  <c r="V113" i="8" s="1"/>
  <c r="F126" i="3"/>
  <c r="F114" i="7" s="1"/>
  <c r="V65" i="8" s="1"/>
  <c r="F129" i="3"/>
  <c r="F131" i="7" s="1"/>
  <c r="V73" i="8" s="1"/>
  <c r="F134" i="3"/>
  <c r="F171" i="7" s="1"/>
  <c r="E130" i="3"/>
  <c r="E139" i="7" s="1"/>
  <c r="E131" i="3"/>
  <c r="E147" i="7" s="1"/>
  <c r="E132" i="3"/>
  <c r="E155" i="7" s="1"/>
  <c r="V80" i="8" s="1"/>
  <c r="E136" i="3"/>
  <c r="E180" i="7" s="1"/>
  <c r="E138" i="3"/>
  <c r="E196" i="7" s="1"/>
  <c r="V96" i="8" s="1"/>
  <c r="E175" i="3"/>
  <c r="F184" i="3"/>
  <c r="E83" i="3"/>
  <c r="E141" i="3" s="1"/>
  <c r="E220" i="7" s="1"/>
  <c r="V112" i="8" s="1"/>
  <c r="E126" i="3"/>
  <c r="E114" i="7" s="1"/>
  <c r="V64" i="8" s="1"/>
  <c r="E129" i="3"/>
  <c r="E131" i="7" s="1"/>
  <c r="V72" i="8" s="1"/>
  <c r="E134" i="3"/>
  <c r="E171" i="7" s="1"/>
  <c r="D130" i="3"/>
  <c r="D139" i="7" s="1"/>
  <c r="D131" i="3"/>
  <c r="D147" i="7" s="1"/>
  <c r="D132" i="3"/>
  <c r="D155" i="7" s="1"/>
  <c r="V79" i="8" s="1"/>
  <c r="D136" i="3"/>
  <c r="D180" i="7" s="1"/>
  <c r="D138" i="3"/>
  <c r="D196" i="7" s="1"/>
  <c r="V95" i="8" s="1"/>
  <c r="D175" i="3"/>
  <c r="E184" i="3"/>
  <c r="D83" i="3"/>
  <c r="D141" i="3" s="1"/>
  <c r="D220" i="7" s="1"/>
  <c r="V111" i="8" s="1"/>
  <c r="D126" i="3"/>
  <c r="D114" i="7" s="1"/>
  <c r="V63" i="8" s="1"/>
  <c r="D129" i="3"/>
  <c r="D131" i="7" s="1"/>
  <c r="V71" i="8" s="1"/>
  <c r="D134" i="3"/>
  <c r="D171" i="7" s="1"/>
  <c r="I82" i="2"/>
  <c r="I79" i="2"/>
  <c r="D184" i="2" s="1"/>
  <c r="H82" i="2"/>
  <c r="H79" i="2"/>
  <c r="H173" i="2"/>
  <c r="H86" i="2"/>
  <c r="H87" i="2" s="1"/>
  <c r="G82" i="2"/>
  <c r="G86" i="2"/>
  <c r="G87" i="2" s="1"/>
  <c r="G88" i="2" s="1"/>
  <c r="G133" i="2" s="1"/>
  <c r="G162" i="7" s="1"/>
  <c r="G173" i="2"/>
  <c r="G79" i="2"/>
  <c r="F82" i="2"/>
  <c r="F79" i="2"/>
  <c r="F86" i="2"/>
  <c r="F87" i="2" s="1"/>
  <c r="F88" i="2" s="1"/>
  <c r="F133" i="2" s="1"/>
  <c r="F162" i="7" s="1"/>
  <c r="F173" i="2"/>
  <c r="E86" i="2"/>
  <c r="E87" i="2" s="1"/>
  <c r="E173" i="2"/>
  <c r="E82" i="2"/>
  <c r="E79" i="2"/>
  <c r="D79" i="2"/>
  <c r="D82" i="2"/>
  <c r="D86" i="2"/>
  <c r="D87" i="2" s="1"/>
  <c r="D88" i="2" s="1"/>
  <c r="D133" i="2" s="1"/>
  <c r="D162" i="7" s="1"/>
  <c r="D173" i="2"/>
  <c r="H85" i="7"/>
  <c r="Z51" i="8" s="1"/>
  <c r="U51" i="8"/>
  <c r="G85" i="7"/>
  <c r="Z50" i="8" s="1"/>
  <c r="U50" i="8"/>
  <c r="F85" i="7"/>
  <c r="Z49" i="8" s="1"/>
  <c r="U49" i="8"/>
  <c r="E85" i="7"/>
  <c r="Z48" i="8" s="1"/>
  <c r="U48" i="8"/>
  <c r="D85" i="7"/>
  <c r="Z47" i="8" s="1"/>
  <c r="U47" i="8"/>
  <c r="D184" i="3"/>
  <c r="D88" i="5"/>
  <c r="D133" i="5" s="1"/>
  <c r="D165" i="7" s="1"/>
  <c r="X87" i="8" s="1"/>
  <c r="G88" i="4" l="1"/>
  <c r="G133" i="4" s="1"/>
  <c r="G164" i="7" s="1"/>
  <c r="W90" i="8" s="1"/>
  <c r="F88" i="4"/>
  <c r="F133" i="4" s="1"/>
  <c r="F164" i="7" s="1"/>
  <c r="W89" i="8" s="1"/>
  <c r="E88" i="2"/>
  <c r="E133" i="2" s="1"/>
  <c r="E162" i="7" s="1"/>
  <c r="D184" i="6"/>
  <c r="H83" i="6"/>
  <c r="H141" i="6" s="1"/>
  <c r="H223" i="7" s="1"/>
  <c r="Y115" i="8" s="1"/>
  <c r="H126" i="6"/>
  <c r="H117" i="7" s="1"/>
  <c r="Y67" i="8" s="1"/>
  <c r="H129" i="6"/>
  <c r="H134" i="7" s="1"/>
  <c r="Y75" i="8" s="1"/>
  <c r="H134" i="6"/>
  <c r="H174" i="7" s="1"/>
  <c r="H132" i="6"/>
  <c r="H158" i="7" s="1"/>
  <c r="Y83" i="8" s="1"/>
  <c r="H138" i="6"/>
  <c r="H199" i="7" s="1"/>
  <c r="Y99" i="8" s="1"/>
  <c r="H130" i="6"/>
  <c r="H142" i="7" s="1"/>
  <c r="H131" i="6"/>
  <c r="H150" i="7" s="1"/>
  <c r="H136" i="6"/>
  <c r="H183" i="7" s="1"/>
  <c r="H175" i="6"/>
  <c r="G130" i="6"/>
  <c r="G142" i="7" s="1"/>
  <c r="G131" i="6"/>
  <c r="G150" i="7" s="1"/>
  <c r="G132" i="6"/>
  <c r="G158" i="7" s="1"/>
  <c r="Y82" i="8" s="1"/>
  <c r="G138" i="6"/>
  <c r="G199" i="7" s="1"/>
  <c r="Y98" i="8" s="1"/>
  <c r="G136" i="6"/>
  <c r="G183" i="7" s="1"/>
  <c r="G175" i="6"/>
  <c r="H184" i="6"/>
  <c r="G134" i="6"/>
  <c r="G174" i="7" s="1"/>
  <c r="G83" i="6"/>
  <c r="G141" i="6" s="1"/>
  <c r="G223" i="7" s="1"/>
  <c r="Y114" i="8" s="1"/>
  <c r="G126" i="6"/>
  <c r="G117" i="7" s="1"/>
  <c r="Y66" i="8" s="1"/>
  <c r="G129" i="6"/>
  <c r="G134" i="7" s="1"/>
  <c r="Y74" i="8" s="1"/>
  <c r="F126" i="6"/>
  <c r="F117" i="7" s="1"/>
  <c r="Y65" i="8" s="1"/>
  <c r="F134" i="6"/>
  <c r="F174" i="7" s="1"/>
  <c r="F83" i="6"/>
  <c r="F141" i="6" s="1"/>
  <c r="F223" i="7" s="1"/>
  <c r="Y113" i="8" s="1"/>
  <c r="F129" i="6"/>
  <c r="F134" i="7" s="1"/>
  <c r="Y73" i="8" s="1"/>
  <c r="F131" i="6"/>
  <c r="F150" i="7" s="1"/>
  <c r="F132" i="6"/>
  <c r="F158" i="7" s="1"/>
  <c r="Y81" i="8" s="1"/>
  <c r="F138" i="6"/>
  <c r="F199" i="7" s="1"/>
  <c r="Y97" i="8" s="1"/>
  <c r="F175" i="6"/>
  <c r="G184" i="6"/>
  <c r="F130" i="6"/>
  <c r="F142" i="7" s="1"/>
  <c r="F136" i="6"/>
  <c r="F183" i="7" s="1"/>
  <c r="E130" i="6"/>
  <c r="E142" i="7" s="1"/>
  <c r="E175" i="6"/>
  <c r="F184" i="6"/>
  <c r="E131" i="6"/>
  <c r="E150" i="7" s="1"/>
  <c r="E132" i="6"/>
  <c r="E158" i="7" s="1"/>
  <c r="Y80" i="8" s="1"/>
  <c r="E136" i="6"/>
  <c r="E183" i="7" s="1"/>
  <c r="E138" i="6"/>
  <c r="E199" i="7" s="1"/>
  <c r="Y96" i="8" s="1"/>
  <c r="E134" i="6"/>
  <c r="E174" i="7" s="1"/>
  <c r="E83" i="6"/>
  <c r="E141" i="6" s="1"/>
  <c r="E223" i="7" s="1"/>
  <c r="Y112" i="8" s="1"/>
  <c r="E126" i="6"/>
  <c r="E117" i="7" s="1"/>
  <c r="Y64" i="8" s="1"/>
  <c r="E129" i="6"/>
  <c r="E134" i="7" s="1"/>
  <c r="Y72" i="8" s="1"/>
  <c r="D175" i="6"/>
  <c r="E184" i="6"/>
  <c r="D130" i="6"/>
  <c r="D142" i="7" s="1"/>
  <c r="D136" i="6"/>
  <c r="D183" i="7" s="1"/>
  <c r="D131" i="6"/>
  <c r="D150" i="7" s="1"/>
  <c r="D132" i="6"/>
  <c r="D158" i="7" s="1"/>
  <c r="Y79" i="8" s="1"/>
  <c r="D138" i="6"/>
  <c r="D199" i="7" s="1"/>
  <c r="Y95" i="8" s="1"/>
  <c r="D134" i="6"/>
  <c r="D174" i="7" s="1"/>
  <c r="D126" i="6"/>
  <c r="D117" i="7" s="1"/>
  <c r="Y63" i="8" s="1"/>
  <c r="D129" i="6"/>
  <c r="D134" i="7" s="1"/>
  <c r="Y71" i="8" s="1"/>
  <c r="D83" i="6"/>
  <c r="D141" i="6" s="1"/>
  <c r="D223" i="7" s="1"/>
  <c r="Y111" i="8" s="1"/>
  <c r="H130" i="5"/>
  <c r="H141" i="7" s="1"/>
  <c r="H131" i="5"/>
  <c r="H149" i="7" s="1"/>
  <c r="H132" i="5"/>
  <c r="H157" i="7" s="1"/>
  <c r="X83" i="8" s="1"/>
  <c r="H136" i="5"/>
  <c r="H182" i="7" s="1"/>
  <c r="H138" i="5"/>
  <c r="H198" i="7" s="1"/>
  <c r="X99" i="8" s="1"/>
  <c r="H175" i="5"/>
  <c r="H126" i="5"/>
  <c r="H116" i="7" s="1"/>
  <c r="X67" i="8" s="1"/>
  <c r="H129" i="5"/>
  <c r="H133" i="7" s="1"/>
  <c r="X75" i="8" s="1"/>
  <c r="H134" i="5"/>
  <c r="H173" i="7" s="1"/>
  <c r="H83" i="5"/>
  <c r="H141" i="5" s="1"/>
  <c r="H222" i="7" s="1"/>
  <c r="X115" i="8" s="1"/>
  <c r="G126" i="5"/>
  <c r="G116" i="7" s="1"/>
  <c r="X66" i="8" s="1"/>
  <c r="G129" i="5"/>
  <c r="G133" i="7" s="1"/>
  <c r="X74" i="8" s="1"/>
  <c r="G134" i="5"/>
  <c r="G173" i="7" s="1"/>
  <c r="G83" i="5"/>
  <c r="G141" i="5" s="1"/>
  <c r="G222" i="7" s="1"/>
  <c r="X114" i="8" s="1"/>
  <c r="H184" i="5"/>
  <c r="G130" i="5"/>
  <c r="G141" i="7" s="1"/>
  <c r="G131" i="5"/>
  <c r="G149" i="7" s="1"/>
  <c r="G132" i="5"/>
  <c r="G157" i="7" s="1"/>
  <c r="X82" i="8" s="1"/>
  <c r="G136" i="5"/>
  <c r="G182" i="7" s="1"/>
  <c r="G138" i="5"/>
  <c r="G198" i="7" s="1"/>
  <c r="X98" i="8" s="1"/>
  <c r="G175" i="5"/>
  <c r="F130" i="5"/>
  <c r="F141" i="7" s="1"/>
  <c r="F131" i="5"/>
  <c r="F149" i="7" s="1"/>
  <c r="F132" i="5"/>
  <c r="F157" i="7" s="1"/>
  <c r="X81" i="8" s="1"/>
  <c r="F136" i="5"/>
  <c r="F182" i="7" s="1"/>
  <c r="F138" i="5"/>
  <c r="F198" i="7" s="1"/>
  <c r="X97" i="8" s="1"/>
  <c r="F175" i="5"/>
  <c r="G184" i="5"/>
  <c r="F126" i="5"/>
  <c r="F116" i="7" s="1"/>
  <c r="X65" i="8" s="1"/>
  <c r="F129" i="5"/>
  <c r="F133" i="7" s="1"/>
  <c r="X73" i="8" s="1"/>
  <c r="F134" i="5"/>
  <c r="F173" i="7" s="1"/>
  <c r="F83" i="5"/>
  <c r="F141" i="5" s="1"/>
  <c r="F222" i="7" s="1"/>
  <c r="X113" i="8" s="1"/>
  <c r="E83" i="5"/>
  <c r="E141" i="5" s="1"/>
  <c r="E222" i="7" s="1"/>
  <c r="X112" i="8" s="1"/>
  <c r="E126" i="5"/>
  <c r="E116" i="7" s="1"/>
  <c r="X64" i="8" s="1"/>
  <c r="E129" i="5"/>
  <c r="E133" i="7" s="1"/>
  <c r="X72" i="8" s="1"/>
  <c r="E134" i="5"/>
  <c r="E173" i="7" s="1"/>
  <c r="F184" i="5"/>
  <c r="E130" i="5"/>
  <c r="E141" i="7" s="1"/>
  <c r="E131" i="5"/>
  <c r="E149" i="7" s="1"/>
  <c r="E132" i="5"/>
  <c r="E157" i="7" s="1"/>
  <c r="X80" i="8" s="1"/>
  <c r="E136" i="5"/>
  <c r="E182" i="7" s="1"/>
  <c r="E138" i="5"/>
  <c r="E198" i="7" s="1"/>
  <c r="X96" i="8" s="1"/>
  <c r="E175" i="5"/>
  <c r="H83" i="4"/>
  <c r="H141" i="4" s="1"/>
  <c r="H221" i="7" s="1"/>
  <c r="W115" i="8" s="1"/>
  <c r="H126" i="4"/>
  <c r="H115" i="7" s="1"/>
  <c r="W67" i="8" s="1"/>
  <c r="H129" i="4"/>
  <c r="H132" i="7" s="1"/>
  <c r="W75" i="8" s="1"/>
  <c r="H134" i="4"/>
  <c r="H172" i="7" s="1"/>
  <c r="H130" i="4"/>
  <c r="H140" i="7" s="1"/>
  <c r="H131" i="4"/>
  <c r="H148" i="7" s="1"/>
  <c r="H132" i="4"/>
  <c r="H156" i="7" s="1"/>
  <c r="W83" i="8" s="1"/>
  <c r="H136" i="4"/>
  <c r="H181" i="7" s="1"/>
  <c r="H138" i="4"/>
  <c r="H197" i="7" s="1"/>
  <c r="W99" i="8" s="1"/>
  <c r="H175" i="4"/>
  <c r="G130" i="4"/>
  <c r="G140" i="7" s="1"/>
  <c r="G131" i="4"/>
  <c r="G148" i="7" s="1"/>
  <c r="G132" i="4"/>
  <c r="G156" i="7" s="1"/>
  <c r="W82" i="8" s="1"/>
  <c r="G136" i="4"/>
  <c r="G181" i="7" s="1"/>
  <c r="G138" i="4"/>
  <c r="G197" i="7" s="1"/>
  <c r="W98" i="8" s="1"/>
  <c r="G175" i="4"/>
  <c r="H184" i="4"/>
  <c r="G126" i="4"/>
  <c r="G115" i="7" s="1"/>
  <c r="W66" i="8" s="1"/>
  <c r="G129" i="4"/>
  <c r="G132" i="7" s="1"/>
  <c r="W74" i="8" s="1"/>
  <c r="G134" i="4"/>
  <c r="G172" i="7" s="1"/>
  <c r="G83" i="4"/>
  <c r="G141" i="4" s="1"/>
  <c r="G221" i="7" s="1"/>
  <c r="W114" i="8" s="1"/>
  <c r="F126" i="4"/>
  <c r="F115" i="7" s="1"/>
  <c r="W65" i="8" s="1"/>
  <c r="F129" i="4"/>
  <c r="F132" i="7" s="1"/>
  <c r="W73" i="8" s="1"/>
  <c r="F134" i="4"/>
  <c r="F172" i="7" s="1"/>
  <c r="F83" i="4"/>
  <c r="F141" i="4" s="1"/>
  <c r="F221" i="7" s="1"/>
  <c r="W113" i="8" s="1"/>
  <c r="F130" i="4"/>
  <c r="F140" i="7" s="1"/>
  <c r="F131" i="4"/>
  <c r="F148" i="7" s="1"/>
  <c r="F132" i="4"/>
  <c r="F156" i="7" s="1"/>
  <c r="W81" i="8" s="1"/>
  <c r="F136" i="4"/>
  <c r="F181" i="7" s="1"/>
  <c r="F138" i="4"/>
  <c r="F197" i="7" s="1"/>
  <c r="W97" i="8" s="1"/>
  <c r="F175" i="4"/>
  <c r="G184" i="4"/>
  <c r="E126" i="4"/>
  <c r="E115" i="7" s="1"/>
  <c r="W64" i="8" s="1"/>
  <c r="E129" i="4"/>
  <c r="E132" i="7" s="1"/>
  <c r="W72" i="8" s="1"/>
  <c r="E134" i="4"/>
  <c r="E172" i="7" s="1"/>
  <c r="E83" i="4"/>
  <c r="E141" i="4" s="1"/>
  <c r="E221" i="7" s="1"/>
  <c r="W112" i="8" s="1"/>
  <c r="E130" i="4"/>
  <c r="E140" i="7" s="1"/>
  <c r="E131" i="4"/>
  <c r="E148" i="7" s="1"/>
  <c r="E132" i="4"/>
  <c r="E156" i="7" s="1"/>
  <c r="W80" i="8" s="1"/>
  <c r="E136" i="4"/>
  <c r="E181" i="7" s="1"/>
  <c r="E138" i="4"/>
  <c r="E197" i="7" s="1"/>
  <c r="W96" i="8" s="1"/>
  <c r="E175" i="4"/>
  <c r="F184" i="4"/>
  <c r="D130" i="4"/>
  <c r="D140" i="7" s="1"/>
  <c r="D131" i="4"/>
  <c r="D148" i="7" s="1"/>
  <c r="D132" i="4"/>
  <c r="D156" i="7" s="1"/>
  <c r="W79" i="8" s="1"/>
  <c r="D136" i="4"/>
  <c r="D181" i="7" s="1"/>
  <c r="D138" i="4"/>
  <c r="D197" i="7" s="1"/>
  <c r="W95" i="8" s="1"/>
  <c r="D175" i="4"/>
  <c r="E184" i="4"/>
  <c r="D126" i="4"/>
  <c r="D115" i="7" s="1"/>
  <c r="W63" i="8" s="1"/>
  <c r="D129" i="4"/>
  <c r="D132" i="7" s="1"/>
  <c r="W71" i="8" s="1"/>
  <c r="D134" i="4"/>
  <c r="D172" i="7" s="1"/>
  <c r="D83" i="4"/>
  <c r="D141" i="4" s="1"/>
  <c r="D221" i="7" s="1"/>
  <c r="W111" i="8" s="1"/>
  <c r="H83" i="2"/>
  <c r="H141" i="2" s="1"/>
  <c r="H219" i="7" s="1"/>
  <c r="H126" i="2"/>
  <c r="H113" i="7" s="1"/>
  <c r="H129" i="2"/>
  <c r="H130" i="7" s="1"/>
  <c r="H134" i="2"/>
  <c r="H170" i="7" s="1"/>
  <c r="H130" i="2"/>
  <c r="H138" i="7" s="1"/>
  <c r="H131" i="2"/>
  <c r="H146" i="7" s="1"/>
  <c r="H132" i="2"/>
  <c r="H154" i="7" s="1"/>
  <c r="H136" i="2"/>
  <c r="H179" i="7" s="1"/>
  <c r="H138" i="2"/>
  <c r="H195" i="7" s="1"/>
  <c r="H175" i="2"/>
  <c r="G83" i="2"/>
  <c r="G141" i="2" s="1"/>
  <c r="G219" i="7" s="1"/>
  <c r="G126" i="2"/>
  <c r="G113" i="7" s="1"/>
  <c r="G129" i="2"/>
  <c r="G130" i="7" s="1"/>
  <c r="G134" i="2"/>
  <c r="G170" i="7" s="1"/>
  <c r="U90" i="8"/>
  <c r="G130" i="2"/>
  <c r="G138" i="7" s="1"/>
  <c r="G131" i="2"/>
  <c r="G146" i="7" s="1"/>
  <c r="G132" i="2"/>
  <c r="G154" i="7" s="1"/>
  <c r="G136" i="2"/>
  <c r="G179" i="7" s="1"/>
  <c r="G138" i="2"/>
  <c r="G195" i="7" s="1"/>
  <c r="G175" i="2"/>
  <c r="H184" i="2"/>
  <c r="F126" i="2"/>
  <c r="F113" i="7" s="1"/>
  <c r="F129" i="2"/>
  <c r="F130" i="7" s="1"/>
  <c r="F134" i="2"/>
  <c r="F170" i="7" s="1"/>
  <c r="F83" i="2"/>
  <c r="F141" i="2" s="1"/>
  <c r="F219" i="7" s="1"/>
  <c r="F130" i="2"/>
  <c r="F138" i="7" s="1"/>
  <c r="F131" i="2"/>
  <c r="F146" i="7" s="1"/>
  <c r="F132" i="2"/>
  <c r="F154" i="7" s="1"/>
  <c r="F136" i="2"/>
  <c r="F179" i="7" s="1"/>
  <c r="F138" i="2"/>
  <c r="F195" i="7" s="1"/>
  <c r="F175" i="2"/>
  <c r="G184" i="2"/>
  <c r="U89" i="8"/>
  <c r="E83" i="2"/>
  <c r="E141" i="2" s="1"/>
  <c r="E219" i="7" s="1"/>
  <c r="E126" i="2"/>
  <c r="E113" i="7" s="1"/>
  <c r="E129" i="2"/>
  <c r="E130" i="7" s="1"/>
  <c r="E134" i="2"/>
  <c r="E170" i="7" s="1"/>
  <c r="E130" i="2"/>
  <c r="E138" i="7" s="1"/>
  <c r="E131" i="2"/>
  <c r="E146" i="7" s="1"/>
  <c r="E132" i="2"/>
  <c r="E154" i="7" s="1"/>
  <c r="E136" i="2"/>
  <c r="E179" i="7" s="1"/>
  <c r="E138" i="2"/>
  <c r="E195" i="7" s="1"/>
  <c r="E175" i="2"/>
  <c r="F184" i="2"/>
  <c r="D130" i="2"/>
  <c r="D138" i="7" s="1"/>
  <c r="D131" i="2"/>
  <c r="D146" i="7" s="1"/>
  <c r="D132" i="2"/>
  <c r="D154" i="7" s="1"/>
  <c r="D136" i="2"/>
  <c r="D179" i="7" s="1"/>
  <c r="D138" i="2"/>
  <c r="D195" i="7" s="1"/>
  <c r="D175" i="2"/>
  <c r="E184" i="2"/>
  <c r="D83" i="2"/>
  <c r="D141" i="2" s="1"/>
  <c r="D219" i="7" s="1"/>
  <c r="D126" i="2"/>
  <c r="D113" i="7" s="1"/>
  <c r="D129" i="2"/>
  <c r="D130" i="7" s="1"/>
  <c r="D134" i="2"/>
  <c r="D170" i="7" s="1"/>
  <c r="U87" i="8"/>
  <c r="D88" i="6"/>
  <c r="D133" i="6" s="1"/>
  <c r="D166" i="7" s="1"/>
  <c r="Y87" i="8" s="1"/>
  <c r="H88" i="5"/>
  <c r="H133" i="5" s="1"/>
  <c r="H165" i="7" s="1"/>
  <c r="X91" i="8" s="1"/>
  <c r="D88" i="4"/>
  <c r="D133" i="4" s="1"/>
  <c r="D164" i="7" s="1"/>
  <c r="H88" i="2"/>
  <c r="H133" i="2" s="1"/>
  <c r="H162" i="7" s="1"/>
  <c r="G88" i="6"/>
  <c r="G133" i="6" s="1"/>
  <c r="G166" i="7" s="1"/>
  <c r="F88" i="6"/>
  <c r="F133" i="6" s="1"/>
  <c r="F166" i="7" s="1"/>
  <c r="D175" i="7" l="1"/>
  <c r="E167" i="7"/>
  <c r="Z88" i="8" s="1"/>
  <c r="U88" i="8"/>
  <c r="U115" i="8"/>
  <c r="H224" i="7"/>
  <c r="Z115" i="8" s="1"/>
  <c r="H118" i="7"/>
  <c r="Z67" i="8" s="1"/>
  <c r="U67" i="8"/>
  <c r="U75" i="8"/>
  <c r="H135" i="7"/>
  <c r="Z75" i="8" s="1"/>
  <c r="H159" i="7"/>
  <c r="Z83" i="8" s="1"/>
  <c r="U83" i="8"/>
  <c r="H200" i="7"/>
  <c r="Z99" i="8" s="1"/>
  <c r="U99" i="8"/>
  <c r="U114" i="8"/>
  <c r="G224" i="7"/>
  <c r="Z114" i="8" s="1"/>
  <c r="G118" i="7"/>
  <c r="Z66" i="8" s="1"/>
  <c r="U66" i="8"/>
  <c r="G135" i="7"/>
  <c r="Z74" i="8" s="1"/>
  <c r="U74" i="8"/>
  <c r="G159" i="7"/>
  <c r="Z82" i="8" s="1"/>
  <c r="U82" i="8"/>
  <c r="G200" i="7"/>
  <c r="Z98" i="8" s="1"/>
  <c r="U98" i="8"/>
  <c r="F118" i="7"/>
  <c r="Z65" i="8" s="1"/>
  <c r="U65" i="8"/>
  <c r="F135" i="7"/>
  <c r="Z73" i="8" s="1"/>
  <c r="U73" i="8"/>
  <c r="U113" i="8"/>
  <c r="F224" i="7"/>
  <c r="Z113" i="8" s="1"/>
  <c r="F159" i="7"/>
  <c r="Z81" i="8" s="1"/>
  <c r="U81" i="8"/>
  <c r="F200" i="7"/>
  <c r="Z97" i="8" s="1"/>
  <c r="U97" i="8"/>
  <c r="U112" i="8"/>
  <c r="E224" i="7"/>
  <c r="Z112" i="8" s="1"/>
  <c r="E118" i="7"/>
  <c r="Z64" i="8" s="1"/>
  <c r="U64" i="8"/>
  <c r="U72" i="8"/>
  <c r="E135" i="7"/>
  <c r="Z72" i="8" s="1"/>
  <c r="E159" i="7"/>
  <c r="Z80" i="8" s="1"/>
  <c r="U80" i="8"/>
  <c r="E200" i="7"/>
  <c r="Z96" i="8" s="1"/>
  <c r="U96" i="8"/>
  <c r="C143" i="7"/>
  <c r="D143" i="7"/>
  <c r="C151" i="7"/>
  <c r="D151" i="7"/>
  <c r="C159" i="7"/>
  <c r="D159" i="7"/>
  <c r="Z79" i="8" s="1"/>
  <c r="U79" i="8"/>
  <c r="D184" i="7"/>
  <c r="C184" i="7"/>
  <c r="D200" i="7"/>
  <c r="Z95" i="8" s="1"/>
  <c r="C200" i="7"/>
  <c r="U95" i="8"/>
  <c r="U111" i="8"/>
  <c r="D224" i="7"/>
  <c r="Z111" i="8" s="1"/>
  <c r="U63" i="8"/>
  <c r="D118" i="7"/>
  <c r="Z63" i="8" s="1"/>
  <c r="U71" i="8"/>
  <c r="D135" i="7"/>
  <c r="Z71" i="8" s="1"/>
  <c r="U91" i="8"/>
  <c r="H167" i="7"/>
  <c r="Z91" i="8" s="1"/>
  <c r="H151" i="7"/>
  <c r="G151" i="7"/>
  <c r="G143" i="7"/>
  <c r="G184" i="7"/>
  <c r="F175" i="7"/>
  <c r="F151" i="7"/>
  <c r="H175" i="7"/>
  <c r="H143" i="7"/>
  <c r="H184" i="7"/>
  <c r="G175" i="7"/>
  <c r="F143" i="7"/>
  <c r="F184" i="7"/>
  <c r="E175" i="7"/>
  <c r="E143" i="7"/>
  <c r="E151" i="7"/>
  <c r="E184" i="7"/>
  <c r="W87" i="8"/>
  <c r="C167" i="7"/>
  <c r="D167" i="7"/>
  <c r="Z87" i="8" s="1"/>
  <c r="Y90" i="8"/>
  <c r="G167" i="7"/>
  <c r="Z90" i="8" s="1"/>
  <c r="Y89" i="8"/>
  <c r="F167" i="7"/>
  <c r="Z89" i="8" s="1"/>
</calcChain>
</file>

<file path=xl/sharedStrings.xml><?xml version="1.0" encoding="utf-8"?>
<sst xmlns="http://schemas.openxmlformats.org/spreadsheetml/2006/main" count="1971" uniqueCount="312">
  <si>
    <t>Financial Ratio Analysis of Kohat Cement Company Limited and Its Competitors</t>
  </si>
  <si>
    <t>Course</t>
  </si>
  <si>
    <t>Introduction to Business Finance</t>
  </si>
  <si>
    <t>Institution</t>
  </si>
  <si>
    <t>IBA Karachi</t>
  </si>
  <si>
    <t>Instructor</t>
  </si>
  <si>
    <t>Dr. Noureen Ayaz</t>
  </si>
  <si>
    <t>Companies analysed</t>
  </si>
  <si>
    <t>Symbol</t>
  </si>
  <si>
    <t>Company</t>
  </si>
  <si>
    <t>Role</t>
  </si>
  <si>
    <t>Statements used</t>
  </si>
  <si>
    <t>Sheet</t>
  </si>
  <si>
    <t>KOHC</t>
  </si>
  <si>
    <t>Kohat Cement Company Limited</t>
  </si>
  <si>
    <t>Main company</t>
  </si>
  <si>
    <t>Standalone</t>
  </si>
  <si>
    <t>Open KOHC</t>
  </si>
  <si>
    <t>LUCK</t>
  </si>
  <si>
    <t>Lucky Cement Limited</t>
  </si>
  <si>
    <t>Competitor 1</t>
  </si>
  <si>
    <t>Unconsolidated</t>
  </si>
  <si>
    <t>Open LUCK</t>
  </si>
  <si>
    <t>DGKC</t>
  </si>
  <si>
    <t>D.G. Khan Cement Company Limited</t>
  </si>
  <si>
    <t>Competitor 2</t>
  </si>
  <si>
    <t>Open DGKC</t>
  </si>
  <si>
    <t>MLCF</t>
  </si>
  <si>
    <t>Maple Leaf Cement Factory Limited</t>
  </si>
  <si>
    <t>Competitor 3</t>
  </si>
  <si>
    <t>Open MLCF</t>
  </si>
  <si>
    <t>FCCL</t>
  </si>
  <si>
    <t>Fauji Cement Company Limited</t>
  </si>
  <si>
    <t>Competitor 4</t>
  </si>
  <si>
    <t>Open FCCL</t>
  </si>
  <si>
    <t>Open Industry Averages</t>
  </si>
  <si>
    <t>Open Charts</t>
  </si>
  <si>
    <t>Methodology and calculation choices</t>
  </si>
  <si>
    <t>The analysis uses audited standalone or unconsolidated statements for all five companies. The 27 measures comprise all 19 guideline ratios, four further textbook measures (debt-to-capital, ROIC, BEP and EV/EBITDA), and four class-note measures (NWC, receivables turnover, DIO and BVPS).</t>
  </si>
  <si>
    <t>Inventory and receivables use average opening and closing balances, with audited FY2020 openings for FY2021. Asset turnover and returns use closing net PPE, assets, common equity or invested capital. The same definition applies to all five companies in each comparison.</t>
  </si>
  <si>
    <t>Inventory includes stores, spares and stock-in-trade. Net PPE includes capital work-in-progress. Debt ratio includes all liabilities. Debt-to-equity and debt-to-capital include interest-bearing principal and leases, excluding interest-free funding and accrued interest.</t>
  </si>
  <si>
    <t>EBIT equals profit before levy and tax plus expensed interest, and includes recognized other income. Bank fees and other non-interest finance charges remain expenses. ROIC uses EBIT after the actual audited effective tax rate, with closing interest-bearing debt plus common equity. The tax rate is not capped.</t>
  </si>
  <si>
    <t>Cash includes available cash and audited qualifying equivalents, excluding pledged balances. Borrowings remain in liabilities. EV equals year-end market equity plus book financing and other financing claims, less available cash. Book debt approximates market debt. EBITDA adds audited depreciation and amortization to EBIT once.</t>
  </si>
  <si>
    <t>Market ratios use official PSX closing prices at June 30, or the last trading session before it. Prices, EPS, dividends and shares use compatible bases. KOHC split trading began on August 25, 2025, after FY2025; its June 2025 price remains on the pre-split basis.</t>
  </si>
  <si>
    <t>Negative or non-meaningful observations display n/m under the project guidelines. Signed accounting inputs and workings remain intact, including negative net working capital. Sample means use available numeric observations, exclude n/m, and give each valid company equal weight. They may cover fewer than five companies.</t>
  </si>
  <si>
    <t>The sample includes KOHC and four selected competitors, not the entire cement industry. EPS and BVPS averages are descriptive because share denominations differ. Investment income and different asset and financing structures also affect comparisons.</t>
  </si>
  <si>
    <t>Why company-published ratios may differ</t>
  </si>
  <si>
    <t>Balance and classification choices: companies may use closing instead of average balances, stock-in-trade instead of total inventory, or operating PPE instead of total net PPE. We use the definitions above consistently. MLCF freight reclassifications change gross margin; Lucky published ROE is reproduced using comprehensive income rather than our net income.</t>
  </si>
  <si>
    <t>Profit and market choices: finance cost can include bank fees as well as interest. We use expensed interest for TIE and EBIT. Some company summaries use other share counts or market-price bases. We retain the audited inputs and required PSX year-end price instead of changing a formula to match a published value.</t>
  </si>
  <si>
    <t>Remaining official differences: FCCL has eight asset-turnover table inconsistencies. The exact basis remains unconfirmed for five FCCL P/E, three FCCL DSO, FCCL FY2025 TIE and DGKC FY2021 cash ratio. For example, FCCL FY2025 TIE is (21,525.520 + 5,674.278) / 5,674.278 = 4.79x, versus published 4.84x.</t>
  </si>
  <si>
    <t>The audit records exact inputs, source notes and separate company-convention calculations for all 18 cases. Of 455 current published comparisons, 437 are numerically reconstructed. A numerical fit is not proof of an officially disclosed company formula. Unconfirmed explanations are not presented as facts.</t>
  </si>
  <si>
    <t>References and source policy</t>
  </si>
  <si>
    <t>Accounting sources: the five companies' audited FY2021-FY2025 reports and notes, including audited opening comparatives. Definitions: Project Guidelines pp5-6, Brigham &amp; Houston Chapter 4 Table 4.2, and class Chapter 04 slides 2-8.</t>
  </si>
  <si>
    <t>Official PSX CLOSE sessions: June 30, 2021; June 30, 2022; June 27, 2023; June 28, 2024; June 30, 2025. All original trading evidence and corporate-action checks are retained in the Audit workbook.</t>
  </si>
  <si>
    <t>Official annual-report sources</t>
  </si>
  <si>
    <t>KOHC: https://www.kohatcement.com/financial_reports.aspx</t>
  </si>
  <si>
    <t>LUCK: https://www.lucky-cement.com/investor-relations/downloads/financial-reports/</t>
  </si>
  <si>
    <t>DGKC: https://www.dgcement.com/financial-reports/DGAnnual2025.pdf</t>
  </si>
  <si>
    <t>MLCF: https://www.kmlg.com/mlcfl/financials/</t>
  </si>
  <si>
    <t>FCCL: https://fccl.com.pk/eng/financial-reports/</t>
  </si>
  <si>
    <t>Kohat Cement Company Limited (KOHC)</t>
  </si>
  <si>
    <t>Main company  |  Standalone audited financial statements  |  Years ended 30 June  |  PKR million unless stated</t>
  </si>
  <si>
    <t>FY2020 audited opening balances are retained in the hidden opening column for averages and growth rates.</t>
  </si>
  <si>
    <t>1. Balance Sheet (PKR million)</t>
  </si>
  <si>
    <t>Particulars</t>
  </si>
  <si>
    <t>FY2021</t>
  </si>
  <si>
    <t>FY2022</t>
  </si>
  <si>
    <t>FY2023</t>
  </si>
  <si>
    <t>FY2024</t>
  </si>
  <si>
    <t>FY2025</t>
  </si>
  <si>
    <t>FY2020*</t>
  </si>
  <si>
    <t>Non-current assets</t>
  </si>
  <si>
    <t>Property, plant and equipment</t>
  </si>
  <si>
    <t xml:space="preserve">   of which: capital work-in-progress</t>
  </si>
  <si>
    <t>Right-of-use assets</t>
  </si>
  <si>
    <t>Intangible assets</t>
  </si>
  <si>
    <t>Investment property</t>
  </si>
  <si>
    <t>Long-term investments</t>
  </si>
  <si>
    <t>Other non-current assets</t>
  </si>
  <si>
    <t>Total non-current assets</t>
  </si>
  <si>
    <t>Current assets</t>
  </si>
  <si>
    <t>Stores, spares and loose tools</t>
  </si>
  <si>
    <t>Stock-in-trade</t>
  </si>
  <si>
    <t>Trade debts</t>
  </si>
  <si>
    <t>Short-term investments</t>
  </si>
  <si>
    <t>Cash and bank balances</t>
  </si>
  <si>
    <t>Other current assets</t>
  </si>
  <si>
    <t>Total current assets</t>
  </si>
  <si>
    <t>TOTAL ASSETS</t>
  </si>
  <si>
    <t>Equity</t>
  </si>
  <si>
    <t>Share capital</t>
  </si>
  <si>
    <t>Reserves and retained earnings</t>
  </si>
  <si>
    <t>Total equity</t>
  </si>
  <si>
    <t>Non-current liabilities</t>
  </si>
  <si>
    <t>Long-term financing</t>
  </si>
  <si>
    <t>Lease liabilities</t>
  </si>
  <si>
    <t>Deferred government grant</t>
  </si>
  <si>
    <t>Deferred taxation</t>
  </si>
  <si>
    <t>Other non-current liabilities</t>
  </si>
  <si>
    <t>Total non-current liabilities</t>
  </si>
  <si>
    <t>Current liabilities</t>
  </si>
  <si>
    <t>Trade and other payables</t>
  </si>
  <si>
    <t>Contract liabilities</t>
  </si>
  <si>
    <t>Accrued mark-up</t>
  </si>
  <si>
    <t>Short-term borrowings</t>
  </si>
  <si>
    <t>Current portion of long-term financing</t>
  </si>
  <si>
    <t>Current portion of lease liabilities</t>
  </si>
  <si>
    <t>Current portion of deferred grant</t>
  </si>
  <si>
    <t>Unclaimed / unpaid dividends</t>
  </si>
  <si>
    <t>Taxation - net</t>
  </si>
  <si>
    <t>Other current liabilities</t>
  </si>
  <si>
    <t>Total current liabilities</t>
  </si>
  <si>
    <t>Total liabilities</t>
  </si>
  <si>
    <t>TOTAL EQUITY AND LIABILITIES</t>
  </si>
  <si>
    <t>Supporting balances</t>
  </si>
  <si>
    <t>Trade creditors (payables note)</t>
  </si>
  <si>
    <t>Operating fixed assets (PPE - CWIP)</t>
  </si>
  <si>
    <t>Inventories (stores + stock-in-trade)</t>
  </si>
  <si>
    <t>Interest-bearing debt</t>
  </si>
  <si>
    <t>Long-term interest-bearing debt</t>
  </si>
  <si>
    <t>Invested capital (IBD + equity)</t>
  </si>
  <si>
    <t>Operating current assets</t>
  </si>
  <si>
    <t>Operating current liabilities</t>
  </si>
  <si>
    <t>2. Income Statement (PKR million)</t>
  </si>
  <si>
    <t>Net sales</t>
  </si>
  <si>
    <t>Cost of sales</t>
  </si>
  <si>
    <t>Gross profit</t>
  </si>
  <si>
    <t>Selling and distribution expenses</t>
  </si>
  <si>
    <t>Administrative expenses</t>
  </si>
  <si>
    <t>Impairment loss on financial assets</t>
  </si>
  <si>
    <t>Other operating expenses</t>
  </si>
  <si>
    <t>Core operating profit before other income</t>
  </si>
  <si>
    <t>Other income</t>
  </si>
  <si>
    <t>Finance income</t>
  </si>
  <si>
    <t>Share of profit of associate</t>
  </si>
  <si>
    <t>Finance cost</t>
  </si>
  <si>
    <t>Profit before levies and taxation</t>
  </si>
  <si>
    <t>Levies (final / minimum tax)</t>
  </si>
  <si>
    <t>Income tax</t>
  </si>
  <si>
    <t>Net profit after tax</t>
  </si>
  <si>
    <t>Supporting figures</t>
  </si>
  <si>
    <t>Depreciation and amortization</t>
  </si>
  <si>
    <t>EBIT (PBT plus expensed interest)</t>
  </si>
  <si>
    <t>EBITDA (EBIT plus depreciation/amortization)</t>
  </si>
  <si>
    <t>Bank charges and other non-interest finance cost</t>
  </si>
  <si>
    <t>Interest expense</t>
  </si>
  <si>
    <t>Effective tax rate</t>
  </si>
  <si>
    <t>NOPAT tax rate = actual audited ETR (no cap)</t>
  </si>
  <si>
    <t>NOPAT = EBIT x (1 - tax rate)</t>
  </si>
  <si>
    <t>3. Cash Flow Statement (PKR million)</t>
  </si>
  <si>
    <t>Cash generated from operations</t>
  </si>
  <si>
    <t>Net cash from operating activities</t>
  </si>
  <si>
    <t>Net cash from investing activities</t>
  </si>
  <si>
    <t>Net cash from financing activities</t>
  </si>
  <si>
    <t>Purchase of property, plant and equipment</t>
  </si>
  <si>
    <t>Finance cost paid</t>
  </si>
  <si>
    <t>Dividends paid</t>
  </si>
  <si>
    <t>4. Market Data</t>
  </si>
  <si>
    <t>Par value per share (Rs)</t>
  </si>
  <si>
    <t>Shares outstanding at year-end (million)</t>
  </si>
  <si>
    <t>Weighted average shares (million)</t>
  </si>
  <si>
    <t>FY-end share price (Rs; last PSX close)</t>
  </si>
  <si>
    <t>Cash dividend per share for the year (Rs)</t>
  </si>
  <si>
    <t>Treasury shares excluded (million)</t>
  </si>
  <si>
    <t>5. Ratio Analysis</t>
  </si>
  <si>
    <t>Ratio</t>
  </si>
  <si>
    <t>Formula</t>
  </si>
  <si>
    <t>Short Method Note</t>
  </si>
  <si>
    <t>Liquidity</t>
  </si>
  <si>
    <t>1. Current Ratio</t>
  </si>
  <si>
    <t>Current assets / Current liabilities</t>
  </si>
  <si>
    <t>Closing current assets and liabilities.</t>
  </si>
  <si>
    <t>2. Quick Ratio</t>
  </si>
  <si>
    <t>(Current assets - Inventory) / Current liabilities</t>
  </si>
  <si>
    <t>Stores and stock excluded from current assets.</t>
  </si>
  <si>
    <t>3. Cash Ratio</t>
  </si>
  <si>
    <t>Cash and equivalents / Current liabilities</t>
  </si>
  <si>
    <t>Available cash equivalents; borrowings remain in liabilities.</t>
  </si>
  <si>
    <t>4. Net Working Capital</t>
  </si>
  <si>
    <t>Current assets - Current liabilities</t>
  </si>
  <si>
    <t>Closing balances; signed working capital retained.</t>
  </si>
  <si>
    <t>Asset Management</t>
  </si>
  <si>
    <t>5. Inventory Turnover</t>
  </si>
  <si>
    <t>COGS / Average inventory</t>
  </si>
  <si>
    <t>Average opening and closing stores and stock.</t>
  </si>
  <si>
    <t>6. Receivables Turnover</t>
  </si>
  <si>
    <t>Sales / Average trade receivables</t>
  </si>
  <si>
    <t>Average opening and closing net trade receivables.</t>
  </si>
  <si>
    <t>7. Days Inventory Outstanding</t>
  </si>
  <si>
    <t>365 / Inventory turnover</t>
  </si>
  <si>
    <t>Average inventory; 365 days used.</t>
  </si>
  <si>
    <t>8. Days Sales Outstanding</t>
  </si>
  <si>
    <t>Receivables / (Annual sales / 365)</t>
  </si>
  <si>
    <t>Average receivables; sales proxy; 365 days.</t>
  </si>
  <si>
    <t>9. Fixed Asset Turnover</t>
  </si>
  <si>
    <t>Sales / Net fixed assets</t>
  </si>
  <si>
    <t>Closing net PPE, including CWIP.</t>
  </si>
  <si>
    <t>10. Total Asset Turnover</t>
  </si>
  <si>
    <t>Sales / Total assets</t>
  </si>
  <si>
    <t>Closing total assets used consistently.</t>
  </si>
  <si>
    <t>Debt Management</t>
  </si>
  <si>
    <t>11. Debt Ratio</t>
  </si>
  <si>
    <t>Total liabilities / Total assets</t>
  </si>
  <si>
    <t>All liabilities, including operating payables.</t>
  </si>
  <si>
    <t>12. Debt-to-Equity Ratio</t>
  </si>
  <si>
    <t>Interest-bearing debt / Common equity</t>
  </si>
  <si>
    <t>Interest-bearing principal and leases only.</t>
  </si>
  <si>
    <t>13. Total Debt-to-Total Capital</t>
  </si>
  <si>
    <t>IBD / (IBD + Common equity)</t>
  </si>
  <si>
    <t>Interest-bearing debt plus common equity.</t>
  </si>
  <si>
    <t>14. Times Interest Earned</t>
  </si>
  <si>
    <t>EBIT / Expensed interest</t>
  </si>
  <si>
    <t>Expensed interest, including lease interest.</t>
  </si>
  <si>
    <t>Profitability</t>
  </si>
  <si>
    <t>15. Gross Profit Margin</t>
  </si>
  <si>
    <t>Gross profit / Sales</t>
  </si>
  <si>
    <t>Audited cost-of-sales classification retained.</t>
  </si>
  <si>
    <t>16. Operating Margin</t>
  </si>
  <si>
    <t>EBIT / Sales</t>
  </si>
  <si>
    <t>EBIT includes recognized other income.</t>
  </si>
  <si>
    <t>17. Net Profit Margin</t>
  </si>
  <si>
    <t>Net income / Sales</t>
  </si>
  <si>
    <t>Profit after audited levy and income tax.</t>
  </si>
  <si>
    <t>18. Return on Assets</t>
  </si>
  <si>
    <t>Net income / Total assets</t>
  </si>
  <si>
    <t>Net income over closing total assets.</t>
  </si>
  <si>
    <t>19. Return on Equity</t>
  </si>
  <si>
    <t>Net income / Common equity</t>
  </si>
  <si>
    <t>Net income over closing common equity.</t>
  </si>
  <si>
    <t>20. Return on Invested Capital</t>
  </si>
  <si>
    <t>EBIT x (1 - T) / Invested capital</t>
  </si>
  <si>
    <t>Closing financed capital; actual audited tax rate.</t>
  </si>
  <si>
    <t>21. Basic Earning Power</t>
  </si>
  <si>
    <t>EBIT / Total assets</t>
  </si>
  <si>
    <t>EBIT over closing total assets.</t>
  </si>
  <si>
    <t>Market Value</t>
  </si>
  <si>
    <t>22. Earnings per Share</t>
  </si>
  <si>
    <t>Net income / Weighted ordinary shares</t>
  </si>
  <si>
    <t>Audited weighted shares on compatible price basis.</t>
  </si>
  <si>
    <t>23. Book Value per Share</t>
  </si>
  <si>
    <t>Common equity / Closing shares</t>
  </si>
  <si>
    <t>Closing ordinary shares; treasury shares excluded.</t>
  </si>
  <si>
    <t>24. Price-to-Earnings</t>
  </si>
  <si>
    <t>PSX year-end price / EPS</t>
  </si>
  <si>
    <t>Official PSX year-end price; compatible EPS.</t>
  </si>
  <si>
    <t>25. Market-to-Book</t>
  </si>
  <si>
    <t>PSX year-end price / BVPS</t>
  </si>
  <si>
    <t>Official PSX year-end price; closing BVPS.</t>
  </si>
  <si>
    <t>26. Dividend Yield</t>
  </si>
  <si>
    <t>DPS / PSX year-end price</t>
  </si>
  <si>
    <t>27. Enterprise Value/EBITDA</t>
  </si>
  <si>
    <t>Enterprise value / (EBIT + D&amp;A)</t>
  </si>
  <si>
    <t>Book debt approximates market financing value.</t>
  </si>
  <si>
    <t>27 measures: 19 mandatory, four further textbook measures and four selected class-PPT additions.</t>
  </si>
  <si>
    <t>Average inventory/receivables; closing assets, equity and invested capital. The same basis applies to every company.</t>
  </si>
  <si>
    <t>n/m: negative or non-meaningful results; excluded from sample means and charts. Signed source amounts remain intact.</t>
  </si>
  <si>
    <t>6. Vertical Analysis (common-size)</t>
  </si>
  <si>
    <t>Balance sheet - % of total assets</t>
  </si>
  <si>
    <t>Inventories</t>
  </si>
  <si>
    <t>Income statement - % of net sales</t>
  </si>
  <si>
    <t>Operating expenses</t>
  </si>
  <si>
    <t>Core operating profit</t>
  </si>
  <si>
    <t>Levies and income tax</t>
  </si>
  <si>
    <t>7. Horizontal Analysis (year-on-year change)</t>
  </si>
  <si>
    <t>Growth over previous year (%)</t>
  </si>
  <si>
    <t>Total assets</t>
  </si>
  <si>
    <t>n/m covers negative/undefined measures and growth percentages. Signed financial statements and common-size expense presentation preserve accounting signs.</t>
  </si>
  <si>
    <t>Financing classification (PKR million)</t>
  </si>
  <si>
    <t>Interest-free parent loan excluded from IBD</t>
  </si>
  <si>
    <t>Accrued interest within financing balances</t>
  </si>
  <si>
    <t>Related operating supplier payable (included above)</t>
  </si>
  <si>
    <t>Sources: KOHC FY2025 note 6.1 (PDF p89); FCCL FY2025 note 11 (PDF p268), FY2024 note 10; MLCF trade-payable and related-party notes.</t>
  </si>
  <si>
    <t>FY2020 audited openings are retained; the official source has a one-rupee asset-subtotal footing difference.</t>
  </si>
  <si>
    <t>Enterprise value workings (PKR million)</t>
  </si>
  <si>
    <t>Available cash and cash equivalents</t>
  </si>
  <si>
    <t>Other financing claims</t>
  </si>
  <si>
    <t>Market value of ordinary equity</t>
  </si>
  <si>
    <t>Enterprise value</t>
  </si>
  <si>
    <t>Qualifying short-term cash equivalents</t>
  </si>
  <si>
    <t>Pledged / restricted balances excluded</t>
  </si>
  <si>
    <t>Debt uses book principal and leases as a market-value proxy; other claims include interest-free financing and accrued interest.</t>
  </si>
  <si>
    <t>Cash uses audited eligible components before borrowing netting. No preference shares or non-controlling interests arise in these standalone statements.</t>
  </si>
  <si>
    <t>Lucky Cement Limited (LUCK)</t>
  </si>
  <si>
    <t>Competitor 1  |  Unconsolidated audited financial statements  |  Years ended 30 June  |  PKR million unless stated</t>
  </si>
  <si>
    <t>FY2020 deferred tax follows note24.2, resolving the0.400m statement-face typo. FY2021 D&amp;A includes10.653m amortization.</t>
  </si>
  <si>
    <t>D.G. Khan Cement Company Limited (DGKC)</t>
  </si>
  <si>
    <t>Competitor 2  |  Unconsolidated audited financial statements  |  Years ended 30 June  |  PKR million unless stated</t>
  </si>
  <si>
    <t>NWC n/m FY2021-23: CA&lt;CL. FY2023 loss and negative NOPAT cause n/m earnings/returns; P/E is undefined with a loss. Actual ETR214.97% retained.</t>
  </si>
  <si>
    <t>Maple Leaf Cement Factory Limited (MLCF)</t>
  </si>
  <si>
    <t>Competitor 3  |  Unconsolidated audited financial statements  |  Years ended 30 June  |  PKR million unless stated</t>
  </si>
  <si>
    <t>Fauji Cement Company Limited (FCCL)</t>
  </si>
  <si>
    <t>Competitor 4  |  Standalone audited financial statements  |  Years ended 30 June  |  PKR million unless stated</t>
  </si>
  <si>
    <t>NWC n/m FY2023/24: CA&lt;CL. FY2022 Askari merger creates a structural break in average balances; audited standalone figures are retained.</t>
  </si>
  <si>
    <t>Industry Averages - 27 measures</t>
  </si>
  <si>
    <t>Sample means are equal-weight arithmetic averages of available numeric observations. n/m is excluded, so some means use fewer than five companies. These are not weighted by company size.</t>
  </si>
  <si>
    <t>LIQUIDITY</t>
  </si>
  <si>
    <t>Five-company average</t>
  </si>
  <si>
    <t>ASSET MANAGEMENT</t>
  </si>
  <si>
    <t>DEBT MANAGEMENT</t>
  </si>
  <si>
    <t>PROFITABILITY</t>
  </si>
  <si>
    <t>MARKET VALUE</t>
  </si>
  <si>
    <t>Cash dividend on matching share basis.</t>
  </si>
  <si>
    <t>Five-company comparison - selected measures</t>
  </si>
  <si>
    <t>Native charts link to the 27-measure calculations. Dashed line: sample mean. Non-meaningful observations are omitted.</t>
  </si>
  <si>
    <t>FY</t>
  </si>
  <si>
    <t>Sample mean</t>
  </si>
  <si>
    <t>Group members / ERPs</t>
  </si>
  <si>
    <t>Abdullah Khan Sherwani - ERP 27880
Immaduddin Durrani - ERP 29204
Raahin Tajuddin - ERP 29207
Zuhair Merchant - ERP 29021
Arba - ERP 32571</t>
  </si>
  <si>
    <t>FY2021-FY2025:
(No dividend paid)</t>
  </si>
  <si>
    <t>FY2021-FY2022:
(No dividend paid)</t>
  </si>
  <si>
    <t>FY2023-FY2024:
(No dividend paid)</t>
  </si>
  <si>
    <t>FY2021-FY2023:
(No dividend paid)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</si>
</sst>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5" formatCode="0.0%;\(0.0%\)"/>
    <numFmt numFmtId="166" formatCode="#,##0.00;\(#,##0.00\)"/>
    <numFmt numFmtId="167" formatCode="#,##0.0"/>
    <numFmt numFmtId="168" formatCode="0.00&quot;x&quot;;\(0.00\)&quot;x&quot;;&quot;-&quot;"/>
    <numFmt numFmtId="169" formatCode="#,##0.00;\(#,##0.00\);&quot;-&quot;"/>
    <numFmt numFmtId="170" formatCode="0;[Red]\(0\);&quot;-&quot;"/>
    <numFmt numFmtId="171" formatCode="0.00%;\(0.00%\);&quot;-&quot;"/>
    <numFmt numFmtId="172" formatCode="0.00;\(0.00\);&quot;-&quot;"/>
    <numFmt numFmtId="173" formatCode="#,##0.000;\(#,##0.000\);&quot;-&quot;"/>
    <numFmt numFmtId="174" formatCode="0.00%;\(0.00%\);0.00%"/>
    <numFmt numFmtId="175" formatCode="0.00;\(0.00\);0.00"/>
  </numFmts>
  <fonts count="24" x14ac:knownFonts="1">
    <font>
      <sz val="11"/>
      <color theme="1"/>
      <name val="Calibri"/>
      <family val="2"/>
    </font>
    <font>
      <sz val="10"/>
      <name val="Arial"/>
    </font>
    <font>
      <b/>
      <sz val="16"/>
      <color rgb="FF1E4D3A"/>
      <name val="Cambria"/>
    </font>
    <font>
      <sz val="12"/>
      <color rgb="FF595959"/>
      <name val="Cambria"/>
    </font>
    <font>
      <b/>
      <sz val="10"/>
      <color rgb="FF262626"/>
      <name val="Calibri"/>
    </font>
    <font>
      <b/>
      <sz val="12"/>
      <color rgb="FFFFFFFF"/>
      <name val="Cambria"/>
    </font>
    <font>
      <u/>
      <sz val="10"/>
      <color rgb="FF1F5C99"/>
      <name val="Calibri"/>
    </font>
    <font>
      <sz val="10"/>
      <color rgb="FF262626"/>
      <name val="Calibri"/>
    </font>
    <font>
      <i/>
      <sz val="9"/>
      <color rgb="FF595959"/>
      <name val="Calibri"/>
    </font>
    <font>
      <i/>
      <sz val="10"/>
      <color rgb="FF595959"/>
      <name val="Calibri"/>
    </font>
    <font>
      <b/>
      <sz val="10"/>
      <color rgb="FF1E4D3A"/>
      <name val="Calibri"/>
    </font>
    <font>
      <b/>
      <sz val="11"/>
      <color rgb="FF204F3D"/>
      <name val="Calibri"/>
      <family val="2"/>
    </font>
    <font>
      <i/>
      <sz val="9"/>
      <color rgb="FF58675E"/>
      <name val="Calibri"/>
      <family val="2"/>
    </font>
    <font>
      <sz val="11"/>
      <color rgb="FF172C25"/>
      <name val="Calibri"/>
      <family val="2"/>
    </font>
    <font>
      <b/>
      <sz val="11"/>
      <color rgb="FF172C25"/>
      <name val="Calibri"/>
      <family val="2"/>
    </font>
    <font>
      <sz val="10"/>
      <color rgb="FF595959"/>
      <name val="Calibri"/>
      <family val="2"/>
    </font>
    <font>
      <i/>
      <sz val="10"/>
      <color rgb="FF58675E"/>
      <name val="Calibri"/>
      <family val="2"/>
    </font>
    <font>
      <b/>
      <sz val="16"/>
      <color rgb="FF204F3D"/>
      <name val="Calibri"/>
      <family val="2"/>
    </font>
    <font>
      <b/>
      <sz val="11"/>
      <color rgb="FFFFFFFF"/>
      <name val="Calibri"/>
      <family val="2"/>
    </font>
    <font>
      <b/>
      <sz val="10"/>
      <color rgb="FF204F3D"/>
      <name val="Calibri"/>
      <family val="2"/>
    </font>
    <font>
      <sz val="11"/>
      <color rgb="FF172C25"/>
      <name val="Calibri"/>
    </font>
    <font>
      <sz val="11"/>
      <color rgb="FF172C25"/>
      <name val="Calibri"/>
      <family val="2"/>
    </font>
    <font>
      <b/>
      <sz val="12"/>
      <color rgb="FF204F3D"/>
      <name val="Calibri"/>
    </font>
    <font>
      <b/>
      <sz val="12"/>
      <color rgb="FF204F3D"/>
      <name val="Calibri"/>
      <family val="2"/>
    </font>
  </fonts>
  <fills count="14">
    <fill>
      <patternFill patternType="none"/>
    </fill>
    <fill>
      <patternFill patternType="gray125"/>
    </fill>
    <fill>
      <patternFill patternType="solid">
        <fgColor rgb="FF1E4D3A"/>
      </patternFill>
    </fill>
    <fill>
      <patternFill patternType="solid">
        <fgColor rgb="FFDCE6D7"/>
      </patternFill>
    </fill>
    <fill>
      <patternFill patternType="solid">
        <fgColor rgb="FFEEF3EC"/>
      </patternFill>
    </fill>
    <fill>
      <patternFill patternType="solid">
        <fgColor rgb="FFF2F2F2"/>
      </patternFill>
    </fill>
    <fill>
      <patternFill patternType="solid">
        <fgColor rgb="FFEDF3EC"/>
      </patternFill>
    </fill>
    <fill>
      <patternFill patternType="solid">
        <fgColor rgb="FFDDE8D8"/>
      </patternFill>
    </fill>
    <fill>
      <patternFill patternType="solid">
        <fgColor rgb="FFEDF3EC"/>
      </patternFill>
    </fill>
    <fill>
      <patternFill patternType="solid">
        <fgColor rgb="FF204F3D"/>
      </patternFill>
    </fill>
    <fill>
      <patternFill patternType="solid">
        <fgColor rgb="FFF0F5F1"/>
      </patternFill>
    </fill>
    <fill>
      <patternFill patternType="solid">
        <fgColor rgb="FFE5EDE3"/>
      </patternFill>
    </fill>
    <fill>
      <patternFill patternType="solid">
        <fgColor rgb="FFFFFFFF"/>
      </patternFill>
    </fill>
    <fill>
      <patternFill patternType="solid">
        <fgColor rgb="FFEDF3EC"/>
      </patternFill>
    </fill>
  </fills>
  <borders count="8">
    <border>
      <left/>
      <right/>
      <top/>
      <bottom/>
      <diagonal/>
    </border>
    <border>
      <left style="thin">
        <color rgb="FFC9CFC6"/>
      </left>
      <right style="thin">
        <color rgb="FFC9CFC6"/>
      </right>
      <top style="thin">
        <color rgb="FFC9CFC6"/>
      </top>
      <bottom style="thin">
        <color rgb="FFC9CFC6"/>
      </bottom>
      <diagonal/>
    </border>
    <border>
      <left style="thin">
        <color rgb="FFC9CFC6"/>
      </left>
      <right style="thin">
        <color rgb="FFC9CFC6"/>
      </right>
      <top style="hair">
        <color rgb="FFC9CFC6"/>
      </top>
      <bottom style="hair">
        <color rgb="FFC9CFC6"/>
      </bottom>
      <diagonal/>
    </border>
    <border>
      <left style="thin">
        <color rgb="FFC9CFC6"/>
      </left>
      <right/>
      <top style="thin">
        <color rgb="FFC9CFC6"/>
      </top>
      <bottom style="thin">
        <color rgb="FFC9CFC6"/>
      </bottom>
      <diagonal/>
    </border>
    <border>
      <left/>
      <right style="thin">
        <color rgb="FFC9CFC6"/>
      </right>
      <top style="thin">
        <color rgb="FFC9CFC6"/>
      </top>
      <bottom style="thin">
        <color rgb="FFC9CFC6"/>
      </bottom>
      <diagonal/>
    </border>
    <border>
      <left style="thin">
        <color rgb="FFC9CFC6"/>
      </left>
      <right/>
      <top style="hair">
        <color rgb="FFC9CFC6"/>
      </top>
      <bottom style="hair">
        <color rgb="FFC9CFC6"/>
      </bottom>
      <diagonal/>
    </border>
    <border>
      <left/>
      <right style="thin">
        <color rgb="FFC9CFC6"/>
      </right>
      <top style="hair">
        <color rgb="FFC9CFC6"/>
      </top>
      <bottom style="hair">
        <color rgb="FFC9CFC6"/>
      </bottom>
      <diagonal/>
    </border>
    <border>
      <left/>
      <right/>
      <top/>
      <bottom style="hair">
        <color rgb="FFD2DBD3"/>
      </bottom>
      <diagonal/>
    </border>
  </borders>
  <cellStyleXfs count="6">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95">
    <xf numFmtId="0" fontId="0" fillId="0" borderId="0" xfId="0"/>
    <xf numFmtId="0" fontId="4" fillId="0" borderId="0" xfId="0" applyFont="1"/>
    <xf numFmtId="0" fontId="5" fillId="2" borderId="0" xfId="0" applyFont="1" applyFill="1"/>
    <xf numFmtId="0" fontId="0" fillId="2" borderId="0" xfId="0" applyFill="1"/>
    <xf numFmtId="0" fontId="4" fillId="3" borderId="1" xfId="0" applyFont="1" applyFill="1" applyBorder="1"/>
    <xf numFmtId="0" fontId="4" fillId="0" borderId="2" xfId="0" applyFont="1" applyBorder="1"/>
    <xf numFmtId="0" fontId="6" fillId="0" borderId="2" xfId="0" applyFont="1" applyBorder="1"/>
    <xf numFmtId="0" fontId="7" fillId="0" borderId="2" xfId="0" applyFont="1" applyBorder="1"/>
    <xf numFmtId="0" fontId="6" fillId="0" borderId="0" xfId="0" applyFont="1"/>
    <xf numFmtId="0" fontId="4" fillId="3" borderId="1" xfId="0" applyFont="1" applyFill="1" applyBorder="1" applyAlignment="1">
      <alignment horizontal="center" vertical="center"/>
    </xf>
    <xf numFmtId="0" fontId="0" fillId="4" borderId="0" xfId="0" applyFill="1"/>
    <xf numFmtId="164" fontId="7" fillId="0" borderId="2" xfId="0" applyNumberFormat="1" applyFont="1" applyBorder="1"/>
    <xf numFmtId="164" fontId="4" fillId="5" borderId="2" xfId="0" applyNumberFormat="1" applyFont="1" applyFill="1" applyBorder="1"/>
    <xf numFmtId="0" fontId="0" fillId="5" borderId="2" xfId="0" applyFill="1" applyBorder="1"/>
    <xf numFmtId="165" fontId="7" fillId="0" borderId="2" xfId="0" applyNumberFormat="1" applyFont="1" applyBorder="1"/>
    <xf numFmtId="166" fontId="7" fillId="0" borderId="2" xfId="0" applyNumberFormat="1" applyFont="1" applyBorder="1"/>
    <xf numFmtId="167" fontId="7" fillId="0" borderId="2" xfId="0" applyNumberFormat="1" applyFont="1" applyBorder="1"/>
    <xf numFmtId="165" fontId="0" fillId="0" borderId="2" xfId="0" applyNumberFormat="1" applyBorder="1" applyAlignment="1">
      <alignment horizontal="right"/>
    </xf>
    <xf numFmtId="0" fontId="4" fillId="3" borderId="1" xfId="0" applyFont="1" applyFill="1" applyBorder="1" applyAlignment="1">
      <alignment horizontal="center"/>
    </xf>
    <xf numFmtId="165" fontId="0" fillId="0" borderId="2" xfId="0" applyNumberFormat="1" applyBorder="1"/>
    <xf numFmtId="173" fontId="0" fillId="0" borderId="0" xfId="0" applyNumberFormat="1"/>
    <xf numFmtId="173" fontId="12" fillId="0" borderId="0" xfId="0" applyNumberFormat="1" applyFont="1"/>
    <xf numFmtId="49" fontId="2" fillId="0" borderId="0" xfId="0" applyNumberFormat="1" applyFont="1"/>
    <xf numFmtId="49" fontId="0" fillId="0" borderId="0" xfId="0" applyNumberFormat="1"/>
    <xf numFmtId="49" fontId="9" fillId="0" borderId="0" xfId="0" applyNumberFormat="1" applyFont="1"/>
    <xf numFmtId="49" fontId="8" fillId="0" borderId="0" xfId="0" applyNumberFormat="1" applyFont="1"/>
    <xf numFmtId="49" fontId="5" fillId="2" borderId="0" xfId="0" applyNumberFormat="1" applyFont="1" applyFill="1"/>
    <xf numFmtId="49" fontId="0" fillId="2" borderId="0" xfId="0" applyNumberFormat="1" applyFill="1"/>
    <xf numFmtId="49" fontId="4" fillId="3" borderId="3" xfId="0" applyNumberFormat="1" applyFont="1" applyFill="1" applyBorder="1" applyAlignment="1">
      <alignment horizontal="left" vertical="center"/>
    </xf>
    <xf numFmtId="49" fontId="4" fillId="3" borderId="4" xfId="0" applyNumberFormat="1" applyFont="1" applyFill="1" applyBorder="1" applyAlignment="1">
      <alignment horizontal="left" vertical="center"/>
    </xf>
    <xf numFmtId="49" fontId="10" fillId="4" borderId="0" xfId="0" applyNumberFormat="1" applyFont="1" applyFill="1"/>
    <xf numFmtId="49" fontId="0" fillId="4" borderId="0" xfId="0" applyNumberFormat="1" applyFill="1"/>
    <xf numFmtId="49" fontId="7" fillId="0" borderId="5" xfId="0" applyNumberFormat="1" applyFont="1" applyBorder="1"/>
    <xf numFmtId="49" fontId="0" fillId="0" borderId="6" xfId="0" applyNumberFormat="1" applyBorder="1"/>
    <xf numFmtId="49" fontId="4" fillId="5" borderId="5" xfId="0" applyNumberFormat="1" applyFont="1" applyFill="1" applyBorder="1"/>
    <xf numFmtId="49" fontId="0" fillId="5" borderId="6" xfId="0" applyNumberFormat="1" applyFill="1" applyBorder="1"/>
    <xf numFmtId="49" fontId="0" fillId="0" borderId="2" xfId="0" applyNumberFormat="1" applyBorder="1"/>
    <xf numFmtId="49" fontId="12" fillId="0" borderId="0" xfId="0" applyNumberFormat="1" applyFont="1"/>
    <xf numFmtId="49" fontId="4" fillId="3" borderId="1" xfId="0" applyNumberFormat="1" applyFont="1" applyFill="1" applyBorder="1" applyAlignment="1">
      <alignment horizontal="left"/>
    </xf>
    <xf numFmtId="0" fontId="13" fillId="0" borderId="0" xfId="0" applyFont="1"/>
    <xf numFmtId="0" fontId="13" fillId="0" borderId="0" xfId="0" applyFont="1" applyAlignment="1">
      <alignment vertical="center"/>
    </xf>
    <xf numFmtId="0" fontId="14" fillId="7" borderId="0" xfId="0" applyFont="1" applyFill="1" applyAlignment="1">
      <alignment vertical="center"/>
    </xf>
    <xf numFmtId="0" fontId="13" fillId="0" borderId="7" xfId="0" applyFont="1" applyBorder="1" applyAlignment="1">
      <alignment vertical="center"/>
    </xf>
    <xf numFmtId="0" fontId="15" fillId="0" borderId="7" xfId="0" applyFont="1" applyBorder="1" applyAlignment="1">
      <alignment vertical="center" wrapText="1"/>
    </xf>
    <xf numFmtId="0" fontId="16" fillId="0" borderId="0" xfId="0" applyFont="1" applyAlignment="1">
      <alignment vertical="center"/>
    </xf>
    <xf numFmtId="168" fontId="13" fillId="0" borderId="7" xfId="0" applyNumberFormat="1" applyFont="1" applyBorder="1" applyAlignment="1">
      <alignment horizontal="right" vertical="center"/>
    </xf>
    <xf numFmtId="169" fontId="13" fillId="0" borderId="7" xfId="0" applyNumberFormat="1" applyFont="1" applyBorder="1" applyAlignment="1">
      <alignment horizontal="right" vertical="center"/>
    </xf>
    <xf numFmtId="170" fontId="13" fillId="0" borderId="7" xfId="0" applyNumberFormat="1" applyFont="1" applyBorder="1" applyAlignment="1">
      <alignment horizontal="right" vertical="center"/>
    </xf>
    <xf numFmtId="171" fontId="13" fillId="0" borderId="7" xfId="0" applyNumberFormat="1" applyFont="1" applyBorder="1" applyAlignment="1">
      <alignment horizontal="right" vertical="center"/>
    </xf>
    <xf numFmtId="172" fontId="13" fillId="0" borderId="7" xfId="0" applyNumberFormat="1" applyFont="1" applyBorder="1" applyAlignment="1">
      <alignment horizontal="right" vertical="center"/>
    </xf>
    <xf numFmtId="0" fontId="16" fillId="0" borderId="0" xfId="0" applyFont="1"/>
    <xf numFmtId="169" fontId="0" fillId="0" borderId="0" xfId="0" applyNumberFormat="1"/>
    <xf numFmtId="0" fontId="17" fillId="0" borderId="0" xfId="0" applyFont="1" applyAlignment="1">
      <alignment vertical="center"/>
    </xf>
    <xf numFmtId="0" fontId="18" fillId="9" borderId="0" xfId="0" applyFont="1" applyFill="1" applyAlignment="1">
      <alignment vertical="center"/>
    </xf>
    <xf numFmtId="0" fontId="14" fillId="10" borderId="0" xfId="0" applyFont="1" applyFill="1" applyAlignment="1">
      <alignment vertical="center"/>
    </xf>
    <xf numFmtId="0" fontId="15" fillId="10" borderId="0" xfId="0" applyFont="1" applyFill="1" applyAlignment="1">
      <alignment vertical="center" wrapText="1"/>
    </xf>
    <xf numFmtId="0" fontId="11" fillId="11" borderId="0" xfId="0" applyFont="1" applyFill="1" applyAlignment="1">
      <alignment vertical="center"/>
    </xf>
    <xf numFmtId="0" fontId="17" fillId="0" borderId="0" xfId="0" applyFont="1"/>
    <xf numFmtId="0" fontId="13" fillId="10" borderId="0" xfId="0" applyFont="1" applyFill="1" applyAlignment="1">
      <alignment horizontal="right" vertical="center"/>
    </xf>
    <xf numFmtId="168" fontId="13" fillId="0" borderId="0" xfId="0" applyNumberFormat="1" applyFont="1" applyAlignment="1">
      <alignment horizontal="right" vertical="center"/>
    </xf>
    <xf numFmtId="168" fontId="11" fillId="11" borderId="0" xfId="0" applyNumberFormat="1" applyFont="1" applyFill="1" applyAlignment="1">
      <alignment horizontal="right" vertical="center"/>
    </xf>
    <xf numFmtId="0" fontId="13" fillId="0" borderId="0" xfId="0" applyFont="1" applyAlignment="1">
      <alignment horizontal="right" vertical="center"/>
    </xf>
    <xf numFmtId="169" fontId="13" fillId="0" borderId="0" xfId="0" applyNumberFormat="1" applyFont="1" applyAlignment="1">
      <alignment horizontal="right" vertical="center"/>
    </xf>
    <xf numFmtId="169" fontId="11" fillId="11" borderId="0" xfId="0" applyNumberFormat="1" applyFont="1" applyFill="1" applyAlignment="1">
      <alignment horizontal="right" vertical="center"/>
    </xf>
    <xf numFmtId="170" fontId="13" fillId="0" borderId="0" xfId="0" applyNumberFormat="1" applyFont="1" applyAlignment="1">
      <alignment horizontal="right" vertical="center"/>
    </xf>
    <xf numFmtId="170" fontId="11" fillId="11" borderId="0" xfId="0" applyNumberFormat="1" applyFont="1" applyFill="1" applyAlignment="1">
      <alignment horizontal="right" vertical="center"/>
    </xf>
    <xf numFmtId="171" fontId="13" fillId="0" borderId="0" xfId="0" applyNumberFormat="1" applyFont="1" applyAlignment="1">
      <alignment horizontal="right" vertical="center"/>
    </xf>
    <xf numFmtId="171" fontId="11" fillId="11" borderId="0" xfId="0" applyNumberFormat="1" applyFont="1" applyFill="1" applyAlignment="1">
      <alignment horizontal="right" vertical="center"/>
    </xf>
    <xf numFmtId="172" fontId="13" fillId="0" borderId="0" xfId="0" applyNumberFormat="1" applyFont="1" applyAlignment="1">
      <alignment horizontal="right" vertical="center"/>
    </xf>
    <xf numFmtId="172" fontId="11" fillId="11" borderId="0" xfId="0" applyNumberFormat="1" applyFont="1" applyFill="1" applyAlignment="1">
      <alignment horizontal="right" vertical="center"/>
    </xf>
    <xf numFmtId="0" fontId="19" fillId="11" borderId="0" xfId="0" applyFont="1" applyFill="1" applyAlignment="1">
      <alignment vertical="center" wrapText="1"/>
    </xf>
    <xf numFmtId="0" fontId="21" fillId="12" borderId="0" xfId="0" applyFont="1" applyFill="1"/>
    <xf numFmtId="0" fontId="21" fillId="12" borderId="0" xfId="0" applyFont="1" applyFill="1" applyAlignment="1">
      <alignment vertical="top" wrapText="1"/>
    </xf>
    <xf numFmtId="174" fontId="13" fillId="0" borderId="7" xfId="0" applyNumberFormat="1" applyFont="1" applyBorder="1" applyAlignment="1">
      <alignment horizontal="right" vertical="center"/>
    </xf>
    <xf numFmtId="175" fontId="7" fillId="0" borderId="2" xfId="0" applyNumberFormat="1" applyFont="1" applyBorder="1"/>
    <xf numFmtId="174" fontId="13" fillId="0" borderId="0" xfId="0" applyNumberFormat="1" applyFont="1" applyAlignment="1">
      <alignment horizontal="right" vertical="center"/>
    </xf>
    <xf numFmtId="0" fontId="15" fillId="0" borderId="0" xfId="0" applyFont="1" applyAlignment="1">
      <alignment vertical="center" wrapText="1"/>
    </xf>
    <xf numFmtId="0" fontId="4" fillId="0" borderId="0" xfId="0" applyFont="1" applyAlignment="1">
      <alignment vertical="center"/>
    </xf>
    <xf numFmtId="0" fontId="21" fillId="12" borderId="0" xfId="0" applyFont="1" applyFill="1" applyAlignment="1">
      <alignment vertical="top" wrapText="1"/>
    </xf>
    <xf numFmtId="0" fontId="13" fillId="0" borderId="0" xfId="0" applyFont="1" applyAlignment="1">
      <alignment horizontal="left" vertical="center" wrapText="1"/>
    </xf>
    <xf numFmtId="0" fontId="23" fillId="13" borderId="0" xfId="0" applyFont="1" applyFill="1" applyAlignment="1">
      <alignment vertical="top" wrapText="1"/>
    </xf>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20" fillId="12" borderId="0" xfId="0" applyFont="1" applyFill="1" applyAlignment="1">
      <alignment vertical="top" wrapText="1"/>
    </xf>
    <xf numFmtId="0" fontId="22" fillId="13" borderId="0" xfId="0" applyFont="1" applyFill="1" applyAlignment="1">
      <alignment vertical="top" wrapText="1"/>
    </xf>
    <xf numFmtId="0" fontId="11" fillId="8" borderId="0" xfId="0" applyFont="1" applyFill="1"/>
    <xf numFmtId="49" fontId="12" fillId="0" borderId="0" xfId="0" applyNumberFormat="1" applyFont="1" applyAlignment="1">
      <alignment wrapText="1"/>
    </xf>
    <xf numFmtId="0" fontId="12" fillId="0" borderId="0" xfId="0" applyFont="1" applyAlignment="1">
      <alignment wrapText="1"/>
    </xf>
    <xf numFmtId="49" fontId="11" fillId="6" borderId="0" xfId="0" applyNumberFormat="1" applyFont="1" applyFill="1"/>
    <xf numFmtId="0" fontId="11" fillId="6" borderId="0" xfId="0" applyFont="1" applyFill="1"/>
    <xf numFmtId="0" fontId="11" fillId="8" borderId="0" xfId="0" applyFont="1" applyFill="1" applyAlignment="1">
      <alignment vertical="center"/>
    </xf>
    <xf numFmtId="0" fontId="11" fillId="8" borderId="0" xfId="0" applyFont="1" applyFill="1" applyAlignment="1">
      <alignment horizontal="right" vertical="center"/>
    </xf>
    <xf numFmtId="0" fontId="11" fillId="6" borderId="0" xfId="0" applyFont="1" applyFill="1" applyAlignment="1">
      <alignment horizontal="right" vertical="center"/>
    </xf>
    <xf numFmtId="0" fontId="13" fillId="0" borderId="0" xfId="0" applyFont="1" applyAlignment="1">
      <alignment vertical="center" wrapText="1"/>
    </xf>
  </cellXfs>
  <cellStyles count="6">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Percent" xfId="5" xr:uid="{00000000-0005-0000-0000-000005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08D57"/>
      <rgbColor rgb="FF800080"/>
      <rgbColor rgb="FF008080"/>
      <rgbColor rgb="FFC9CFC6"/>
      <rgbColor rgb="FF878787"/>
      <rgbColor rgb="FF8FA98A"/>
      <rgbColor rgb="FFA35D5D"/>
      <rgbColor rgb="FFEEF3EC"/>
      <rgbColor rgb="FFF2F2F2"/>
      <rgbColor rgb="FF660066"/>
      <rgbColor rgb="FFFF8080"/>
      <rgbColor rgb="FF1F5C99"/>
      <rgbColor rgb="FFD9D9D9"/>
      <rgbColor rgb="FF000080"/>
      <rgbColor rgb="FFFF00FF"/>
      <rgbColor rgb="FFFFFF00"/>
      <rgbColor rgb="FF00FFFF"/>
      <rgbColor rgb="FF800080"/>
      <rgbColor rgb="FF800000"/>
      <rgbColor rgb="FF008080"/>
      <rgbColor rgb="FF0000FF"/>
      <rgbColor rgb="FF00CCFF"/>
      <rgbColor rgb="FFCCFFFF"/>
      <rgbColor rgb="FFDCE6D7"/>
      <rgbColor rgb="FFFFFF99"/>
      <rgbColor rgb="FF99CCFF"/>
      <rgbColor rgb="FFFF99CC"/>
      <rgbColor rgb="FFCC99FF"/>
      <rgbColor rgb="FFFFCC99"/>
      <rgbColor rgb="FF3366FF"/>
      <rgbColor rgb="FF33CCCC"/>
      <rgbColor rgb="FF99CC00"/>
      <rgbColor rgb="FFFFCC00"/>
      <rgbColor rgb="FFFF9900"/>
      <rgbColor rgb="FFFF6600"/>
      <rgbColor rgb="FF5F7F99"/>
      <rgbColor rgb="FF8C8C8C"/>
      <rgbColor rgb="FF1E4D3A"/>
      <rgbColor rgb="FF339966"/>
      <rgbColor rgb="FF003300"/>
      <rgbColor rgb="FF333300"/>
      <rgbColor rgb="FF993300"/>
      <rgbColor rgb="FF993366"/>
      <rgbColor rgb="FF59595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 Current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Charts!$U$7:$U$11</c:f>
              <c:numCache>
                <c:formatCode>General</c:formatCode>
                <c:ptCount val="5"/>
                <c:pt idx="0">
                  <c:v>1.3006446691414961</c:v>
                </c:pt>
                <c:pt idx="1">
                  <c:v>1.8735085276109804</c:v>
                </c:pt>
                <c:pt idx="2">
                  <c:v>2.311570515459215</c:v>
                </c:pt>
                <c:pt idx="3">
                  <c:v>2.9031590530160019</c:v>
                </c:pt>
                <c:pt idx="4">
                  <c:v>3.311248687172772</c:v>
                </c:pt>
              </c:numCache>
            </c:numRef>
          </c:val>
          <c:smooth val="0"/>
          <c:extLst>
            <c:ext xmlns:c16="http://schemas.microsoft.com/office/drawing/2014/chart" uri="{C3380CC4-5D6E-409C-BE32-E72D297353CC}">
              <c16:uniqueId val="{00000000-59AA-42C6-A272-B32489B65EA7}"/>
            </c:ext>
          </c:extLst>
        </c:ser>
        <c:ser>
          <c:idx val="1"/>
          <c:order val="1"/>
          <c:tx>
            <c:v>LUCK</c:v>
          </c:tx>
          <c:spPr>
            <a:ln w="13335">
              <a:solidFill>
                <a:srgbClr val="8CB36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Charts!$V$7:$V$11</c:f>
              <c:numCache>
                <c:formatCode>General</c:formatCode>
                <c:ptCount val="5"/>
                <c:pt idx="0">
                  <c:v>1.3386079458938223</c:v>
                </c:pt>
                <c:pt idx="1">
                  <c:v>1.4760766300374313</c:v>
                </c:pt>
                <c:pt idx="2">
                  <c:v>1.290071633326858</c:v>
                </c:pt>
                <c:pt idx="3">
                  <c:v>1.2632222354743232</c:v>
                </c:pt>
                <c:pt idx="4">
                  <c:v>1.7146143875904156</c:v>
                </c:pt>
              </c:numCache>
            </c:numRef>
          </c:val>
          <c:smooth val="0"/>
          <c:extLst>
            <c:ext xmlns:c16="http://schemas.microsoft.com/office/drawing/2014/chart" uri="{C3380CC4-5D6E-409C-BE32-E72D297353CC}">
              <c16:uniqueId val="{00000001-59AA-42C6-A272-B32489B65EA7}"/>
            </c:ext>
          </c:extLst>
        </c:ser>
        <c:ser>
          <c:idx val="2"/>
          <c:order val="2"/>
          <c:tx>
            <c:v>DGKC</c:v>
          </c:tx>
          <c:spPr>
            <a:ln w="13335">
              <a:solidFill>
                <a:srgbClr val="C79A57"/>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Charts!$W$7:$W$11</c:f>
              <c:numCache>
                <c:formatCode>General</c:formatCode>
                <c:ptCount val="5"/>
                <c:pt idx="0">
                  <c:v>0.91452508864509019</c:v>
                </c:pt>
                <c:pt idx="1">
                  <c:v>0.88552877147710041</c:v>
                </c:pt>
                <c:pt idx="2">
                  <c:v>0.80176749057385621</c:v>
                </c:pt>
                <c:pt idx="3">
                  <c:v>1.296185931254842</c:v>
                </c:pt>
                <c:pt idx="4">
                  <c:v>1.8489517932979607</c:v>
                </c:pt>
              </c:numCache>
            </c:numRef>
          </c:val>
          <c:smooth val="0"/>
          <c:extLst>
            <c:ext xmlns:c16="http://schemas.microsoft.com/office/drawing/2014/chart" uri="{C3380CC4-5D6E-409C-BE32-E72D297353CC}">
              <c16:uniqueId val="{00000002-59AA-42C6-A272-B32489B65EA7}"/>
            </c:ext>
          </c:extLst>
        </c:ser>
        <c:ser>
          <c:idx val="3"/>
          <c:order val="3"/>
          <c:tx>
            <c:v>MLCF</c:v>
          </c:tx>
          <c:spPr>
            <a:ln w="13335">
              <a:solidFill>
                <a:srgbClr val="648B98"/>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Charts!$X$7:$X$11</c:f>
              <c:numCache>
                <c:formatCode>General</c:formatCode>
                <c:ptCount val="5"/>
                <c:pt idx="0">
                  <c:v>1.4780988568182505</c:v>
                </c:pt>
                <c:pt idx="1">
                  <c:v>1.2549557408945418</c:v>
                </c:pt>
                <c:pt idx="2">
                  <c:v>1.3715472215546312</c:v>
                </c:pt>
                <c:pt idx="3">
                  <c:v>1.4446782415124371</c:v>
                </c:pt>
                <c:pt idx="4">
                  <c:v>1.5324411303645513</c:v>
                </c:pt>
              </c:numCache>
            </c:numRef>
          </c:val>
          <c:smooth val="0"/>
          <c:extLst>
            <c:ext xmlns:c16="http://schemas.microsoft.com/office/drawing/2014/chart" uri="{C3380CC4-5D6E-409C-BE32-E72D297353CC}">
              <c16:uniqueId val="{00000003-59AA-42C6-A272-B32489B65EA7}"/>
            </c:ext>
          </c:extLst>
        </c:ser>
        <c:ser>
          <c:idx val="4"/>
          <c:order val="4"/>
          <c:tx>
            <c:v>FCCL</c:v>
          </c:tx>
          <c:spPr>
            <a:ln w="13335">
              <a:solidFill>
                <a:srgbClr val="A59A89"/>
              </a:solidFill>
              <a:prstDash val="solid"/>
            </a:ln>
          </c:spPr>
          <c:marker>
            <c:symbol val="none"/>
          </c:marker>
          <c:cat>
            <c:strRef>
              <c:f>Charts!$T$7:$T$11</c:f>
              <c:strCache>
                <c:ptCount val="5"/>
                <c:pt idx="0">
                  <c:v>FY2021</c:v>
                </c:pt>
                <c:pt idx="1">
                  <c:v>FY2022</c:v>
                </c:pt>
                <c:pt idx="2">
                  <c:v>FY2023</c:v>
                </c:pt>
                <c:pt idx="3">
                  <c:v>FY2024</c:v>
                </c:pt>
                <c:pt idx="4">
                  <c:v>FY2025</c:v>
                </c:pt>
              </c:strCache>
            </c:strRef>
          </c:cat>
          <c:val>
            <c:numRef>
              <c:f>Charts!$Y$7:$Y$11</c:f>
              <c:numCache>
                <c:formatCode>General</c:formatCode>
                <c:ptCount val="5"/>
                <c:pt idx="0">
                  <c:v>2.01862288296847</c:v>
                </c:pt>
                <c:pt idx="1">
                  <c:v>1.0559688948718087</c:v>
                </c:pt>
                <c:pt idx="2">
                  <c:v>0.81211137558007007</c:v>
                </c:pt>
                <c:pt idx="3">
                  <c:v>0.95974773116730094</c:v>
                </c:pt>
                <c:pt idx="4">
                  <c:v>1.3210140828410366</c:v>
                </c:pt>
              </c:numCache>
            </c:numRef>
          </c:val>
          <c:smooth val="0"/>
          <c:extLst>
            <c:ext xmlns:c16="http://schemas.microsoft.com/office/drawing/2014/chart" uri="{C3380CC4-5D6E-409C-BE32-E72D297353CC}">
              <c16:uniqueId val="{00000004-59AA-42C6-A272-B32489B65EA7}"/>
            </c:ext>
          </c:extLst>
        </c:ser>
        <c:ser>
          <c:idx val="5"/>
          <c:order val="5"/>
          <c:tx>
            <c:v>Sample mean</c:v>
          </c:tx>
          <c:spPr>
            <a:ln w="21908">
              <a:solidFill>
                <a:srgbClr val="424A46"/>
              </a:solidFill>
              <a:prstDash val="dash"/>
            </a:ln>
          </c:spPr>
          <c:marker>
            <c:symbol val="none"/>
          </c:marker>
          <c:cat>
            <c:strRef>
              <c:f>Charts!$T$7:$T$11</c:f>
              <c:strCache>
                <c:ptCount val="5"/>
                <c:pt idx="0">
                  <c:v>FY2021</c:v>
                </c:pt>
                <c:pt idx="1">
                  <c:v>FY2022</c:v>
                </c:pt>
                <c:pt idx="2">
                  <c:v>FY2023</c:v>
                </c:pt>
                <c:pt idx="3">
                  <c:v>FY2024</c:v>
                </c:pt>
                <c:pt idx="4">
                  <c:v>FY2025</c:v>
                </c:pt>
              </c:strCache>
            </c:strRef>
          </c:cat>
          <c:val>
            <c:numRef>
              <c:f>Charts!$Z$7:$Z$11</c:f>
              <c:numCache>
                <c:formatCode>General</c:formatCode>
                <c:ptCount val="5"/>
                <c:pt idx="0">
                  <c:v>1.410099888693426</c:v>
                </c:pt>
                <c:pt idx="1">
                  <c:v>1.3092077129783726</c:v>
                </c:pt>
                <c:pt idx="2">
                  <c:v>1.3174136472989262</c:v>
                </c:pt>
                <c:pt idx="3">
                  <c:v>1.5733986384849812</c:v>
                </c:pt>
                <c:pt idx="4">
                  <c:v>1.9456540162533476</c:v>
                </c:pt>
              </c:numCache>
            </c:numRef>
          </c:val>
          <c:smooth val="0"/>
          <c:extLst>
            <c:ext xmlns:c16="http://schemas.microsoft.com/office/drawing/2014/chart" uri="{C3380CC4-5D6E-409C-BE32-E72D297353CC}">
              <c16:uniqueId val="{00000005-59AA-42C6-A272-B32489B65EA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2. Quick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Charts!$U$15:$U$19</c:f>
              <c:numCache>
                <c:formatCode>General</c:formatCode>
                <c:ptCount val="5"/>
                <c:pt idx="0">
                  <c:v>0.74816043855554903</c:v>
                </c:pt>
                <c:pt idx="1">
                  <c:v>1.2758070110452304</c:v>
                </c:pt>
                <c:pt idx="2">
                  <c:v>1.5392110300634694</c:v>
                </c:pt>
                <c:pt idx="3">
                  <c:v>2.2200593399212352</c:v>
                </c:pt>
                <c:pt idx="4">
                  <c:v>2.6677003784340947</c:v>
                </c:pt>
              </c:numCache>
            </c:numRef>
          </c:val>
          <c:smooth val="0"/>
          <c:extLst>
            <c:ext xmlns:c16="http://schemas.microsoft.com/office/drawing/2014/chart" uri="{C3380CC4-5D6E-409C-BE32-E72D297353CC}">
              <c16:uniqueId val="{00000000-D8F7-497E-904D-79B27A28D5DD}"/>
            </c:ext>
          </c:extLst>
        </c:ser>
        <c:ser>
          <c:idx val="1"/>
          <c:order val="1"/>
          <c:tx>
            <c:v>LUCK</c:v>
          </c:tx>
          <c:spPr>
            <a:ln w="13335">
              <a:solidFill>
                <a:srgbClr val="8CB36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Charts!$V$15:$V$19</c:f>
              <c:numCache>
                <c:formatCode>General</c:formatCode>
                <c:ptCount val="5"/>
                <c:pt idx="0">
                  <c:v>0.89000886100685095</c:v>
                </c:pt>
                <c:pt idx="1">
                  <c:v>0.87076091919208631</c:v>
                </c:pt>
                <c:pt idx="2">
                  <c:v>0.85412226562426408</c:v>
                </c:pt>
                <c:pt idx="3">
                  <c:v>0.83698311631700717</c:v>
                </c:pt>
                <c:pt idx="4">
                  <c:v>1.2939267138361998</c:v>
                </c:pt>
              </c:numCache>
            </c:numRef>
          </c:val>
          <c:smooth val="0"/>
          <c:extLst>
            <c:ext xmlns:c16="http://schemas.microsoft.com/office/drawing/2014/chart" uri="{C3380CC4-5D6E-409C-BE32-E72D297353CC}">
              <c16:uniqueId val="{00000001-D8F7-497E-904D-79B27A28D5DD}"/>
            </c:ext>
          </c:extLst>
        </c:ser>
        <c:ser>
          <c:idx val="2"/>
          <c:order val="2"/>
          <c:tx>
            <c:v>DGKC</c:v>
          </c:tx>
          <c:spPr>
            <a:ln w="13335">
              <a:solidFill>
                <a:srgbClr val="C79A57"/>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Charts!$W$15:$W$19</c:f>
              <c:numCache>
                <c:formatCode>General</c:formatCode>
                <c:ptCount val="5"/>
                <c:pt idx="0">
                  <c:v>0.52718830778210601</c:v>
                </c:pt>
                <c:pt idx="1">
                  <c:v>0.39093390789665328</c:v>
                </c:pt>
                <c:pt idx="2">
                  <c:v>0.33489936167445872</c:v>
                </c:pt>
                <c:pt idx="3">
                  <c:v>0.66771764923027133</c:v>
                </c:pt>
                <c:pt idx="4">
                  <c:v>1.0579587679634685</c:v>
                </c:pt>
              </c:numCache>
            </c:numRef>
          </c:val>
          <c:smooth val="0"/>
          <c:extLst>
            <c:ext xmlns:c16="http://schemas.microsoft.com/office/drawing/2014/chart" uri="{C3380CC4-5D6E-409C-BE32-E72D297353CC}">
              <c16:uniqueId val="{00000002-D8F7-497E-904D-79B27A28D5DD}"/>
            </c:ext>
          </c:extLst>
        </c:ser>
        <c:ser>
          <c:idx val="3"/>
          <c:order val="3"/>
          <c:tx>
            <c:v>MLCF</c:v>
          </c:tx>
          <c:spPr>
            <a:ln w="13335">
              <a:solidFill>
                <a:srgbClr val="648B98"/>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Charts!$X$15:$X$19</c:f>
              <c:numCache>
                <c:formatCode>General</c:formatCode>
                <c:ptCount val="5"/>
                <c:pt idx="0">
                  <c:v>0.43971691910387301</c:v>
                </c:pt>
                <c:pt idx="1">
                  <c:v>0.29473524106223353</c:v>
                </c:pt>
                <c:pt idx="2">
                  <c:v>0.5204561252187091</c:v>
                </c:pt>
                <c:pt idx="3">
                  <c:v>0.60942670638462615</c:v>
                </c:pt>
                <c:pt idx="4">
                  <c:v>0.80788282595509864</c:v>
                </c:pt>
              </c:numCache>
            </c:numRef>
          </c:val>
          <c:smooth val="0"/>
          <c:extLst>
            <c:ext xmlns:c16="http://schemas.microsoft.com/office/drawing/2014/chart" uri="{C3380CC4-5D6E-409C-BE32-E72D297353CC}">
              <c16:uniqueId val="{00000003-D8F7-497E-904D-79B27A28D5DD}"/>
            </c:ext>
          </c:extLst>
        </c:ser>
        <c:ser>
          <c:idx val="4"/>
          <c:order val="4"/>
          <c:tx>
            <c:v>FCCL</c:v>
          </c:tx>
          <c:spPr>
            <a:ln w="13335">
              <a:solidFill>
                <a:srgbClr val="A59A89"/>
              </a:solidFill>
              <a:prstDash val="solid"/>
            </a:ln>
          </c:spPr>
          <c:marker>
            <c:symbol val="none"/>
          </c:marker>
          <c:cat>
            <c:strRef>
              <c:f>Charts!$T$15:$T$19</c:f>
              <c:strCache>
                <c:ptCount val="5"/>
                <c:pt idx="0">
                  <c:v>FY2021</c:v>
                </c:pt>
                <c:pt idx="1">
                  <c:v>FY2022</c:v>
                </c:pt>
                <c:pt idx="2">
                  <c:v>FY2023</c:v>
                </c:pt>
                <c:pt idx="3">
                  <c:v>FY2024</c:v>
                </c:pt>
                <c:pt idx="4">
                  <c:v>FY2025</c:v>
                </c:pt>
              </c:strCache>
            </c:strRef>
          </c:cat>
          <c:val>
            <c:numRef>
              <c:f>Charts!$Y$15:$Y$19</c:f>
              <c:numCache>
                <c:formatCode>General</c:formatCode>
                <c:ptCount val="5"/>
                <c:pt idx="0">
                  <c:v>1.1357988467684703</c:v>
                </c:pt>
                <c:pt idx="1">
                  <c:v>0.47078421060569281</c:v>
                </c:pt>
                <c:pt idx="2">
                  <c:v>0.28121710873313321</c:v>
                </c:pt>
                <c:pt idx="3">
                  <c:v>0.3420463898878065</c:v>
                </c:pt>
                <c:pt idx="4">
                  <c:v>0.67753380767364924</c:v>
                </c:pt>
              </c:numCache>
            </c:numRef>
          </c:val>
          <c:smooth val="0"/>
          <c:extLst>
            <c:ext xmlns:c16="http://schemas.microsoft.com/office/drawing/2014/chart" uri="{C3380CC4-5D6E-409C-BE32-E72D297353CC}">
              <c16:uniqueId val="{00000004-D8F7-497E-904D-79B27A28D5DD}"/>
            </c:ext>
          </c:extLst>
        </c:ser>
        <c:ser>
          <c:idx val="5"/>
          <c:order val="5"/>
          <c:tx>
            <c:v>Sample mean</c:v>
          </c:tx>
          <c:spPr>
            <a:ln w="21908">
              <a:solidFill>
                <a:srgbClr val="424A46"/>
              </a:solidFill>
              <a:prstDash val="dash"/>
            </a:ln>
          </c:spPr>
          <c:marker>
            <c:symbol val="none"/>
          </c:marker>
          <c:cat>
            <c:strRef>
              <c:f>Charts!$T$15:$T$19</c:f>
              <c:strCache>
                <c:ptCount val="5"/>
                <c:pt idx="0">
                  <c:v>FY2021</c:v>
                </c:pt>
                <c:pt idx="1">
                  <c:v>FY2022</c:v>
                </c:pt>
                <c:pt idx="2">
                  <c:v>FY2023</c:v>
                </c:pt>
                <c:pt idx="3">
                  <c:v>FY2024</c:v>
                </c:pt>
                <c:pt idx="4">
                  <c:v>FY2025</c:v>
                </c:pt>
              </c:strCache>
            </c:strRef>
          </c:cat>
          <c:val>
            <c:numRef>
              <c:f>Charts!$Z$15:$Z$19</c:f>
              <c:numCache>
                <c:formatCode>General</c:formatCode>
                <c:ptCount val="5"/>
                <c:pt idx="0">
                  <c:v>0.74817467464336995</c:v>
                </c:pt>
                <c:pt idx="1">
                  <c:v>0.66060425796037925</c:v>
                </c:pt>
                <c:pt idx="2">
                  <c:v>0.70598117826280693</c:v>
                </c:pt>
                <c:pt idx="3">
                  <c:v>0.93524664034818927</c:v>
                </c:pt>
                <c:pt idx="4">
                  <c:v>1.3010004987725021</c:v>
                </c:pt>
              </c:numCache>
            </c:numRef>
          </c:val>
          <c:smooth val="0"/>
          <c:extLst>
            <c:ext xmlns:c16="http://schemas.microsoft.com/office/drawing/2014/chart" uri="{C3380CC4-5D6E-409C-BE32-E72D297353CC}">
              <c16:uniqueId val="{00000005-D8F7-497E-904D-79B27A28D5D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3. Inventory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Charts!$U$23:$U$27</c:f>
              <c:numCache>
                <c:formatCode>General</c:formatCode>
                <c:ptCount val="5"/>
                <c:pt idx="0">
                  <c:v>4.8570986013255171</c:v>
                </c:pt>
                <c:pt idx="1">
                  <c:v>4.6811317215716919</c:v>
                </c:pt>
                <c:pt idx="2">
                  <c:v>4.2753791437713859</c:v>
                </c:pt>
                <c:pt idx="3">
                  <c:v>3.5957369645110586</c:v>
                </c:pt>
                <c:pt idx="4">
                  <c:v>3.024880626442934</c:v>
                </c:pt>
              </c:numCache>
            </c:numRef>
          </c:val>
          <c:smooth val="0"/>
          <c:extLst>
            <c:ext xmlns:c16="http://schemas.microsoft.com/office/drawing/2014/chart" uri="{C3380CC4-5D6E-409C-BE32-E72D297353CC}">
              <c16:uniqueId val="{00000000-05EB-483E-882D-C4C25FC46FB8}"/>
            </c:ext>
          </c:extLst>
        </c:ser>
        <c:ser>
          <c:idx val="1"/>
          <c:order val="1"/>
          <c:tx>
            <c:v>LUCK</c:v>
          </c:tx>
          <c:spPr>
            <a:ln w="13335">
              <a:solidFill>
                <a:srgbClr val="8CB36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Charts!$V$23:$V$27</c:f>
              <c:numCache>
                <c:formatCode>General</c:formatCode>
                <c:ptCount val="5"/>
                <c:pt idx="0">
                  <c:v>3.8136073127139278</c:v>
                </c:pt>
                <c:pt idx="1">
                  <c:v>3.657733126059421</c:v>
                </c:pt>
                <c:pt idx="2">
                  <c:v>3.6234818387767853</c:v>
                </c:pt>
                <c:pt idx="3">
                  <c:v>3.5401699550948362</c:v>
                </c:pt>
                <c:pt idx="4">
                  <c:v>3.4260949525900268</c:v>
                </c:pt>
              </c:numCache>
            </c:numRef>
          </c:val>
          <c:smooth val="0"/>
          <c:extLst>
            <c:ext xmlns:c16="http://schemas.microsoft.com/office/drawing/2014/chart" uri="{C3380CC4-5D6E-409C-BE32-E72D297353CC}">
              <c16:uniqueId val="{00000001-05EB-483E-882D-C4C25FC46FB8}"/>
            </c:ext>
          </c:extLst>
        </c:ser>
        <c:ser>
          <c:idx val="2"/>
          <c:order val="2"/>
          <c:tx>
            <c:v>DGKC</c:v>
          </c:tx>
          <c:spPr>
            <a:ln w="13335">
              <a:solidFill>
                <a:srgbClr val="C79A57"/>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Charts!$W$23:$W$27</c:f>
              <c:numCache>
                <c:formatCode>General</c:formatCode>
                <c:ptCount val="5"/>
                <c:pt idx="0">
                  <c:v>2.6267527531726218</c:v>
                </c:pt>
                <c:pt idx="1">
                  <c:v>2.479761249901864</c:v>
                </c:pt>
                <c:pt idx="2">
                  <c:v>2.4352964976956684</c:v>
                </c:pt>
                <c:pt idx="3">
                  <c:v>2.5832010951831741</c:v>
                </c:pt>
                <c:pt idx="4">
                  <c:v>2.6203448800361673</c:v>
                </c:pt>
              </c:numCache>
            </c:numRef>
          </c:val>
          <c:smooth val="0"/>
          <c:extLst>
            <c:ext xmlns:c16="http://schemas.microsoft.com/office/drawing/2014/chart" uri="{C3380CC4-5D6E-409C-BE32-E72D297353CC}">
              <c16:uniqueId val="{00000002-05EB-483E-882D-C4C25FC46FB8}"/>
            </c:ext>
          </c:extLst>
        </c:ser>
        <c:ser>
          <c:idx val="3"/>
          <c:order val="3"/>
          <c:tx>
            <c:v>MLCF</c:v>
          </c:tx>
          <c:spPr>
            <a:ln w="13335">
              <a:solidFill>
                <a:srgbClr val="648B98"/>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Charts!$X$23:$X$27</c:f>
              <c:numCache>
                <c:formatCode>General</c:formatCode>
                <c:ptCount val="5"/>
                <c:pt idx="0">
                  <c:v>2.5503561154199565</c:v>
                </c:pt>
                <c:pt idx="1">
                  <c:v>2.6418827583195736</c:v>
                </c:pt>
                <c:pt idx="2">
                  <c:v>2.991643999189634</c:v>
                </c:pt>
                <c:pt idx="3">
                  <c:v>3.1013565995658121</c:v>
                </c:pt>
                <c:pt idx="4">
                  <c:v>2.7865732877055658</c:v>
                </c:pt>
              </c:numCache>
            </c:numRef>
          </c:val>
          <c:smooth val="0"/>
          <c:extLst>
            <c:ext xmlns:c16="http://schemas.microsoft.com/office/drawing/2014/chart" uri="{C3380CC4-5D6E-409C-BE32-E72D297353CC}">
              <c16:uniqueId val="{00000003-05EB-483E-882D-C4C25FC46FB8}"/>
            </c:ext>
          </c:extLst>
        </c:ser>
        <c:ser>
          <c:idx val="4"/>
          <c:order val="4"/>
          <c:tx>
            <c:v>FCCL</c:v>
          </c:tx>
          <c:spPr>
            <a:ln w="13335">
              <a:solidFill>
                <a:srgbClr val="A59A89"/>
              </a:solidFill>
              <a:prstDash val="solid"/>
            </a:ln>
          </c:spPr>
          <c:marker>
            <c:symbol val="none"/>
          </c:marker>
          <c:cat>
            <c:strRef>
              <c:f>Charts!$T$23:$T$27</c:f>
              <c:strCache>
                <c:ptCount val="5"/>
                <c:pt idx="0">
                  <c:v>FY2021</c:v>
                </c:pt>
                <c:pt idx="1">
                  <c:v>FY2022</c:v>
                </c:pt>
                <c:pt idx="2">
                  <c:v>FY2023</c:v>
                </c:pt>
                <c:pt idx="3">
                  <c:v>FY2024</c:v>
                </c:pt>
                <c:pt idx="4">
                  <c:v>FY2025</c:v>
                </c:pt>
              </c:strCache>
            </c:strRef>
          </c:cat>
          <c:val>
            <c:numRef>
              <c:f>Charts!$Y$23:$Y$27</c:f>
              <c:numCache>
                <c:formatCode>General</c:formatCode>
                <c:ptCount val="5"/>
                <c:pt idx="0">
                  <c:v>3.593399445976929</c:v>
                </c:pt>
                <c:pt idx="1">
                  <c:v>3.6798285509863442</c:v>
                </c:pt>
                <c:pt idx="2">
                  <c:v>3.0981941833220765</c:v>
                </c:pt>
                <c:pt idx="3">
                  <c:v>3.4267755412065504</c:v>
                </c:pt>
                <c:pt idx="4">
                  <c:v>3.1608830315846066</c:v>
                </c:pt>
              </c:numCache>
            </c:numRef>
          </c:val>
          <c:smooth val="0"/>
          <c:extLst>
            <c:ext xmlns:c16="http://schemas.microsoft.com/office/drawing/2014/chart" uri="{C3380CC4-5D6E-409C-BE32-E72D297353CC}">
              <c16:uniqueId val="{00000004-05EB-483E-882D-C4C25FC46FB8}"/>
            </c:ext>
          </c:extLst>
        </c:ser>
        <c:ser>
          <c:idx val="5"/>
          <c:order val="5"/>
          <c:tx>
            <c:v>Sample mean</c:v>
          </c:tx>
          <c:spPr>
            <a:ln w="21908">
              <a:solidFill>
                <a:srgbClr val="424A46"/>
              </a:solidFill>
              <a:prstDash val="dash"/>
            </a:ln>
          </c:spPr>
          <c:marker>
            <c:symbol val="none"/>
          </c:marker>
          <c:cat>
            <c:strRef>
              <c:f>Charts!$T$23:$T$27</c:f>
              <c:strCache>
                <c:ptCount val="5"/>
                <c:pt idx="0">
                  <c:v>FY2021</c:v>
                </c:pt>
                <c:pt idx="1">
                  <c:v>FY2022</c:v>
                </c:pt>
                <c:pt idx="2">
                  <c:v>FY2023</c:v>
                </c:pt>
                <c:pt idx="3">
                  <c:v>FY2024</c:v>
                </c:pt>
                <c:pt idx="4">
                  <c:v>FY2025</c:v>
                </c:pt>
              </c:strCache>
            </c:strRef>
          </c:cat>
          <c:val>
            <c:numRef>
              <c:f>Charts!$Z$23:$Z$27</c:f>
              <c:numCache>
                <c:formatCode>General</c:formatCode>
                <c:ptCount val="5"/>
                <c:pt idx="0">
                  <c:v>3.4882428457217904</c:v>
                </c:pt>
                <c:pt idx="1">
                  <c:v>3.4280674813677789</c:v>
                </c:pt>
                <c:pt idx="2">
                  <c:v>3.2847991325511101</c:v>
                </c:pt>
                <c:pt idx="3">
                  <c:v>3.2494480311122858</c:v>
                </c:pt>
                <c:pt idx="4">
                  <c:v>3.0037553556718599</c:v>
                </c:pt>
              </c:numCache>
            </c:numRef>
          </c:val>
          <c:smooth val="0"/>
          <c:extLst>
            <c:ext xmlns:c16="http://schemas.microsoft.com/office/drawing/2014/chart" uri="{C3380CC4-5D6E-409C-BE32-E72D297353CC}">
              <c16:uniqueId val="{00000005-05EB-483E-882D-C4C25FC46FB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4. Days Sales Outstanding (days)</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Charts!$U$31:$U$35</c:f>
              <c:numCache>
                <c:formatCode>General</c:formatCode>
                <c:ptCount val="5"/>
                <c:pt idx="0">
                  <c:v>11.211269503464973</c:v>
                </c:pt>
                <c:pt idx="1">
                  <c:v>10.544725482358297</c:v>
                </c:pt>
                <c:pt idx="2">
                  <c:v>9.9479554378487851</c:v>
                </c:pt>
                <c:pt idx="3">
                  <c:v>15.657663166755571</c:v>
                </c:pt>
                <c:pt idx="4">
                  <c:v>18.487732733839078</c:v>
                </c:pt>
              </c:numCache>
            </c:numRef>
          </c:val>
          <c:smooth val="0"/>
          <c:extLst>
            <c:ext xmlns:c16="http://schemas.microsoft.com/office/drawing/2014/chart" uri="{C3380CC4-5D6E-409C-BE32-E72D297353CC}">
              <c16:uniqueId val="{00000000-B74D-4C9B-9052-7570780219DB}"/>
            </c:ext>
          </c:extLst>
        </c:ser>
        <c:ser>
          <c:idx val="1"/>
          <c:order val="1"/>
          <c:tx>
            <c:v>LUCK</c:v>
          </c:tx>
          <c:spPr>
            <a:ln w="13335">
              <a:solidFill>
                <a:srgbClr val="8CB36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Charts!$V$31:$V$35</c:f>
              <c:numCache>
                <c:formatCode>General</c:formatCode>
                <c:ptCount val="5"/>
                <c:pt idx="0">
                  <c:v>17.782498333156049</c:v>
                </c:pt>
                <c:pt idx="1">
                  <c:v>14.027318333985361</c:v>
                </c:pt>
                <c:pt idx="2">
                  <c:v>16.401585315624828</c:v>
                </c:pt>
                <c:pt idx="3">
                  <c:v>19.024866667611246</c:v>
                </c:pt>
                <c:pt idx="4">
                  <c:v>19.473145621508603</c:v>
                </c:pt>
              </c:numCache>
            </c:numRef>
          </c:val>
          <c:smooth val="0"/>
          <c:extLst>
            <c:ext xmlns:c16="http://schemas.microsoft.com/office/drawing/2014/chart" uri="{C3380CC4-5D6E-409C-BE32-E72D297353CC}">
              <c16:uniqueId val="{00000001-B74D-4C9B-9052-7570780219DB}"/>
            </c:ext>
          </c:extLst>
        </c:ser>
        <c:ser>
          <c:idx val="2"/>
          <c:order val="2"/>
          <c:tx>
            <c:v>DGKC</c:v>
          </c:tx>
          <c:spPr>
            <a:ln w="13335">
              <a:solidFill>
                <a:srgbClr val="C79A57"/>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Charts!$W$31:$W$35</c:f>
              <c:numCache>
                <c:formatCode>General</c:formatCode>
                <c:ptCount val="5"/>
                <c:pt idx="0">
                  <c:v>16.031081230273596</c:v>
                </c:pt>
                <c:pt idx="1">
                  <c:v>9.8856192169704489</c:v>
                </c:pt>
                <c:pt idx="2">
                  <c:v>7.4739774843341396</c:v>
                </c:pt>
                <c:pt idx="3">
                  <c:v>5.6629790909386459</c:v>
                </c:pt>
                <c:pt idx="4">
                  <c:v>5.9624857341490083</c:v>
                </c:pt>
              </c:numCache>
            </c:numRef>
          </c:val>
          <c:smooth val="0"/>
          <c:extLst>
            <c:ext xmlns:c16="http://schemas.microsoft.com/office/drawing/2014/chart" uri="{C3380CC4-5D6E-409C-BE32-E72D297353CC}">
              <c16:uniqueId val="{00000002-B74D-4C9B-9052-7570780219DB}"/>
            </c:ext>
          </c:extLst>
        </c:ser>
        <c:ser>
          <c:idx val="3"/>
          <c:order val="3"/>
          <c:tx>
            <c:v>MLCF</c:v>
          </c:tx>
          <c:spPr>
            <a:ln w="13335">
              <a:solidFill>
                <a:srgbClr val="648B98"/>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Charts!$X$31:$X$35</c:f>
              <c:numCache>
                <c:formatCode>General</c:formatCode>
                <c:ptCount val="5"/>
                <c:pt idx="0">
                  <c:v>24.299408826550263</c:v>
                </c:pt>
                <c:pt idx="1">
                  <c:v>14.089756717395696</c:v>
                </c:pt>
                <c:pt idx="2">
                  <c:v>13.72146433573479</c:v>
                </c:pt>
                <c:pt idx="3">
                  <c:v>18.646831335440545</c:v>
                </c:pt>
                <c:pt idx="4">
                  <c:v>23.291952500495849</c:v>
                </c:pt>
              </c:numCache>
            </c:numRef>
          </c:val>
          <c:smooth val="0"/>
          <c:extLst>
            <c:ext xmlns:c16="http://schemas.microsoft.com/office/drawing/2014/chart" uri="{C3380CC4-5D6E-409C-BE32-E72D297353CC}">
              <c16:uniqueId val="{00000003-B74D-4C9B-9052-7570780219DB}"/>
            </c:ext>
          </c:extLst>
        </c:ser>
        <c:ser>
          <c:idx val="4"/>
          <c:order val="4"/>
          <c:tx>
            <c:v>FCCL</c:v>
          </c:tx>
          <c:spPr>
            <a:ln w="13335">
              <a:solidFill>
                <a:srgbClr val="A59A89"/>
              </a:solidFill>
              <a:prstDash val="solid"/>
            </a:ln>
          </c:spPr>
          <c:marker>
            <c:symbol val="none"/>
          </c:marker>
          <c:cat>
            <c:strRef>
              <c:f>Charts!$T$31:$T$35</c:f>
              <c:strCache>
                <c:ptCount val="5"/>
                <c:pt idx="0">
                  <c:v>FY2021</c:v>
                </c:pt>
                <c:pt idx="1">
                  <c:v>FY2022</c:v>
                </c:pt>
                <c:pt idx="2">
                  <c:v>FY2023</c:v>
                </c:pt>
                <c:pt idx="3">
                  <c:v>FY2024</c:v>
                </c:pt>
                <c:pt idx="4">
                  <c:v>FY2025</c:v>
                </c:pt>
              </c:strCache>
            </c:strRef>
          </c:cat>
          <c:val>
            <c:numRef>
              <c:f>Charts!$Y$31:$Y$35</c:f>
              <c:numCache>
                <c:formatCode>General</c:formatCode>
                <c:ptCount val="5"/>
                <c:pt idx="0">
                  <c:v>18.799738044359827</c:v>
                </c:pt>
                <c:pt idx="1">
                  <c:v>12.994834386179642</c:v>
                </c:pt>
                <c:pt idx="2">
                  <c:v>16.046879229606091</c:v>
                </c:pt>
                <c:pt idx="3">
                  <c:v>20.792904753499183</c:v>
                </c:pt>
                <c:pt idx="4">
                  <c:v>25.555492212987932</c:v>
                </c:pt>
              </c:numCache>
            </c:numRef>
          </c:val>
          <c:smooth val="0"/>
          <c:extLst>
            <c:ext xmlns:c16="http://schemas.microsoft.com/office/drawing/2014/chart" uri="{C3380CC4-5D6E-409C-BE32-E72D297353CC}">
              <c16:uniqueId val="{00000004-B74D-4C9B-9052-7570780219DB}"/>
            </c:ext>
          </c:extLst>
        </c:ser>
        <c:ser>
          <c:idx val="5"/>
          <c:order val="5"/>
          <c:tx>
            <c:v>Sample mean</c:v>
          </c:tx>
          <c:spPr>
            <a:ln w="21908">
              <a:solidFill>
                <a:srgbClr val="424A46"/>
              </a:solidFill>
              <a:prstDash val="dash"/>
            </a:ln>
          </c:spPr>
          <c:marker>
            <c:symbol val="none"/>
          </c:marker>
          <c:cat>
            <c:strRef>
              <c:f>Charts!$T$31:$T$35</c:f>
              <c:strCache>
                <c:ptCount val="5"/>
                <c:pt idx="0">
                  <c:v>FY2021</c:v>
                </c:pt>
                <c:pt idx="1">
                  <c:v>FY2022</c:v>
                </c:pt>
                <c:pt idx="2">
                  <c:v>FY2023</c:v>
                </c:pt>
                <c:pt idx="3">
                  <c:v>FY2024</c:v>
                </c:pt>
                <c:pt idx="4">
                  <c:v>FY2025</c:v>
                </c:pt>
              </c:strCache>
            </c:strRef>
          </c:cat>
          <c:val>
            <c:numRef>
              <c:f>Charts!$Z$31:$Z$35</c:f>
              <c:numCache>
                <c:formatCode>General</c:formatCode>
                <c:ptCount val="5"/>
                <c:pt idx="0">
                  <c:v>17.624799187560942</c:v>
                </c:pt>
                <c:pt idx="1">
                  <c:v>12.308450827377888</c:v>
                </c:pt>
                <c:pt idx="2">
                  <c:v>12.718372360629726</c:v>
                </c:pt>
                <c:pt idx="3">
                  <c:v>15.957049002849038</c:v>
                </c:pt>
                <c:pt idx="4">
                  <c:v>18.554161760596095</c:v>
                </c:pt>
              </c:numCache>
            </c:numRef>
          </c:val>
          <c:smooth val="0"/>
          <c:extLst>
            <c:ext xmlns:c16="http://schemas.microsoft.com/office/drawing/2014/chart" uri="{C3380CC4-5D6E-409C-BE32-E72D297353CC}">
              <c16:uniqueId val="{00000005-B74D-4C9B-9052-7570780219D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5. Fixed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Charts!$U$39:$U$43</c:f>
              <c:numCache>
                <c:formatCode>General</c:formatCode>
                <c:ptCount val="5"/>
                <c:pt idx="0">
                  <c:v>1.0921496738296084</c:v>
                </c:pt>
                <c:pt idx="1">
                  <c:v>1.5412541563844033</c:v>
                </c:pt>
                <c:pt idx="2">
                  <c:v>1.7509053329621809</c:v>
                </c:pt>
                <c:pt idx="3">
                  <c:v>1.7442972870565909</c:v>
                </c:pt>
                <c:pt idx="4">
                  <c:v>1.606837829232711</c:v>
                </c:pt>
              </c:numCache>
            </c:numRef>
          </c:val>
          <c:smooth val="0"/>
          <c:extLst>
            <c:ext xmlns:c16="http://schemas.microsoft.com/office/drawing/2014/chart" uri="{C3380CC4-5D6E-409C-BE32-E72D297353CC}">
              <c16:uniqueId val="{00000000-4F5E-4DE0-ABAF-B35DDF3F5976}"/>
            </c:ext>
          </c:extLst>
        </c:ser>
        <c:ser>
          <c:idx val="1"/>
          <c:order val="1"/>
          <c:tx>
            <c:v>LUCK</c:v>
          </c:tx>
          <c:spPr>
            <a:ln w="13335">
              <a:solidFill>
                <a:srgbClr val="8CB36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Charts!$V$39:$V$43</c:f>
              <c:numCache>
                <c:formatCode>General</c:formatCode>
                <c:ptCount val="5"/>
                <c:pt idx="0">
                  <c:v>1.0088292750112451</c:v>
                </c:pt>
                <c:pt idx="1">
                  <c:v>0.98532795146598973</c:v>
                </c:pt>
                <c:pt idx="2">
                  <c:v>1.0022154394695202</c:v>
                </c:pt>
                <c:pt idx="3">
                  <c:v>1.0752008785316265</c:v>
                </c:pt>
                <c:pt idx="4">
                  <c:v>1.1592237370838812</c:v>
                </c:pt>
              </c:numCache>
            </c:numRef>
          </c:val>
          <c:smooth val="0"/>
          <c:extLst>
            <c:ext xmlns:c16="http://schemas.microsoft.com/office/drawing/2014/chart" uri="{C3380CC4-5D6E-409C-BE32-E72D297353CC}">
              <c16:uniqueId val="{00000001-4F5E-4DE0-ABAF-B35DDF3F5976}"/>
            </c:ext>
          </c:extLst>
        </c:ser>
        <c:ser>
          <c:idx val="2"/>
          <c:order val="2"/>
          <c:tx>
            <c:v>DGKC</c:v>
          </c:tx>
          <c:spPr>
            <a:ln w="13335">
              <a:solidFill>
                <a:srgbClr val="C79A57"/>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Charts!$W$39:$W$43</c:f>
              <c:numCache>
                <c:formatCode>General</c:formatCode>
                <c:ptCount val="5"/>
                <c:pt idx="0">
                  <c:v>0.53055318948132613</c:v>
                </c:pt>
                <c:pt idx="1">
                  <c:v>0.70098015962057802</c:v>
                </c:pt>
                <c:pt idx="2">
                  <c:v>0.79011863849334296</c:v>
                </c:pt>
                <c:pt idx="3">
                  <c:v>0.82674606407416695</c:v>
                </c:pt>
                <c:pt idx="4">
                  <c:v>0.93062078370763102</c:v>
                </c:pt>
              </c:numCache>
            </c:numRef>
          </c:val>
          <c:smooth val="0"/>
          <c:extLst>
            <c:ext xmlns:c16="http://schemas.microsoft.com/office/drawing/2014/chart" uri="{C3380CC4-5D6E-409C-BE32-E72D297353CC}">
              <c16:uniqueId val="{00000002-4F5E-4DE0-ABAF-B35DDF3F5976}"/>
            </c:ext>
          </c:extLst>
        </c:ser>
        <c:ser>
          <c:idx val="3"/>
          <c:order val="3"/>
          <c:tx>
            <c:v>MLCF</c:v>
          </c:tx>
          <c:spPr>
            <a:ln w="13335">
              <a:solidFill>
                <a:srgbClr val="648B98"/>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Charts!$X$39:$X$43</c:f>
              <c:numCache>
                <c:formatCode>General</c:formatCode>
                <c:ptCount val="5"/>
                <c:pt idx="0">
                  <c:v>0.8037513915639477</c:v>
                </c:pt>
                <c:pt idx="1">
                  <c:v>0.85444675022417971</c:v>
                </c:pt>
                <c:pt idx="2">
                  <c:v>0.99551999428815263</c:v>
                </c:pt>
                <c:pt idx="3">
                  <c:v>1.0069209161495893</c:v>
                </c:pt>
                <c:pt idx="4">
                  <c:v>1.0971769908727151</c:v>
                </c:pt>
              </c:numCache>
            </c:numRef>
          </c:val>
          <c:smooth val="0"/>
          <c:extLst>
            <c:ext xmlns:c16="http://schemas.microsoft.com/office/drawing/2014/chart" uri="{C3380CC4-5D6E-409C-BE32-E72D297353CC}">
              <c16:uniqueId val="{00000003-4F5E-4DE0-ABAF-B35DDF3F5976}"/>
            </c:ext>
          </c:extLst>
        </c:ser>
        <c:ser>
          <c:idx val="4"/>
          <c:order val="4"/>
          <c:tx>
            <c:v>FCCL</c:v>
          </c:tx>
          <c:spPr>
            <a:ln w="13335">
              <a:solidFill>
                <a:srgbClr val="A59A89"/>
              </a:solidFill>
              <a:prstDash val="solid"/>
            </a:ln>
          </c:spPr>
          <c:marker>
            <c:symbol val="none"/>
          </c:marker>
          <c:cat>
            <c:strRef>
              <c:f>Charts!$T$39:$T$43</c:f>
              <c:strCache>
                <c:ptCount val="5"/>
                <c:pt idx="0">
                  <c:v>FY2021</c:v>
                </c:pt>
                <c:pt idx="1">
                  <c:v>FY2022</c:v>
                </c:pt>
                <c:pt idx="2">
                  <c:v>FY2023</c:v>
                </c:pt>
                <c:pt idx="3">
                  <c:v>FY2024</c:v>
                </c:pt>
                <c:pt idx="4">
                  <c:v>FY2025</c:v>
                </c:pt>
              </c:strCache>
            </c:strRef>
          </c:cat>
          <c:val>
            <c:numRef>
              <c:f>Charts!$Y$39:$Y$43</c:f>
              <c:numCache>
                <c:formatCode>General</c:formatCode>
                <c:ptCount val="5"/>
                <c:pt idx="0">
                  <c:v>1.1329960510619466</c:v>
                </c:pt>
                <c:pt idx="1">
                  <c:v>0.73176601318978285</c:v>
                </c:pt>
                <c:pt idx="2">
                  <c:v>0.65184739301529204</c:v>
                </c:pt>
                <c:pt idx="3">
                  <c:v>0.72196082222901214</c:v>
                </c:pt>
                <c:pt idx="4">
                  <c:v>0.81180021491144161</c:v>
                </c:pt>
              </c:numCache>
            </c:numRef>
          </c:val>
          <c:smooth val="0"/>
          <c:extLst>
            <c:ext xmlns:c16="http://schemas.microsoft.com/office/drawing/2014/chart" uri="{C3380CC4-5D6E-409C-BE32-E72D297353CC}">
              <c16:uniqueId val="{00000004-4F5E-4DE0-ABAF-B35DDF3F5976}"/>
            </c:ext>
          </c:extLst>
        </c:ser>
        <c:ser>
          <c:idx val="5"/>
          <c:order val="5"/>
          <c:tx>
            <c:v>Sample mean</c:v>
          </c:tx>
          <c:spPr>
            <a:ln w="21908">
              <a:solidFill>
                <a:srgbClr val="424A46"/>
              </a:solidFill>
              <a:prstDash val="dash"/>
            </a:ln>
          </c:spPr>
          <c:marker>
            <c:symbol val="none"/>
          </c:marker>
          <c:cat>
            <c:strRef>
              <c:f>Charts!$T$39:$T$43</c:f>
              <c:strCache>
                <c:ptCount val="5"/>
                <c:pt idx="0">
                  <c:v>FY2021</c:v>
                </c:pt>
                <c:pt idx="1">
                  <c:v>FY2022</c:v>
                </c:pt>
                <c:pt idx="2">
                  <c:v>FY2023</c:v>
                </c:pt>
                <c:pt idx="3">
                  <c:v>FY2024</c:v>
                </c:pt>
                <c:pt idx="4">
                  <c:v>FY2025</c:v>
                </c:pt>
              </c:strCache>
            </c:strRef>
          </c:cat>
          <c:val>
            <c:numRef>
              <c:f>Charts!$Z$39:$Z$43</c:f>
              <c:numCache>
                <c:formatCode>General</c:formatCode>
                <c:ptCount val="5"/>
                <c:pt idx="0">
                  <c:v>0.91365591618961484</c:v>
                </c:pt>
                <c:pt idx="1">
                  <c:v>0.96275500617698673</c:v>
                </c:pt>
                <c:pt idx="2">
                  <c:v>1.038121359645698</c:v>
                </c:pt>
                <c:pt idx="3">
                  <c:v>1.0750251936081971</c:v>
                </c:pt>
                <c:pt idx="4">
                  <c:v>1.121131911161676</c:v>
                </c:pt>
              </c:numCache>
            </c:numRef>
          </c:val>
          <c:smooth val="0"/>
          <c:extLst>
            <c:ext xmlns:c16="http://schemas.microsoft.com/office/drawing/2014/chart" uri="{C3380CC4-5D6E-409C-BE32-E72D297353CC}">
              <c16:uniqueId val="{00000005-4F5E-4DE0-ABAF-B35DDF3F597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6. Total Asset Turnover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Charts!$U$47:$U$51</c:f>
              <c:numCache>
                <c:formatCode>General</c:formatCode>
                <c:ptCount val="5"/>
                <c:pt idx="0">
                  <c:v>0.66665082622797289</c:v>
                </c:pt>
                <c:pt idx="1">
                  <c:v>0.7583954484233022</c:v>
                </c:pt>
                <c:pt idx="2">
                  <c:v>0.78581821088962756</c:v>
                </c:pt>
                <c:pt idx="3">
                  <c:v>0.65679136157504614</c:v>
                </c:pt>
                <c:pt idx="4">
                  <c:v>0.56195953485342598</c:v>
                </c:pt>
              </c:numCache>
            </c:numRef>
          </c:val>
          <c:smooth val="0"/>
          <c:extLst>
            <c:ext xmlns:c16="http://schemas.microsoft.com/office/drawing/2014/chart" uri="{C3380CC4-5D6E-409C-BE32-E72D297353CC}">
              <c16:uniqueId val="{00000000-E51A-44D8-81B6-B86232870AF6}"/>
            </c:ext>
          </c:extLst>
        </c:ser>
        <c:ser>
          <c:idx val="1"/>
          <c:order val="1"/>
          <c:tx>
            <c:v>LUCK</c:v>
          </c:tx>
          <c:spPr>
            <a:ln w="13335">
              <a:solidFill>
                <a:srgbClr val="8CB36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Charts!$V$47:$V$51</c:f>
              <c:numCache>
                <c:formatCode>General</c:formatCode>
                <c:ptCount val="5"/>
                <c:pt idx="0">
                  <c:v>0.40251701143421476</c:v>
                </c:pt>
                <c:pt idx="1">
                  <c:v>0.4384325626713429</c:v>
                </c:pt>
                <c:pt idx="2">
                  <c:v>0.44974923322711935</c:v>
                </c:pt>
                <c:pt idx="3">
                  <c:v>0.49280353497458251</c:v>
                </c:pt>
                <c:pt idx="4">
                  <c:v>0.46677662061834158</c:v>
                </c:pt>
              </c:numCache>
            </c:numRef>
          </c:val>
          <c:smooth val="0"/>
          <c:extLst>
            <c:ext xmlns:c16="http://schemas.microsoft.com/office/drawing/2014/chart" uri="{C3380CC4-5D6E-409C-BE32-E72D297353CC}">
              <c16:uniqueId val="{00000001-E51A-44D8-81B6-B86232870AF6}"/>
            </c:ext>
          </c:extLst>
        </c:ser>
        <c:ser>
          <c:idx val="2"/>
          <c:order val="2"/>
          <c:tx>
            <c:v>DGKC</c:v>
          </c:tx>
          <c:spPr>
            <a:ln w="13335">
              <a:solidFill>
                <a:srgbClr val="C79A57"/>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Charts!$W$47:$W$51</c:f>
              <c:numCache>
                <c:formatCode>General</c:formatCode>
                <c:ptCount val="5"/>
                <c:pt idx="0">
                  <c:v>0.32711693039218176</c:v>
                </c:pt>
                <c:pt idx="1">
                  <c:v>0.42503666813991675</c:v>
                </c:pt>
                <c:pt idx="2">
                  <c:v>0.4823862468647665</c:v>
                </c:pt>
                <c:pt idx="3">
                  <c:v>0.47720727814222835</c:v>
                </c:pt>
                <c:pt idx="4">
                  <c:v>0.49267235836459933</c:v>
                </c:pt>
              </c:numCache>
            </c:numRef>
          </c:val>
          <c:smooth val="0"/>
          <c:extLst>
            <c:ext xmlns:c16="http://schemas.microsoft.com/office/drawing/2014/chart" uri="{C3380CC4-5D6E-409C-BE32-E72D297353CC}">
              <c16:uniqueId val="{00000002-E51A-44D8-81B6-B86232870AF6}"/>
            </c:ext>
          </c:extLst>
        </c:ser>
        <c:ser>
          <c:idx val="3"/>
          <c:order val="3"/>
          <c:tx>
            <c:v>MLCF</c:v>
          </c:tx>
          <c:spPr>
            <a:ln w="13335">
              <a:solidFill>
                <a:srgbClr val="648B98"/>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Charts!$X$47:$X$51</c:f>
              <c:numCache>
                <c:formatCode>General</c:formatCode>
                <c:ptCount val="5"/>
                <c:pt idx="0">
                  <c:v>0.53651401514370378</c:v>
                </c:pt>
                <c:pt idx="1">
                  <c:v>0.59016101960962719</c:v>
                </c:pt>
                <c:pt idx="2">
                  <c:v>0.69197238797008198</c:v>
                </c:pt>
                <c:pt idx="3">
                  <c:v>0.66876558045462819</c:v>
                </c:pt>
                <c:pt idx="4">
                  <c:v>0.57883136984449801</c:v>
                </c:pt>
              </c:numCache>
            </c:numRef>
          </c:val>
          <c:smooth val="0"/>
          <c:extLst>
            <c:ext xmlns:c16="http://schemas.microsoft.com/office/drawing/2014/chart" uri="{C3380CC4-5D6E-409C-BE32-E72D297353CC}">
              <c16:uniqueId val="{00000003-E51A-44D8-81B6-B86232870AF6}"/>
            </c:ext>
          </c:extLst>
        </c:ser>
        <c:ser>
          <c:idx val="4"/>
          <c:order val="4"/>
          <c:tx>
            <c:v>FCCL</c:v>
          </c:tx>
          <c:spPr>
            <a:ln w="13335">
              <a:solidFill>
                <a:srgbClr val="A59A89"/>
              </a:solidFill>
              <a:prstDash val="solid"/>
            </a:ln>
          </c:spPr>
          <c:marker>
            <c:symbol val="none"/>
          </c:marker>
          <c:cat>
            <c:strRef>
              <c:f>Charts!$T$47:$T$51</c:f>
              <c:strCache>
                <c:ptCount val="5"/>
                <c:pt idx="0">
                  <c:v>FY2021</c:v>
                </c:pt>
                <c:pt idx="1">
                  <c:v>FY2022</c:v>
                </c:pt>
                <c:pt idx="2">
                  <c:v>FY2023</c:v>
                </c:pt>
                <c:pt idx="3">
                  <c:v>FY2024</c:v>
                </c:pt>
                <c:pt idx="4">
                  <c:v>FY2025</c:v>
                </c:pt>
              </c:strCache>
            </c:strRef>
          </c:cat>
          <c:val>
            <c:numRef>
              <c:f>Charts!$Y$47:$Y$51</c:f>
              <c:numCache>
                <c:formatCode>General</c:formatCode>
                <c:ptCount val="5"/>
                <c:pt idx="0">
                  <c:v>0.71276636764269574</c:v>
                </c:pt>
                <c:pt idx="1">
                  <c:v>0.4770803467502796</c:v>
                </c:pt>
                <c:pt idx="2">
                  <c:v>0.49031202866080159</c:v>
                </c:pt>
                <c:pt idx="3">
                  <c:v>0.54204979765850125</c:v>
                </c:pt>
                <c:pt idx="4">
                  <c:v>0.55305556508680442</c:v>
                </c:pt>
              </c:numCache>
            </c:numRef>
          </c:val>
          <c:smooth val="0"/>
          <c:extLst>
            <c:ext xmlns:c16="http://schemas.microsoft.com/office/drawing/2014/chart" uri="{C3380CC4-5D6E-409C-BE32-E72D297353CC}">
              <c16:uniqueId val="{00000004-E51A-44D8-81B6-B86232870AF6}"/>
            </c:ext>
          </c:extLst>
        </c:ser>
        <c:ser>
          <c:idx val="5"/>
          <c:order val="5"/>
          <c:tx>
            <c:v>Sample mean</c:v>
          </c:tx>
          <c:spPr>
            <a:ln w="21908">
              <a:solidFill>
                <a:srgbClr val="424A46"/>
              </a:solidFill>
              <a:prstDash val="dash"/>
            </a:ln>
          </c:spPr>
          <c:marker>
            <c:symbol val="none"/>
          </c:marker>
          <c:cat>
            <c:strRef>
              <c:f>Charts!$T$47:$T$51</c:f>
              <c:strCache>
                <c:ptCount val="5"/>
                <c:pt idx="0">
                  <c:v>FY2021</c:v>
                </c:pt>
                <c:pt idx="1">
                  <c:v>FY2022</c:v>
                </c:pt>
                <c:pt idx="2">
                  <c:v>FY2023</c:v>
                </c:pt>
                <c:pt idx="3">
                  <c:v>FY2024</c:v>
                </c:pt>
                <c:pt idx="4">
                  <c:v>FY2025</c:v>
                </c:pt>
              </c:strCache>
            </c:strRef>
          </c:cat>
          <c:val>
            <c:numRef>
              <c:f>Charts!$Z$47:$Z$51</c:f>
              <c:numCache>
                <c:formatCode>General</c:formatCode>
                <c:ptCount val="5"/>
                <c:pt idx="0">
                  <c:v>0.5291130301681537</c:v>
                </c:pt>
                <c:pt idx="1">
                  <c:v>0.53782120911889375</c:v>
                </c:pt>
                <c:pt idx="2">
                  <c:v>0.58004762152247946</c:v>
                </c:pt>
                <c:pt idx="3">
                  <c:v>0.56752351056099726</c:v>
                </c:pt>
                <c:pt idx="4">
                  <c:v>0.53065908975353382</c:v>
                </c:pt>
              </c:numCache>
            </c:numRef>
          </c:val>
          <c:smooth val="0"/>
          <c:extLst>
            <c:ext xmlns:c16="http://schemas.microsoft.com/office/drawing/2014/chart" uri="{C3380CC4-5D6E-409C-BE32-E72D297353CC}">
              <c16:uniqueId val="{00000005-E51A-44D8-81B6-B86232870AF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7. Debt-to-Equity Ratio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Charts!$U$55:$U$59</c:f>
              <c:numCache>
                <c:formatCode>General</c:formatCode>
                <c:ptCount val="5"/>
                <c:pt idx="0">
                  <c:v>0.2722692388457173</c:v>
                </c:pt>
                <c:pt idx="1">
                  <c:v>0.15603310983895571</c:v>
                </c:pt>
                <c:pt idx="2">
                  <c:v>9.7619406864766459E-2</c:v>
                </c:pt>
                <c:pt idx="3">
                  <c:v>5.2398238191517746E-2</c:v>
                </c:pt>
                <c:pt idx="4">
                  <c:v>4.6764934517749976E-2</c:v>
                </c:pt>
              </c:numCache>
            </c:numRef>
          </c:val>
          <c:smooth val="0"/>
          <c:extLst>
            <c:ext xmlns:c16="http://schemas.microsoft.com/office/drawing/2014/chart" uri="{C3380CC4-5D6E-409C-BE32-E72D297353CC}">
              <c16:uniqueId val="{00000000-7FF4-4519-8EEE-22E45C391550}"/>
            </c:ext>
          </c:extLst>
        </c:ser>
        <c:ser>
          <c:idx val="1"/>
          <c:order val="1"/>
          <c:tx>
            <c:v>LUCK</c:v>
          </c:tx>
          <c:spPr>
            <a:ln w="13335">
              <a:solidFill>
                <a:srgbClr val="8CB36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Charts!$V$55:$V$59</c:f>
              <c:numCache>
                <c:formatCode>General</c:formatCode>
                <c:ptCount val="5"/>
                <c:pt idx="0">
                  <c:v>9.267604319417716E-2</c:v>
                </c:pt>
                <c:pt idx="1">
                  <c:v>0.12132883685589589</c:v>
                </c:pt>
                <c:pt idx="2">
                  <c:v>0.15318126074071459</c:v>
                </c:pt>
                <c:pt idx="3">
                  <c:v>0.13768684470695258</c:v>
                </c:pt>
                <c:pt idx="4">
                  <c:v>9.9684879347667912E-2</c:v>
                </c:pt>
              </c:numCache>
            </c:numRef>
          </c:val>
          <c:smooth val="0"/>
          <c:extLst>
            <c:ext xmlns:c16="http://schemas.microsoft.com/office/drawing/2014/chart" uri="{C3380CC4-5D6E-409C-BE32-E72D297353CC}">
              <c16:uniqueId val="{00000001-7FF4-4519-8EEE-22E45C391550}"/>
            </c:ext>
          </c:extLst>
        </c:ser>
        <c:ser>
          <c:idx val="2"/>
          <c:order val="2"/>
          <c:tx>
            <c:v>DGKC</c:v>
          </c:tx>
          <c:spPr>
            <a:ln w="13335">
              <a:solidFill>
                <a:srgbClr val="C79A57"/>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Charts!$W$55:$W$59</c:f>
              <c:numCache>
                <c:formatCode>General</c:formatCode>
                <c:ptCount val="5"/>
                <c:pt idx="0">
                  <c:v>0.59600006385595838</c:v>
                </c:pt>
                <c:pt idx="1">
                  <c:v>0.66471914526512743</c:v>
                </c:pt>
                <c:pt idx="2">
                  <c:v>0.66251390334697124</c:v>
                </c:pt>
                <c:pt idx="3">
                  <c:v>0.45251048227827784</c:v>
                </c:pt>
                <c:pt idx="4">
                  <c:v>0.23141104487858016</c:v>
                </c:pt>
              </c:numCache>
            </c:numRef>
          </c:val>
          <c:smooth val="0"/>
          <c:extLst>
            <c:ext xmlns:c16="http://schemas.microsoft.com/office/drawing/2014/chart" uri="{C3380CC4-5D6E-409C-BE32-E72D297353CC}">
              <c16:uniqueId val="{00000002-7FF4-4519-8EEE-22E45C391550}"/>
            </c:ext>
          </c:extLst>
        </c:ser>
        <c:ser>
          <c:idx val="3"/>
          <c:order val="3"/>
          <c:tx>
            <c:v>MLCF</c:v>
          </c:tx>
          <c:spPr>
            <a:ln w="13335">
              <a:solidFill>
                <a:srgbClr val="648B98"/>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Charts!$X$55:$X$59</c:f>
              <c:numCache>
                <c:formatCode>General</c:formatCode>
                <c:ptCount val="5"/>
                <c:pt idx="0">
                  <c:v>0.43245543768601064</c:v>
                </c:pt>
                <c:pt idx="1">
                  <c:v>0.61573768495117542</c:v>
                </c:pt>
                <c:pt idx="2">
                  <c:v>0.44250779404874935</c:v>
                </c:pt>
                <c:pt idx="3">
                  <c:v>0.36846998820204724</c:v>
                </c:pt>
                <c:pt idx="4">
                  <c:v>0.20402666092297522</c:v>
                </c:pt>
              </c:numCache>
            </c:numRef>
          </c:val>
          <c:smooth val="0"/>
          <c:extLst>
            <c:ext xmlns:c16="http://schemas.microsoft.com/office/drawing/2014/chart" uri="{C3380CC4-5D6E-409C-BE32-E72D297353CC}">
              <c16:uniqueId val="{00000003-7FF4-4519-8EEE-22E45C391550}"/>
            </c:ext>
          </c:extLst>
        </c:ser>
        <c:ser>
          <c:idx val="4"/>
          <c:order val="4"/>
          <c:tx>
            <c:v>FCCL</c:v>
          </c:tx>
          <c:spPr>
            <a:ln w="13335">
              <a:solidFill>
                <a:srgbClr val="A59A89"/>
              </a:solidFill>
              <a:prstDash val="solid"/>
            </a:ln>
          </c:spPr>
          <c:marker>
            <c:symbol val="none"/>
          </c:marker>
          <c:cat>
            <c:strRef>
              <c:f>Charts!$T$55:$T$59</c:f>
              <c:strCache>
                <c:ptCount val="5"/>
                <c:pt idx="0">
                  <c:v>FY2021</c:v>
                </c:pt>
                <c:pt idx="1">
                  <c:v>FY2022</c:v>
                </c:pt>
                <c:pt idx="2">
                  <c:v>FY2023</c:v>
                </c:pt>
                <c:pt idx="3">
                  <c:v>FY2024</c:v>
                </c:pt>
                <c:pt idx="4">
                  <c:v>FY2025</c:v>
                </c:pt>
              </c:strCache>
            </c:strRef>
          </c:cat>
          <c:val>
            <c:numRef>
              <c:f>Charts!$Y$55:$Y$59</c:f>
              <c:numCache>
                <c:formatCode>General</c:formatCode>
                <c:ptCount val="5"/>
                <c:pt idx="0">
                  <c:v>0.11033361830900601</c:v>
                </c:pt>
                <c:pt idx="1">
                  <c:v>0.44889851845785944</c:v>
                </c:pt>
                <c:pt idx="2">
                  <c:v>0.62375966688339879</c:v>
                </c:pt>
                <c:pt idx="3">
                  <c:v>0.49850573278032018</c:v>
                </c:pt>
                <c:pt idx="4">
                  <c:v>0.47508509566997464</c:v>
                </c:pt>
              </c:numCache>
            </c:numRef>
          </c:val>
          <c:smooth val="0"/>
          <c:extLst>
            <c:ext xmlns:c16="http://schemas.microsoft.com/office/drawing/2014/chart" uri="{C3380CC4-5D6E-409C-BE32-E72D297353CC}">
              <c16:uniqueId val="{00000004-7FF4-4519-8EEE-22E45C391550}"/>
            </c:ext>
          </c:extLst>
        </c:ser>
        <c:ser>
          <c:idx val="5"/>
          <c:order val="5"/>
          <c:tx>
            <c:v>Sample mean</c:v>
          </c:tx>
          <c:spPr>
            <a:ln w="21908">
              <a:solidFill>
                <a:srgbClr val="424A46"/>
              </a:solidFill>
              <a:prstDash val="dash"/>
            </a:ln>
          </c:spPr>
          <c:marker>
            <c:symbol val="none"/>
          </c:marker>
          <c:cat>
            <c:strRef>
              <c:f>Charts!$T$55:$T$59</c:f>
              <c:strCache>
                <c:ptCount val="5"/>
                <c:pt idx="0">
                  <c:v>FY2021</c:v>
                </c:pt>
                <c:pt idx="1">
                  <c:v>FY2022</c:v>
                </c:pt>
                <c:pt idx="2">
                  <c:v>FY2023</c:v>
                </c:pt>
                <c:pt idx="3">
                  <c:v>FY2024</c:v>
                </c:pt>
                <c:pt idx="4">
                  <c:v>FY2025</c:v>
                </c:pt>
              </c:strCache>
            </c:strRef>
          </c:cat>
          <c:val>
            <c:numRef>
              <c:f>Charts!$Z$55:$Z$59</c:f>
              <c:numCache>
                <c:formatCode>General</c:formatCode>
                <c:ptCount val="5"/>
                <c:pt idx="0">
                  <c:v>0.30074688037817388</c:v>
                </c:pt>
                <c:pt idx="1">
                  <c:v>0.40134345907380276</c:v>
                </c:pt>
                <c:pt idx="2">
                  <c:v>0.3959164063769201</c:v>
                </c:pt>
                <c:pt idx="3">
                  <c:v>0.30191425723182308</c:v>
                </c:pt>
                <c:pt idx="4">
                  <c:v>0.21139452306738957</c:v>
                </c:pt>
              </c:numCache>
            </c:numRef>
          </c:val>
          <c:smooth val="0"/>
          <c:extLst>
            <c:ext xmlns:c16="http://schemas.microsoft.com/office/drawing/2014/chart" uri="{C3380CC4-5D6E-409C-BE32-E72D297353CC}">
              <c16:uniqueId val="{00000005-7FF4-4519-8EEE-22E45C39155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8. Times Interest Earned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Charts!$U$63:$U$67</c:f>
              <c:numCache>
                <c:formatCode>General</c:formatCode>
                <c:ptCount val="5"/>
                <c:pt idx="0">
                  <c:v>10.965146742707439</c:v>
                </c:pt>
                <c:pt idx="1">
                  <c:v>18.319735243438064</c:v>
                </c:pt>
                <c:pt idx="2">
                  <c:v>16.315812571917526</c:v>
                </c:pt>
                <c:pt idx="3">
                  <c:v>22.319441864662931</c:v>
                </c:pt>
                <c:pt idx="4">
                  <c:v>58.956241100348862</c:v>
                </c:pt>
              </c:numCache>
            </c:numRef>
          </c:val>
          <c:smooth val="0"/>
          <c:extLst>
            <c:ext xmlns:c16="http://schemas.microsoft.com/office/drawing/2014/chart" uri="{C3380CC4-5D6E-409C-BE32-E72D297353CC}">
              <c16:uniqueId val="{00000000-9D11-4AD5-80C8-3E2FF6F77A7B}"/>
            </c:ext>
          </c:extLst>
        </c:ser>
        <c:ser>
          <c:idx val="1"/>
          <c:order val="1"/>
          <c:tx>
            <c:v>LUCK</c:v>
          </c:tx>
          <c:spPr>
            <a:ln w="13335">
              <a:solidFill>
                <a:srgbClr val="8CB36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Charts!$V$63:$V$67</c:f>
              <c:numCache>
                <c:formatCode>General</c:formatCode>
                <c:ptCount val="5"/>
                <c:pt idx="0">
                  <c:v>52.042228263318378</c:v>
                </c:pt>
                <c:pt idx="1">
                  <c:v>55.297361076962446</c:v>
                </c:pt>
                <c:pt idx="2">
                  <c:v>19.418491261619813</c:v>
                </c:pt>
                <c:pt idx="3">
                  <c:v>27.521394265428206</c:v>
                </c:pt>
                <c:pt idx="4">
                  <c:v>36.687316512913945</c:v>
                </c:pt>
              </c:numCache>
            </c:numRef>
          </c:val>
          <c:smooth val="0"/>
          <c:extLst>
            <c:ext xmlns:c16="http://schemas.microsoft.com/office/drawing/2014/chart" uri="{C3380CC4-5D6E-409C-BE32-E72D297353CC}">
              <c16:uniqueId val="{00000001-9D11-4AD5-80C8-3E2FF6F77A7B}"/>
            </c:ext>
          </c:extLst>
        </c:ser>
        <c:ser>
          <c:idx val="2"/>
          <c:order val="2"/>
          <c:tx>
            <c:v>DGKC</c:v>
          </c:tx>
          <c:spPr>
            <a:ln w="13335">
              <a:solidFill>
                <a:srgbClr val="C79A57"/>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Charts!$W$63:$W$67</c:f>
              <c:numCache>
                <c:formatCode>General</c:formatCode>
                <c:ptCount val="5"/>
                <c:pt idx="0">
                  <c:v>2.6532310456742976</c:v>
                </c:pt>
                <c:pt idx="1">
                  <c:v>2.6982633298510965</c:v>
                </c:pt>
                <c:pt idx="2">
                  <c:v>1.4717538518085045</c:v>
                </c:pt>
                <c:pt idx="3">
                  <c:v>1.3582230764552283</c:v>
                </c:pt>
                <c:pt idx="4">
                  <c:v>4.4072600253200633</c:v>
                </c:pt>
              </c:numCache>
            </c:numRef>
          </c:val>
          <c:smooth val="0"/>
          <c:extLst>
            <c:ext xmlns:c16="http://schemas.microsoft.com/office/drawing/2014/chart" uri="{C3380CC4-5D6E-409C-BE32-E72D297353CC}">
              <c16:uniqueId val="{00000002-9D11-4AD5-80C8-3E2FF6F77A7B}"/>
            </c:ext>
          </c:extLst>
        </c:ser>
        <c:ser>
          <c:idx val="3"/>
          <c:order val="3"/>
          <c:tx>
            <c:v>MLCF</c:v>
          </c:tx>
          <c:spPr>
            <a:ln w="13335">
              <a:solidFill>
                <a:srgbClr val="648B98"/>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Charts!$X$63:$X$67</c:f>
              <c:numCache>
                <c:formatCode>General</c:formatCode>
                <c:ptCount val="5"/>
                <c:pt idx="0">
                  <c:v>6.0367662605249279</c:v>
                </c:pt>
                <c:pt idx="1">
                  <c:v>5.2505359388174728</c:v>
                </c:pt>
                <c:pt idx="2">
                  <c:v>4.4476569735481268</c:v>
                </c:pt>
                <c:pt idx="3">
                  <c:v>3.2023484620581835</c:v>
                </c:pt>
                <c:pt idx="4">
                  <c:v>7.3457905408215804</c:v>
                </c:pt>
              </c:numCache>
            </c:numRef>
          </c:val>
          <c:smooth val="0"/>
          <c:extLst>
            <c:ext xmlns:c16="http://schemas.microsoft.com/office/drawing/2014/chart" uri="{C3380CC4-5D6E-409C-BE32-E72D297353CC}">
              <c16:uniqueId val="{00000003-9D11-4AD5-80C8-3E2FF6F77A7B}"/>
            </c:ext>
          </c:extLst>
        </c:ser>
        <c:ser>
          <c:idx val="4"/>
          <c:order val="4"/>
          <c:tx>
            <c:v>FCCL</c:v>
          </c:tx>
          <c:spPr>
            <a:ln w="13335">
              <a:solidFill>
                <a:srgbClr val="A59A89"/>
              </a:solidFill>
              <a:prstDash val="solid"/>
            </a:ln>
          </c:spPr>
          <c:marker>
            <c:symbol val="none"/>
          </c:marker>
          <c:cat>
            <c:strRef>
              <c:f>Charts!$T$63:$T$67</c:f>
              <c:strCache>
                <c:ptCount val="5"/>
                <c:pt idx="0">
                  <c:v>FY2021</c:v>
                </c:pt>
                <c:pt idx="1">
                  <c:v>FY2022</c:v>
                </c:pt>
                <c:pt idx="2">
                  <c:v>FY2023</c:v>
                </c:pt>
                <c:pt idx="3">
                  <c:v>FY2024</c:v>
                </c:pt>
                <c:pt idx="4">
                  <c:v>FY2025</c:v>
                </c:pt>
              </c:strCache>
            </c:strRef>
          </c:cat>
          <c:val>
            <c:numRef>
              <c:f>Charts!$Y$63:$Y$67</c:f>
              <c:numCache>
                <c:formatCode>General</c:formatCode>
                <c:ptCount val="5"/>
                <c:pt idx="0">
                  <c:v>56.450885878061477</c:v>
                </c:pt>
                <c:pt idx="1">
                  <c:v>12.583415391911771</c:v>
                </c:pt>
                <c:pt idx="2">
                  <c:v>5.9146829675290808</c:v>
                </c:pt>
                <c:pt idx="3">
                  <c:v>3.7798126521954241</c:v>
                </c:pt>
                <c:pt idx="4">
                  <c:v>4.7935258018729412</c:v>
                </c:pt>
              </c:numCache>
            </c:numRef>
          </c:val>
          <c:smooth val="0"/>
          <c:extLst>
            <c:ext xmlns:c16="http://schemas.microsoft.com/office/drawing/2014/chart" uri="{C3380CC4-5D6E-409C-BE32-E72D297353CC}">
              <c16:uniqueId val="{00000004-9D11-4AD5-80C8-3E2FF6F77A7B}"/>
            </c:ext>
          </c:extLst>
        </c:ser>
        <c:ser>
          <c:idx val="5"/>
          <c:order val="5"/>
          <c:tx>
            <c:v>Sample mean</c:v>
          </c:tx>
          <c:spPr>
            <a:ln w="21908">
              <a:solidFill>
                <a:srgbClr val="424A46"/>
              </a:solidFill>
              <a:prstDash val="dash"/>
            </a:ln>
          </c:spPr>
          <c:marker>
            <c:symbol val="none"/>
          </c:marker>
          <c:cat>
            <c:strRef>
              <c:f>Charts!$T$63:$T$67</c:f>
              <c:strCache>
                <c:ptCount val="5"/>
                <c:pt idx="0">
                  <c:v>FY2021</c:v>
                </c:pt>
                <c:pt idx="1">
                  <c:v>FY2022</c:v>
                </c:pt>
                <c:pt idx="2">
                  <c:v>FY2023</c:v>
                </c:pt>
                <c:pt idx="3">
                  <c:v>FY2024</c:v>
                </c:pt>
                <c:pt idx="4">
                  <c:v>FY2025</c:v>
                </c:pt>
              </c:strCache>
            </c:strRef>
          </c:cat>
          <c:val>
            <c:numRef>
              <c:f>Charts!$Z$63:$Z$67</c:f>
              <c:numCache>
                <c:formatCode>General</c:formatCode>
                <c:ptCount val="5"/>
                <c:pt idx="0">
                  <c:v>25.629651638057304</c:v>
                </c:pt>
                <c:pt idx="1">
                  <c:v>18.829862196196171</c:v>
                </c:pt>
                <c:pt idx="2">
                  <c:v>9.513679525284612</c:v>
                </c:pt>
                <c:pt idx="3">
                  <c:v>11.636244064159992</c:v>
                </c:pt>
                <c:pt idx="4">
                  <c:v>22.438026796255478</c:v>
                </c:pt>
              </c:numCache>
            </c:numRef>
          </c:val>
          <c:smooth val="0"/>
          <c:extLst>
            <c:ext xmlns:c16="http://schemas.microsoft.com/office/drawing/2014/chart" uri="{C3380CC4-5D6E-409C-BE32-E72D297353CC}">
              <c16:uniqueId val="{00000005-9D11-4AD5-80C8-3E2FF6F77A7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9. Operating Margin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Charts!$U$71:$U$75</c:f>
              <c:numCache>
                <c:formatCode>General</c:formatCode>
                <c:ptCount val="5"/>
                <c:pt idx="0">
                  <c:v>0.223476531263751</c:v>
                </c:pt>
                <c:pt idx="1">
                  <c:v>0.28715637280086448</c:v>
                </c:pt>
                <c:pt idx="2">
                  <c:v>0.28654734202991289</c:v>
                </c:pt>
                <c:pt idx="3">
                  <c:v>0.37317728789535698</c:v>
                </c:pt>
                <c:pt idx="4">
                  <c:v>0.48095636892569549</c:v>
                </c:pt>
              </c:numCache>
            </c:numRef>
          </c:val>
          <c:smooth val="0"/>
          <c:extLst>
            <c:ext xmlns:c16="http://schemas.microsoft.com/office/drawing/2014/chart" uri="{C3380CC4-5D6E-409C-BE32-E72D297353CC}">
              <c16:uniqueId val="{00000000-BC36-4CEA-AFC8-0AA9F2244060}"/>
            </c:ext>
          </c:extLst>
        </c:ser>
        <c:ser>
          <c:idx val="1"/>
          <c:order val="1"/>
          <c:tx>
            <c:v>LUCK</c:v>
          </c:tx>
          <c:spPr>
            <a:ln w="13335">
              <a:solidFill>
                <a:srgbClr val="8CB36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Charts!$V$71:$V$75</c:f>
              <c:numCache>
                <c:formatCode>General</c:formatCode>
                <c:ptCount val="5"/>
                <c:pt idx="0">
                  <c:v>0.27526050866365631</c:v>
                </c:pt>
                <c:pt idx="1">
                  <c:v>0.26901961654768358</c:v>
                </c:pt>
                <c:pt idx="2">
                  <c:v>0.23480711540356072</c:v>
                </c:pt>
                <c:pt idx="3">
                  <c:v>0.37240945675047471</c:v>
                </c:pt>
                <c:pt idx="4">
                  <c:v>0.39071901522799324</c:v>
                </c:pt>
              </c:numCache>
            </c:numRef>
          </c:val>
          <c:smooth val="0"/>
          <c:extLst>
            <c:ext xmlns:c16="http://schemas.microsoft.com/office/drawing/2014/chart" uri="{C3380CC4-5D6E-409C-BE32-E72D297353CC}">
              <c16:uniqueId val="{00000001-BC36-4CEA-AFC8-0AA9F2244060}"/>
            </c:ext>
          </c:extLst>
        </c:ser>
        <c:ser>
          <c:idx val="2"/>
          <c:order val="2"/>
          <c:tx>
            <c:v>DGKC</c:v>
          </c:tx>
          <c:spPr>
            <a:ln w="13335">
              <a:solidFill>
                <a:srgbClr val="C79A57"/>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Charts!$W$71:$W$75</c:f>
              <c:numCache>
                <c:formatCode>General</c:formatCode>
                <c:ptCount val="5"/>
                <c:pt idx="0">
                  <c:v>0.16976072150890459</c:v>
                </c:pt>
                <c:pt idx="1">
                  <c:v>0.1647791429733062</c:v>
                </c:pt>
                <c:pt idx="2">
                  <c:v>0.15182766799754666</c:v>
                </c:pt>
                <c:pt idx="3">
                  <c:v>0.16299366572828242</c:v>
                </c:pt>
                <c:pt idx="4">
                  <c:v>0.23397808045883622</c:v>
                </c:pt>
              </c:numCache>
            </c:numRef>
          </c:val>
          <c:smooth val="0"/>
          <c:extLst>
            <c:ext xmlns:c16="http://schemas.microsoft.com/office/drawing/2014/chart" uri="{C3380CC4-5D6E-409C-BE32-E72D297353CC}">
              <c16:uniqueId val="{00000002-BC36-4CEA-AFC8-0AA9F2244060}"/>
            </c:ext>
          </c:extLst>
        </c:ser>
        <c:ser>
          <c:idx val="3"/>
          <c:order val="3"/>
          <c:tx>
            <c:v>MLCF</c:v>
          </c:tx>
          <c:spPr>
            <a:ln w="13335">
              <a:solidFill>
                <a:srgbClr val="648B98"/>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Charts!$X$71:$X$75</c:f>
              <c:numCache>
                <c:formatCode>General</c:formatCode>
                <c:ptCount val="5"/>
                <c:pt idx="0">
                  <c:v>0.24584402613957254</c:v>
                </c:pt>
                <c:pt idx="1">
                  <c:v>0.18288553443388325</c:v>
                </c:pt>
                <c:pt idx="2">
                  <c:v>0.19224796146239193</c:v>
                </c:pt>
                <c:pt idx="3">
                  <c:v>0.19543128859795894</c:v>
                </c:pt>
                <c:pt idx="4">
                  <c:v>0.36375545770453227</c:v>
                </c:pt>
              </c:numCache>
            </c:numRef>
          </c:val>
          <c:smooth val="0"/>
          <c:extLst>
            <c:ext xmlns:c16="http://schemas.microsoft.com/office/drawing/2014/chart" uri="{C3380CC4-5D6E-409C-BE32-E72D297353CC}">
              <c16:uniqueId val="{00000003-BC36-4CEA-AFC8-0AA9F2244060}"/>
            </c:ext>
          </c:extLst>
        </c:ser>
        <c:ser>
          <c:idx val="4"/>
          <c:order val="4"/>
          <c:tx>
            <c:v>FCCL</c:v>
          </c:tx>
          <c:spPr>
            <a:ln w="13335">
              <a:solidFill>
                <a:srgbClr val="A59A89"/>
              </a:solidFill>
              <a:prstDash val="solid"/>
            </a:ln>
          </c:spPr>
          <c:marker>
            <c:symbol val="none"/>
          </c:marker>
          <c:cat>
            <c:strRef>
              <c:f>Charts!$T$71:$T$75</c:f>
              <c:strCache>
                <c:ptCount val="5"/>
                <c:pt idx="0">
                  <c:v>FY2021</c:v>
                </c:pt>
                <c:pt idx="1">
                  <c:v>FY2022</c:v>
                </c:pt>
                <c:pt idx="2">
                  <c:v>FY2023</c:v>
                </c:pt>
                <c:pt idx="3">
                  <c:v>FY2024</c:v>
                </c:pt>
                <c:pt idx="4">
                  <c:v>FY2025</c:v>
                </c:pt>
              </c:strCache>
            </c:strRef>
          </c:cat>
          <c:val>
            <c:numRef>
              <c:f>Charts!$Y$71:$Y$75</c:f>
              <c:numCache>
                <c:formatCode>General</c:formatCode>
                <c:ptCount val="5"/>
                <c:pt idx="0">
                  <c:v>0.2142368646736256</c:v>
                </c:pt>
                <c:pt idx="1">
                  <c:v>0.23087384099122032</c:v>
                </c:pt>
                <c:pt idx="2">
                  <c:v>0.22807525720632701</c:v>
                </c:pt>
                <c:pt idx="3">
                  <c:v>0.26089810857755552</c:v>
                </c:pt>
                <c:pt idx="4">
                  <c:v>0.3057657460861018</c:v>
                </c:pt>
              </c:numCache>
            </c:numRef>
          </c:val>
          <c:smooth val="0"/>
          <c:extLst>
            <c:ext xmlns:c16="http://schemas.microsoft.com/office/drawing/2014/chart" uri="{C3380CC4-5D6E-409C-BE32-E72D297353CC}">
              <c16:uniqueId val="{00000004-BC36-4CEA-AFC8-0AA9F2244060}"/>
            </c:ext>
          </c:extLst>
        </c:ser>
        <c:ser>
          <c:idx val="5"/>
          <c:order val="5"/>
          <c:tx>
            <c:v>Sample mean</c:v>
          </c:tx>
          <c:spPr>
            <a:ln w="21908">
              <a:solidFill>
                <a:srgbClr val="424A46"/>
              </a:solidFill>
              <a:prstDash val="dash"/>
            </a:ln>
          </c:spPr>
          <c:marker>
            <c:symbol val="none"/>
          </c:marker>
          <c:cat>
            <c:strRef>
              <c:f>Charts!$T$71:$T$75</c:f>
              <c:strCache>
                <c:ptCount val="5"/>
                <c:pt idx="0">
                  <c:v>FY2021</c:v>
                </c:pt>
                <c:pt idx="1">
                  <c:v>FY2022</c:v>
                </c:pt>
                <c:pt idx="2">
                  <c:v>FY2023</c:v>
                </c:pt>
                <c:pt idx="3">
                  <c:v>FY2024</c:v>
                </c:pt>
                <c:pt idx="4">
                  <c:v>FY2025</c:v>
                </c:pt>
              </c:strCache>
            </c:strRef>
          </c:cat>
          <c:val>
            <c:numRef>
              <c:f>Charts!$Z$71:$Z$75</c:f>
              <c:numCache>
                <c:formatCode>General</c:formatCode>
                <c:ptCount val="5"/>
                <c:pt idx="0">
                  <c:v>0.22571573044990201</c:v>
                </c:pt>
                <c:pt idx="1">
                  <c:v>0.22694290154939156</c:v>
                </c:pt>
                <c:pt idx="2">
                  <c:v>0.21870106881994783</c:v>
                </c:pt>
                <c:pt idx="3">
                  <c:v>0.27298196150992571</c:v>
                </c:pt>
                <c:pt idx="4">
                  <c:v>0.35503493368063183</c:v>
                </c:pt>
              </c:numCache>
            </c:numRef>
          </c:val>
          <c:smooth val="0"/>
          <c:extLst>
            <c:ext xmlns:c16="http://schemas.microsoft.com/office/drawing/2014/chart" uri="{C3380CC4-5D6E-409C-BE32-E72D297353CC}">
              <c16:uniqueId val="{00000005-BC36-4CEA-AFC8-0AA9F224406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10. Return on Equity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Charts!$U$79:$U$83</c:f>
              <c:numCache>
                <c:formatCode>General</c:formatCode>
                <c:ptCount val="5"/>
                <c:pt idx="0">
                  <c:v>0.15737849802466555</c:v>
                </c:pt>
                <c:pt idx="1">
                  <c:v>0.18440283523376622</c:v>
                </c:pt>
                <c:pt idx="2">
                  <c:v>0.17849564911664104</c:v>
                </c:pt>
                <c:pt idx="3">
                  <c:v>0.21643681457260755</c:v>
                </c:pt>
                <c:pt idx="4">
                  <c:v>0.24137435208870983</c:v>
                </c:pt>
              </c:numCache>
            </c:numRef>
          </c:val>
          <c:smooth val="0"/>
          <c:extLst>
            <c:ext xmlns:c16="http://schemas.microsoft.com/office/drawing/2014/chart" uri="{C3380CC4-5D6E-409C-BE32-E72D297353CC}">
              <c16:uniqueId val="{00000000-9156-4583-89AB-A09A822E379C}"/>
            </c:ext>
          </c:extLst>
        </c:ser>
        <c:ser>
          <c:idx val="1"/>
          <c:order val="1"/>
          <c:tx>
            <c:v>LUCK</c:v>
          </c:tx>
          <c:spPr>
            <a:ln w="13335">
              <a:solidFill>
                <a:srgbClr val="8CB36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Charts!$V$79:$V$83</c:f>
              <c:numCache>
                <c:formatCode>General</c:formatCode>
                <c:ptCount val="5"/>
                <c:pt idx="0">
                  <c:v>0.12429467254394423</c:v>
                </c:pt>
                <c:pt idx="1">
                  <c:v>0.11901804448540206</c:v>
                </c:pt>
                <c:pt idx="2">
                  <c:v>9.9921242706891636E-2</c:v>
                </c:pt>
                <c:pt idx="3">
                  <c:v>0.19021586420101122</c:v>
                </c:pt>
                <c:pt idx="4">
                  <c:v>0.18811941761260281</c:v>
                </c:pt>
              </c:numCache>
            </c:numRef>
          </c:val>
          <c:smooth val="0"/>
          <c:extLst>
            <c:ext xmlns:c16="http://schemas.microsoft.com/office/drawing/2014/chart" uri="{C3380CC4-5D6E-409C-BE32-E72D297353CC}">
              <c16:uniqueId val="{00000001-9156-4583-89AB-A09A822E379C}"/>
            </c:ext>
          </c:extLst>
        </c:ser>
        <c:ser>
          <c:idx val="2"/>
          <c:order val="2"/>
          <c:tx>
            <c:v>DGKC</c:v>
          </c:tx>
          <c:spPr>
            <a:ln w="13335">
              <a:solidFill>
                <a:srgbClr val="C79A57"/>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Charts!$W$79:$W$83</c:f>
              <c:numCache>
                <c:formatCode>General</c:formatCode>
                <c:ptCount val="5"/>
                <c:pt idx="0">
                  <c:v>5.0644811125656837E-2</c:v>
                </c:pt>
                <c:pt idx="1">
                  <c:v>4.2508762609145177E-2</c:v>
                </c:pt>
                <c:pt idx="2">
                  <c:v>#N/A</c:v>
                </c:pt>
                <c:pt idx="3">
                  <c:v>7.1511352154898129E-3</c:v>
                </c:pt>
                <c:pt idx="4">
                  <c:v>9.1637161813901913E-2</c:v>
                </c:pt>
              </c:numCache>
            </c:numRef>
          </c:val>
          <c:smooth val="0"/>
          <c:extLst>
            <c:ext xmlns:c16="http://schemas.microsoft.com/office/drawing/2014/chart" uri="{C3380CC4-5D6E-409C-BE32-E72D297353CC}">
              <c16:uniqueId val="{00000002-9156-4583-89AB-A09A822E379C}"/>
            </c:ext>
          </c:extLst>
        </c:ser>
        <c:ser>
          <c:idx val="3"/>
          <c:order val="3"/>
          <c:tx>
            <c:v>MLCF</c:v>
          </c:tx>
          <c:spPr>
            <a:ln w="13335">
              <a:solidFill>
                <a:srgbClr val="648B98"/>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Charts!$X$79:$X$83</c:f>
              <c:numCache>
                <c:formatCode>General</c:formatCode>
                <c:ptCount val="5"/>
                <c:pt idx="0">
                  <c:v>0.16658725897109622</c:v>
                </c:pt>
                <c:pt idx="1">
                  <c:v>8.9408976031592494E-2</c:v>
                </c:pt>
                <c:pt idx="2">
                  <c:v>0.10000796203977304</c:v>
                </c:pt>
                <c:pt idx="3">
                  <c:v>0.10020784968682853</c:v>
                </c:pt>
                <c:pt idx="4">
                  <c:v>0.2383990269906105</c:v>
                </c:pt>
              </c:numCache>
            </c:numRef>
          </c:val>
          <c:smooth val="0"/>
          <c:extLst>
            <c:ext xmlns:c16="http://schemas.microsoft.com/office/drawing/2014/chart" uri="{C3380CC4-5D6E-409C-BE32-E72D297353CC}">
              <c16:uniqueId val="{00000003-9156-4583-89AB-A09A822E379C}"/>
            </c:ext>
          </c:extLst>
        </c:ser>
        <c:ser>
          <c:idx val="4"/>
          <c:order val="4"/>
          <c:tx>
            <c:v>FCCL</c:v>
          </c:tx>
          <c:spPr>
            <a:ln w="13335">
              <a:solidFill>
                <a:srgbClr val="A59A89"/>
              </a:solidFill>
              <a:prstDash val="solid"/>
            </a:ln>
          </c:spPr>
          <c:marker>
            <c:symbol val="none"/>
          </c:marker>
          <c:cat>
            <c:strRef>
              <c:f>Charts!$T$79:$T$83</c:f>
              <c:strCache>
                <c:ptCount val="5"/>
                <c:pt idx="0">
                  <c:v>FY2021</c:v>
                </c:pt>
                <c:pt idx="1">
                  <c:v>FY2022</c:v>
                </c:pt>
                <c:pt idx="2">
                  <c:v>FY2023</c:v>
                </c:pt>
                <c:pt idx="3">
                  <c:v>FY2024</c:v>
                </c:pt>
                <c:pt idx="4">
                  <c:v>FY2025</c:v>
                </c:pt>
              </c:strCache>
            </c:strRef>
          </c:cat>
          <c:val>
            <c:numRef>
              <c:f>Charts!$Y$79:$Y$83</c:f>
              <c:numCache>
                <c:formatCode>General</c:formatCode>
                <c:ptCount val="5"/>
                <c:pt idx="0">
                  <c:v>0.14914074872427949</c:v>
                </c:pt>
                <c:pt idx="1">
                  <c:v>0.12319061073378482</c:v>
                </c:pt>
                <c:pt idx="2">
                  <c:v>0.11414801492770245</c:v>
                </c:pt>
                <c:pt idx="3">
                  <c:v>0.1120333038446799</c:v>
                </c:pt>
                <c:pt idx="4">
                  <c:v>0.15813282120245373</c:v>
                </c:pt>
              </c:numCache>
            </c:numRef>
          </c:val>
          <c:smooth val="0"/>
          <c:extLst>
            <c:ext xmlns:c16="http://schemas.microsoft.com/office/drawing/2014/chart" uri="{C3380CC4-5D6E-409C-BE32-E72D297353CC}">
              <c16:uniqueId val="{00000004-9156-4583-89AB-A09A822E379C}"/>
            </c:ext>
          </c:extLst>
        </c:ser>
        <c:ser>
          <c:idx val="5"/>
          <c:order val="5"/>
          <c:tx>
            <c:v>Sample mean</c:v>
          </c:tx>
          <c:spPr>
            <a:ln w="21908">
              <a:solidFill>
                <a:srgbClr val="424A46"/>
              </a:solidFill>
              <a:prstDash val="dash"/>
            </a:ln>
          </c:spPr>
          <c:marker>
            <c:symbol val="none"/>
          </c:marker>
          <c:cat>
            <c:strRef>
              <c:f>Charts!$T$79:$T$83</c:f>
              <c:strCache>
                <c:ptCount val="5"/>
                <c:pt idx="0">
                  <c:v>FY2021</c:v>
                </c:pt>
                <c:pt idx="1">
                  <c:v>FY2022</c:v>
                </c:pt>
                <c:pt idx="2">
                  <c:v>FY2023</c:v>
                </c:pt>
                <c:pt idx="3">
                  <c:v>FY2024</c:v>
                </c:pt>
                <c:pt idx="4">
                  <c:v>FY2025</c:v>
                </c:pt>
              </c:strCache>
            </c:strRef>
          </c:cat>
          <c:val>
            <c:numRef>
              <c:f>Charts!$Z$79:$Z$83</c:f>
              <c:numCache>
                <c:formatCode>General</c:formatCode>
                <c:ptCount val="5"/>
                <c:pt idx="0">
                  <c:v>0.12960919787792846</c:v>
                </c:pt>
                <c:pt idx="1">
                  <c:v>0.11170584581873814</c:v>
                </c:pt>
                <c:pt idx="2">
                  <c:v>0.12314321719775204</c:v>
                </c:pt>
                <c:pt idx="3">
                  <c:v>0.1252089935041234</c:v>
                </c:pt>
                <c:pt idx="4">
                  <c:v>0.18353255594165577</c:v>
                </c:pt>
              </c:numCache>
            </c:numRef>
          </c:val>
          <c:smooth val="0"/>
          <c:extLst>
            <c:ext xmlns:c16="http://schemas.microsoft.com/office/drawing/2014/chart" uri="{C3380CC4-5D6E-409C-BE32-E72D297353CC}">
              <c16:uniqueId val="{00000005-9156-4583-89AB-A09A822E379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11. Return on Invested Capital (%)</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Charts!$U$87:$U$91</c:f>
              <c:numCache>
                <c:formatCode>General</c:formatCode>
                <c:ptCount val="5"/>
                <c:pt idx="0">
                  <c:v>0.13611222052431424</c:v>
                </c:pt>
                <c:pt idx="1">
                  <c:v>0.16872337936741016</c:v>
                </c:pt>
                <c:pt idx="2">
                  <c:v>0.17323854283924056</c:v>
                </c:pt>
                <c:pt idx="3">
                  <c:v>0.21530718381280636</c:v>
                </c:pt>
                <c:pt idx="4">
                  <c:v>0.23456949398989801</c:v>
                </c:pt>
              </c:numCache>
            </c:numRef>
          </c:val>
          <c:smooth val="0"/>
          <c:extLst>
            <c:ext xmlns:c16="http://schemas.microsoft.com/office/drawing/2014/chart" uri="{C3380CC4-5D6E-409C-BE32-E72D297353CC}">
              <c16:uniqueId val="{00000000-D2E7-40CF-BB2A-2D5DD30CE699}"/>
            </c:ext>
          </c:extLst>
        </c:ser>
        <c:ser>
          <c:idx val="1"/>
          <c:order val="1"/>
          <c:tx>
            <c:v>LUCK</c:v>
          </c:tx>
          <c:spPr>
            <a:ln w="13335">
              <a:solidFill>
                <a:srgbClr val="8CB36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Charts!$V$87:$V$91</c:f>
              <c:numCache>
                <c:formatCode>General</c:formatCode>
                <c:ptCount val="5"/>
                <c:pt idx="0">
                  <c:v>0.11598113408973314</c:v>
                </c:pt>
                <c:pt idx="1">
                  <c:v>0.10809497435976413</c:v>
                </c:pt>
                <c:pt idx="2">
                  <c:v>9.1352761839314733E-2</c:v>
                </c:pt>
                <c:pt idx="3">
                  <c:v>0.17349944050776198</c:v>
                </c:pt>
                <c:pt idx="4">
                  <c:v>0.17586014458599655</c:v>
                </c:pt>
              </c:numCache>
            </c:numRef>
          </c:val>
          <c:smooth val="0"/>
          <c:extLst>
            <c:ext xmlns:c16="http://schemas.microsoft.com/office/drawing/2014/chart" uri="{C3380CC4-5D6E-409C-BE32-E72D297353CC}">
              <c16:uniqueId val="{00000001-D2E7-40CF-BB2A-2D5DD30CE699}"/>
            </c:ext>
          </c:extLst>
        </c:ser>
        <c:ser>
          <c:idx val="2"/>
          <c:order val="2"/>
          <c:tx>
            <c:v>DGKC</c:v>
          </c:tx>
          <c:spPr>
            <a:ln w="13335">
              <a:solidFill>
                <a:srgbClr val="C79A57"/>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Charts!$W$87:$W$91</c:f>
              <c:numCache>
                <c:formatCode>General</c:formatCode>
                <c:ptCount val="5"/>
                <c:pt idx="0">
                  <c:v>5.0926469503026137E-2</c:v>
                </c:pt>
                <c:pt idx="1">
                  <c:v>4.0571100495840479E-2</c:v>
                </c:pt>
                <c:pt idx="2">
                  <c:v>#N/A</c:v>
                </c:pt>
                <c:pt idx="3">
                  <c:v>1.8666945531428475E-2</c:v>
                </c:pt>
                <c:pt idx="4">
                  <c:v>9.6256924504903307E-2</c:v>
                </c:pt>
              </c:numCache>
            </c:numRef>
          </c:val>
          <c:smooth val="0"/>
          <c:extLst>
            <c:ext xmlns:c16="http://schemas.microsoft.com/office/drawing/2014/chart" uri="{C3380CC4-5D6E-409C-BE32-E72D297353CC}">
              <c16:uniqueId val="{00000002-D2E7-40CF-BB2A-2D5DD30CE699}"/>
            </c:ext>
          </c:extLst>
        </c:ser>
        <c:ser>
          <c:idx val="3"/>
          <c:order val="3"/>
          <c:tx>
            <c:v>MLCF</c:v>
          </c:tx>
          <c:spPr>
            <a:ln w="13335">
              <a:solidFill>
                <a:srgbClr val="648B98"/>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Charts!$X$87:$X$91</c:f>
              <c:numCache>
                <c:formatCode>General</c:formatCode>
                <c:ptCount val="5"/>
                <c:pt idx="0">
                  <c:v>0.13938409686265396</c:v>
                </c:pt>
                <c:pt idx="1">
                  <c:v>6.8354987715222609E-2</c:v>
                </c:pt>
                <c:pt idx="2">
                  <c:v>8.9438322458184685E-2</c:v>
                </c:pt>
                <c:pt idx="3">
                  <c:v>0.10647533565261356</c:v>
                </c:pt>
                <c:pt idx="4">
                  <c:v>0.22920346694221672</c:v>
                </c:pt>
              </c:numCache>
            </c:numRef>
          </c:val>
          <c:smooth val="0"/>
          <c:extLst>
            <c:ext xmlns:c16="http://schemas.microsoft.com/office/drawing/2014/chart" uri="{C3380CC4-5D6E-409C-BE32-E72D297353CC}">
              <c16:uniqueId val="{00000003-D2E7-40CF-BB2A-2D5DD30CE699}"/>
            </c:ext>
          </c:extLst>
        </c:ser>
        <c:ser>
          <c:idx val="4"/>
          <c:order val="4"/>
          <c:tx>
            <c:v>FCCL</c:v>
          </c:tx>
          <c:spPr>
            <a:ln w="13335">
              <a:solidFill>
                <a:srgbClr val="A59A89"/>
              </a:solidFill>
              <a:prstDash val="solid"/>
            </a:ln>
          </c:spPr>
          <c:marker>
            <c:symbol val="none"/>
          </c:marker>
          <c:cat>
            <c:strRef>
              <c:f>Charts!$T$87:$T$91</c:f>
              <c:strCache>
                <c:ptCount val="5"/>
                <c:pt idx="0">
                  <c:v>FY2021</c:v>
                </c:pt>
                <c:pt idx="1">
                  <c:v>FY2022</c:v>
                </c:pt>
                <c:pt idx="2">
                  <c:v>FY2023</c:v>
                </c:pt>
                <c:pt idx="3">
                  <c:v>FY2024</c:v>
                </c:pt>
                <c:pt idx="4">
                  <c:v>FY2025</c:v>
                </c:pt>
              </c:strCache>
            </c:strRef>
          </c:cat>
          <c:val>
            <c:numRef>
              <c:f>Charts!$Y$87:$Y$91</c:f>
              <c:numCache>
                <c:formatCode>General</c:formatCode>
                <c:ptCount val="5"/>
                <c:pt idx="0">
                  <c:v>0.13674299962769382</c:v>
                </c:pt>
                <c:pt idx="1">
                  <c:v>9.2363746892435927E-2</c:v>
                </c:pt>
                <c:pt idx="2">
                  <c:v>8.4602379259019547E-2</c:v>
                </c:pt>
                <c:pt idx="3">
                  <c:v>0.10165844956887071</c:v>
                </c:pt>
                <c:pt idx="4">
                  <c:v>0.13546184028270253</c:v>
                </c:pt>
              </c:numCache>
            </c:numRef>
          </c:val>
          <c:smooth val="0"/>
          <c:extLst>
            <c:ext xmlns:c16="http://schemas.microsoft.com/office/drawing/2014/chart" uri="{C3380CC4-5D6E-409C-BE32-E72D297353CC}">
              <c16:uniqueId val="{00000004-D2E7-40CF-BB2A-2D5DD30CE699}"/>
            </c:ext>
          </c:extLst>
        </c:ser>
        <c:ser>
          <c:idx val="5"/>
          <c:order val="5"/>
          <c:tx>
            <c:v>Sample mean</c:v>
          </c:tx>
          <c:spPr>
            <a:ln w="21908">
              <a:solidFill>
                <a:srgbClr val="424A46"/>
              </a:solidFill>
              <a:prstDash val="dash"/>
            </a:ln>
          </c:spPr>
          <c:marker>
            <c:symbol val="none"/>
          </c:marker>
          <c:cat>
            <c:strRef>
              <c:f>Charts!$T$87:$T$91</c:f>
              <c:strCache>
                <c:ptCount val="5"/>
                <c:pt idx="0">
                  <c:v>FY2021</c:v>
                </c:pt>
                <c:pt idx="1">
                  <c:v>FY2022</c:v>
                </c:pt>
                <c:pt idx="2">
                  <c:v>FY2023</c:v>
                </c:pt>
                <c:pt idx="3">
                  <c:v>FY2024</c:v>
                </c:pt>
                <c:pt idx="4">
                  <c:v>FY2025</c:v>
                </c:pt>
              </c:strCache>
            </c:strRef>
          </c:cat>
          <c:val>
            <c:numRef>
              <c:f>Charts!$Z$87:$Z$91</c:f>
              <c:numCache>
                <c:formatCode>General</c:formatCode>
                <c:ptCount val="5"/>
                <c:pt idx="0">
                  <c:v>0.11582938412148427</c:v>
                </c:pt>
                <c:pt idx="1">
                  <c:v>9.5621637766134665E-2</c:v>
                </c:pt>
                <c:pt idx="2">
                  <c:v>0.10965800159893987</c:v>
                </c:pt>
                <c:pt idx="3">
                  <c:v>0.12312147101469621</c:v>
                </c:pt>
                <c:pt idx="4">
                  <c:v>0.1742703740611434</c:v>
                </c:pt>
              </c:numCache>
            </c:numRef>
          </c:val>
          <c:smooth val="0"/>
          <c:extLst>
            <c:ext xmlns:c16="http://schemas.microsoft.com/office/drawing/2014/chart" uri="{C3380CC4-5D6E-409C-BE32-E72D297353CC}">
              <c16:uniqueId val="{00000005-D2E7-40CF-BB2A-2D5DD30CE69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12. Price-to-Earnings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Charts!$U$95:$U$99</c:f>
              <c:numCache>
                <c:formatCode>General</c:formatCode>
                <c:ptCount val="5"/>
                <c:pt idx="0">
                  <c:v>11.858688571154802</c:v>
                </c:pt>
                <c:pt idx="1">
                  <c:v>5.2023532179731546</c:v>
                </c:pt>
                <c:pt idx="2">
                  <c:v>5.9860674889907219</c:v>
                </c:pt>
                <c:pt idx="3">
                  <c:v>5.5313975285193058</c:v>
                </c:pt>
                <c:pt idx="4">
                  <c:v>6.3393545313613817</c:v>
                </c:pt>
              </c:numCache>
            </c:numRef>
          </c:val>
          <c:smooth val="0"/>
          <c:extLst>
            <c:ext xmlns:c16="http://schemas.microsoft.com/office/drawing/2014/chart" uri="{C3380CC4-5D6E-409C-BE32-E72D297353CC}">
              <c16:uniqueId val="{00000000-CCDA-4B7B-A9C6-7DF28002DE1D}"/>
            </c:ext>
          </c:extLst>
        </c:ser>
        <c:ser>
          <c:idx val="1"/>
          <c:order val="1"/>
          <c:tx>
            <c:v>LUCK</c:v>
          </c:tx>
          <c:spPr>
            <a:ln w="13335">
              <a:solidFill>
                <a:srgbClr val="8CB36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Charts!$V$95:$V$99</c:f>
              <c:numCache>
                <c:formatCode>General</c:formatCode>
                <c:ptCount val="5"/>
                <c:pt idx="0">
                  <c:v>19.844432082610968</c:v>
                </c:pt>
                <c:pt idx="1">
                  <c:v>9.7029718632101325</c:v>
                </c:pt>
                <c:pt idx="2">
                  <c:v>12.124283879265743</c:v>
                </c:pt>
                <c:pt idx="3">
                  <c:v>9.5909070156236584</c:v>
                </c:pt>
                <c:pt idx="4">
                  <c:v>15.726582022655393</c:v>
                </c:pt>
              </c:numCache>
            </c:numRef>
          </c:val>
          <c:smooth val="0"/>
          <c:extLst>
            <c:ext xmlns:c16="http://schemas.microsoft.com/office/drawing/2014/chart" uri="{C3380CC4-5D6E-409C-BE32-E72D297353CC}">
              <c16:uniqueId val="{00000001-CCDA-4B7B-A9C6-7DF28002DE1D}"/>
            </c:ext>
          </c:extLst>
        </c:ser>
        <c:ser>
          <c:idx val="2"/>
          <c:order val="2"/>
          <c:tx>
            <c:v>DGKC</c:v>
          </c:tx>
          <c:spPr>
            <a:ln w="13335">
              <a:solidFill>
                <a:srgbClr val="C79A57"/>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Charts!$W$95:$W$99</c:f>
              <c:numCache>
                <c:formatCode>General</c:formatCode>
                <c:ptCount val="5"/>
                <c:pt idx="0">
                  <c:v>13.883154069739035</c:v>
                </c:pt>
                <c:pt idx="1">
                  <c:v>9.2130648554640278</c:v>
                </c:pt>
                <c:pt idx="2">
                  <c:v>#N/A</c:v>
                </c:pt>
                <c:pt idx="3">
                  <c:v>72.91538429829842</c:v>
                </c:pt>
                <c:pt idx="4">
                  <c:v>8.3613265542147914</c:v>
                </c:pt>
              </c:numCache>
            </c:numRef>
          </c:val>
          <c:smooth val="0"/>
          <c:extLst>
            <c:ext xmlns:c16="http://schemas.microsoft.com/office/drawing/2014/chart" uri="{C3380CC4-5D6E-409C-BE32-E72D297353CC}">
              <c16:uniqueId val="{00000002-CCDA-4B7B-A9C6-7DF28002DE1D}"/>
            </c:ext>
          </c:extLst>
        </c:ser>
        <c:ser>
          <c:idx val="3"/>
          <c:order val="3"/>
          <c:tx>
            <c:v>MLCF</c:v>
          </c:tx>
          <c:spPr>
            <a:ln w="13335">
              <a:solidFill>
                <a:srgbClr val="648B98"/>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Charts!$X$95:$X$99</c:f>
              <c:numCache>
                <c:formatCode>General</c:formatCode>
                <c:ptCount val="5"/>
                <c:pt idx="0">
                  <c:v>8.2506229232653325</c:v>
                </c:pt>
                <c:pt idx="1">
                  <c:v>8.2775695053414715</c:v>
                </c:pt>
                <c:pt idx="2">
                  <c:v>6.7702147353244424</c:v>
                </c:pt>
                <c:pt idx="3">
                  <c:v>7.6317519094733912</c:v>
                </c:pt>
                <c:pt idx="4">
                  <c:v>5.1823592062489379</c:v>
                </c:pt>
              </c:numCache>
            </c:numRef>
          </c:val>
          <c:smooth val="0"/>
          <c:extLst>
            <c:ext xmlns:c16="http://schemas.microsoft.com/office/drawing/2014/chart" uri="{C3380CC4-5D6E-409C-BE32-E72D297353CC}">
              <c16:uniqueId val="{00000003-CCDA-4B7B-A9C6-7DF28002DE1D}"/>
            </c:ext>
          </c:extLst>
        </c:ser>
        <c:ser>
          <c:idx val="4"/>
          <c:order val="4"/>
          <c:tx>
            <c:v>FCCL</c:v>
          </c:tx>
          <c:spPr>
            <a:ln w="13335">
              <a:solidFill>
                <a:srgbClr val="A59A89"/>
              </a:solidFill>
              <a:prstDash val="solid"/>
            </a:ln>
          </c:spPr>
          <c:marker>
            <c:symbol val="none"/>
          </c:marker>
          <c:cat>
            <c:strRef>
              <c:f>Charts!$T$95:$T$99</c:f>
              <c:strCache>
                <c:ptCount val="5"/>
                <c:pt idx="0">
                  <c:v>FY2021</c:v>
                </c:pt>
                <c:pt idx="1">
                  <c:v>FY2022</c:v>
                </c:pt>
                <c:pt idx="2">
                  <c:v>FY2023</c:v>
                </c:pt>
                <c:pt idx="3">
                  <c:v>FY2024</c:v>
                </c:pt>
                <c:pt idx="4">
                  <c:v>FY2025</c:v>
                </c:pt>
              </c:strCache>
            </c:strRef>
          </c:cat>
          <c:val>
            <c:numRef>
              <c:f>Charts!$Y$95:$Y$99</c:f>
              <c:numCache>
                <c:formatCode>General</c:formatCode>
                <c:ptCount val="5"/>
                <c:pt idx="0">
                  <c:v>9.1421884447870596</c:v>
                </c:pt>
                <c:pt idx="1">
                  <c:v>4.3437335368236942</c:v>
                </c:pt>
                <c:pt idx="2">
                  <c:v>3.877247932539039</c:v>
                </c:pt>
                <c:pt idx="3">
                  <c:v>6.8337507059367812</c:v>
                </c:pt>
                <c:pt idx="4">
                  <c:v>8.2220482242427426</c:v>
                </c:pt>
              </c:numCache>
            </c:numRef>
          </c:val>
          <c:smooth val="0"/>
          <c:extLst>
            <c:ext xmlns:c16="http://schemas.microsoft.com/office/drawing/2014/chart" uri="{C3380CC4-5D6E-409C-BE32-E72D297353CC}">
              <c16:uniqueId val="{00000004-CCDA-4B7B-A9C6-7DF28002DE1D}"/>
            </c:ext>
          </c:extLst>
        </c:ser>
        <c:ser>
          <c:idx val="5"/>
          <c:order val="5"/>
          <c:tx>
            <c:v>Sample mean</c:v>
          </c:tx>
          <c:spPr>
            <a:ln w="21908">
              <a:solidFill>
                <a:srgbClr val="424A46"/>
              </a:solidFill>
              <a:prstDash val="dash"/>
            </a:ln>
          </c:spPr>
          <c:marker>
            <c:symbol val="none"/>
          </c:marker>
          <c:cat>
            <c:strRef>
              <c:f>Charts!$T$95:$T$99</c:f>
              <c:strCache>
                <c:ptCount val="5"/>
                <c:pt idx="0">
                  <c:v>FY2021</c:v>
                </c:pt>
                <c:pt idx="1">
                  <c:v>FY2022</c:v>
                </c:pt>
                <c:pt idx="2">
                  <c:v>FY2023</c:v>
                </c:pt>
                <c:pt idx="3">
                  <c:v>FY2024</c:v>
                </c:pt>
                <c:pt idx="4">
                  <c:v>FY2025</c:v>
                </c:pt>
              </c:strCache>
            </c:strRef>
          </c:cat>
          <c:val>
            <c:numRef>
              <c:f>Charts!$Z$95:$Z$99</c:f>
              <c:numCache>
                <c:formatCode>General</c:formatCode>
                <c:ptCount val="5"/>
                <c:pt idx="0">
                  <c:v>12.59581721831144</c:v>
                </c:pt>
                <c:pt idx="1">
                  <c:v>7.3479385957624954</c:v>
                </c:pt>
                <c:pt idx="2">
                  <c:v>7.1894535090299874</c:v>
                </c:pt>
                <c:pt idx="3">
                  <c:v>20.500638291570311</c:v>
                </c:pt>
                <c:pt idx="4">
                  <c:v>8.7663341077446493</c:v>
                </c:pt>
              </c:numCache>
            </c:numRef>
          </c:val>
          <c:smooth val="0"/>
          <c:extLst>
            <c:ext xmlns:c16="http://schemas.microsoft.com/office/drawing/2014/chart" uri="{C3380CC4-5D6E-409C-BE32-E72D297353CC}">
              <c16:uniqueId val="{00000005-CCDA-4B7B-A9C6-7DF28002DE1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13. Market-to-Book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Charts!$U$103:$U$107</c:f>
              <c:numCache>
                <c:formatCode>General</c:formatCode>
                <c:ptCount val="5"/>
                <c:pt idx="0">
                  <c:v>1.8663025958706099</c:v>
                </c:pt>
                <c:pt idx="1">
                  <c:v>0.95932868328175702</c:v>
                </c:pt>
                <c:pt idx="2">
                  <c:v>1.0684870021034203</c:v>
                </c:pt>
                <c:pt idx="3">
                  <c:v>1.1937011482475723</c:v>
                </c:pt>
                <c:pt idx="4">
                  <c:v>1.4544747850514033</c:v>
                </c:pt>
              </c:numCache>
            </c:numRef>
          </c:val>
          <c:smooth val="0"/>
          <c:extLst>
            <c:ext xmlns:c16="http://schemas.microsoft.com/office/drawing/2014/chart" uri="{C3380CC4-5D6E-409C-BE32-E72D297353CC}">
              <c16:uniqueId val="{00000000-5304-4CD3-9B66-F9AD5E9BACC4}"/>
            </c:ext>
          </c:extLst>
        </c:ser>
        <c:ser>
          <c:idx val="1"/>
          <c:order val="1"/>
          <c:tx>
            <c:v>LUCK</c:v>
          </c:tx>
          <c:spPr>
            <a:ln w="13335">
              <a:solidFill>
                <a:srgbClr val="8CB36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Charts!$V$103:$V$107</c:f>
              <c:numCache>
                <c:formatCode>General</c:formatCode>
                <c:ptCount val="5"/>
                <c:pt idx="0">
                  <c:v>2.4665571875286716</c:v>
                </c:pt>
                <c:pt idx="1">
                  <c:v>1.1548287368561481</c:v>
                </c:pt>
                <c:pt idx="2">
                  <c:v>1.1852090640758639</c:v>
                </c:pt>
                <c:pt idx="3">
                  <c:v>1.7979804681845026</c:v>
                </c:pt>
                <c:pt idx="4">
                  <c:v>2.9584754511387614</c:v>
                </c:pt>
              </c:numCache>
            </c:numRef>
          </c:val>
          <c:smooth val="0"/>
          <c:extLst>
            <c:ext xmlns:c16="http://schemas.microsoft.com/office/drawing/2014/chart" uri="{C3380CC4-5D6E-409C-BE32-E72D297353CC}">
              <c16:uniqueId val="{00000001-5304-4CD3-9B66-F9AD5E9BACC4}"/>
            </c:ext>
          </c:extLst>
        </c:ser>
        <c:ser>
          <c:idx val="2"/>
          <c:order val="2"/>
          <c:tx>
            <c:v>DGKC</c:v>
          </c:tx>
          <c:spPr>
            <a:ln w="13335">
              <a:solidFill>
                <a:srgbClr val="C79A57"/>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Charts!$W$103:$W$107</c:f>
              <c:numCache>
                <c:formatCode>General</c:formatCode>
                <c:ptCount val="5"/>
                <c:pt idx="0">
                  <c:v>0.7031096868032638</c:v>
                </c:pt>
                <c:pt idx="1">
                  <c:v>0.39163597075332512</c:v>
                </c:pt>
                <c:pt idx="2">
                  <c:v>0.35012794187063967</c:v>
                </c:pt>
                <c:pt idx="3">
                  <c:v>0.52142775098382221</c:v>
                </c:pt>
                <c:pt idx="4">
                  <c:v>0.76620820294800718</c:v>
                </c:pt>
              </c:numCache>
            </c:numRef>
          </c:val>
          <c:smooth val="0"/>
          <c:extLst>
            <c:ext xmlns:c16="http://schemas.microsoft.com/office/drawing/2014/chart" uri="{C3380CC4-5D6E-409C-BE32-E72D297353CC}">
              <c16:uniqueId val="{00000002-5304-4CD3-9B66-F9AD5E9BACC4}"/>
            </c:ext>
          </c:extLst>
        </c:ser>
        <c:ser>
          <c:idx val="3"/>
          <c:order val="3"/>
          <c:tx>
            <c:v>MLCF</c:v>
          </c:tx>
          <c:spPr>
            <a:ln w="13335">
              <a:solidFill>
                <a:srgbClr val="648B98"/>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Charts!$X$103:$X$107</c:f>
              <c:numCache>
                <c:formatCode>General</c:formatCode>
                <c:ptCount val="5"/>
                <c:pt idx="0">
                  <c:v>1.3744489078669448</c:v>
                </c:pt>
                <c:pt idx="1">
                  <c:v>0.72813806794864222</c:v>
                </c:pt>
                <c:pt idx="2">
                  <c:v>0.67703828877240613</c:v>
                </c:pt>
                <c:pt idx="3">
                  <c:v>0.75656546305349337</c:v>
                </c:pt>
                <c:pt idx="4">
                  <c:v>1.2354689205356633</c:v>
                </c:pt>
              </c:numCache>
            </c:numRef>
          </c:val>
          <c:smooth val="0"/>
          <c:extLst>
            <c:ext xmlns:c16="http://schemas.microsoft.com/office/drawing/2014/chart" uri="{C3380CC4-5D6E-409C-BE32-E72D297353CC}">
              <c16:uniqueId val="{00000003-5304-4CD3-9B66-F9AD5E9BACC4}"/>
            </c:ext>
          </c:extLst>
        </c:ser>
        <c:ser>
          <c:idx val="4"/>
          <c:order val="4"/>
          <c:tx>
            <c:v>FCCL</c:v>
          </c:tx>
          <c:spPr>
            <a:ln w="13335">
              <a:solidFill>
                <a:srgbClr val="A59A89"/>
              </a:solidFill>
              <a:prstDash val="solid"/>
            </a:ln>
          </c:spPr>
          <c:marker>
            <c:symbol val="none"/>
          </c:marker>
          <c:cat>
            <c:strRef>
              <c:f>Charts!$T$103:$T$107</c:f>
              <c:strCache>
                <c:ptCount val="5"/>
                <c:pt idx="0">
                  <c:v>FY2021</c:v>
                </c:pt>
                <c:pt idx="1">
                  <c:v>FY2022</c:v>
                </c:pt>
                <c:pt idx="2">
                  <c:v>FY2023</c:v>
                </c:pt>
                <c:pt idx="3">
                  <c:v>FY2024</c:v>
                </c:pt>
                <c:pt idx="4">
                  <c:v>FY2025</c:v>
                </c:pt>
              </c:strCache>
            </c:strRef>
          </c:cat>
          <c:val>
            <c:numRef>
              <c:f>Charts!$Y$103:$Y$107</c:f>
              <c:numCache>
                <c:formatCode>General</c:formatCode>
                <c:ptCount val="5"/>
                <c:pt idx="0">
                  <c:v>1.3634728296339984</c:v>
                </c:pt>
                <c:pt idx="1">
                  <c:v>0.53510718726613404</c:v>
                </c:pt>
                <c:pt idx="2">
                  <c:v>0.44258015488186969</c:v>
                </c:pt>
                <c:pt idx="3">
                  <c:v>0.76560785651514207</c:v>
                </c:pt>
                <c:pt idx="4">
                  <c:v>1.3001759998029245</c:v>
                </c:pt>
              </c:numCache>
            </c:numRef>
          </c:val>
          <c:smooth val="0"/>
          <c:extLst>
            <c:ext xmlns:c16="http://schemas.microsoft.com/office/drawing/2014/chart" uri="{C3380CC4-5D6E-409C-BE32-E72D297353CC}">
              <c16:uniqueId val="{00000004-5304-4CD3-9B66-F9AD5E9BACC4}"/>
            </c:ext>
          </c:extLst>
        </c:ser>
        <c:ser>
          <c:idx val="5"/>
          <c:order val="5"/>
          <c:tx>
            <c:v>Sample mean</c:v>
          </c:tx>
          <c:spPr>
            <a:ln w="21908">
              <a:solidFill>
                <a:srgbClr val="424A46"/>
              </a:solidFill>
              <a:prstDash val="dash"/>
            </a:ln>
          </c:spPr>
          <c:marker>
            <c:symbol val="none"/>
          </c:marker>
          <c:cat>
            <c:strRef>
              <c:f>Charts!$T$103:$T$107</c:f>
              <c:strCache>
                <c:ptCount val="5"/>
                <c:pt idx="0">
                  <c:v>FY2021</c:v>
                </c:pt>
                <c:pt idx="1">
                  <c:v>FY2022</c:v>
                </c:pt>
                <c:pt idx="2">
                  <c:v>FY2023</c:v>
                </c:pt>
                <c:pt idx="3">
                  <c:v>FY2024</c:v>
                </c:pt>
                <c:pt idx="4">
                  <c:v>FY2025</c:v>
                </c:pt>
              </c:strCache>
            </c:strRef>
          </c:cat>
          <c:val>
            <c:numRef>
              <c:f>Charts!$Z$103:$Z$107</c:f>
              <c:numCache>
                <c:formatCode>General</c:formatCode>
                <c:ptCount val="5"/>
                <c:pt idx="0">
                  <c:v>1.5547782415406979</c:v>
                </c:pt>
                <c:pt idx="1">
                  <c:v>0.75380772922120132</c:v>
                </c:pt>
                <c:pt idx="2">
                  <c:v>0.74468849034083984</c:v>
                </c:pt>
                <c:pt idx="3">
                  <c:v>1.0070565373969065</c:v>
                </c:pt>
                <c:pt idx="4">
                  <c:v>1.5429606718953519</c:v>
                </c:pt>
              </c:numCache>
            </c:numRef>
          </c:val>
          <c:smooth val="0"/>
          <c:extLst>
            <c:ext xmlns:c16="http://schemas.microsoft.com/office/drawing/2014/chart" uri="{C3380CC4-5D6E-409C-BE32-E72D297353CC}">
              <c16:uniqueId val="{00000005-5304-4CD3-9B66-F9AD5E9BACC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050">
                <a:latin typeface="Calibri"/>
                <a:ea typeface="Calibri"/>
                <a:cs typeface="Calibri"/>
              </a:rPr>
              <a:t>14. Enterprise Value/EBITDA (x)</a:t>
            </a:r>
          </a:p>
        </c:rich>
      </c:tx>
      <c:overlay val="0"/>
    </c:title>
    <c:autoTitleDeleted val="0"/>
    <c:plotArea>
      <c:layout/>
      <c:lineChart>
        <c:grouping val="standard"/>
        <c:varyColors val="0"/>
        <c:ser>
          <c:idx val="0"/>
          <c:order val="0"/>
          <c:tx>
            <c:v>KOHC</c:v>
          </c:tx>
          <c:spPr>
            <a:ln w="21908">
              <a:solidFill>
                <a:srgbClr val="204F3D"/>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Charts!$U$111:$U$115</c:f>
              <c:numCache>
                <c:formatCode>General</c:formatCode>
                <c:ptCount val="5"/>
                <c:pt idx="0">
                  <c:v>7.030703799061059</c:v>
                </c:pt>
                <c:pt idx="1">
                  <c:v>2.8460065892461768</c:v>
                </c:pt>
                <c:pt idx="2">
                  <c:v>3.0390586129963157</c:v>
                </c:pt>
                <c:pt idx="3">
                  <c:v>3.2191008909496732</c:v>
                </c:pt>
                <c:pt idx="4">
                  <c:v>3.6540457208322041</c:v>
                </c:pt>
              </c:numCache>
            </c:numRef>
          </c:val>
          <c:smooth val="0"/>
          <c:extLst>
            <c:ext xmlns:c16="http://schemas.microsoft.com/office/drawing/2014/chart" uri="{C3380CC4-5D6E-409C-BE32-E72D297353CC}">
              <c16:uniqueId val="{00000000-DFB2-4F71-9A2B-CF58B31B8313}"/>
            </c:ext>
          </c:extLst>
        </c:ser>
        <c:ser>
          <c:idx val="1"/>
          <c:order val="1"/>
          <c:tx>
            <c:v>LUCK</c:v>
          </c:tx>
          <c:spPr>
            <a:ln w="13335">
              <a:solidFill>
                <a:srgbClr val="8CB36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Charts!$V$111:$V$115</c:f>
              <c:numCache>
                <c:formatCode>General</c:formatCode>
                <c:ptCount val="5"/>
                <c:pt idx="0">
                  <c:v>12.530231924140164</c:v>
                </c:pt>
                <c:pt idx="1">
                  <c:v>5.6439003003016683</c:v>
                </c:pt>
                <c:pt idx="2">
                  <c:v>5.6924500846825419</c:v>
                </c:pt>
                <c:pt idx="3">
                  <c:v>5.178403100254557</c:v>
                </c:pt>
                <c:pt idx="4">
                  <c:v>8.5282679327793396</c:v>
                </c:pt>
              </c:numCache>
            </c:numRef>
          </c:val>
          <c:smooth val="0"/>
          <c:extLst>
            <c:ext xmlns:c16="http://schemas.microsoft.com/office/drawing/2014/chart" uri="{C3380CC4-5D6E-409C-BE32-E72D297353CC}">
              <c16:uniqueId val="{00000001-DFB2-4F71-9A2B-CF58B31B8313}"/>
            </c:ext>
          </c:extLst>
        </c:ser>
        <c:ser>
          <c:idx val="2"/>
          <c:order val="2"/>
          <c:tx>
            <c:v>DGKC</c:v>
          </c:tx>
          <c:spPr>
            <a:ln w="13335">
              <a:solidFill>
                <a:srgbClr val="C79A57"/>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Charts!$W$111:$W$115</c:f>
              <c:numCache>
                <c:formatCode>General</c:formatCode>
                <c:ptCount val="5"/>
                <c:pt idx="0">
                  <c:v>8.4672094053907152</c:v>
                </c:pt>
                <c:pt idx="1">
                  <c:v>5.5150906801201929</c:v>
                </c:pt>
                <c:pt idx="2">
                  <c:v>4.7839328299471351</c:v>
                </c:pt>
                <c:pt idx="3">
                  <c:v>5.0911516840273263</c:v>
                </c:pt>
                <c:pt idx="4">
                  <c:v>4.5245291189336676</c:v>
                </c:pt>
              </c:numCache>
            </c:numRef>
          </c:val>
          <c:smooth val="0"/>
          <c:extLst>
            <c:ext xmlns:c16="http://schemas.microsoft.com/office/drawing/2014/chart" uri="{C3380CC4-5D6E-409C-BE32-E72D297353CC}">
              <c16:uniqueId val="{00000002-DFB2-4F71-9A2B-CF58B31B8313}"/>
            </c:ext>
          </c:extLst>
        </c:ser>
        <c:ser>
          <c:idx val="3"/>
          <c:order val="3"/>
          <c:tx>
            <c:v>MLCF</c:v>
          </c:tx>
          <c:spPr>
            <a:ln w="13335">
              <a:solidFill>
                <a:srgbClr val="648B98"/>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Charts!$X$111:$X$115</c:f>
              <c:numCache>
                <c:formatCode>General</c:formatCode>
                <c:ptCount val="5"/>
                <c:pt idx="0">
                  <c:v>5.6223501239668989</c:v>
                </c:pt>
                <c:pt idx="1">
                  <c:v>4.4912459172048038</c:v>
                </c:pt>
                <c:pt idx="2">
                  <c:v>3.2721791070017887</c:v>
                </c:pt>
                <c:pt idx="3">
                  <c:v>3.3522633268626687</c:v>
                </c:pt>
                <c:pt idx="4">
                  <c:v>3.4441662826745523</c:v>
                </c:pt>
              </c:numCache>
            </c:numRef>
          </c:val>
          <c:smooth val="0"/>
          <c:extLst>
            <c:ext xmlns:c16="http://schemas.microsoft.com/office/drawing/2014/chart" uri="{C3380CC4-5D6E-409C-BE32-E72D297353CC}">
              <c16:uniqueId val="{00000003-DFB2-4F71-9A2B-CF58B31B8313}"/>
            </c:ext>
          </c:extLst>
        </c:ser>
        <c:ser>
          <c:idx val="4"/>
          <c:order val="4"/>
          <c:tx>
            <c:v>FCCL</c:v>
          </c:tx>
          <c:spPr>
            <a:ln w="13335">
              <a:solidFill>
                <a:srgbClr val="A59A89"/>
              </a:solidFill>
              <a:prstDash val="solid"/>
            </a:ln>
          </c:spPr>
          <c:marker>
            <c:symbol val="none"/>
          </c:marker>
          <c:cat>
            <c:strRef>
              <c:f>Charts!$T$111:$T$115</c:f>
              <c:strCache>
                <c:ptCount val="5"/>
                <c:pt idx="0">
                  <c:v>FY2021</c:v>
                </c:pt>
                <c:pt idx="1">
                  <c:v>FY2022</c:v>
                </c:pt>
                <c:pt idx="2">
                  <c:v>FY2023</c:v>
                </c:pt>
                <c:pt idx="3">
                  <c:v>FY2024</c:v>
                </c:pt>
                <c:pt idx="4">
                  <c:v>FY2025</c:v>
                </c:pt>
              </c:strCache>
            </c:strRef>
          </c:cat>
          <c:val>
            <c:numRef>
              <c:f>Charts!$Y$111:$Y$115</c:f>
              <c:numCache>
                <c:formatCode>General</c:formatCode>
                <c:ptCount val="5"/>
                <c:pt idx="0">
                  <c:v>4.9126800998035849</c:v>
                </c:pt>
                <c:pt idx="1">
                  <c:v>3.9999441320816422</c:v>
                </c:pt>
                <c:pt idx="2">
                  <c:v>3.9638226712605413</c:v>
                </c:pt>
                <c:pt idx="3">
                  <c:v>3.9028355635230949</c:v>
                </c:pt>
                <c:pt idx="4">
                  <c:v>4.5760845203336329</c:v>
                </c:pt>
              </c:numCache>
            </c:numRef>
          </c:val>
          <c:smooth val="0"/>
          <c:extLst>
            <c:ext xmlns:c16="http://schemas.microsoft.com/office/drawing/2014/chart" uri="{C3380CC4-5D6E-409C-BE32-E72D297353CC}">
              <c16:uniqueId val="{00000004-DFB2-4F71-9A2B-CF58B31B8313}"/>
            </c:ext>
          </c:extLst>
        </c:ser>
        <c:ser>
          <c:idx val="5"/>
          <c:order val="5"/>
          <c:tx>
            <c:v>Sample mean</c:v>
          </c:tx>
          <c:spPr>
            <a:ln w="21908">
              <a:solidFill>
                <a:srgbClr val="424A46"/>
              </a:solidFill>
              <a:prstDash val="dash"/>
            </a:ln>
          </c:spPr>
          <c:marker>
            <c:symbol val="none"/>
          </c:marker>
          <c:cat>
            <c:strRef>
              <c:f>Charts!$T$111:$T$115</c:f>
              <c:strCache>
                <c:ptCount val="5"/>
                <c:pt idx="0">
                  <c:v>FY2021</c:v>
                </c:pt>
                <c:pt idx="1">
                  <c:v>FY2022</c:v>
                </c:pt>
                <c:pt idx="2">
                  <c:v>FY2023</c:v>
                </c:pt>
                <c:pt idx="3">
                  <c:v>FY2024</c:v>
                </c:pt>
                <c:pt idx="4">
                  <c:v>FY2025</c:v>
                </c:pt>
              </c:strCache>
            </c:strRef>
          </c:cat>
          <c:val>
            <c:numRef>
              <c:f>Charts!$Z$111:$Z$115</c:f>
              <c:numCache>
                <c:formatCode>General</c:formatCode>
                <c:ptCount val="5"/>
                <c:pt idx="0">
                  <c:v>7.7126350704724844</c:v>
                </c:pt>
                <c:pt idx="1">
                  <c:v>4.4992375237908968</c:v>
                </c:pt>
                <c:pt idx="2">
                  <c:v>4.1502886611776644</c:v>
                </c:pt>
                <c:pt idx="3">
                  <c:v>4.1487509131234637</c:v>
                </c:pt>
                <c:pt idx="4">
                  <c:v>4.9454187151106792</c:v>
                </c:pt>
              </c:numCache>
            </c:numRef>
          </c:val>
          <c:smooth val="0"/>
          <c:extLst>
            <c:ext xmlns:c16="http://schemas.microsoft.com/office/drawing/2014/chart" uri="{C3380CC4-5D6E-409C-BE32-E72D297353CC}">
              <c16:uniqueId val="{00000005-DFB2-4F71-9A2B-CF58B31B831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Calibri"/>
                <a:ea typeface="Calibri"/>
                <a:cs typeface="Calibri"/>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Calibri"/>
                <a:ea typeface="Calibri"/>
                <a:cs typeface="Calibri"/>
              </a:defRPr>
            </a:pPr>
            <a:endParaRPr lang="en-US"/>
          </a:p>
        </c:txPr>
        <c:crossAx val="48650112"/>
        <c:crosses val="autoZero"/>
        <c:crossBetween val="between"/>
      </c:valAx>
    </c:plotArea>
    <c:legend>
      <c:legendPos val="b"/>
      <c:overlay val="0"/>
      <c:txPr>
        <a:bodyPr anchorCtr="1"/>
        <a:lstStyle/>
        <a:p>
          <a:pPr>
            <a:defRPr sz="750">
              <a:latin typeface="Calibri"/>
              <a:ea typeface="Calibri"/>
              <a:cs typeface="Calibri"/>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0</xdr:rowOff>
    </xdr:from>
    <xdr:to>
      <xdr:col>9</xdr:col>
      <xdr:colOff>0</xdr:colOff>
      <xdr:row>22</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3</xdr:row>
      <xdr:rowOff>0</xdr:rowOff>
    </xdr:from>
    <xdr:to>
      <xdr:col>18</xdr:col>
      <xdr:colOff>0</xdr:colOff>
      <xdr:row>22</xdr:row>
      <xdr:rowOff>0</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24</xdr:row>
      <xdr:rowOff>0</xdr:rowOff>
    </xdr:from>
    <xdr:to>
      <xdr:col>9</xdr:col>
      <xdr:colOff>0</xdr:colOff>
      <xdr:row>43</xdr:row>
      <xdr:rowOff>0</xdr:rowOff>
    </xdr:to>
    <xdr:graphicFrame macro="">
      <xdr:nvGraphicFramePr>
        <xdr:cNvPr id="4" name="Chart">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24</xdr:row>
      <xdr:rowOff>0</xdr:rowOff>
    </xdr:from>
    <xdr:to>
      <xdr:col>18</xdr:col>
      <xdr:colOff>0</xdr:colOff>
      <xdr:row>43</xdr:row>
      <xdr:rowOff>0</xdr:rowOff>
    </xdr:to>
    <xdr:graphicFrame macro="">
      <xdr:nvGraphicFramePr>
        <xdr:cNvPr id="5" name="Chart">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45</xdr:row>
      <xdr:rowOff>0</xdr:rowOff>
    </xdr:from>
    <xdr:to>
      <xdr:col>9</xdr:col>
      <xdr:colOff>0</xdr:colOff>
      <xdr:row>64</xdr:row>
      <xdr:rowOff>0</xdr:rowOff>
    </xdr:to>
    <xdr:graphicFrame macro="">
      <xdr:nvGraphicFramePr>
        <xdr:cNvPr id="6" name="Chart">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45</xdr:row>
      <xdr:rowOff>0</xdr:rowOff>
    </xdr:from>
    <xdr:to>
      <xdr:col>18</xdr:col>
      <xdr:colOff>0</xdr:colOff>
      <xdr:row>64</xdr:row>
      <xdr:rowOff>0</xdr:rowOff>
    </xdr:to>
    <xdr:graphicFrame macro="">
      <xdr:nvGraphicFramePr>
        <xdr:cNvPr id="7" name="Chart">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66</xdr:row>
      <xdr:rowOff>0</xdr:rowOff>
    </xdr:from>
    <xdr:to>
      <xdr:col>9</xdr:col>
      <xdr:colOff>0</xdr:colOff>
      <xdr:row>85</xdr:row>
      <xdr:rowOff>0</xdr:rowOff>
    </xdr:to>
    <xdr:graphicFrame macro="">
      <xdr:nvGraphicFramePr>
        <xdr:cNvPr id="8" name="Chart">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0</xdr:colOff>
      <xdr:row>66</xdr:row>
      <xdr:rowOff>0</xdr:rowOff>
    </xdr:from>
    <xdr:to>
      <xdr:col>18</xdr:col>
      <xdr:colOff>0</xdr:colOff>
      <xdr:row>85</xdr:row>
      <xdr:rowOff>0</xdr:rowOff>
    </xdr:to>
    <xdr:graphicFrame macro="">
      <xdr:nvGraphicFramePr>
        <xdr:cNvPr id="9" name="Chart">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87</xdr:row>
      <xdr:rowOff>0</xdr:rowOff>
    </xdr:from>
    <xdr:to>
      <xdr:col>9</xdr:col>
      <xdr:colOff>0</xdr:colOff>
      <xdr:row>106</xdr:row>
      <xdr:rowOff>0</xdr:rowOff>
    </xdr:to>
    <xdr:graphicFrame macro="">
      <xdr:nvGraphicFramePr>
        <xdr:cNvPr id="10" name="Chart">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87</xdr:row>
      <xdr:rowOff>0</xdr:rowOff>
    </xdr:from>
    <xdr:to>
      <xdr:col>18</xdr:col>
      <xdr:colOff>0</xdr:colOff>
      <xdr:row>106</xdr:row>
      <xdr:rowOff>0</xdr:rowOff>
    </xdr:to>
    <xdr:graphicFrame macro="">
      <xdr:nvGraphicFramePr>
        <xdr:cNvPr id="11" name="Chart">
          <a:extLst>
            <a:ext uri="{FF2B5EF4-FFF2-40B4-BE49-F238E27FC236}">
              <a16:creationId xmlns:a16="http://schemas.microsoft.com/office/drawing/2014/main" id="{00000000-0008-0000-07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108</xdr:row>
      <xdr:rowOff>0</xdr:rowOff>
    </xdr:from>
    <xdr:to>
      <xdr:col>9</xdr:col>
      <xdr:colOff>0</xdr:colOff>
      <xdr:row>127</xdr:row>
      <xdr:rowOff>0</xdr:rowOff>
    </xdr:to>
    <xdr:graphicFrame macro="">
      <xdr:nvGraphicFramePr>
        <xdr:cNvPr id="12" name="Chart">
          <a:extLst>
            <a:ext uri="{FF2B5EF4-FFF2-40B4-BE49-F238E27FC236}">
              <a16:creationId xmlns:a16="http://schemas.microsoft.com/office/drawing/2014/main" id="{00000000-0008-0000-07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9</xdr:col>
      <xdr:colOff>0</xdr:colOff>
      <xdr:row>108</xdr:row>
      <xdr:rowOff>0</xdr:rowOff>
    </xdr:from>
    <xdr:to>
      <xdr:col>18</xdr:col>
      <xdr:colOff>0</xdr:colOff>
      <xdr:row>127</xdr:row>
      <xdr:rowOff>0</xdr:rowOff>
    </xdr:to>
    <xdr:graphicFrame macro="">
      <xdr:nvGraphicFramePr>
        <xdr:cNvPr id="13" name="Chart">
          <a:extLst>
            <a:ext uri="{FF2B5EF4-FFF2-40B4-BE49-F238E27FC236}">
              <a16:creationId xmlns:a16="http://schemas.microsoft.com/office/drawing/2014/main" id="{00000000-0008-0000-07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129</xdr:row>
      <xdr:rowOff>0</xdr:rowOff>
    </xdr:from>
    <xdr:to>
      <xdr:col>9</xdr:col>
      <xdr:colOff>0</xdr:colOff>
      <xdr:row>148</xdr:row>
      <xdr:rowOff>0</xdr:rowOff>
    </xdr:to>
    <xdr:graphicFrame macro="">
      <xdr:nvGraphicFramePr>
        <xdr:cNvPr id="14" name="Chart">
          <a:extLst>
            <a:ext uri="{FF2B5EF4-FFF2-40B4-BE49-F238E27FC236}">
              <a16:creationId xmlns:a16="http://schemas.microsoft.com/office/drawing/2014/main" id="{00000000-0008-0000-07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129</xdr:row>
      <xdr:rowOff>0</xdr:rowOff>
    </xdr:from>
    <xdr:to>
      <xdr:col>18</xdr:col>
      <xdr:colOff>0</xdr:colOff>
      <xdr:row>148</xdr:row>
      <xdr:rowOff>0</xdr:rowOff>
    </xdr:to>
    <xdr:graphicFrame macro="">
      <xdr:nvGraphicFramePr>
        <xdr:cNvPr id="15" name="Chart">
          <a:extLst>
            <a:ext uri="{FF2B5EF4-FFF2-40B4-BE49-F238E27FC236}">
              <a16:creationId xmlns:a16="http://schemas.microsoft.com/office/drawing/2014/main" id="{00000000-0008-0000-07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KOHC_Financial_Analysis_FINAL.xlsx" TargetMode="External"/><Relationship Id="rId7" Type="http://schemas.openxmlformats.org/officeDocument/2006/relationships/hyperlink" Target="KOHC_Financial_Analysis_FINAL.xlsx" TargetMode="External"/><Relationship Id="rId2" Type="http://schemas.openxmlformats.org/officeDocument/2006/relationships/hyperlink" Target="KOHC_Financial_Analysis_FINAL.xlsx" TargetMode="External"/><Relationship Id="rId1" Type="http://schemas.openxmlformats.org/officeDocument/2006/relationships/hyperlink" Target="KOHC_Financial_Analysis_FINAL.xlsx" TargetMode="External"/><Relationship Id="rId6" Type="http://schemas.openxmlformats.org/officeDocument/2006/relationships/hyperlink" Target="KOHC_Financial_Analysis_FINAL.xlsx" TargetMode="External"/><Relationship Id="rId5" Type="http://schemas.openxmlformats.org/officeDocument/2006/relationships/hyperlink" Target="KOHC_Financial_Analysis_FINAL.xlsx" TargetMode="External"/><Relationship Id="rId4" Type="http://schemas.openxmlformats.org/officeDocument/2006/relationships/hyperlink" Target="KOHC_Financial_Analysis_FINAL.xlsx"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4D3A"/>
    <pageSetUpPr fitToPage="1"/>
  </sheetPr>
  <dimension ref="A1:G52"/>
  <sheetViews>
    <sheetView showGridLines="0" tabSelected="1" topLeftCell="A7" workbookViewId="0">
      <selection activeCell="A43" sqref="A43:G43"/>
    </sheetView>
  </sheetViews>
  <sheetFormatPr defaultColWidth="8.6640625" defaultRowHeight="14.4" x14ac:dyDescent="0.3"/>
  <cols>
    <col min="1" max="1" width="26" customWidth="1"/>
    <col min="2" max="2" width="40" customWidth="1"/>
    <col min="3" max="7" width="14" customWidth="1"/>
    <col min="8" max="8" width="10" customWidth="1"/>
  </cols>
  <sheetData>
    <row r="1" spans="1:7" ht="40.049999999999997" customHeight="1" x14ac:dyDescent="0.35">
      <c r="A1" s="81" t="s">
        <v>0</v>
      </c>
      <c r="B1" s="82"/>
      <c r="C1" s="82"/>
      <c r="D1" s="82"/>
      <c r="E1" s="82"/>
      <c r="F1" s="82"/>
      <c r="G1" s="82"/>
    </row>
    <row r="2" spans="1:7" ht="30" customHeight="1" x14ac:dyDescent="0.3">
      <c r="A2" s="83"/>
      <c r="B2" s="82"/>
      <c r="C2" s="82"/>
      <c r="D2" s="82"/>
      <c r="E2" s="82"/>
      <c r="F2" s="82"/>
      <c r="G2" s="82"/>
    </row>
    <row r="4" spans="1:7" x14ac:dyDescent="0.3">
      <c r="A4" s="1" t="s">
        <v>1</v>
      </c>
      <c r="B4" t="s">
        <v>2</v>
      </c>
    </row>
    <row r="5" spans="1:7" x14ac:dyDescent="0.3">
      <c r="A5" s="1" t="s">
        <v>3</v>
      </c>
      <c r="B5" t="s">
        <v>4</v>
      </c>
    </row>
    <row r="6" spans="1:7" x14ac:dyDescent="0.3">
      <c r="A6" s="1" t="s">
        <v>5</v>
      </c>
      <c r="B6" t="s">
        <v>6</v>
      </c>
    </row>
    <row r="7" spans="1:7" ht="78" customHeight="1" x14ac:dyDescent="0.3">
      <c r="A7" s="77" t="s">
        <v>306</v>
      </c>
      <c r="B7" s="79" t="s">
        <v>307</v>
      </c>
      <c r="C7" s="79"/>
      <c r="D7" s="79"/>
      <c r="E7" s="79"/>
      <c r="F7" s="79"/>
      <c r="G7" s="79"/>
    </row>
    <row r="9" spans="1:7" ht="19.5" customHeight="1" x14ac:dyDescent="0.3">
      <c r="A9" s="2" t="s">
        <v>7</v>
      </c>
      <c r="B9" s="3"/>
      <c r="C9" s="3"/>
      <c r="D9" s="3"/>
      <c r="E9" s="3"/>
      <c r="F9" s="3"/>
      <c r="G9" s="3"/>
    </row>
    <row r="10" spans="1:7" x14ac:dyDescent="0.3">
      <c r="A10" s="4" t="s">
        <v>8</v>
      </c>
      <c r="B10" s="4" t="s">
        <v>9</v>
      </c>
      <c r="C10" s="4" t="s">
        <v>10</v>
      </c>
      <c r="D10" s="4" t="s">
        <v>11</v>
      </c>
      <c r="E10" s="4" t="s">
        <v>12</v>
      </c>
    </row>
    <row r="11" spans="1:7" x14ac:dyDescent="0.3">
      <c r="A11" s="5" t="s">
        <v>13</v>
      </c>
      <c r="B11" s="5" t="s">
        <v>14</v>
      </c>
      <c r="C11" s="5" t="s">
        <v>15</v>
      </c>
      <c r="D11" s="5" t="s">
        <v>16</v>
      </c>
      <c r="E11" s="6" t="s">
        <v>17</v>
      </c>
    </row>
    <row r="12" spans="1:7" x14ac:dyDescent="0.3">
      <c r="A12" s="7" t="s">
        <v>18</v>
      </c>
      <c r="B12" s="7" t="s">
        <v>19</v>
      </c>
      <c r="C12" s="7" t="s">
        <v>20</v>
      </c>
      <c r="D12" s="7" t="s">
        <v>21</v>
      </c>
      <c r="E12" s="6" t="s">
        <v>22</v>
      </c>
    </row>
    <row r="13" spans="1:7" x14ac:dyDescent="0.3">
      <c r="A13" s="7" t="s">
        <v>23</v>
      </c>
      <c r="B13" s="7" t="s">
        <v>24</v>
      </c>
      <c r="C13" s="7" t="s">
        <v>25</v>
      </c>
      <c r="D13" s="7" t="s">
        <v>21</v>
      </c>
      <c r="E13" s="6" t="s">
        <v>26</v>
      </c>
    </row>
    <row r="14" spans="1:7" x14ac:dyDescent="0.3">
      <c r="A14" s="7" t="s">
        <v>27</v>
      </c>
      <c r="B14" s="7" t="s">
        <v>28</v>
      </c>
      <c r="C14" s="7" t="s">
        <v>29</v>
      </c>
      <c r="D14" s="7" t="s">
        <v>21</v>
      </c>
      <c r="E14" s="6" t="s">
        <v>30</v>
      </c>
    </row>
    <row r="15" spans="1:7" x14ac:dyDescent="0.3">
      <c r="A15" s="7" t="s">
        <v>31</v>
      </c>
      <c r="B15" s="7" t="s">
        <v>32</v>
      </c>
      <c r="C15" s="7" t="s">
        <v>33</v>
      </c>
      <c r="D15" s="7" t="s">
        <v>16</v>
      </c>
      <c r="E15" s="6" t="s">
        <v>34</v>
      </c>
    </row>
    <row r="16" spans="1:7" x14ac:dyDescent="0.3">
      <c r="E16" s="8" t="s">
        <v>35</v>
      </c>
    </row>
    <row r="17" spans="1:7" x14ac:dyDescent="0.3">
      <c r="E17" s="8" t="s">
        <v>36</v>
      </c>
    </row>
    <row r="19" spans="1:7" ht="22.95" customHeight="1" x14ac:dyDescent="0.3">
      <c r="A19" s="85" t="s">
        <v>37</v>
      </c>
      <c r="B19" s="80"/>
      <c r="C19" s="80"/>
      <c r="D19" s="80"/>
      <c r="E19" s="80"/>
      <c r="F19" s="80"/>
      <c r="G19" s="80"/>
    </row>
    <row r="20" spans="1:7" ht="37.950000000000003" customHeight="1" x14ac:dyDescent="0.3">
      <c r="A20" s="78" t="s">
        <v>38</v>
      </c>
      <c r="B20" s="78"/>
      <c r="C20" s="78"/>
      <c r="D20" s="78"/>
      <c r="E20" s="78"/>
      <c r="F20" s="78"/>
      <c r="G20" s="78"/>
    </row>
    <row r="21" spans="1:7" ht="37.950000000000003" customHeight="1" x14ac:dyDescent="0.3">
      <c r="A21" s="78" t="s">
        <v>39</v>
      </c>
      <c r="B21" s="78"/>
      <c r="C21" s="78"/>
      <c r="D21" s="78"/>
      <c r="E21" s="78"/>
      <c r="F21" s="78"/>
      <c r="G21" s="78"/>
    </row>
    <row r="22" spans="1:7" ht="37.950000000000003" customHeight="1" x14ac:dyDescent="0.3">
      <c r="A22" s="78" t="s">
        <v>40</v>
      </c>
      <c r="B22" s="78"/>
      <c r="C22" s="78"/>
      <c r="D22" s="78"/>
      <c r="E22" s="78"/>
      <c r="F22" s="78"/>
      <c r="G22" s="78"/>
    </row>
    <row r="23" spans="1:7" ht="48" customHeight="1" x14ac:dyDescent="0.3">
      <c r="A23" s="78" t="s">
        <v>41</v>
      </c>
      <c r="B23" s="78"/>
      <c r="C23" s="78"/>
      <c r="D23" s="78"/>
      <c r="E23" s="78"/>
      <c r="F23" s="78"/>
      <c r="G23" s="78"/>
    </row>
    <row r="24" spans="1:7" ht="48" customHeight="1" x14ac:dyDescent="0.3">
      <c r="A24" s="78" t="s">
        <v>42</v>
      </c>
      <c r="B24" s="78"/>
      <c r="C24" s="78"/>
      <c r="D24" s="78"/>
      <c r="E24" s="78"/>
      <c r="F24" s="78"/>
      <c r="G24" s="78"/>
    </row>
    <row r="25" spans="1:7" ht="37.950000000000003" customHeight="1" x14ac:dyDescent="0.3">
      <c r="A25" s="78" t="s">
        <v>43</v>
      </c>
      <c r="B25" s="78"/>
      <c r="C25" s="78"/>
      <c r="D25" s="78"/>
      <c r="E25" s="78"/>
      <c r="F25" s="78"/>
      <c r="G25" s="78"/>
    </row>
    <row r="26" spans="1:7" ht="48" customHeight="1" x14ac:dyDescent="0.3">
      <c r="A26" s="78" t="s">
        <v>44</v>
      </c>
      <c r="B26" s="78"/>
      <c r="C26" s="78"/>
      <c r="D26" s="78"/>
      <c r="E26" s="78"/>
      <c r="F26" s="78"/>
      <c r="G26" s="78"/>
    </row>
    <row r="27" spans="1:7" ht="37.950000000000003" customHeight="1" x14ac:dyDescent="0.3">
      <c r="A27" s="78" t="s">
        <v>45</v>
      </c>
      <c r="B27" s="78"/>
      <c r="C27" s="78"/>
      <c r="D27" s="78"/>
      <c r="E27" s="78"/>
      <c r="F27" s="78"/>
      <c r="G27" s="78"/>
    </row>
    <row r="28" spans="1:7" ht="18" customHeight="1" x14ac:dyDescent="0.3">
      <c r="A28" s="71"/>
      <c r="B28" s="71"/>
      <c r="C28" s="71"/>
      <c r="D28" s="71"/>
      <c r="E28" s="71"/>
      <c r="F28" s="71"/>
      <c r="G28" s="71"/>
    </row>
    <row r="29" spans="1:7" ht="22.95" customHeight="1" x14ac:dyDescent="0.3">
      <c r="A29" s="80" t="s">
        <v>46</v>
      </c>
      <c r="B29" s="80"/>
      <c r="C29" s="80"/>
      <c r="D29" s="80"/>
      <c r="E29" s="80"/>
      <c r="F29" s="80"/>
      <c r="G29" s="80"/>
    </row>
    <row r="30" spans="1:7" ht="48" customHeight="1" x14ac:dyDescent="0.3">
      <c r="A30" s="78" t="s">
        <v>47</v>
      </c>
      <c r="B30" s="78"/>
      <c r="C30" s="78"/>
      <c r="D30" s="78"/>
      <c r="E30" s="78"/>
      <c r="F30" s="78"/>
      <c r="G30" s="78"/>
    </row>
    <row r="31" spans="1:7" ht="48" customHeight="1" x14ac:dyDescent="0.3">
      <c r="A31" s="78" t="s">
        <v>48</v>
      </c>
      <c r="B31" s="78"/>
      <c r="C31" s="78"/>
      <c r="D31" s="78"/>
      <c r="E31" s="78"/>
      <c r="F31" s="78"/>
      <c r="G31" s="78"/>
    </row>
    <row r="32" spans="1:7" ht="48" customHeight="1" x14ac:dyDescent="0.3">
      <c r="A32" s="78" t="s">
        <v>49</v>
      </c>
      <c r="B32" s="78"/>
      <c r="C32" s="78"/>
      <c r="D32" s="78"/>
      <c r="E32" s="78"/>
      <c r="F32" s="78"/>
      <c r="G32" s="78"/>
    </row>
    <row r="33" spans="1:7" ht="48" customHeight="1" x14ac:dyDescent="0.3">
      <c r="A33" s="84" t="s">
        <v>50</v>
      </c>
      <c r="B33" s="78"/>
      <c r="C33" s="78"/>
      <c r="D33" s="78"/>
      <c r="E33" s="78"/>
      <c r="F33" s="78"/>
      <c r="G33" s="78"/>
    </row>
    <row r="34" spans="1:7" ht="18" customHeight="1" x14ac:dyDescent="0.3">
      <c r="A34" s="72"/>
      <c r="B34" s="72"/>
      <c r="C34" s="72"/>
      <c r="D34" s="72"/>
      <c r="E34" s="72"/>
      <c r="F34" s="72"/>
      <c r="G34" s="72"/>
    </row>
    <row r="35" spans="1:7" ht="22.95" customHeight="1" x14ac:dyDescent="0.3">
      <c r="A35" s="80" t="s">
        <v>51</v>
      </c>
      <c r="B35" s="80"/>
      <c r="C35" s="80"/>
      <c r="D35" s="80"/>
      <c r="E35" s="80"/>
      <c r="F35" s="80"/>
      <c r="G35" s="80"/>
    </row>
    <row r="36" spans="1:7" ht="37.950000000000003" customHeight="1" x14ac:dyDescent="0.3">
      <c r="A36" s="78" t="s">
        <v>52</v>
      </c>
      <c r="B36" s="78"/>
      <c r="C36" s="78"/>
      <c r="D36" s="78"/>
      <c r="E36" s="78"/>
      <c r="F36" s="78"/>
      <c r="G36" s="78"/>
    </row>
    <row r="37" spans="1:7" ht="37.950000000000003" customHeight="1" x14ac:dyDescent="0.3">
      <c r="A37" s="78" t="s">
        <v>53</v>
      </c>
      <c r="B37" s="78"/>
      <c r="C37" s="78"/>
      <c r="D37" s="78"/>
      <c r="E37" s="78"/>
      <c r="F37" s="78"/>
      <c r="G37" s="78"/>
    </row>
    <row r="38" spans="1:7" ht="18" customHeight="1" x14ac:dyDescent="0.3">
      <c r="A38" s="71"/>
      <c r="B38" s="71"/>
      <c r="C38" s="71"/>
      <c r="D38" s="71"/>
      <c r="E38" s="71"/>
      <c r="F38" s="71"/>
      <c r="G38" s="71"/>
    </row>
    <row r="39" spans="1:7" ht="22.95" customHeight="1" x14ac:dyDescent="0.3">
      <c r="A39" s="80" t="s">
        <v>54</v>
      </c>
      <c r="B39" s="80"/>
      <c r="C39" s="80"/>
      <c r="D39" s="80"/>
      <c r="E39" s="80"/>
      <c r="F39" s="80"/>
      <c r="G39" s="80"/>
    </row>
    <row r="40" spans="1:7" ht="22.05" customHeight="1" x14ac:dyDescent="0.3">
      <c r="A40" s="78" t="s">
        <v>55</v>
      </c>
      <c r="B40" s="78"/>
      <c r="C40" s="78"/>
      <c r="D40" s="78"/>
      <c r="E40" s="78"/>
      <c r="F40" s="78"/>
      <c r="G40" s="78"/>
    </row>
    <row r="41" spans="1:7" ht="22.05" customHeight="1" x14ac:dyDescent="0.3">
      <c r="A41" s="78" t="s">
        <v>56</v>
      </c>
      <c r="B41" s="78"/>
      <c r="C41" s="78"/>
      <c r="D41" s="78"/>
      <c r="E41" s="78"/>
      <c r="F41" s="78"/>
      <c r="G41" s="78"/>
    </row>
    <row r="42" spans="1:7" ht="22.05" customHeight="1" x14ac:dyDescent="0.3">
      <c r="A42" s="78" t="s">
        <v>57</v>
      </c>
      <c r="B42" s="78"/>
      <c r="C42" s="78"/>
      <c r="D42" s="78"/>
      <c r="E42" s="78"/>
      <c r="F42" s="78"/>
      <c r="G42" s="78"/>
    </row>
    <row r="43" spans="1:7" ht="22.05" customHeight="1" x14ac:dyDescent="0.3">
      <c r="A43" s="78" t="s">
        <v>58</v>
      </c>
      <c r="B43" s="78"/>
      <c r="C43" s="78"/>
      <c r="D43" s="78"/>
      <c r="E43" s="78"/>
      <c r="F43" s="78"/>
      <c r="G43" s="78"/>
    </row>
    <row r="44" spans="1:7" ht="22.05" customHeight="1" x14ac:dyDescent="0.3">
      <c r="A44" s="78" t="s">
        <v>59</v>
      </c>
      <c r="B44" s="78"/>
      <c r="C44" s="78"/>
      <c r="D44" s="78"/>
      <c r="E44" s="78"/>
      <c r="F44" s="78"/>
      <c r="G44" s="78"/>
    </row>
    <row r="45" spans="1:7" ht="18" customHeight="1" x14ac:dyDescent="0.3">
      <c r="A45" s="71"/>
      <c r="B45" s="71"/>
      <c r="C45" s="71"/>
      <c r="D45" s="71"/>
      <c r="E45" s="71"/>
      <c r="F45" s="71"/>
      <c r="G45" s="71"/>
    </row>
    <row r="46" spans="1:7" ht="37.950000000000003" customHeight="1" x14ac:dyDescent="0.3">
      <c r="A46" s="78"/>
      <c r="B46" s="78"/>
      <c r="C46" s="78"/>
      <c r="D46" s="78"/>
      <c r="E46" s="78"/>
      <c r="F46" s="78"/>
      <c r="G46" s="78"/>
    </row>
    <row r="47" spans="1:7" ht="18" customHeight="1" x14ac:dyDescent="0.3">
      <c r="A47" s="71"/>
      <c r="B47" s="71"/>
      <c r="C47" s="71"/>
      <c r="D47" s="71"/>
      <c r="E47" s="71"/>
      <c r="F47" s="71"/>
      <c r="G47" s="71"/>
    </row>
    <row r="48" spans="1:7" ht="28.05" customHeight="1" x14ac:dyDescent="0.3">
      <c r="A48" s="78"/>
      <c r="B48" s="78"/>
      <c r="C48" s="78"/>
      <c r="D48" s="78"/>
      <c r="E48" s="78"/>
      <c r="F48" s="78"/>
      <c r="G48" s="78"/>
    </row>
    <row r="49" spans="1:7" ht="18" customHeight="1" x14ac:dyDescent="0.3">
      <c r="A49" s="71"/>
      <c r="B49" s="71"/>
      <c r="C49" s="71"/>
      <c r="D49" s="71"/>
      <c r="E49" s="71"/>
      <c r="F49" s="71"/>
      <c r="G49" s="71"/>
    </row>
    <row r="50" spans="1:7" ht="18" customHeight="1" x14ac:dyDescent="0.3">
      <c r="A50" s="71"/>
      <c r="B50" s="71"/>
      <c r="C50" s="71"/>
      <c r="D50" s="71"/>
      <c r="E50" s="71"/>
      <c r="F50" s="71"/>
      <c r="G50" s="71"/>
    </row>
    <row r="51" spans="1:7" ht="18" customHeight="1" x14ac:dyDescent="0.3">
      <c r="A51" s="71"/>
      <c r="B51" s="71"/>
      <c r="C51" s="71"/>
      <c r="D51" s="71"/>
      <c r="E51" s="71"/>
      <c r="F51" s="71"/>
      <c r="G51" s="71"/>
    </row>
    <row r="52" spans="1:7" ht="18" customHeight="1" x14ac:dyDescent="0.3">
      <c r="A52" s="71"/>
      <c r="B52" s="71"/>
      <c r="C52" s="71"/>
      <c r="D52" s="71"/>
      <c r="E52" s="71"/>
      <c r="F52" s="71"/>
      <c r="G52" s="71"/>
    </row>
  </sheetData>
  <mergeCells count="28">
    <mergeCell ref="A1:G1"/>
    <mergeCell ref="A2:G2"/>
    <mergeCell ref="A42:G42"/>
    <mergeCell ref="A43:G43"/>
    <mergeCell ref="A44:G44"/>
    <mergeCell ref="A30:G30"/>
    <mergeCell ref="A31:G31"/>
    <mergeCell ref="A32:G32"/>
    <mergeCell ref="A33:G33"/>
    <mergeCell ref="A35:G35"/>
    <mergeCell ref="A24:G24"/>
    <mergeCell ref="A25:G25"/>
    <mergeCell ref="A26:G26"/>
    <mergeCell ref="A27:G27"/>
    <mergeCell ref="A29:G29"/>
    <mergeCell ref="A19:G19"/>
    <mergeCell ref="A46:G46"/>
    <mergeCell ref="A48:G48"/>
    <mergeCell ref="A36:G36"/>
    <mergeCell ref="A37:G37"/>
    <mergeCell ref="A39:G39"/>
    <mergeCell ref="A40:G40"/>
    <mergeCell ref="A41:G41"/>
    <mergeCell ref="A20:G20"/>
    <mergeCell ref="A21:G21"/>
    <mergeCell ref="A22:G22"/>
    <mergeCell ref="A23:G23"/>
    <mergeCell ref="B7:G7"/>
  </mergeCells>
  <hyperlinks>
    <hyperlink ref="E11" r:id="rId1" xr:uid="{00000000-0004-0000-0000-000000000000}"/>
    <hyperlink ref="E12" r:id="rId2" xr:uid="{00000000-0004-0000-0000-000001000000}"/>
    <hyperlink ref="E13" r:id="rId3" xr:uid="{00000000-0004-0000-0000-000002000000}"/>
    <hyperlink ref="E14" r:id="rId4" xr:uid="{00000000-0004-0000-0000-000003000000}"/>
    <hyperlink ref="E15" r:id="rId5" xr:uid="{00000000-0004-0000-0000-000004000000}"/>
    <hyperlink ref="E16" r:id="rId6" xr:uid="{00000000-0004-0000-0000-000005000000}"/>
    <hyperlink ref="E17" r:id="rId7" xr:uid="{00000000-0004-0000-0000-000006000000}"/>
  </hyperlinks>
  <pageMargins left="0.7" right="0.7" top="0.75" bottom="0.75" header="0.3" footer="0.3"/>
  <pageSetup paperSize="9" scale="96"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D3A"/>
    <pageSetUpPr fitToPage="1"/>
  </sheetPr>
  <dimension ref="A1:I218"/>
  <sheetViews>
    <sheetView showGridLines="0" workbookViewId="0">
      <pane xSplit="3" ySplit="7" topLeftCell="D136" activePane="bottomRight" state="frozen"/>
      <selection pane="topRight"/>
      <selection pane="bottomLeft"/>
      <selection pane="bottomRight" activeCell="A5" sqref="A5"/>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60</v>
      </c>
      <c r="B1" s="23"/>
    </row>
    <row r="2" spans="1:9" x14ac:dyDescent="0.3">
      <c r="A2" s="24" t="s">
        <v>61</v>
      </c>
      <c r="B2" s="23"/>
    </row>
    <row r="3" spans="1:9" x14ac:dyDescent="0.3">
      <c r="A3" s="25" t="s">
        <v>62</v>
      </c>
      <c r="B3" s="23"/>
    </row>
    <row r="4" spans="1:9" x14ac:dyDescent="0.3">
      <c r="A4" s="23"/>
      <c r="B4" s="23"/>
    </row>
    <row r="5" spans="1:9" x14ac:dyDescent="0.3">
      <c r="A5" s="23"/>
      <c r="B5" s="23"/>
    </row>
    <row r="6" spans="1:9" ht="19.5" customHeight="1" x14ac:dyDescent="0.3">
      <c r="A6" s="26" t="s">
        <v>63</v>
      </c>
      <c r="B6" s="27"/>
      <c r="C6" s="3"/>
      <c r="D6" s="3"/>
      <c r="E6" s="3"/>
      <c r="F6" s="3"/>
      <c r="G6" s="3"/>
      <c r="H6" s="3"/>
      <c r="I6" s="3"/>
    </row>
    <row r="7" spans="1:9" ht="16.5" customHeight="1" x14ac:dyDescent="0.3">
      <c r="A7" s="28" t="s">
        <v>64</v>
      </c>
      <c r="B7" s="29"/>
      <c r="C7" s="9"/>
      <c r="D7" s="9" t="s">
        <v>65</v>
      </c>
      <c r="E7" s="9" t="s">
        <v>66</v>
      </c>
      <c r="F7" s="9" t="s">
        <v>67</v>
      </c>
      <c r="G7" s="9" t="s">
        <v>68</v>
      </c>
      <c r="H7" s="9" t="s">
        <v>69</v>
      </c>
      <c r="I7" s="9" t="s">
        <v>70</v>
      </c>
    </row>
    <row r="8" spans="1:9" x14ac:dyDescent="0.3">
      <c r="A8" s="30" t="s">
        <v>71</v>
      </c>
      <c r="B8" s="31"/>
      <c r="C8" s="10"/>
      <c r="D8" s="10"/>
      <c r="E8" s="10"/>
      <c r="F8" s="10"/>
      <c r="G8" s="10"/>
      <c r="H8" s="10"/>
      <c r="I8" s="10"/>
    </row>
    <row r="9" spans="1:9" x14ac:dyDescent="0.3">
      <c r="A9" s="32" t="s">
        <v>72</v>
      </c>
      <c r="B9" s="33"/>
      <c r="C9" s="11"/>
      <c r="D9" s="11">
        <v>22027.544913000002</v>
      </c>
      <c r="E9" s="11">
        <v>21331.296362000001</v>
      </c>
      <c r="F9" s="11">
        <v>22229.434463000001</v>
      </c>
      <c r="G9" s="11">
        <v>22156.640533000002</v>
      </c>
      <c r="H9" s="11">
        <v>23359.980509000001</v>
      </c>
      <c r="I9" s="11">
        <v>22777.666270999998</v>
      </c>
    </row>
    <row r="10" spans="1:9" x14ac:dyDescent="0.3">
      <c r="A10" s="32" t="s">
        <v>73</v>
      </c>
      <c r="B10" s="33"/>
      <c r="C10" s="11"/>
      <c r="D10" s="11">
        <v>273.93955899999997</v>
      </c>
      <c r="E10" s="11">
        <v>130.89794699999999</v>
      </c>
      <c r="F10" s="11">
        <v>1943.019581</v>
      </c>
      <c r="G10" s="11">
        <v>999.32660499999997</v>
      </c>
      <c r="H10" s="11">
        <v>2486.634755</v>
      </c>
      <c r="I10" s="11">
        <v>164.578022</v>
      </c>
    </row>
    <row r="11" spans="1:9" x14ac:dyDescent="0.3">
      <c r="A11" s="32" t="s">
        <v>74</v>
      </c>
      <c r="B11" s="33"/>
      <c r="C11" s="11"/>
      <c r="D11" s="11">
        <v>0</v>
      </c>
      <c r="E11" s="11">
        <v>0</v>
      </c>
      <c r="F11" s="11">
        <v>0</v>
      </c>
      <c r="G11" s="11">
        <v>0</v>
      </c>
      <c r="H11" s="11">
        <v>0</v>
      </c>
      <c r="I11" s="11">
        <v>0</v>
      </c>
    </row>
    <row r="12" spans="1:9" x14ac:dyDescent="0.3">
      <c r="A12" s="32" t="s">
        <v>75</v>
      </c>
      <c r="B12" s="33"/>
      <c r="C12" s="11"/>
      <c r="D12" s="11">
        <v>6.725911</v>
      </c>
      <c r="E12" s="11">
        <v>2.7013569999999998</v>
      </c>
      <c r="F12" s="11">
        <v>1.567709</v>
      </c>
      <c r="G12" s="11">
        <v>0.50822599999999996</v>
      </c>
      <c r="H12" s="11">
        <v>0.25974199999999997</v>
      </c>
      <c r="I12" s="11">
        <v>11.210982</v>
      </c>
    </row>
    <row r="13" spans="1:9" x14ac:dyDescent="0.3">
      <c r="A13" s="32" t="s">
        <v>76</v>
      </c>
      <c r="B13" s="33"/>
      <c r="C13" s="11"/>
      <c r="D13" s="11">
        <v>4134.0861590000004</v>
      </c>
      <c r="E13" s="11">
        <v>4134.2552089999999</v>
      </c>
      <c r="F13" s="11">
        <v>4324.9107430000004</v>
      </c>
      <c r="G13" s="11">
        <v>4326.3615589999999</v>
      </c>
      <c r="H13" s="11">
        <v>4326.3615589999999</v>
      </c>
      <c r="I13" s="11">
        <v>3691.8396349999998</v>
      </c>
    </row>
    <row r="14" spans="1:9" x14ac:dyDescent="0.3">
      <c r="A14" s="32" t="s">
        <v>77</v>
      </c>
      <c r="B14" s="33"/>
      <c r="C14" s="11"/>
      <c r="D14" s="11">
        <v>0</v>
      </c>
      <c r="E14" s="11">
        <v>0</v>
      </c>
      <c r="F14" s="11">
        <v>0</v>
      </c>
      <c r="G14" s="11">
        <v>0</v>
      </c>
      <c r="H14" s="11">
        <v>0</v>
      </c>
      <c r="I14" s="11">
        <v>0</v>
      </c>
    </row>
    <row r="15" spans="1:9" x14ac:dyDescent="0.3">
      <c r="A15" s="32" t="s">
        <v>78</v>
      </c>
      <c r="B15" s="33"/>
      <c r="C15" s="11"/>
      <c r="D15" s="11">
        <v>69.765739999999994</v>
      </c>
      <c r="E15" s="11">
        <v>106.58346899999999</v>
      </c>
      <c r="F15" s="11">
        <v>60.785981</v>
      </c>
      <c r="G15" s="11">
        <v>147.38810599999999</v>
      </c>
      <c r="H15" s="11">
        <v>492.917464</v>
      </c>
      <c r="I15" s="11">
        <v>38.326639999999998</v>
      </c>
    </row>
    <row r="16" spans="1:9" x14ac:dyDescent="0.3">
      <c r="A16" s="34" t="s">
        <v>79</v>
      </c>
      <c r="B16" s="35"/>
      <c r="C16" s="12"/>
      <c r="D16" s="12">
        <f t="shared" ref="D16:I16" si="0">D9+D11+D12+D13+D14+D15</f>
        <v>26238.122723000004</v>
      </c>
      <c r="E16" s="12">
        <f t="shared" si="0"/>
        <v>25574.836397000003</v>
      </c>
      <c r="F16" s="12">
        <f t="shared" si="0"/>
        <v>26616.698896000002</v>
      </c>
      <c r="G16" s="12">
        <f t="shared" si="0"/>
        <v>26630.898424000003</v>
      </c>
      <c r="H16" s="12">
        <f t="shared" si="0"/>
        <v>28179.519273999998</v>
      </c>
      <c r="I16" s="12">
        <f t="shared" si="0"/>
        <v>26519.043527999998</v>
      </c>
    </row>
    <row r="17" spans="1:9" x14ac:dyDescent="0.3">
      <c r="A17" s="30" t="s">
        <v>80</v>
      </c>
      <c r="B17" s="31"/>
      <c r="C17" s="10"/>
      <c r="D17" s="10"/>
      <c r="E17" s="10"/>
      <c r="F17" s="10"/>
      <c r="G17" s="10"/>
      <c r="H17" s="10"/>
      <c r="I17" s="10"/>
    </row>
    <row r="18" spans="1:9" x14ac:dyDescent="0.3">
      <c r="A18" s="32" t="s">
        <v>81</v>
      </c>
      <c r="B18" s="33"/>
      <c r="C18" s="11"/>
      <c r="D18" s="11">
        <v>3070.7691009999999</v>
      </c>
      <c r="E18" s="11">
        <v>4214.8296360000004</v>
      </c>
      <c r="F18" s="11">
        <v>4713.1297640000003</v>
      </c>
      <c r="G18" s="11">
        <v>5785.6834859999999</v>
      </c>
      <c r="H18" s="11">
        <v>4991.3114750000004</v>
      </c>
      <c r="I18" s="11">
        <v>2250.1564370000001</v>
      </c>
    </row>
    <row r="19" spans="1:9" x14ac:dyDescent="0.3">
      <c r="A19" s="32" t="s">
        <v>82</v>
      </c>
      <c r="B19" s="33"/>
      <c r="C19" s="11"/>
      <c r="D19" s="11">
        <v>1112.7762660000001</v>
      </c>
      <c r="E19" s="11">
        <v>1456.156782</v>
      </c>
      <c r="F19" s="11">
        <v>2942.8615540000001</v>
      </c>
      <c r="G19" s="11">
        <v>1793.74244</v>
      </c>
      <c r="H19" s="11">
        <v>2513.556552</v>
      </c>
      <c r="I19" s="11">
        <v>1016.024223</v>
      </c>
    </row>
    <row r="20" spans="1:9" x14ac:dyDescent="0.3">
      <c r="A20" s="32" t="s">
        <v>83</v>
      </c>
      <c r="B20" s="33"/>
      <c r="C20" s="11"/>
      <c r="D20" s="11">
        <v>983.56822299999999</v>
      </c>
      <c r="E20" s="11">
        <v>916.03946900000005</v>
      </c>
      <c r="F20" s="11">
        <v>1205.553375</v>
      </c>
      <c r="G20" s="11">
        <v>2110.2479020000001</v>
      </c>
      <c r="H20" s="11">
        <v>1692.217832</v>
      </c>
      <c r="I20" s="11">
        <v>494.31520599999999</v>
      </c>
    </row>
    <row r="21" spans="1:9" x14ac:dyDescent="0.3">
      <c r="A21" s="32" t="s">
        <v>84</v>
      </c>
      <c r="B21" s="33"/>
      <c r="C21" s="11"/>
      <c r="D21" s="11">
        <v>2999.496423</v>
      </c>
      <c r="E21" s="11">
        <v>10124.095692999999</v>
      </c>
      <c r="F21" s="11">
        <v>12335.073816</v>
      </c>
      <c r="G21" s="11">
        <v>20279.745954000002</v>
      </c>
      <c r="H21" s="11">
        <v>26941.632205000002</v>
      </c>
      <c r="I21" s="11">
        <v>160.13059999999999</v>
      </c>
    </row>
    <row r="22" spans="1:9" x14ac:dyDescent="0.3">
      <c r="A22" s="32" t="s">
        <v>85</v>
      </c>
      <c r="B22" s="33"/>
      <c r="C22" s="11"/>
      <c r="D22" s="11">
        <v>1197.729351</v>
      </c>
      <c r="E22" s="11">
        <v>480.76563199999998</v>
      </c>
      <c r="F22" s="11">
        <v>933.537193</v>
      </c>
      <c r="G22" s="11">
        <v>1102.6491719999999</v>
      </c>
      <c r="H22" s="11">
        <v>1450.7027230000001</v>
      </c>
      <c r="I22" s="11">
        <v>891.606087</v>
      </c>
    </row>
    <row r="23" spans="1:9" x14ac:dyDescent="0.3">
      <c r="A23" s="32" t="s">
        <v>86</v>
      </c>
      <c r="B23" s="33"/>
      <c r="C23" s="11"/>
      <c r="D23" s="11">
        <v>484.45934999999997</v>
      </c>
      <c r="E23" s="11">
        <v>583.94423500000005</v>
      </c>
      <c r="F23" s="11">
        <v>783.22094700000002</v>
      </c>
      <c r="G23" s="11">
        <v>1140.3278190000001</v>
      </c>
      <c r="H23" s="11">
        <v>1025.371707</v>
      </c>
      <c r="I23" s="11">
        <v>425.39122600000002</v>
      </c>
    </row>
    <row r="24" spans="1:9" x14ac:dyDescent="0.3">
      <c r="A24" s="34" t="s">
        <v>87</v>
      </c>
      <c r="B24" s="35"/>
      <c r="C24" s="12"/>
      <c r="D24" s="12">
        <f t="shared" ref="D24:I24" si="1">D18+D19+D20+D21+D22+D23</f>
        <v>9848.7987139999987</v>
      </c>
      <c r="E24" s="12">
        <f t="shared" si="1"/>
        <v>17775.831446999997</v>
      </c>
      <c r="F24" s="12">
        <f t="shared" si="1"/>
        <v>22913.376649000002</v>
      </c>
      <c r="G24" s="12">
        <f t="shared" si="1"/>
        <v>32212.396773</v>
      </c>
      <c r="H24" s="12">
        <f t="shared" si="1"/>
        <v>38614.792494000001</v>
      </c>
      <c r="I24" s="12">
        <f t="shared" si="1"/>
        <v>5237.6237789999996</v>
      </c>
    </row>
    <row r="25" spans="1:9" x14ac:dyDescent="0.3">
      <c r="A25" s="34" t="s">
        <v>88</v>
      </c>
      <c r="B25" s="35"/>
      <c r="C25" s="12"/>
      <c r="D25" s="12">
        <f t="shared" ref="D25:I25" si="2">D16+D24</f>
        <v>36086.921437000005</v>
      </c>
      <c r="E25" s="12">
        <f t="shared" si="2"/>
        <v>43350.667843999996</v>
      </c>
      <c r="F25" s="12">
        <f t="shared" si="2"/>
        <v>49530.075545</v>
      </c>
      <c r="G25" s="12">
        <f t="shared" si="2"/>
        <v>58843.295196999999</v>
      </c>
      <c r="H25" s="12">
        <f t="shared" si="2"/>
        <v>66794.311768</v>
      </c>
      <c r="I25" s="12">
        <f t="shared" si="2"/>
        <v>31756.667306999996</v>
      </c>
    </row>
    <row r="26" spans="1:9" x14ac:dyDescent="0.3">
      <c r="A26" s="30" t="s">
        <v>89</v>
      </c>
      <c r="B26" s="31"/>
      <c r="C26" s="10"/>
      <c r="D26" s="10"/>
      <c r="E26" s="10"/>
      <c r="F26" s="10"/>
      <c r="G26" s="10"/>
      <c r="H26" s="10"/>
      <c r="I26" s="10"/>
    </row>
    <row r="27" spans="1:9" x14ac:dyDescent="0.3">
      <c r="A27" s="32" t="s">
        <v>90</v>
      </c>
      <c r="B27" s="33"/>
      <c r="C27" s="11"/>
      <c r="D27" s="11">
        <v>2008.6129699999999</v>
      </c>
      <c r="E27" s="11">
        <v>2008.6129699999999</v>
      </c>
      <c r="F27" s="11">
        <v>2008.6129699999999</v>
      </c>
      <c r="G27" s="11">
        <v>1958.6129699999999</v>
      </c>
      <c r="H27" s="11">
        <v>1838.6129699999999</v>
      </c>
      <c r="I27" s="11">
        <v>2008.6129699999999</v>
      </c>
    </row>
    <row r="28" spans="1:9" x14ac:dyDescent="0.3">
      <c r="A28" s="32" t="s">
        <v>91</v>
      </c>
      <c r="B28" s="33"/>
      <c r="C28" s="11"/>
      <c r="D28" s="11">
        <v>20214.926401000001</v>
      </c>
      <c r="E28" s="11">
        <v>25237.607261000001</v>
      </c>
      <c r="F28" s="11">
        <v>30601.432002000001</v>
      </c>
      <c r="G28" s="11">
        <v>39131.692321000002</v>
      </c>
      <c r="H28" s="11">
        <v>46116.581816999998</v>
      </c>
      <c r="I28" s="11">
        <v>16718.060354000001</v>
      </c>
    </row>
    <row r="29" spans="1:9" x14ac:dyDescent="0.3">
      <c r="A29" s="34" t="s">
        <v>92</v>
      </c>
      <c r="B29" s="35"/>
      <c r="C29" s="12"/>
      <c r="D29" s="12">
        <f t="shared" ref="D29:I29" si="3">D27+D28</f>
        <v>22223.539370999999</v>
      </c>
      <c r="E29" s="12">
        <f t="shared" si="3"/>
        <v>27246.220230999999</v>
      </c>
      <c r="F29" s="12">
        <f t="shared" si="3"/>
        <v>32610.044972</v>
      </c>
      <c r="G29" s="12">
        <f t="shared" si="3"/>
        <v>41090.305291000004</v>
      </c>
      <c r="H29" s="12">
        <f t="shared" si="3"/>
        <v>47955.194787</v>
      </c>
      <c r="I29" s="12">
        <f t="shared" si="3"/>
        <v>18726.673323999999</v>
      </c>
    </row>
    <row r="30" spans="1:9" x14ac:dyDescent="0.3">
      <c r="A30" s="30" t="s">
        <v>93</v>
      </c>
      <c r="B30" s="31"/>
      <c r="C30" s="10"/>
      <c r="D30" s="10"/>
      <c r="E30" s="10"/>
      <c r="F30" s="10"/>
      <c r="G30" s="10"/>
      <c r="H30" s="10"/>
      <c r="I30" s="10"/>
    </row>
    <row r="31" spans="1:9" x14ac:dyDescent="0.3">
      <c r="A31" s="32" t="s">
        <v>94</v>
      </c>
      <c r="B31" s="33"/>
      <c r="C31" s="11"/>
      <c r="D31" s="11">
        <v>4405.7653060000002</v>
      </c>
      <c r="E31" s="11">
        <v>3179.400118</v>
      </c>
      <c r="F31" s="11">
        <v>2149.0173749999999</v>
      </c>
      <c r="G31" s="11">
        <v>1118.642478</v>
      </c>
      <c r="H31" s="11">
        <v>1448.977799</v>
      </c>
      <c r="I31" s="11">
        <v>5439.2261420000004</v>
      </c>
    </row>
    <row r="32" spans="1:9" x14ac:dyDescent="0.3">
      <c r="A32" s="32" t="s">
        <v>95</v>
      </c>
      <c r="B32" s="33"/>
      <c r="C32" s="11"/>
      <c r="D32" s="11">
        <v>0</v>
      </c>
      <c r="E32" s="11">
        <v>0</v>
      </c>
      <c r="F32" s="11">
        <v>0</v>
      </c>
      <c r="G32" s="11">
        <v>0</v>
      </c>
      <c r="H32" s="11">
        <v>0</v>
      </c>
      <c r="I32" s="11">
        <v>0</v>
      </c>
    </row>
    <row r="33" spans="1:9" x14ac:dyDescent="0.3">
      <c r="A33" s="32" t="s">
        <v>96</v>
      </c>
      <c r="B33" s="33"/>
      <c r="C33" s="11"/>
      <c r="D33" s="11">
        <v>1.328937</v>
      </c>
      <c r="E33" s="11">
        <v>0</v>
      </c>
      <c r="F33" s="11">
        <v>0</v>
      </c>
      <c r="G33" s="11">
        <v>0</v>
      </c>
      <c r="H33" s="11">
        <v>0</v>
      </c>
      <c r="I33" s="11">
        <v>0</v>
      </c>
    </row>
    <row r="34" spans="1:9" x14ac:dyDescent="0.3">
      <c r="A34" s="32" t="s">
        <v>97</v>
      </c>
      <c r="B34" s="33"/>
      <c r="C34" s="11"/>
      <c r="D34" s="11">
        <v>1857.649347</v>
      </c>
      <c r="E34" s="11">
        <v>3407.3736180000001</v>
      </c>
      <c r="F34" s="11">
        <v>4823.1584460000004</v>
      </c>
      <c r="G34" s="11">
        <v>5505.8239940000003</v>
      </c>
      <c r="H34" s="11">
        <v>5688.1160399999999</v>
      </c>
      <c r="I34" s="11">
        <v>1287.9421130000001</v>
      </c>
    </row>
    <row r="35" spans="1:9" x14ac:dyDescent="0.3">
      <c r="A35" s="32" t="s">
        <v>98</v>
      </c>
      <c r="B35" s="33"/>
      <c r="C35" s="11"/>
      <c r="D35" s="11">
        <v>26.394535999999999</v>
      </c>
      <c r="E35" s="11">
        <v>29.683198000000001</v>
      </c>
      <c r="F35" s="11">
        <v>35.383341000000001</v>
      </c>
      <c r="G35" s="11">
        <v>32.887203</v>
      </c>
      <c r="H35" s="11">
        <v>40.322031000000003</v>
      </c>
      <c r="I35" s="11">
        <v>23.277456000000001</v>
      </c>
    </row>
    <row r="36" spans="1:9" x14ac:dyDescent="0.3">
      <c r="A36" s="34" t="s">
        <v>99</v>
      </c>
      <c r="B36" s="35"/>
      <c r="C36" s="12"/>
      <c r="D36" s="12">
        <f t="shared" ref="D36:I36" si="4">D31+D32+D33+D34+D35</f>
        <v>6291.1381259999998</v>
      </c>
      <c r="E36" s="12">
        <f t="shared" si="4"/>
        <v>6616.4569339999998</v>
      </c>
      <c r="F36" s="12">
        <f t="shared" si="4"/>
        <v>7007.5591620000005</v>
      </c>
      <c r="G36" s="12">
        <f t="shared" si="4"/>
        <v>6657.3536750000003</v>
      </c>
      <c r="H36" s="12">
        <f t="shared" si="4"/>
        <v>7177.4158699999998</v>
      </c>
      <c r="I36" s="12">
        <f t="shared" si="4"/>
        <v>6750.4457110000003</v>
      </c>
    </row>
    <row r="37" spans="1:9" x14ac:dyDescent="0.3">
      <c r="A37" s="30" t="s">
        <v>100</v>
      </c>
      <c r="B37" s="31"/>
      <c r="C37" s="10"/>
      <c r="D37" s="10"/>
      <c r="E37" s="10"/>
      <c r="F37" s="10"/>
      <c r="G37" s="10"/>
      <c r="H37" s="10"/>
      <c r="I37" s="10"/>
    </row>
    <row r="38" spans="1:9" x14ac:dyDescent="0.3">
      <c r="A38" s="32" t="s">
        <v>101</v>
      </c>
      <c r="B38" s="33"/>
      <c r="C38" s="11"/>
      <c r="D38" s="11">
        <v>4985.3855290000001</v>
      </c>
      <c r="E38" s="11">
        <v>5525.2212079999999</v>
      </c>
      <c r="F38" s="11">
        <v>5307.0753530000002</v>
      </c>
      <c r="G38" s="11">
        <v>6223.1533209999998</v>
      </c>
      <c r="H38" s="11">
        <v>7710.0123979999998</v>
      </c>
      <c r="I38" s="11">
        <v>4293.205395</v>
      </c>
    </row>
    <row r="39" spans="1:9" x14ac:dyDescent="0.3">
      <c r="A39" s="32" t="s">
        <v>102</v>
      </c>
      <c r="B39" s="33"/>
      <c r="C39" s="11"/>
      <c r="D39" s="11">
        <v>137.0915</v>
      </c>
      <c r="E39" s="11">
        <v>264.98440799999997</v>
      </c>
      <c r="F39" s="11">
        <v>253.13594499999999</v>
      </c>
      <c r="G39" s="11">
        <v>113.418606</v>
      </c>
      <c r="H39" s="11">
        <v>144.300907</v>
      </c>
      <c r="I39" s="11">
        <v>126.582689</v>
      </c>
    </row>
    <row r="40" spans="1:9" x14ac:dyDescent="0.3">
      <c r="A40" s="32" t="s">
        <v>103</v>
      </c>
      <c r="B40" s="33"/>
      <c r="C40" s="11"/>
      <c r="D40" s="11">
        <v>122.613973</v>
      </c>
      <c r="E40" s="11">
        <v>142.17199299999999</v>
      </c>
      <c r="F40" s="11">
        <v>192.67479</v>
      </c>
      <c r="G40" s="11">
        <v>0</v>
      </c>
      <c r="H40" s="11">
        <v>0</v>
      </c>
      <c r="I40" s="11">
        <v>208.76675599999999</v>
      </c>
    </row>
    <row r="41" spans="1:9" x14ac:dyDescent="0.3">
      <c r="A41" s="32" t="s">
        <v>104</v>
      </c>
      <c r="B41" s="33"/>
      <c r="C41" s="11"/>
      <c r="D41" s="11">
        <v>498</v>
      </c>
      <c r="E41" s="11">
        <v>0</v>
      </c>
      <c r="F41" s="11">
        <v>0</v>
      </c>
      <c r="G41" s="11">
        <v>6.1253000000000002E-2</v>
      </c>
      <c r="H41" s="11">
        <v>3.7048839999999998</v>
      </c>
      <c r="I41" s="11">
        <v>1301.6090999999999</v>
      </c>
    </row>
    <row r="42" spans="1:9" x14ac:dyDescent="0.3">
      <c r="A42" s="32" t="s">
        <v>105</v>
      </c>
      <c r="B42" s="33"/>
      <c r="C42" s="11"/>
      <c r="D42" s="11">
        <v>1147.020843</v>
      </c>
      <c r="E42" s="11">
        <v>1071.912356</v>
      </c>
      <c r="F42" s="11">
        <v>1034.355873</v>
      </c>
      <c r="G42" s="11">
        <v>1169.2956429999999</v>
      </c>
      <c r="H42" s="11">
        <v>837.35925799999995</v>
      </c>
      <c r="I42" s="11">
        <v>248.49632199999999</v>
      </c>
    </row>
    <row r="43" spans="1:9" x14ac:dyDescent="0.3">
      <c r="A43" s="32" t="s">
        <v>106</v>
      </c>
      <c r="B43" s="33"/>
      <c r="C43" s="11"/>
      <c r="D43" s="11">
        <v>0</v>
      </c>
      <c r="E43" s="11">
        <v>0</v>
      </c>
      <c r="F43" s="11">
        <v>0</v>
      </c>
      <c r="G43" s="11">
        <v>0</v>
      </c>
      <c r="H43" s="11">
        <v>0</v>
      </c>
      <c r="I43" s="11">
        <v>0</v>
      </c>
    </row>
    <row r="44" spans="1:9" x14ac:dyDescent="0.3">
      <c r="A44" s="32" t="s">
        <v>107</v>
      </c>
      <c r="B44" s="33"/>
      <c r="C44" s="11"/>
      <c r="D44" s="11">
        <v>0</v>
      </c>
      <c r="E44" s="11">
        <v>0</v>
      </c>
      <c r="F44" s="11">
        <v>0</v>
      </c>
      <c r="G44" s="11">
        <v>0</v>
      </c>
      <c r="H44" s="11">
        <v>0</v>
      </c>
      <c r="I44" s="11">
        <v>0</v>
      </c>
    </row>
    <row r="45" spans="1:9" x14ac:dyDescent="0.3">
      <c r="A45" s="32" t="s">
        <v>108</v>
      </c>
      <c r="B45" s="33"/>
      <c r="C45" s="11"/>
      <c r="D45" s="11">
        <v>46.197552000000002</v>
      </c>
      <c r="E45" s="11">
        <v>45.648049</v>
      </c>
      <c r="F45" s="11">
        <v>45.47522</v>
      </c>
      <c r="G45" s="11">
        <v>45.338931000000002</v>
      </c>
      <c r="H45" s="11">
        <v>42.181257000000002</v>
      </c>
      <c r="I45" s="11">
        <v>48.014347999999998</v>
      </c>
    </row>
    <row r="46" spans="1:9" x14ac:dyDescent="0.3">
      <c r="A46" s="32" t="s">
        <v>109</v>
      </c>
      <c r="B46" s="33"/>
      <c r="C46" s="11"/>
      <c r="D46" s="11">
        <v>635.93454299999996</v>
      </c>
      <c r="E46" s="11">
        <v>2438.0526650000002</v>
      </c>
      <c r="F46" s="11">
        <v>3079.75423</v>
      </c>
      <c r="G46" s="11">
        <v>3544.368477</v>
      </c>
      <c r="H46" s="11">
        <v>2924.1424069999998</v>
      </c>
      <c r="I46" s="11">
        <v>52.873660999999998</v>
      </c>
    </row>
    <row r="47" spans="1:9" x14ac:dyDescent="0.3">
      <c r="A47" s="32" t="s">
        <v>110</v>
      </c>
      <c r="B47" s="33"/>
      <c r="C47" s="11"/>
      <c r="D47" s="11">
        <v>0</v>
      </c>
      <c r="E47" s="11">
        <v>0</v>
      </c>
      <c r="F47" s="11">
        <v>0</v>
      </c>
      <c r="G47" s="11">
        <v>0</v>
      </c>
      <c r="H47" s="11">
        <v>0</v>
      </c>
      <c r="I47" s="11">
        <v>0</v>
      </c>
    </row>
    <row r="48" spans="1:9" x14ac:dyDescent="0.3">
      <c r="A48" s="34" t="s">
        <v>111</v>
      </c>
      <c r="B48" s="35"/>
      <c r="C48" s="12"/>
      <c r="D48" s="12">
        <f t="shared" ref="D48:I48" si="5">D38+D39+D40+D41+D42+D43+D44+D45+D46+D47</f>
        <v>7572.2439400000003</v>
      </c>
      <c r="E48" s="12">
        <f t="shared" si="5"/>
        <v>9487.9906790000005</v>
      </c>
      <c r="F48" s="12">
        <f t="shared" si="5"/>
        <v>9912.4714110000004</v>
      </c>
      <c r="G48" s="12">
        <f t="shared" si="5"/>
        <v>11095.636231</v>
      </c>
      <c r="H48" s="12">
        <f t="shared" si="5"/>
        <v>11661.701110999998</v>
      </c>
      <c r="I48" s="12">
        <f t="shared" si="5"/>
        <v>6279.5482709999987</v>
      </c>
    </row>
    <row r="49" spans="1:9" x14ac:dyDescent="0.3">
      <c r="A49" s="34" t="s">
        <v>112</v>
      </c>
      <c r="B49" s="35"/>
      <c r="C49" s="12"/>
      <c r="D49" s="12">
        <f t="shared" ref="D49:I49" si="6">D36+D48</f>
        <v>13863.382066</v>
      </c>
      <c r="E49" s="12">
        <f t="shared" si="6"/>
        <v>16104.447613</v>
      </c>
      <c r="F49" s="12">
        <f t="shared" si="6"/>
        <v>16920.030573</v>
      </c>
      <c r="G49" s="12">
        <f t="shared" si="6"/>
        <v>17752.989906000003</v>
      </c>
      <c r="H49" s="12">
        <f t="shared" si="6"/>
        <v>18839.116980999999</v>
      </c>
      <c r="I49" s="12">
        <f t="shared" si="6"/>
        <v>13029.993982</v>
      </c>
    </row>
    <row r="50" spans="1:9" x14ac:dyDescent="0.3">
      <c r="A50" s="34" t="s">
        <v>113</v>
      </c>
      <c r="B50" s="35"/>
      <c r="C50" s="12"/>
      <c r="D50" s="12">
        <f t="shared" ref="D50:I50" si="7">D29+D49</f>
        <v>36086.921436999997</v>
      </c>
      <c r="E50" s="12">
        <f t="shared" si="7"/>
        <v>43350.667843999996</v>
      </c>
      <c r="F50" s="12">
        <f t="shared" si="7"/>
        <v>49530.075545</v>
      </c>
      <c r="G50" s="12">
        <f t="shared" si="7"/>
        <v>58843.295197000007</v>
      </c>
      <c r="H50" s="12">
        <f t="shared" si="7"/>
        <v>66794.311768</v>
      </c>
      <c r="I50" s="12">
        <f t="shared" si="7"/>
        <v>31756.667305999999</v>
      </c>
    </row>
    <row r="51" spans="1:9" x14ac:dyDescent="0.3">
      <c r="A51" s="30" t="s">
        <v>114</v>
      </c>
      <c r="B51" s="31"/>
      <c r="C51" s="10"/>
      <c r="D51" s="10"/>
      <c r="E51" s="10"/>
      <c r="F51" s="10"/>
      <c r="G51" s="10"/>
      <c r="H51" s="10"/>
      <c r="I51" s="10"/>
    </row>
    <row r="52" spans="1:9" x14ac:dyDescent="0.3">
      <c r="A52" s="32" t="s">
        <v>115</v>
      </c>
      <c r="B52" s="33"/>
      <c r="C52" s="11"/>
      <c r="D52" s="11">
        <v>1555.157545</v>
      </c>
      <c r="E52" s="11">
        <v>1281.5597969999999</v>
      </c>
      <c r="F52" s="11">
        <v>674.67428399999994</v>
      </c>
      <c r="G52" s="11">
        <v>1781.4468710000001</v>
      </c>
      <c r="H52" s="11">
        <v>2107.1359750000001</v>
      </c>
      <c r="I52" s="11">
        <v>1091.3009709999999</v>
      </c>
    </row>
    <row r="53" spans="1:9" x14ac:dyDescent="0.3">
      <c r="A53" s="32" t="s">
        <v>116</v>
      </c>
      <c r="B53" s="33"/>
      <c r="C53" s="11"/>
      <c r="D53" s="11">
        <f t="shared" ref="D53:I53" si="8">D9-D10</f>
        <v>21753.605354000003</v>
      </c>
      <c r="E53" s="11">
        <f t="shared" si="8"/>
        <v>21200.398415</v>
      </c>
      <c r="F53" s="11">
        <f t="shared" si="8"/>
        <v>20286.414882000001</v>
      </c>
      <c r="G53" s="11">
        <f t="shared" si="8"/>
        <v>21157.313928000003</v>
      </c>
      <c r="H53" s="11">
        <f t="shared" si="8"/>
        <v>20873.345754000002</v>
      </c>
      <c r="I53" s="11">
        <f t="shared" si="8"/>
        <v>22613.088248999997</v>
      </c>
    </row>
    <row r="54" spans="1:9" x14ac:dyDescent="0.3">
      <c r="A54" s="32" t="s">
        <v>117</v>
      </c>
      <c r="B54" s="33"/>
      <c r="C54" s="11"/>
      <c r="D54" s="11">
        <f t="shared" ref="D54:I54" si="9">D18+D19</f>
        <v>4183.5453669999997</v>
      </c>
      <c r="E54" s="11">
        <f t="shared" si="9"/>
        <v>5670.9864180000004</v>
      </c>
      <c r="F54" s="11">
        <f t="shared" si="9"/>
        <v>7655.9913180000003</v>
      </c>
      <c r="G54" s="11">
        <f t="shared" si="9"/>
        <v>7579.4259259999999</v>
      </c>
      <c r="H54" s="11">
        <f t="shared" si="9"/>
        <v>7504.8680270000004</v>
      </c>
      <c r="I54" s="11">
        <f t="shared" si="9"/>
        <v>3266.18066</v>
      </c>
    </row>
    <row r="55" spans="1:9" x14ac:dyDescent="0.3">
      <c r="A55" s="32" t="s">
        <v>118</v>
      </c>
      <c r="B55" s="33"/>
      <c r="C55" s="11"/>
      <c r="D55" s="11">
        <f t="shared" ref="D55:I55" si="10">D31+D32+D41+D42+D43-D197-D198</f>
        <v>6050.7861490000005</v>
      </c>
      <c r="E55" s="11">
        <f t="shared" si="10"/>
        <v>4251.3124740000003</v>
      </c>
      <c r="F55" s="11">
        <f t="shared" si="10"/>
        <v>3183.3732479999999</v>
      </c>
      <c r="G55" s="11">
        <f t="shared" si="10"/>
        <v>2153.059604</v>
      </c>
      <c r="H55" s="11">
        <f t="shared" si="10"/>
        <v>2242.6215440000001</v>
      </c>
      <c r="I55" s="11">
        <f t="shared" si="10"/>
        <v>6989.3315640000001</v>
      </c>
    </row>
    <row r="56" spans="1:9" x14ac:dyDescent="0.3">
      <c r="A56" s="32" t="s">
        <v>119</v>
      </c>
      <c r="B56" s="33"/>
      <c r="C56" s="11"/>
      <c r="D56" s="11">
        <f t="shared" ref="D56:I56" si="11">D31+D32</f>
        <v>4405.7653060000002</v>
      </c>
      <c r="E56" s="11">
        <f t="shared" si="11"/>
        <v>3179.400118</v>
      </c>
      <c r="F56" s="11">
        <f t="shared" si="11"/>
        <v>2149.0173749999999</v>
      </c>
      <c r="G56" s="11">
        <f t="shared" si="11"/>
        <v>1118.642478</v>
      </c>
      <c r="H56" s="11">
        <f t="shared" si="11"/>
        <v>1448.977799</v>
      </c>
      <c r="I56" s="11">
        <f t="shared" si="11"/>
        <v>5439.2261420000004</v>
      </c>
    </row>
    <row r="57" spans="1:9" x14ac:dyDescent="0.3">
      <c r="A57" s="32"/>
      <c r="B57" s="33"/>
      <c r="C57" s="11"/>
      <c r="D57" s="11"/>
      <c r="E57" s="11"/>
      <c r="F57" s="11"/>
      <c r="G57" s="11"/>
      <c r="H57" s="11"/>
      <c r="I57" s="11"/>
    </row>
    <row r="58" spans="1:9" x14ac:dyDescent="0.3">
      <c r="A58" s="32" t="s">
        <v>120</v>
      </c>
      <c r="B58" s="33"/>
      <c r="C58" s="11"/>
      <c r="D58" s="11">
        <f t="shared" ref="D58:I58" si="12">D55+D29</f>
        <v>28274.325519999999</v>
      </c>
      <c r="E58" s="11">
        <f t="shared" si="12"/>
        <v>31497.532704999998</v>
      </c>
      <c r="F58" s="11">
        <f t="shared" si="12"/>
        <v>35793.41822</v>
      </c>
      <c r="G58" s="11">
        <f t="shared" si="12"/>
        <v>43243.364895000006</v>
      </c>
      <c r="H58" s="11">
        <f t="shared" si="12"/>
        <v>50197.816331000002</v>
      </c>
      <c r="I58" s="11">
        <f t="shared" si="12"/>
        <v>25716.004887999999</v>
      </c>
    </row>
    <row r="59" spans="1:9" x14ac:dyDescent="0.3">
      <c r="A59" s="32" t="s">
        <v>121</v>
      </c>
      <c r="B59" s="33"/>
      <c r="C59" s="11"/>
      <c r="D59" s="11">
        <f t="shared" ref="D59:I59" si="13">D24-D22-D21</f>
        <v>5651.5729399999982</v>
      </c>
      <c r="E59" s="11">
        <f t="shared" si="13"/>
        <v>7170.9701219999988</v>
      </c>
      <c r="F59" s="11">
        <f t="shared" si="13"/>
        <v>9644.7656400000014</v>
      </c>
      <c r="G59" s="11">
        <f t="shared" si="13"/>
        <v>10830.001646999997</v>
      </c>
      <c r="H59" s="11">
        <f t="shared" si="13"/>
        <v>10222.457565999997</v>
      </c>
      <c r="I59" s="11">
        <f t="shared" si="13"/>
        <v>4185.887091999999</v>
      </c>
    </row>
    <row r="60" spans="1:9" x14ac:dyDescent="0.3">
      <c r="A60" s="32" t="s">
        <v>122</v>
      </c>
      <c r="B60" s="33"/>
      <c r="C60" s="11"/>
      <c r="D60" s="11">
        <f t="shared" ref="D60:I60" si="14">D48-D41-D42-D43-D44-D40-D45</f>
        <v>5758.411572</v>
      </c>
      <c r="E60" s="11">
        <f t="shared" si="14"/>
        <v>8228.2582810000004</v>
      </c>
      <c r="F60" s="11">
        <f t="shared" si="14"/>
        <v>8639.9655280000006</v>
      </c>
      <c r="G60" s="11">
        <f t="shared" si="14"/>
        <v>9880.9404040000009</v>
      </c>
      <c r="H60" s="11">
        <f t="shared" si="14"/>
        <v>10778.455711999997</v>
      </c>
      <c r="I60" s="11">
        <f t="shared" si="14"/>
        <v>4472.6617449999994</v>
      </c>
    </row>
    <row r="61" spans="1:9" x14ac:dyDescent="0.3">
      <c r="A61" s="23"/>
      <c r="B61" s="23"/>
    </row>
    <row r="62" spans="1:9" ht="19.5" customHeight="1" x14ac:dyDescent="0.3">
      <c r="A62" s="26" t="s">
        <v>123</v>
      </c>
      <c r="B62" s="27"/>
      <c r="C62" s="3"/>
      <c r="D62" s="3"/>
      <c r="E62" s="3"/>
      <c r="F62" s="3"/>
      <c r="G62" s="3"/>
      <c r="H62" s="3"/>
      <c r="I62" s="3"/>
    </row>
    <row r="63" spans="1:9" ht="16.5" customHeight="1" x14ac:dyDescent="0.3">
      <c r="A63" s="28" t="s">
        <v>64</v>
      </c>
      <c r="B63" s="29"/>
      <c r="C63" s="9"/>
      <c r="D63" s="9" t="s">
        <v>65</v>
      </c>
      <c r="E63" s="9" t="s">
        <v>66</v>
      </c>
      <c r="F63" s="9" t="s">
        <v>67</v>
      </c>
      <c r="G63" s="9" t="s">
        <v>68</v>
      </c>
      <c r="H63" s="9" t="s">
        <v>69</v>
      </c>
      <c r="I63" s="9" t="s">
        <v>70</v>
      </c>
    </row>
    <row r="64" spans="1:9" x14ac:dyDescent="0.3">
      <c r="A64" s="32" t="s">
        <v>124</v>
      </c>
      <c r="B64" s="33"/>
      <c r="C64" s="11"/>
      <c r="D64" s="11">
        <v>24057.375992000001</v>
      </c>
      <c r="E64" s="11">
        <v>32876.949179000003</v>
      </c>
      <c r="F64" s="11">
        <v>38921.635349999997</v>
      </c>
      <c r="G64" s="11">
        <v>38647.767972000001</v>
      </c>
      <c r="H64" s="11">
        <v>37535.700371999999</v>
      </c>
      <c r="I64" s="11">
        <v>11300.240540000001</v>
      </c>
    </row>
    <row r="65" spans="1:9" x14ac:dyDescent="0.3">
      <c r="A65" s="32" t="s">
        <v>125</v>
      </c>
      <c r="B65" s="33"/>
      <c r="C65" s="11"/>
      <c r="D65" s="11">
        <v>-18092.026933000001</v>
      </c>
      <c r="E65" s="11">
        <v>-23065.180670000002</v>
      </c>
      <c r="F65" s="11">
        <v>-28488.941331000002</v>
      </c>
      <c r="G65" s="11">
        <v>-27391.276476999999</v>
      </c>
      <c r="H65" s="11">
        <v>-22814.094271000002</v>
      </c>
      <c r="I65" s="11">
        <v>-11324.560852000001</v>
      </c>
    </row>
    <row r="66" spans="1:9" x14ac:dyDescent="0.3">
      <c r="A66" s="34" t="s">
        <v>126</v>
      </c>
      <c r="B66" s="35"/>
      <c r="C66" s="12"/>
      <c r="D66" s="12">
        <f t="shared" ref="D66:I66" si="15">D64+D65</f>
        <v>5965.3490590000001</v>
      </c>
      <c r="E66" s="12">
        <f t="shared" si="15"/>
        <v>9811.7685090000014</v>
      </c>
      <c r="F66" s="12">
        <f t="shared" si="15"/>
        <v>10432.694018999995</v>
      </c>
      <c r="G66" s="12">
        <f t="shared" si="15"/>
        <v>11256.491495000002</v>
      </c>
      <c r="H66" s="12">
        <f t="shared" si="15"/>
        <v>14721.606100999998</v>
      </c>
      <c r="I66" s="12">
        <f t="shared" si="15"/>
        <v>-24.320311999999831</v>
      </c>
    </row>
    <row r="67" spans="1:9" x14ac:dyDescent="0.3">
      <c r="A67" s="32" t="s">
        <v>127</v>
      </c>
      <c r="B67" s="33"/>
      <c r="C67" s="11"/>
      <c r="D67" s="11">
        <v>-94.165965</v>
      </c>
      <c r="E67" s="11">
        <v>-122.136736</v>
      </c>
      <c r="F67" s="11">
        <v>-176.123458</v>
      </c>
      <c r="G67" s="11">
        <v>-197.25935899999999</v>
      </c>
      <c r="H67" s="11">
        <v>-225.60041699999999</v>
      </c>
      <c r="I67" s="11">
        <v>-64.260434000000004</v>
      </c>
    </row>
    <row r="68" spans="1:9" x14ac:dyDescent="0.3">
      <c r="A68" s="32" t="s">
        <v>128</v>
      </c>
      <c r="B68" s="33"/>
      <c r="C68" s="11"/>
      <c r="D68" s="11">
        <v>-313.52467000000001</v>
      </c>
      <c r="E68" s="11">
        <v>-353.52284600000002</v>
      </c>
      <c r="F68" s="11">
        <v>-396.23005499999999</v>
      </c>
      <c r="G68" s="11">
        <v>-488.04283099999998</v>
      </c>
      <c r="H68" s="11">
        <v>-695.55311800000004</v>
      </c>
      <c r="I68" s="11">
        <v>-238.72760299999999</v>
      </c>
    </row>
    <row r="69" spans="1:9" x14ac:dyDescent="0.3">
      <c r="A69" s="32" t="s">
        <v>129</v>
      </c>
      <c r="B69" s="33"/>
      <c r="C69" s="11"/>
      <c r="D69" s="11">
        <v>0</v>
      </c>
      <c r="E69" s="11">
        <v>0</v>
      </c>
      <c r="F69" s="11">
        <v>0</v>
      </c>
      <c r="G69" s="11">
        <v>2.010516</v>
      </c>
      <c r="H69" s="11">
        <v>-44.078564999999998</v>
      </c>
      <c r="I69" s="11">
        <v>0</v>
      </c>
    </row>
    <row r="70" spans="1:9" x14ac:dyDescent="0.3">
      <c r="A70" s="32" t="s">
        <v>130</v>
      </c>
      <c r="B70" s="33"/>
      <c r="C70" s="11"/>
      <c r="D70" s="11">
        <v>-325.32307400000002</v>
      </c>
      <c r="E70" s="11">
        <v>-563.05238199999997</v>
      </c>
      <c r="F70" s="11">
        <v>-736.51295900000002</v>
      </c>
      <c r="G70" s="11">
        <v>-571.95038899999997</v>
      </c>
      <c r="H70" s="11">
        <v>-940.35906499999999</v>
      </c>
      <c r="I70" s="11">
        <v>-16.456530000000001</v>
      </c>
    </row>
    <row r="71" spans="1:9" x14ac:dyDescent="0.3">
      <c r="A71" s="34" t="s">
        <v>131</v>
      </c>
      <c r="B71" s="35"/>
      <c r="C71" s="12"/>
      <c r="D71" s="12">
        <f t="shared" ref="D71:I71" si="16">D66+D67+D68+D69+D70</f>
        <v>5232.3353500000003</v>
      </c>
      <c r="E71" s="12">
        <f t="shared" si="16"/>
        <v>8773.0565450000013</v>
      </c>
      <c r="F71" s="12">
        <f t="shared" si="16"/>
        <v>9123.8275469999953</v>
      </c>
      <c r="G71" s="12">
        <f t="shared" si="16"/>
        <v>10001.249432000002</v>
      </c>
      <c r="H71" s="12">
        <f t="shared" si="16"/>
        <v>12816.014935999998</v>
      </c>
      <c r="I71" s="12">
        <f t="shared" si="16"/>
        <v>-343.76487899999978</v>
      </c>
    </row>
    <row r="72" spans="1:9" x14ac:dyDescent="0.3">
      <c r="A72" s="32" t="s">
        <v>132</v>
      </c>
      <c r="B72" s="33"/>
      <c r="C72" s="11"/>
      <c r="D72" s="11">
        <v>170.67466999999999</v>
      </c>
      <c r="E72" s="11">
        <v>690.14339600000005</v>
      </c>
      <c r="F72" s="11">
        <v>2085.8080530000002</v>
      </c>
      <c r="G72" s="11">
        <v>4452.4165130000001</v>
      </c>
      <c r="H72" s="11">
        <v>5280.7191970000003</v>
      </c>
      <c r="I72" s="11">
        <v>196.15211199999999</v>
      </c>
    </row>
    <row r="73" spans="1:9" x14ac:dyDescent="0.3">
      <c r="A73" s="32" t="s">
        <v>133</v>
      </c>
      <c r="B73" s="33"/>
      <c r="C73" s="11"/>
      <c r="D73" s="11">
        <v>0</v>
      </c>
      <c r="E73" s="11">
        <v>0</v>
      </c>
      <c r="F73" s="11">
        <v>0</v>
      </c>
      <c r="G73" s="11">
        <v>0</v>
      </c>
      <c r="H73" s="11">
        <v>0</v>
      </c>
      <c r="I73" s="11">
        <v>0</v>
      </c>
    </row>
    <row r="74" spans="1:9" x14ac:dyDescent="0.3">
      <c r="A74" s="32" t="s">
        <v>134</v>
      </c>
      <c r="B74" s="33"/>
      <c r="C74" s="11"/>
      <c r="D74" s="11">
        <v>0</v>
      </c>
      <c r="E74" s="11">
        <v>0</v>
      </c>
      <c r="F74" s="11">
        <v>0</v>
      </c>
      <c r="G74" s="11">
        <v>0</v>
      </c>
      <c r="H74" s="11">
        <v>0</v>
      </c>
      <c r="I74" s="11">
        <v>0</v>
      </c>
    </row>
    <row r="75" spans="1:9" x14ac:dyDescent="0.3">
      <c r="A75" s="32" t="s">
        <v>135</v>
      </c>
      <c r="B75" s="33"/>
      <c r="C75" s="11"/>
      <c r="D75" s="11">
        <v>-517.05541300000004</v>
      </c>
      <c r="E75" s="11">
        <v>-537.71081500000003</v>
      </c>
      <c r="F75" s="11">
        <v>-740.307772</v>
      </c>
      <c r="G75" s="11">
        <v>-677.38084500000002</v>
      </c>
      <c r="H75" s="11">
        <v>-349.91071599999998</v>
      </c>
      <c r="I75" s="11">
        <v>-409.70218299999999</v>
      </c>
    </row>
    <row r="76" spans="1:9" x14ac:dyDescent="0.3">
      <c r="A76" s="34" t="s">
        <v>136</v>
      </c>
      <c r="B76" s="35"/>
      <c r="C76" s="12"/>
      <c r="D76" s="12">
        <f t="shared" ref="D76:I76" si="17">D71+D72+D73+D74+D75</f>
        <v>4885.9546070000006</v>
      </c>
      <c r="E76" s="12">
        <f t="shared" si="17"/>
        <v>8925.4891260000004</v>
      </c>
      <c r="F76" s="12">
        <f t="shared" si="17"/>
        <v>10469.327827999996</v>
      </c>
      <c r="G76" s="12">
        <f t="shared" si="17"/>
        <v>13776.285100000003</v>
      </c>
      <c r="H76" s="12">
        <f t="shared" si="17"/>
        <v>17746.823417</v>
      </c>
      <c r="I76" s="12">
        <f t="shared" si="17"/>
        <v>-557.31494999999973</v>
      </c>
    </row>
    <row r="77" spans="1:9" x14ac:dyDescent="0.3">
      <c r="A77" s="32" t="s">
        <v>137</v>
      </c>
      <c r="B77" s="33"/>
      <c r="C77" s="11"/>
      <c r="D77" s="11">
        <v>0</v>
      </c>
      <c r="E77" s="11">
        <v>0</v>
      </c>
      <c r="F77" s="11">
        <v>-343.98100499999998</v>
      </c>
      <c r="G77" s="11">
        <v>-844.15136500000006</v>
      </c>
      <c r="H77" s="11">
        <v>-58.631368000000002</v>
      </c>
      <c r="I77" s="11">
        <v>0</v>
      </c>
    </row>
    <row r="78" spans="1:9" x14ac:dyDescent="0.3">
      <c r="A78" s="32" t="s">
        <v>138</v>
      </c>
      <c r="B78" s="33"/>
      <c r="C78" s="11"/>
      <c r="D78" s="11">
        <v>-1388.4473599999999</v>
      </c>
      <c r="E78" s="11">
        <v>-3901.2088659999999</v>
      </c>
      <c r="F78" s="11">
        <v>-4304.5956779999997</v>
      </c>
      <c r="G78" s="11">
        <v>-4038.6789480000002</v>
      </c>
      <c r="H78" s="11">
        <v>-6113.0379780000003</v>
      </c>
      <c r="I78" s="11">
        <v>113.579251</v>
      </c>
    </row>
    <row r="79" spans="1:9" x14ac:dyDescent="0.3">
      <c r="A79" s="34" t="s">
        <v>139</v>
      </c>
      <c r="B79" s="35"/>
      <c r="C79" s="12"/>
      <c r="D79" s="12">
        <f t="shared" ref="D79:I79" si="18">D76+D77+D78</f>
        <v>3497.5072470000005</v>
      </c>
      <c r="E79" s="12">
        <f t="shared" si="18"/>
        <v>5024.2802600000005</v>
      </c>
      <c r="F79" s="12">
        <f t="shared" si="18"/>
        <v>5820.7511449999965</v>
      </c>
      <c r="G79" s="12">
        <f t="shared" si="18"/>
        <v>8893.4547870000024</v>
      </c>
      <c r="H79" s="12">
        <f t="shared" si="18"/>
        <v>11575.154071000001</v>
      </c>
      <c r="I79" s="12">
        <f t="shared" si="18"/>
        <v>-443.73569899999973</v>
      </c>
    </row>
    <row r="80" spans="1:9" x14ac:dyDescent="0.3">
      <c r="A80" s="30" t="s">
        <v>140</v>
      </c>
      <c r="B80" s="31"/>
      <c r="C80" s="10"/>
      <c r="D80" s="10"/>
      <c r="E80" s="10"/>
      <c r="F80" s="10"/>
      <c r="G80" s="10"/>
      <c r="H80" s="10"/>
      <c r="I80" s="10"/>
    </row>
    <row r="81" spans="1:9" x14ac:dyDescent="0.3">
      <c r="A81" s="32" t="s">
        <v>141</v>
      </c>
      <c r="B81" s="33"/>
      <c r="C81" s="11"/>
      <c r="D81" s="11">
        <v>1230.6927009999999</v>
      </c>
      <c r="E81" s="11">
        <v>1118.1098160000001</v>
      </c>
      <c r="F81" s="11">
        <v>1116.0133900000001</v>
      </c>
      <c r="G81" s="11">
        <v>1182.7871740000001</v>
      </c>
      <c r="H81" s="11">
        <v>1264.994747</v>
      </c>
      <c r="I81" s="11"/>
    </row>
    <row r="82" spans="1:9" x14ac:dyDescent="0.3">
      <c r="A82" s="32" t="s">
        <v>142</v>
      </c>
      <c r="B82" s="33"/>
      <c r="C82" s="11"/>
      <c r="D82" s="11">
        <f>D76+D85</f>
        <v>5376.2589380000009</v>
      </c>
      <c r="E82" s="11">
        <f>E76+E85</f>
        <v>9440.8254749999996</v>
      </c>
      <c r="F82" s="11">
        <f>F76+F85</f>
        <v>11152.891156999996</v>
      </c>
      <c r="G82" s="11">
        <f>G76+G85</f>
        <v>14422.469235000002</v>
      </c>
      <c r="H82" s="11">
        <f>H76+H85</f>
        <v>18053.034155999998</v>
      </c>
      <c r="I82" s="11">
        <f>I76-I75</f>
        <v>-147.61276699999974</v>
      </c>
    </row>
    <row r="83" spans="1:9" x14ac:dyDescent="0.3">
      <c r="A83" s="32" t="s">
        <v>143</v>
      </c>
      <c r="B83" s="33"/>
      <c r="C83" s="11"/>
      <c r="D83" s="11">
        <f>D82+D81</f>
        <v>6606.9516390000008</v>
      </c>
      <c r="E83" s="11">
        <f>E82+E81</f>
        <v>10558.935291</v>
      </c>
      <c r="F83" s="11">
        <f>F82+F81</f>
        <v>12268.904546999996</v>
      </c>
      <c r="G83" s="11">
        <f>G82+G81</f>
        <v>15605.256409000001</v>
      </c>
      <c r="H83" s="11">
        <f>H82+H81</f>
        <v>19318.028902999999</v>
      </c>
      <c r="I83" s="11"/>
    </row>
    <row r="84" spans="1:9" x14ac:dyDescent="0.3">
      <c r="A84" s="32" t="s">
        <v>144</v>
      </c>
      <c r="B84" s="33"/>
      <c r="C84" s="11"/>
      <c r="D84" s="11">
        <v>26.751082</v>
      </c>
      <c r="E84" s="11">
        <v>22.374466000000002</v>
      </c>
      <c r="F84" s="11">
        <v>56.744442999999997</v>
      </c>
      <c r="G84" s="11">
        <v>31.196709999999999</v>
      </c>
      <c r="H84" s="11">
        <v>43.699976999999997</v>
      </c>
      <c r="I84" s="13"/>
    </row>
    <row r="85" spans="1:9" x14ac:dyDescent="0.3">
      <c r="A85" s="32" t="s">
        <v>145</v>
      </c>
      <c r="B85" s="33"/>
      <c r="C85" s="11"/>
      <c r="D85" s="11">
        <f>-D75-D84</f>
        <v>490.30433100000005</v>
      </c>
      <c r="E85" s="11">
        <f>-E75-E84</f>
        <v>515.33634900000004</v>
      </c>
      <c r="F85" s="11">
        <f>-F75-F84</f>
        <v>683.56332899999995</v>
      </c>
      <c r="G85" s="11">
        <f>-G75-G84</f>
        <v>646.18413499999997</v>
      </c>
      <c r="H85" s="11">
        <f>-H75-H84</f>
        <v>306.21073899999999</v>
      </c>
      <c r="I85" s="13"/>
    </row>
    <row r="86" spans="1:9" x14ac:dyDescent="0.3">
      <c r="A86" s="32" t="s">
        <v>146</v>
      </c>
      <c r="B86" s="33"/>
      <c r="C86" s="14"/>
      <c r="D86" s="14">
        <f>IF(D76&lt;=0,"n/m",-(D77+D78)/D76)</f>
        <v>0.28417115419181377</v>
      </c>
      <c r="E86" s="14">
        <f>IF(E76&lt;=0,"n/m",-(E77+E78)/E76)</f>
        <v>0.43708628299548946</v>
      </c>
      <c r="F86" s="14">
        <f>IF(F76&lt;=0,"n/m",-(F77+F78)/F76)</f>
        <v>0.44401863800343316</v>
      </c>
      <c r="G86" s="14">
        <f>IF(G76&lt;=0,"n/m",-(G77+G78)/G76)</f>
        <v>0.35443737390423197</v>
      </c>
      <c r="H86" s="14">
        <f>IF(H76&lt;=0,"n/m",-(H77+H78)/H76)</f>
        <v>0.34776191778006016</v>
      </c>
      <c r="I86" s="13"/>
    </row>
    <row r="87" spans="1:9" x14ac:dyDescent="0.3">
      <c r="A87" s="32" t="s">
        <v>147</v>
      </c>
      <c r="B87" s="33"/>
      <c r="C87" s="14"/>
      <c r="D87" s="14">
        <f>D86</f>
        <v>0.28417115419181377</v>
      </c>
      <c r="E87" s="14">
        <f>E86</f>
        <v>0.43708628299548946</v>
      </c>
      <c r="F87" s="14">
        <f>F86</f>
        <v>0.44401863800343316</v>
      </c>
      <c r="G87" s="14">
        <f>G86</f>
        <v>0.35443737390423197</v>
      </c>
      <c r="H87" s="14">
        <f>H86</f>
        <v>0.34776191778006016</v>
      </c>
      <c r="I87" s="13"/>
    </row>
    <row r="88" spans="1:9" x14ac:dyDescent="0.3">
      <c r="A88" s="32" t="s">
        <v>148</v>
      </c>
      <c r="B88" s="33"/>
      <c r="C88" s="11"/>
      <c r="D88" s="11">
        <f>IF(ISNUMBER(D87),D82*(1-D87),"n/m")</f>
        <v>3848.4812303544859</v>
      </c>
      <c r="E88" s="11">
        <f>IF(ISNUMBER(E87),E82*(1-E87),"n/m")</f>
        <v>5314.3701597231238</v>
      </c>
      <c r="F88" s="11">
        <f>IF(ISNUMBER(F87),F82*(1-F87),"n/m")</f>
        <v>6200.7996156683239</v>
      </c>
      <c r="G88" s="11">
        <f>IF(ISNUMBER(G87),G82*(1-G87),"n/m")</f>
        <v>9310.6071141320244</v>
      </c>
      <c r="H88" s="11">
        <f>IF(ISNUMBER(H87),H82*(1-H87),"n/m")</f>
        <v>11774.87637616051</v>
      </c>
      <c r="I88" s="13"/>
    </row>
    <row r="89" spans="1:9" x14ac:dyDescent="0.3">
      <c r="A89" s="23"/>
      <c r="B89" s="23"/>
    </row>
    <row r="90" spans="1:9" ht="19.5" customHeight="1" x14ac:dyDescent="0.3">
      <c r="A90" s="26" t="s">
        <v>149</v>
      </c>
      <c r="B90" s="27"/>
      <c r="C90" s="3"/>
      <c r="D90" s="3"/>
      <c r="E90" s="3"/>
      <c r="F90" s="3"/>
      <c r="G90" s="3"/>
      <c r="H90" s="3"/>
      <c r="I90" s="3"/>
    </row>
    <row r="91" spans="1:9" ht="16.5" customHeight="1" x14ac:dyDescent="0.3">
      <c r="A91" s="28" t="s">
        <v>64</v>
      </c>
      <c r="B91" s="29"/>
      <c r="C91" s="9"/>
      <c r="D91" s="9" t="s">
        <v>65</v>
      </c>
      <c r="E91" s="9" t="s">
        <v>66</v>
      </c>
      <c r="F91" s="9" t="s">
        <v>67</v>
      </c>
      <c r="G91" s="9" t="s">
        <v>68</v>
      </c>
      <c r="H91" s="9" t="s">
        <v>69</v>
      </c>
      <c r="I91" s="9" t="s">
        <v>70</v>
      </c>
    </row>
    <row r="92" spans="1:9" x14ac:dyDescent="0.3">
      <c r="A92" s="32" t="s">
        <v>150</v>
      </c>
      <c r="B92" s="33"/>
      <c r="C92" s="11"/>
      <c r="D92" s="11">
        <v>6012.0307430000003</v>
      </c>
      <c r="E92" s="11">
        <v>9429.2529919999997</v>
      </c>
      <c r="F92" s="11">
        <v>7862.5932089999997</v>
      </c>
      <c r="G92" s="11">
        <v>11482.975487</v>
      </c>
      <c r="H92" s="11">
        <v>16574.725509</v>
      </c>
      <c r="I92" s="11">
        <v>246.21905100000001</v>
      </c>
    </row>
    <row r="93" spans="1:9" x14ac:dyDescent="0.3">
      <c r="A93" s="32" t="s">
        <v>151</v>
      </c>
      <c r="B93" s="33"/>
      <c r="C93" s="11"/>
      <c r="D93" s="11">
        <v>5089.3158640000001</v>
      </c>
      <c r="E93" s="11">
        <v>8181.3578900000002</v>
      </c>
      <c r="F93" s="11">
        <v>4452.0817610000004</v>
      </c>
      <c r="G93" s="11">
        <v>6647.173409</v>
      </c>
      <c r="H93" s="11">
        <v>9378.2885380000007</v>
      </c>
      <c r="I93" s="11">
        <v>-502.39586000000003</v>
      </c>
    </row>
    <row r="94" spans="1:9" x14ac:dyDescent="0.3">
      <c r="A94" s="32" t="s">
        <v>152</v>
      </c>
      <c r="B94" s="33"/>
      <c r="C94" s="11"/>
      <c r="D94" s="11">
        <v>-3950.1783479999999</v>
      </c>
      <c r="E94" s="11">
        <v>-7092.9885160000003</v>
      </c>
      <c r="F94" s="11">
        <v>-2470.5157629999999</v>
      </c>
      <c r="G94" s="11">
        <v>-5030.3240939999996</v>
      </c>
      <c r="H94" s="11">
        <v>-4398.5957699999999</v>
      </c>
      <c r="I94" s="11">
        <v>-18.793346</v>
      </c>
    </row>
    <row r="95" spans="1:9" x14ac:dyDescent="0.3">
      <c r="A95" s="32" t="s">
        <v>153</v>
      </c>
      <c r="B95" s="33"/>
      <c r="C95" s="11"/>
      <c r="D95" s="11">
        <v>-943.01425200000006</v>
      </c>
      <c r="E95" s="11">
        <v>-1805.333093</v>
      </c>
      <c r="F95" s="11">
        <v>-1528.794437</v>
      </c>
      <c r="G95" s="11">
        <v>-1447.7373359999999</v>
      </c>
      <c r="H95" s="11">
        <v>-4631.6392169999999</v>
      </c>
      <c r="I95" s="11">
        <v>838.90926999999999</v>
      </c>
    </row>
    <row r="96" spans="1:9" x14ac:dyDescent="0.3">
      <c r="A96" s="32" t="s">
        <v>154</v>
      </c>
      <c r="B96" s="33"/>
      <c r="C96" s="11"/>
      <c r="D96" s="11">
        <v>-610.59704499999998</v>
      </c>
      <c r="E96" s="11">
        <v>-461.84737000000001</v>
      </c>
      <c r="F96" s="11">
        <v>-2015.8970380000001</v>
      </c>
      <c r="G96" s="11">
        <v>-1107.2849329999999</v>
      </c>
      <c r="H96" s="11">
        <v>-2398.9193359999999</v>
      </c>
      <c r="I96" s="11">
        <v>-1704.7789439999999</v>
      </c>
    </row>
    <row r="97" spans="1:9" x14ac:dyDescent="0.3">
      <c r="A97" s="32" t="s">
        <v>155</v>
      </c>
      <c r="B97" s="33"/>
      <c r="C97" s="11"/>
      <c r="D97" s="11">
        <v>-599.22721799999999</v>
      </c>
      <c r="E97" s="11">
        <v>-514.17181700000003</v>
      </c>
      <c r="F97" s="11">
        <v>-685.82399699999996</v>
      </c>
      <c r="G97" s="11">
        <v>-731.07363399999997</v>
      </c>
      <c r="H97" s="11">
        <v>-391.06182100000001</v>
      </c>
      <c r="I97" s="11">
        <v>-302.106064</v>
      </c>
    </row>
    <row r="98" spans="1:9" x14ac:dyDescent="0.3">
      <c r="A98" s="32" t="s">
        <v>156</v>
      </c>
      <c r="B98" s="33"/>
      <c r="C98" s="11"/>
      <c r="D98" s="11">
        <v>-1.8167960000000001</v>
      </c>
      <c r="E98" s="11">
        <v>-0.54950299999999996</v>
      </c>
      <c r="F98" s="11">
        <v>-0.17282900000000001</v>
      </c>
      <c r="G98" s="11">
        <v>-0.13628899999999999</v>
      </c>
      <c r="H98" s="11">
        <v>-3.1576740000000001</v>
      </c>
      <c r="I98" s="11">
        <v>-499.29020300000002</v>
      </c>
    </row>
    <row r="99" spans="1:9" x14ac:dyDescent="0.3">
      <c r="A99" s="23"/>
      <c r="B99" s="23"/>
    </row>
    <row r="100" spans="1:9" ht="19.5" customHeight="1" x14ac:dyDescent="0.3">
      <c r="A100" s="26" t="s">
        <v>157</v>
      </c>
      <c r="B100" s="27"/>
      <c r="C100" s="3"/>
      <c r="D100" s="3"/>
      <c r="E100" s="3"/>
      <c r="F100" s="3"/>
      <c r="G100" s="3"/>
      <c r="H100" s="3"/>
      <c r="I100" s="3"/>
    </row>
    <row r="101" spans="1:9" ht="16.5" customHeight="1" x14ac:dyDescent="0.3">
      <c r="A101" s="28" t="s">
        <v>64</v>
      </c>
      <c r="B101" s="29"/>
      <c r="C101" s="9"/>
      <c r="D101" s="9" t="s">
        <v>65</v>
      </c>
      <c r="E101" s="9" t="s">
        <v>66</v>
      </c>
      <c r="F101" s="9" t="s">
        <v>67</v>
      </c>
      <c r="G101" s="9" t="s">
        <v>68</v>
      </c>
      <c r="H101" s="9" t="s">
        <v>69</v>
      </c>
    </row>
    <row r="102" spans="1:9" x14ac:dyDescent="0.3">
      <c r="A102" s="32" t="s">
        <v>158</v>
      </c>
      <c r="B102" s="33"/>
      <c r="C102" s="15"/>
      <c r="D102" s="15">
        <v>10</v>
      </c>
      <c r="E102" s="15">
        <v>10</v>
      </c>
      <c r="F102" s="15">
        <v>10</v>
      </c>
      <c r="G102" s="15">
        <v>10</v>
      </c>
      <c r="H102" s="15">
        <v>10</v>
      </c>
    </row>
    <row r="103" spans="1:9" x14ac:dyDescent="0.3">
      <c r="A103" s="32" t="s">
        <v>159</v>
      </c>
      <c r="B103" s="33"/>
      <c r="C103" s="16"/>
      <c r="D103" s="16">
        <f>D27/D102-D107</f>
        <v>200.86129699999998</v>
      </c>
      <c r="E103" s="16">
        <f>E27/E102-E107</f>
        <v>200.86129699999998</v>
      </c>
      <c r="F103" s="16">
        <f>F27/F102-F107</f>
        <v>200.86129699999998</v>
      </c>
      <c r="G103" s="16">
        <f>G27/G102-G107</f>
        <v>195.86129699999998</v>
      </c>
      <c r="H103" s="16">
        <f>H27/H102-H107</f>
        <v>183.86129699999998</v>
      </c>
    </row>
    <row r="104" spans="1:9" x14ac:dyDescent="0.3">
      <c r="A104" s="32" t="s">
        <v>160</v>
      </c>
      <c r="B104" s="33"/>
      <c r="C104" s="16"/>
      <c r="D104" s="16">
        <v>200.86129700000001</v>
      </c>
      <c r="E104" s="16">
        <v>200.86129700000001</v>
      </c>
      <c r="F104" s="16">
        <v>200.86129700000001</v>
      </c>
      <c r="G104" s="16">
        <v>196.435067</v>
      </c>
      <c r="H104" s="16">
        <v>193.42841999999999</v>
      </c>
    </row>
    <row r="105" spans="1:9" x14ac:dyDescent="0.3">
      <c r="A105" s="32" t="s">
        <v>161</v>
      </c>
      <c r="B105" s="33"/>
      <c r="C105" s="15"/>
      <c r="D105" s="15">
        <v>206.49</v>
      </c>
      <c r="E105" s="15">
        <v>130.13</v>
      </c>
      <c r="F105" s="15">
        <v>173.47</v>
      </c>
      <c r="G105" s="15">
        <v>250.43</v>
      </c>
      <c r="H105" s="15">
        <v>379.36</v>
      </c>
    </row>
    <row r="106" spans="1:9" x14ac:dyDescent="0.3">
      <c r="A106" s="32" t="s">
        <v>162</v>
      </c>
      <c r="B106" s="33"/>
      <c r="C106" s="15"/>
      <c r="D106" s="74">
        <v>0</v>
      </c>
      <c r="E106" s="74">
        <v>0</v>
      </c>
      <c r="F106" s="74">
        <v>0</v>
      </c>
      <c r="G106" s="74">
        <v>0</v>
      </c>
      <c r="H106" s="74">
        <v>0</v>
      </c>
    </row>
    <row r="107" spans="1:9" x14ac:dyDescent="0.3">
      <c r="A107" s="32" t="s">
        <v>163</v>
      </c>
      <c r="B107" s="33"/>
      <c r="C107" s="15"/>
      <c r="D107" s="15">
        <v>0</v>
      </c>
      <c r="E107" s="15">
        <v>0</v>
      </c>
      <c r="F107" s="15">
        <v>0</v>
      </c>
      <c r="G107" s="15">
        <v>0</v>
      </c>
      <c r="H107" s="15">
        <v>0</v>
      </c>
    </row>
    <row r="108" spans="1:9" ht="19.5" customHeight="1" x14ac:dyDescent="0.3">
      <c r="A108" s="26" t="s">
        <v>164</v>
      </c>
      <c r="B108" s="27"/>
      <c r="C108" s="3"/>
      <c r="D108" s="3"/>
      <c r="E108" s="3"/>
      <c r="F108" s="3"/>
      <c r="G108" s="3"/>
      <c r="H108" s="3"/>
      <c r="I108" s="3"/>
    </row>
    <row r="109" spans="1:9" ht="30" customHeight="1" x14ac:dyDescent="0.3">
      <c r="A109" s="41" t="s">
        <v>165</v>
      </c>
      <c r="B109" s="41" t="s">
        <v>166</v>
      </c>
      <c r="C109" s="41" t="s">
        <v>167</v>
      </c>
      <c r="D109" s="41" t="s">
        <v>65</v>
      </c>
      <c r="E109" s="41" t="s">
        <v>66</v>
      </c>
      <c r="F109" s="41" t="s">
        <v>67</v>
      </c>
      <c r="G109" s="41" t="s">
        <v>68</v>
      </c>
      <c r="H109" s="41" t="s">
        <v>69</v>
      </c>
    </row>
    <row r="110" spans="1:9" ht="22.95" customHeight="1" x14ac:dyDescent="0.3">
      <c r="A110" s="91" t="s">
        <v>168</v>
      </c>
      <c r="B110" s="91"/>
      <c r="C110" s="91"/>
      <c r="D110" s="91"/>
      <c r="E110" s="91"/>
      <c r="F110" s="91"/>
      <c r="G110" s="91"/>
      <c r="H110" s="91"/>
    </row>
    <row r="111" spans="1:9" ht="34.049999999999997" customHeight="1" x14ac:dyDescent="0.3">
      <c r="A111" s="42" t="s">
        <v>169</v>
      </c>
      <c r="B111" s="43" t="s">
        <v>170</v>
      </c>
      <c r="C111" s="43" t="s">
        <v>171</v>
      </c>
      <c r="D111" s="45">
        <f>IF(OR(NOT(ISNUMBER(D24)),NOT(ISNUMBER(D48))),"n/m",IF(OR((D48)&lt;=0,(D24)&lt;0),"n/m",(D24)/(D48)))</f>
        <v>1.3006446691414961</v>
      </c>
      <c r="E111" s="45">
        <f>IF(OR(NOT(ISNUMBER(E24)),NOT(ISNUMBER(E48))),"n/m",IF(OR((E48)&lt;=0,(E24)&lt;0),"n/m",(E24)/(E48)))</f>
        <v>1.8735085276109804</v>
      </c>
      <c r="F111" s="45">
        <f>IF(OR(NOT(ISNUMBER(F24)),NOT(ISNUMBER(F48))),"n/m",IF(OR((F48)&lt;=0,(F24)&lt;0),"n/m",(F24)/(F48)))</f>
        <v>2.311570515459215</v>
      </c>
      <c r="G111" s="45">
        <f>IF(OR(NOT(ISNUMBER(G24)),NOT(ISNUMBER(G48))),"n/m",IF(OR((G48)&lt;=0,(G24)&lt;0),"n/m",(G24)/(G48)))</f>
        <v>2.9031590530160019</v>
      </c>
      <c r="H111" s="45">
        <f>IF(OR(NOT(ISNUMBER(H24)),NOT(ISNUMBER(H48))),"n/m",IF(OR((H48)&lt;=0,(H24)&lt;0),"n/m",(H24)/(H48)))</f>
        <v>3.311248687172772</v>
      </c>
    </row>
    <row r="112" spans="1:9" ht="34.049999999999997" customHeight="1" x14ac:dyDescent="0.3">
      <c r="A112" s="42" t="s">
        <v>172</v>
      </c>
      <c r="B112" s="43" t="s">
        <v>173</v>
      </c>
      <c r="C112" s="43" t="s">
        <v>174</v>
      </c>
      <c r="D112" s="45">
        <f>IF(OR(NOT(ISNUMBER(D24-D54)),NOT(ISNUMBER(D48))),"n/m",IF(OR((D48)&lt;=0,(D24-D54)&lt;0),"n/m",(D24-D54)/(D48)))</f>
        <v>0.74816043855554903</v>
      </c>
      <c r="E112" s="45">
        <f>IF(OR(NOT(ISNUMBER(E24-E54)),NOT(ISNUMBER(E48))),"n/m",IF(OR((E48)&lt;=0,(E24-E54)&lt;0),"n/m",(E24-E54)/(E48)))</f>
        <v>1.2758070110452304</v>
      </c>
      <c r="F112" s="45">
        <f>IF(OR(NOT(ISNUMBER(F24-F54)),NOT(ISNUMBER(F48))),"n/m",IF(OR((F48)&lt;=0,(F24-F54)&lt;0),"n/m",(F24-F54)/(F48)))</f>
        <v>1.5392110300634694</v>
      </c>
      <c r="G112" s="45">
        <f>IF(OR(NOT(ISNUMBER(G24-G54)),NOT(ISNUMBER(G48))),"n/m",IF(OR((G48)&lt;=0,(G24-G54)&lt;0),"n/m",(G24-G54)/(G48)))</f>
        <v>2.2200593399212352</v>
      </c>
      <c r="H112" s="45">
        <f>IF(OR(NOT(ISNUMBER(H24-H54)),NOT(ISNUMBER(H48))),"n/m",IF(OR((H48)&lt;=0,(H24-H54)&lt;0),"n/m",(H24-H54)/(H48)))</f>
        <v>2.6677003784340947</v>
      </c>
    </row>
    <row r="113" spans="1:8" ht="34.049999999999997" customHeight="1" x14ac:dyDescent="0.3">
      <c r="A113" s="42" t="s">
        <v>175</v>
      </c>
      <c r="B113" s="43" t="s">
        <v>176</v>
      </c>
      <c r="C113" s="43" t="s">
        <v>177</v>
      </c>
      <c r="D113" s="45">
        <f>IF(OR(NOT(ISNUMBER(D211)),NOT(ISNUMBER(D48))),"n/m",IF(OR((D48)&lt;=0,(D211)&lt;0),"n/m",(D211)/(D48)))</f>
        <v>0.15817363525137568</v>
      </c>
      <c r="E113" s="45">
        <f>IF(OR(NOT(ISNUMBER(E211)),NOT(ISNUMBER(E48))),"n/m",IF(OR((E48)&lt;=0,(E211)&lt;0),"n/m",(E211)/(E48)))</f>
        <v>5.0670963775722312E-2</v>
      </c>
      <c r="F113" s="45">
        <f>IF(OR(NOT(ISNUMBER(F211)),NOT(ISNUMBER(F48))),"n/m",IF(OR((F48)&lt;=0,(F211)&lt;0),"n/m",(F211)/(F48)))</f>
        <v>9.4178046452072631E-2</v>
      </c>
      <c r="G113" s="45">
        <f>IF(OR(NOT(ISNUMBER(G211)),NOT(ISNUMBER(G48))),"n/m",IF(OR((G48)&lt;=0,(G211)&lt;0),"n/m",(G211)/(G48)))</f>
        <v>9.9376831489781367E-2</v>
      </c>
      <c r="H113" s="45">
        <f>IF(OR(NOT(ISNUMBER(H211)),NOT(ISNUMBER(H48))),"n/m",IF(OR((H48)&lt;=0,(H211)&lt;0),"n/m",(H211)/(H48)))</f>
        <v>0.1243988942257843</v>
      </c>
    </row>
    <row r="114" spans="1:8" ht="34.049999999999997" customHeight="1" x14ac:dyDescent="0.3">
      <c r="A114" s="42" t="s">
        <v>178</v>
      </c>
      <c r="B114" s="43" t="s">
        <v>179</v>
      </c>
      <c r="C114" s="43" t="s">
        <v>180</v>
      </c>
      <c r="D114" s="46">
        <f>IF(OR(NOT(ISNUMBER(D24-D48)),NOT(ISNUMBER(1))),"n/m",IF(OR((1)&lt;=0,(D24-D48)&lt;0),"n/m",(D24-D48)/(1)))</f>
        <v>2276.5547739999984</v>
      </c>
      <c r="E114" s="46">
        <f>IF(OR(NOT(ISNUMBER(E24-E48)),NOT(ISNUMBER(1))),"n/m",IF(OR((1)&lt;=0,(E24-E48)&lt;0),"n/m",(E24-E48)/(1)))</f>
        <v>8287.8407679999964</v>
      </c>
      <c r="F114" s="46">
        <f>IF(OR(NOT(ISNUMBER(F24-F48)),NOT(ISNUMBER(1))),"n/m",IF(OR((1)&lt;=0,(F24-F48)&lt;0),"n/m",(F24-F48)/(1)))</f>
        <v>13000.905238000001</v>
      </c>
      <c r="G114" s="46">
        <f>IF(OR(NOT(ISNUMBER(G24-G48)),NOT(ISNUMBER(1))),"n/m",IF(OR((1)&lt;=0,(G24-G48)&lt;0),"n/m",(G24-G48)/(1)))</f>
        <v>21116.760542</v>
      </c>
      <c r="H114" s="46">
        <f>IF(OR(NOT(ISNUMBER(H24-H48)),NOT(ISNUMBER(1))),"n/m",IF(OR((1)&lt;=0,(H24-H48)&lt;0),"n/m",(H24-H48)/(1)))</f>
        <v>26953.091383000003</v>
      </c>
    </row>
    <row r="115" spans="1:8" ht="22.95" customHeight="1" x14ac:dyDescent="0.3">
      <c r="A115" s="91" t="s">
        <v>181</v>
      </c>
      <c r="B115" s="91"/>
      <c r="C115" s="91"/>
      <c r="D115" s="92"/>
      <c r="E115" s="92"/>
      <c r="F115" s="92"/>
      <c r="G115" s="92"/>
      <c r="H115" s="92"/>
    </row>
    <row r="116" spans="1:8" ht="34.049999999999997" customHeight="1" x14ac:dyDescent="0.3">
      <c r="A116" s="42" t="s">
        <v>182</v>
      </c>
      <c r="B116" s="43" t="s">
        <v>183</v>
      </c>
      <c r="C116" s="43" t="s">
        <v>184</v>
      </c>
      <c r="D116" s="45">
        <f>IF(OR(NOT(ISNUMBER(-D65)),NOT(ISNUMBER(AVERAGE(I54,D54)))),"n/m",IF(OR((AVERAGE(I54,D54))&lt;=0,(-D65)&lt;0),"n/m",(-D65)/(AVERAGE(I54,D54))))</f>
        <v>4.8570986013255171</v>
      </c>
      <c r="E116" s="45">
        <f>IF(OR(NOT(ISNUMBER(-E65)),NOT(ISNUMBER(AVERAGE(D54,E54)))),"n/m",IF(OR((AVERAGE(D54,E54))&lt;=0,(-E65)&lt;0),"n/m",(-E65)/(AVERAGE(D54,E54))))</f>
        <v>4.6811317215716919</v>
      </c>
      <c r="F116" s="45">
        <f>IF(OR(NOT(ISNUMBER(-F65)),NOT(ISNUMBER(AVERAGE(E54,F54)))),"n/m",IF(OR((AVERAGE(E54,F54))&lt;=0,(-F65)&lt;0),"n/m",(-F65)/(AVERAGE(E54,F54))))</f>
        <v>4.2753791437713859</v>
      </c>
      <c r="G116" s="45">
        <f>IF(OR(NOT(ISNUMBER(-G65)),NOT(ISNUMBER(AVERAGE(F54,G54)))),"n/m",IF(OR((AVERAGE(F54,G54))&lt;=0,(-G65)&lt;0),"n/m",(-G65)/(AVERAGE(F54,G54))))</f>
        <v>3.5957369645110586</v>
      </c>
      <c r="H116" s="45">
        <f>IF(OR(NOT(ISNUMBER(-H65)),NOT(ISNUMBER(AVERAGE(G54,H54)))),"n/m",IF(OR((AVERAGE(G54,H54))&lt;=0,(-H65)&lt;0),"n/m",(-H65)/(AVERAGE(G54,H54))))</f>
        <v>3.024880626442934</v>
      </c>
    </row>
    <row r="117" spans="1:8" ht="34.049999999999997" customHeight="1" x14ac:dyDescent="0.3">
      <c r="A117" s="42" t="s">
        <v>185</v>
      </c>
      <c r="B117" s="43" t="s">
        <v>186</v>
      </c>
      <c r="C117" s="43" t="s">
        <v>187</v>
      </c>
      <c r="D117" s="45">
        <f>IF(OR(NOT(ISNUMBER(D64)),NOT(ISNUMBER(AVERAGE(I20,D20)))),"n/m",IF(OR((AVERAGE(I20,D20))&lt;=0,(D64)&lt;0),"n/m",(D64)/(AVERAGE(I20,D20))))</f>
        <v>32.556527152183129</v>
      </c>
      <c r="E117" s="45">
        <f>IF(OR(NOT(ISNUMBER(E64)),NOT(ISNUMBER(AVERAGE(D20,E20)))),"n/m",IF(OR((AVERAGE(D20,E20))&lt;=0,(E64)&lt;0),"n/m",(E64)/(AVERAGE(D20,E20))))</f>
        <v>34.614462046513971</v>
      </c>
      <c r="F117" s="45">
        <f>IF(OR(NOT(ISNUMBER(F64)),NOT(ISNUMBER(AVERAGE(E20,F20)))),"n/m",IF(OR((AVERAGE(E20,F20))&lt;=0,(F64)&lt;0),"n/m",(F64)/(AVERAGE(E20,F20))))</f>
        <v>36.690956476472735</v>
      </c>
      <c r="G117" s="45">
        <f>IF(OR(NOT(ISNUMBER(G64)),NOT(ISNUMBER(AVERAGE(F20,G20)))),"n/m",IF(OR((AVERAGE(F20,G20))&lt;=0,(G64)&lt;0),"n/m",(G64)/(AVERAGE(F20,G20))))</f>
        <v>23.311269128267483</v>
      </c>
      <c r="H117" s="45">
        <f>IF(OR(NOT(ISNUMBER(H64)),NOT(ISNUMBER(AVERAGE(G20,H20)))),"n/m",IF(OR((AVERAGE(G20,H20))&lt;=0,(H64)&lt;0),"n/m",(H64)/(AVERAGE(G20,H20))))</f>
        <v>19.742821104933064</v>
      </c>
    </row>
    <row r="118" spans="1:8" ht="34.049999999999997" customHeight="1" x14ac:dyDescent="0.3">
      <c r="A118" s="42" t="s">
        <v>188</v>
      </c>
      <c r="B118" s="43" t="s">
        <v>189</v>
      </c>
      <c r="C118" s="43" t="s">
        <v>190</v>
      </c>
      <c r="D118" s="47">
        <f>IF(OR(NOT(ISNUMBER(365*AVERAGE(I54,D54))),NOT(ISNUMBER(-D65))),"n/m",IF(OR((-D65)&lt;=0,(365*AVERAGE(I54,D54))&lt;0),"n/m",(365*AVERAGE(I54,D54))/(-D65)))</f>
        <v>75.147743531578783</v>
      </c>
      <c r="E118" s="47">
        <f>IF(OR(NOT(ISNUMBER(365*AVERAGE(D54,E54))),NOT(ISNUMBER(-E65))),"n/m",IF(OR((-E65)&lt;=0,(365*AVERAGE(D54,E54))&lt;0),"n/m",(365*AVERAGE(D54,E54))/(-E65)))</f>
        <v>77.972597591731756</v>
      </c>
      <c r="F118" s="47">
        <f>IF(OR(NOT(ISNUMBER(365*AVERAGE(E54,F54))),NOT(ISNUMBER(-F65))),"n/m",IF(OR((-F65)&lt;=0,(365*AVERAGE(E54,F54))&lt;0),"n/m",(365*AVERAGE(E54,F54))/(-F65)))</f>
        <v>85.372545387407953</v>
      </c>
      <c r="G118" s="47">
        <f>IF(OR(NOT(ISNUMBER(365*AVERAGE(F54,G54))),NOT(ISNUMBER(-G65))),"n/m",IF(OR((-G65)&lt;=0,(365*AVERAGE(F54,G54))&lt;0),"n/m",(365*AVERAGE(F54,G54))/(-G65)))</f>
        <v>101.50909357454404</v>
      </c>
      <c r="H118" s="47">
        <f>IF(OR(NOT(ISNUMBER(365*AVERAGE(G54,H54))),NOT(ISNUMBER(-H65))),"n/m",IF(OR((-H65)&lt;=0,(365*AVERAGE(G54,H54))&lt;0),"n/m",(365*AVERAGE(G54,H54))/(-H65)))</f>
        <v>120.66591878345184</v>
      </c>
    </row>
    <row r="119" spans="1:8" ht="34.049999999999997" customHeight="1" x14ac:dyDescent="0.3">
      <c r="A119" s="42" t="s">
        <v>191</v>
      </c>
      <c r="B119" s="43" t="s">
        <v>192</v>
      </c>
      <c r="C119" s="43" t="s">
        <v>193</v>
      </c>
      <c r="D119" s="47">
        <f>IF(OR(NOT(ISNUMBER(365*AVERAGE(I20,D20))),NOT(ISNUMBER(D64))),"n/m",IF(OR((D64)&lt;=0,(365*AVERAGE(I20,D20))&lt;0),"n/m",(365*AVERAGE(I20,D20))/(D64)))</f>
        <v>11.211269503464973</v>
      </c>
      <c r="E119" s="47">
        <f>IF(OR(NOT(ISNUMBER(365*AVERAGE(D20,E20))),NOT(ISNUMBER(E64))),"n/m",IF(OR((E64)&lt;=0,(365*AVERAGE(D20,E20))&lt;0),"n/m",(365*AVERAGE(D20,E20))/(E64)))</f>
        <v>10.544725482358297</v>
      </c>
      <c r="F119" s="47">
        <f>IF(OR(NOT(ISNUMBER(365*AVERAGE(E20,F20))),NOT(ISNUMBER(F64))),"n/m",IF(OR((F64)&lt;=0,(365*AVERAGE(E20,F20))&lt;0),"n/m",(365*AVERAGE(E20,F20))/(F64)))</f>
        <v>9.9479554378487851</v>
      </c>
      <c r="G119" s="47">
        <f>IF(OR(NOT(ISNUMBER(365*AVERAGE(F20,G20))),NOT(ISNUMBER(G64))),"n/m",IF(OR((G64)&lt;=0,(365*AVERAGE(F20,G20))&lt;0),"n/m",(365*AVERAGE(F20,G20))/(G64)))</f>
        <v>15.657663166755571</v>
      </c>
      <c r="H119" s="47">
        <f>IF(OR(NOT(ISNUMBER(365*AVERAGE(G20,H20))),NOT(ISNUMBER(H64))),"n/m",IF(OR((H64)&lt;=0,(365*AVERAGE(G20,H20))&lt;0),"n/m",(365*AVERAGE(G20,H20))/(H64)))</f>
        <v>18.487732733839078</v>
      </c>
    </row>
    <row r="120" spans="1:8" ht="34.049999999999997" customHeight="1" x14ac:dyDescent="0.3">
      <c r="A120" s="42" t="s">
        <v>194</v>
      </c>
      <c r="B120" s="43" t="s">
        <v>195</v>
      </c>
      <c r="C120" s="43" t="s">
        <v>196</v>
      </c>
      <c r="D120" s="45">
        <f>IF(OR(NOT(ISNUMBER(D64)),NOT(ISNUMBER(D9))),"n/m",IF(OR((D9)&lt;=0,(D64)&lt;0),"n/m",(D64)/(D9)))</f>
        <v>1.0921496738296084</v>
      </c>
      <c r="E120" s="45">
        <f>IF(OR(NOT(ISNUMBER(E64)),NOT(ISNUMBER(E9))),"n/m",IF(OR((E9)&lt;=0,(E64)&lt;0),"n/m",(E64)/(E9)))</f>
        <v>1.5412541563844033</v>
      </c>
      <c r="F120" s="45">
        <f>IF(OR(NOT(ISNUMBER(F64)),NOT(ISNUMBER(F9))),"n/m",IF(OR((F9)&lt;=0,(F64)&lt;0),"n/m",(F64)/(F9)))</f>
        <v>1.7509053329621809</v>
      </c>
      <c r="G120" s="45">
        <f>IF(OR(NOT(ISNUMBER(G64)),NOT(ISNUMBER(G9))),"n/m",IF(OR((G9)&lt;=0,(G64)&lt;0),"n/m",(G64)/(G9)))</f>
        <v>1.7442972870565909</v>
      </c>
      <c r="H120" s="45">
        <f>IF(OR(NOT(ISNUMBER(H64)),NOT(ISNUMBER(H9))),"n/m",IF(OR((H9)&lt;=0,(H64)&lt;0),"n/m",(H64)/(H9)))</f>
        <v>1.606837829232711</v>
      </c>
    </row>
    <row r="121" spans="1:8" ht="34.049999999999997" customHeight="1" x14ac:dyDescent="0.3">
      <c r="A121" s="42" t="s">
        <v>197</v>
      </c>
      <c r="B121" s="43" t="s">
        <v>198</v>
      </c>
      <c r="C121" s="43" t="s">
        <v>199</v>
      </c>
      <c r="D121" s="45">
        <f>IF(OR(NOT(ISNUMBER(D64)),NOT(ISNUMBER(D25))),"n/m",IF(OR((D25)&lt;=0,(D64)&lt;0),"n/m",(D64)/(D25)))</f>
        <v>0.66665082622797289</v>
      </c>
      <c r="E121" s="45">
        <f>IF(OR(NOT(ISNUMBER(E64)),NOT(ISNUMBER(E25))),"n/m",IF(OR((E25)&lt;=0,(E64)&lt;0),"n/m",(E64)/(E25)))</f>
        <v>0.7583954484233022</v>
      </c>
      <c r="F121" s="45">
        <f>IF(OR(NOT(ISNUMBER(F64)),NOT(ISNUMBER(F25))),"n/m",IF(OR((F25)&lt;=0,(F64)&lt;0),"n/m",(F64)/(F25)))</f>
        <v>0.78581821088962756</v>
      </c>
      <c r="G121" s="45">
        <f>IF(OR(NOT(ISNUMBER(G64)),NOT(ISNUMBER(G25))),"n/m",IF(OR((G25)&lt;=0,(G64)&lt;0),"n/m",(G64)/(G25)))</f>
        <v>0.65679136157504614</v>
      </c>
      <c r="H121" s="45">
        <f>IF(OR(NOT(ISNUMBER(H64)),NOT(ISNUMBER(H25))),"n/m",IF(OR((H25)&lt;=0,(H64)&lt;0),"n/m",(H64)/(H25)))</f>
        <v>0.56195953485342598</v>
      </c>
    </row>
    <row r="122" spans="1:8" ht="22.95" customHeight="1" x14ac:dyDescent="0.3">
      <c r="A122" s="91" t="s">
        <v>200</v>
      </c>
      <c r="B122" s="91"/>
      <c r="C122" s="91"/>
      <c r="D122" s="92"/>
      <c r="E122" s="92"/>
      <c r="F122" s="92"/>
      <c r="G122" s="92"/>
      <c r="H122" s="92"/>
    </row>
    <row r="123" spans="1:8" ht="34.049999999999997" customHeight="1" x14ac:dyDescent="0.3">
      <c r="A123" s="42" t="s">
        <v>201</v>
      </c>
      <c r="B123" s="43" t="s">
        <v>202</v>
      </c>
      <c r="C123" s="43" t="s">
        <v>203</v>
      </c>
      <c r="D123" s="48">
        <f>IF(OR(NOT(ISNUMBER(D49)),NOT(ISNUMBER(D25))),"n/m",IF(OR((D25)&lt;=0,(D49)&lt;0),"n/m",(D49)/(D25)))</f>
        <v>0.38416638255503399</v>
      </c>
      <c r="E123" s="48">
        <f>IF(OR(NOT(ISNUMBER(E49)),NOT(ISNUMBER(E25))),"n/m",IF(OR((E25)&lt;=0,(E49)&lt;0),"n/m",(E49)/(E25)))</f>
        <v>0.37149249167170456</v>
      </c>
      <c r="F123" s="48">
        <f>IF(OR(NOT(ISNUMBER(F49)),NOT(ISNUMBER(F25))),"n/m",IF(OR((F25)&lt;=0,(F49)&lt;0),"n/m",(F49)/(F25)))</f>
        <v>0.34161124098483342</v>
      </c>
      <c r="G123" s="48">
        <f>IF(OR(NOT(ISNUMBER(G49)),NOT(ISNUMBER(G25))),"n/m",IF(OR((G25)&lt;=0,(G49)&lt;0),"n/m",(G49)/(G25)))</f>
        <v>0.30169945185029512</v>
      </c>
      <c r="H123" s="48">
        <f>IF(OR(NOT(ISNUMBER(H49)),NOT(ISNUMBER(H25))),"n/m",IF(OR((H25)&lt;=0,(H49)&lt;0),"n/m",(H49)/(H25)))</f>
        <v>0.28204672647028445</v>
      </c>
    </row>
    <row r="124" spans="1:8" ht="34.049999999999997" customHeight="1" x14ac:dyDescent="0.3">
      <c r="A124" s="42" t="s">
        <v>204</v>
      </c>
      <c r="B124" s="43" t="s">
        <v>205</v>
      </c>
      <c r="C124" s="43" t="s">
        <v>206</v>
      </c>
      <c r="D124" s="45">
        <f>IF(OR(NOT(ISNUMBER(D55)),NOT(ISNUMBER(D29))),"n/m",IF(OR((D29)&lt;=0,(D55)&lt;0),"n/m",(D55)/(D29)))</f>
        <v>0.2722692388457173</v>
      </c>
      <c r="E124" s="45">
        <f>IF(OR(NOT(ISNUMBER(E55)),NOT(ISNUMBER(E29))),"n/m",IF(OR((E29)&lt;=0,(E55)&lt;0),"n/m",(E55)/(E29)))</f>
        <v>0.15603310983895571</v>
      </c>
      <c r="F124" s="45">
        <f>IF(OR(NOT(ISNUMBER(F55)),NOT(ISNUMBER(F29))),"n/m",IF(OR((F29)&lt;=0,(F55)&lt;0),"n/m",(F55)/(F29)))</f>
        <v>9.7619406864766459E-2</v>
      </c>
      <c r="G124" s="45">
        <f>IF(OR(NOT(ISNUMBER(G55)),NOT(ISNUMBER(G29))),"n/m",IF(OR((G29)&lt;=0,(G55)&lt;0),"n/m",(G55)/(G29)))</f>
        <v>5.2398238191517746E-2</v>
      </c>
      <c r="H124" s="45">
        <f>IF(OR(NOT(ISNUMBER(H55)),NOT(ISNUMBER(H29))),"n/m",IF(OR((H29)&lt;=0,(H55)&lt;0),"n/m",(H55)/(H29)))</f>
        <v>4.6764934517749976E-2</v>
      </c>
    </row>
    <row r="125" spans="1:8" ht="34.049999999999997" customHeight="1" x14ac:dyDescent="0.3">
      <c r="A125" s="42" t="s">
        <v>207</v>
      </c>
      <c r="B125" s="43" t="s">
        <v>208</v>
      </c>
      <c r="C125" s="43" t="s">
        <v>209</v>
      </c>
      <c r="D125" s="48">
        <f>IF(OR(NOT(ISNUMBER(D55)),NOT(ISNUMBER(D55+D29))),"n/m",IF(OR((D55+D29)&lt;=0,(D55)&lt;0),"n/m",(D55)/(D55+D29)))</f>
        <v>0.21400284667161887</v>
      </c>
      <c r="E125" s="48">
        <f>IF(OR(NOT(ISNUMBER(E55)),NOT(ISNUMBER(E55+E29))),"n/m",IF(OR((E55+E29)&lt;=0,(E55)&lt;0),"n/m",(E55)/(E55+E29)))</f>
        <v>0.13497287275854264</v>
      </c>
      <c r="F125" s="48">
        <f>IF(OR(NOT(ISNUMBER(F55)),NOT(ISNUMBER(F55+F29))),"n/m",IF(OR((F55+F29)&lt;=0,(F55)&lt;0),"n/m",(F55)/(F55+F29)))</f>
        <v>8.8937391462133447E-2</v>
      </c>
      <c r="G125" s="48">
        <f>IF(OR(NOT(ISNUMBER(G55)),NOT(ISNUMBER(G55+G29))),"n/m",IF(OR((G55+G29)&lt;=0,(G55)&lt;0),"n/m",(G55)/(G55+G29)))</f>
        <v>4.9789363275218823E-2</v>
      </c>
      <c r="H125" s="48">
        <f>IF(OR(NOT(ISNUMBER(H55)),NOT(ISNUMBER(H55+H29))),"n/m",IF(OR((H55+H29)&lt;=0,(H55)&lt;0),"n/m",(H55)/(H55+H29)))</f>
        <v>4.4675679300715997E-2</v>
      </c>
    </row>
    <row r="126" spans="1:8" ht="34.049999999999997" customHeight="1" x14ac:dyDescent="0.3">
      <c r="A126" s="42" t="s">
        <v>210</v>
      </c>
      <c r="B126" s="43" t="s">
        <v>211</v>
      </c>
      <c r="C126" s="43" t="s">
        <v>212</v>
      </c>
      <c r="D126" s="45">
        <f>IF(OR(NOT(ISNUMBER(D82)),NOT(ISNUMBER(D85))),"n/m",IF(OR((D85)&lt;=0,(D82)&lt;0),"n/m",(D82)/(D85)))</f>
        <v>10.965146742707439</v>
      </c>
      <c r="E126" s="45">
        <f>IF(OR(NOT(ISNUMBER(E82)),NOT(ISNUMBER(E85))),"n/m",IF(OR((E85)&lt;=0,(E82)&lt;0),"n/m",(E82)/(E85)))</f>
        <v>18.319735243438064</v>
      </c>
      <c r="F126" s="45">
        <f>IF(OR(NOT(ISNUMBER(F82)),NOT(ISNUMBER(F85))),"n/m",IF(OR((F85)&lt;=0,(F82)&lt;0),"n/m",(F82)/(F85)))</f>
        <v>16.315812571917526</v>
      </c>
      <c r="G126" s="45">
        <f>IF(OR(NOT(ISNUMBER(G82)),NOT(ISNUMBER(G85))),"n/m",IF(OR((G85)&lt;=0,(G82)&lt;0),"n/m",(G82)/(G85)))</f>
        <v>22.319441864662931</v>
      </c>
      <c r="H126" s="45">
        <f>IF(OR(NOT(ISNUMBER(H82)),NOT(ISNUMBER(H85))),"n/m",IF(OR((H85)&lt;=0,(H82)&lt;0),"n/m",(H82)/(H85)))</f>
        <v>58.956241100348862</v>
      </c>
    </row>
    <row r="127" spans="1:8" ht="22.95" customHeight="1" x14ac:dyDescent="0.3">
      <c r="A127" s="91" t="s">
        <v>213</v>
      </c>
      <c r="B127" s="91"/>
      <c r="C127" s="91"/>
      <c r="D127" s="92"/>
      <c r="E127" s="92"/>
      <c r="F127" s="92"/>
      <c r="G127" s="92"/>
      <c r="H127" s="92"/>
    </row>
    <row r="128" spans="1:8" ht="34.049999999999997" customHeight="1" x14ac:dyDescent="0.3">
      <c r="A128" s="42" t="s">
        <v>214</v>
      </c>
      <c r="B128" s="43" t="s">
        <v>215</v>
      </c>
      <c r="C128" s="43" t="s">
        <v>216</v>
      </c>
      <c r="D128" s="48">
        <f>IF(OR(NOT(ISNUMBER(D66)),NOT(ISNUMBER(D64))),"n/m",IF(OR((D64)&lt;=0,(D66)&lt;0),"n/m",(D66)/(D64)))</f>
        <v>0.24796341300828931</v>
      </c>
      <c r="E128" s="48">
        <f>IF(OR(NOT(ISNUMBER(E66)),NOT(ISNUMBER(E64))),"n/m",IF(OR((E64)&lt;=0,(E66)&lt;0),"n/m",(E66)/(E64)))</f>
        <v>0.29843914213509881</v>
      </c>
      <c r="F128" s="48">
        <f>IF(OR(NOT(ISNUMBER(F66)),NOT(ISNUMBER(F64))),"n/m",IF(OR((F64)&lt;=0,(F66)&lt;0),"n/m",(F66)/(F64)))</f>
        <v>0.26804356818989611</v>
      </c>
      <c r="G128" s="48">
        <f>IF(OR(NOT(ISNUMBER(G66)),NOT(ISNUMBER(G64))),"n/m",IF(OR((G64)&lt;=0,(G66)&lt;0),"n/m",(G66)/(G64)))</f>
        <v>0.29125851467425595</v>
      </c>
      <c r="H128" s="48">
        <f>IF(OR(NOT(ISNUMBER(H66)),NOT(ISNUMBER(H64))),"n/m",IF(OR((H64)&lt;=0,(H66)&lt;0),"n/m",(H66)/(H64)))</f>
        <v>0.39220278175445145</v>
      </c>
    </row>
    <row r="129" spans="1:8" ht="34.049999999999997" customHeight="1" x14ac:dyDescent="0.3">
      <c r="A129" s="42" t="s">
        <v>217</v>
      </c>
      <c r="B129" s="43" t="s">
        <v>218</v>
      </c>
      <c r="C129" s="43" t="s">
        <v>219</v>
      </c>
      <c r="D129" s="48">
        <f>IF(OR(NOT(ISNUMBER(D82)),NOT(ISNUMBER(D64))),"n/m",IF(OR((D64)&lt;=0,(D82)&lt;0),"n/m",(D82)/(D64)))</f>
        <v>0.223476531263751</v>
      </c>
      <c r="E129" s="48">
        <f>IF(OR(NOT(ISNUMBER(E82)),NOT(ISNUMBER(E64))),"n/m",IF(OR((E64)&lt;=0,(E82)&lt;0),"n/m",(E82)/(E64)))</f>
        <v>0.28715637280086448</v>
      </c>
      <c r="F129" s="48">
        <f>IF(OR(NOT(ISNUMBER(F82)),NOT(ISNUMBER(F64))),"n/m",IF(OR((F64)&lt;=0,(F82)&lt;0),"n/m",(F82)/(F64)))</f>
        <v>0.28654734202991289</v>
      </c>
      <c r="G129" s="48">
        <f>IF(OR(NOT(ISNUMBER(G82)),NOT(ISNUMBER(G64))),"n/m",IF(OR((G64)&lt;=0,(G82)&lt;0),"n/m",(G82)/(G64)))</f>
        <v>0.37317728789535698</v>
      </c>
      <c r="H129" s="48">
        <f>IF(OR(NOT(ISNUMBER(H82)),NOT(ISNUMBER(H64))),"n/m",IF(OR((H64)&lt;=0,(H82)&lt;0),"n/m",(H82)/(H64)))</f>
        <v>0.48095636892569549</v>
      </c>
    </row>
    <row r="130" spans="1:8" ht="34.049999999999997" customHeight="1" x14ac:dyDescent="0.3">
      <c r="A130" s="42" t="s">
        <v>220</v>
      </c>
      <c r="B130" s="43" t="s">
        <v>221</v>
      </c>
      <c r="C130" s="43" t="s">
        <v>222</v>
      </c>
      <c r="D130" s="48">
        <f>IF(OR(NOT(ISNUMBER(D79)),NOT(ISNUMBER(D64))),"n/m",IF(OR((D64)&lt;=0,(D79)&lt;0),"n/m",(D79)/(D64)))</f>
        <v>0.1453819089897026</v>
      </c>
      <c r="E130" s="48">
        <f>IF(OR(NOT(ISNUMBER(E79)),NOT(ISNUMBER(E64))),"n/m",IF(OR((E64)&lt;=0,(E79)&lt;0),"n/m",(E79)/(E64)))</f>
        <v>0.15282075695786385</v>
      </c>
      <c r="F130" s="48">
        <f>IF(OR(NOT(ISNUMBER(F79)),NOT(ISNUMBER(F64))),"n/m",IF(OR((F64)&lt;=0,(F79)&lt;0),"n/m",(F79)/(F64)))</f>
        <v>0.14955052871384544</v>
      </c>
      <c r="G130" s="48">
        <f>IF(OR(NOT(ISNUMBER(G79)),NOT(ISNUMBER(G64))),"n/m",IF(OR((G64)&lt;=0,(G79)&lt;0),"n/m",(G79)/(G64)))</f>
        <v>0.23011561219895646</v>
      </c>
      <c r="H130" s="48">
        <f>IF(OR(NOT(ISNUMBER(H79)),NOT(ISNUMBER(H64))),"n/m",IF(OR((H64)&lt;=0,(H79)&lt;0),"n/m",(H79)/(H64)))</f>
        <v>0.30837719707594857</v>
      </c>
    </row>
    <row r="131" spans="1:8" ht="34.049999999999997" customHeight="1" x14ac:dyDescent="0.3">
      <c r="A131" s="42" t="s">
        <v>223</v>
      </c>
      <c r="B131" s="43" t="s">
        <v>224</v>
      </c>
      <c r="C131" s="43" t="s">
        <v>225</v>
      </c>
      <c r="D131" s="48">
        <f>IF(OR(NOT(ISNUMBER(D79)),NOT(ISNUMBER(D25))),"n/m",IF(OR((D25)&lt;=0,(D79)&lt;0),"n/m",(D79)/(D25)))</f>
        <v>9.6918969746585204E-2</v>
      </c>
      <c r="E131" s="48">
        <f>IF(OR(NOT(ISNUMBER(E79)),NOT(ISNUMBER(E25))),"n/m",IF(OR((E25)&lt;=0,(E79)&lt;0),"n/m",(E79)/(E25)))</f>
        <v>0.11589856650144761</v>
      </c>
      <c r="F131" s="48">
        <f>IF(OR(NOT(ISNUMBER(F79)),NOT(ISNUMBER(F25))),"n/m",IF(OR((F25)&lt;=0,(F79)&lt;0),"n/m",(F79)/(F25)))</f>
        <v>0.11751952891151191</v>
      </c>
      <c r="G131" s="48">
        <f>IF(OR(NOT(ISNUMBER(G79)),NOT(ISNUMBER(G25))),"n/m",IF(OR((G25)&lt;=0,(G79)&lt;0),"n/m",(G79)/(G25)))</f>
        <v>0.15113794625582791</v>
      </c>
      <c r="H131" s="48">
        <f>IF(OR(NOT(ISNUMBER(H79)),NOT(ISNUMBER(H25))),"n/m",IF(OR((H25)&lt;=0,(H79)&lt;0),"n/m",(H79)/(H25)))</f>
        <v>0.17329550622820336</v>
      </c>
    </row>
    <row r="132" spans="1:8" ht="34.049999999999997" customHeight="1" x14ac:dyDescent="0.3">
      <c r="A132" s="42" t="s">
        <v>226</v>
      </c>
      <c r="B132" s="43" t="s">
        <v>227</v>
      </c>
      <c r="C132" s="43" t="s">
        <v>228</v>
      </c>
      <c r="D132" s="48">
        <f>IF(OR(NOT(ISNUMBER(D79)),NOT(ISNUMBER(D29))),"n/m",IF(OR((D29)&lt;=0,(D79)&lt;0),"n/m",(D79)/(D29)))</f>
        <v>0.15737849802466555</v>
      </c>
      <c r="E132" s="48">
        <f>IF(OR(NOT(ISNUMBER(E79)),NOT(ISNUMBER(E29))),"n/m",IF(OR((E29)&lt;=0,(E79)&lt;0),"n/m",(E79)/(E29)))</f>
        <v>0.18440283523376622</v>
      </c>
      <c r="F132" s="48">
        <f>IF(OR(NOT(ISNUMBER(F79)),NOT(ISNUMBER(F29))),"n/m",IF(OR((F29)&lt;=0,(F79)&lt;0),"n/m",(F79)/(F29)))</f>
        <v>0.17849564911664104</v>
      </c>
      <c r="G132" s="48">
        <f>IF(OR(NOT(ISNUMBER(G79)),NOT(ISNUMBER(G29))),"n/m",IF(OR((G29)&lt;=0,(G79)&lt;0),"n/m",(G79)/(G29)))</f>
        <v>0.21643681457260755</v>
      </c>
      <c r="H132" s="48">
        <f>IF(OR(NOT(ISNUMBER(H79)),NOT(ISNUMBER(H29))),"n/m",IF(OR((H29)&lt;=0,(H79)&lt;0),"n/m",(H79)/(H29)))</f>
        <v>0.24137435208870983</v>
      </c>
    </row>
    <row r="133" spans="1:8" ht="34.049999999999997" customHeight="1" x14ac:dyDescent="0.3">
      <c r="A133" s="42" t="s">
        <v>229</v>
      </c>
      <c r="B133" s="43" t="s">
        <v>230</v>
      </c>
      <c r="C133" s="43" t="s">
        <v>231</v>
      </c>
      <c r="D133" s="48">
        <f>IF(OR(NOT(ISNUMBER(D88)),NOT(ISNUMBER(D58))),"n/m",IF(OR((D58)&lt;=0,(D88)&lt;0),"n/m",(D88)/(D58)))</f>
        <v>0.13611222052431424</v>
      </c>
      <c r="E133" s="48">
        <f>IF(OR(NOT(ISNUMBER(E88)),NOT(ISNUMBER(E58))),"n/m",IF(OR((E58)&lt;=0,(E88)&lt;0),"n/m",(E88)/(E58)))</f>
        <v>0.16872337936741016</v>
      </c>
      <c r="F133" s="48">
        <f>IF(OR(NOT(ISNUMBER(F88)),NOT(ISNUMBER(F58))),"n/m",IF(OR((F58)&lt;=0,(F88)&lt;0),"n/m",(F88)/(F58)))</f>
        <v>0.17323854283924056</v>
      </c>
      <c r="G133" s="48">
        <f>IF(OR(NOT(ISNUMBER(G88)),NOT(ISNUMBER(G58))),"n/m",IF(OR((G58)&lt;=0,(G88)&lt;0),"n/m",(G88)/(G58)))</f>
        <v>0.21530718381280636</v>
      </c>
      <c r="H133" s="48">
        <f>IF(OR(NOT(ISNUMBER(H88)),NOT(ISNUMBER(H58))),"n/m",IF(OR((H58)&lt;=0,(H88)&lt;0),"n/m",(H88)/(H58)))</f>
        <v>0.23456949398989801</v>
      </c>
    </row>
    <row r="134" spans="1:8" ht="34.049999999999997" customHeight="1" x14ac:dyDescent="0.3">
      <c r="A134" s="42" t="s">
        <v>232</v>
      </c>
      <c r="B134" s="43" t="s">
        <v>233</v>
      </c>
      <c r="C134" s="43" t="s">
        <v>234</v>
      </c>
      <c r="D134" s="48">
        <f>IF(OR(NOT(ISNUMBER(D82)),NOT(ISNUMBER(D25))),"n/m",IF(OR((D25)&lt;=0,(D82)&lt;0),"n/m",(D82)/(D25)))</f>
        <v>0.14898081420954101</v>
      </c>
      <c r="E134" s="48">
        <f>IF(OR(NOT(ISNUMBER(E82)),NOT(ISNUMBER(E25))),"n/m",IF(OR((E25)&lt;=0,(E82)&lt;0),"n/m",(E82)/(E25)))</f>
        <v>0.21777808611792054</v>
      </c>
      <c r="F134" s="48">
        <f>IF(OR(NOT(ISNUMBER(F82)),NOT(ISNUMBER(F25))),"n/m",IF(OR((F25)&lt;=0,(F82)&lt;0),"n/m",(F82)/(F25)))</f>
        <v>0.22517411964912432</v>
      </c>
      <c r="G134" s="48">
        <f>IF(OR(NOT(ISNUMBER(G82)),NOT(ISNUMBER(G25))),"n/m",IF(OR((G25)&lt;=0,(G82)&lt;0),"n/m",(G82)/(G25)))</f>
        <v>0.24509961902567451</v>
      </c>
      <c r="H134" s="48">
        <f>IF(OR(NOT(ISNUMBER(H82)),NOT(ISNUMBER(H25))),"n/m",IF(OR((H25)&lt;=0,(H82)&lt;0),"n/m",(H82)/(H25)))</f>
        <v>0.2702780173662766</v>
      </c>
    </row>
    <row r="135" spans="1:8" ht="22.95" customHeight="1" x14ac:dyDescent="0.3">
      <c r="A135" s="91" t="s">
        <v>235</v>
      </c>
      <c r="B135" s="91"/>
      <c r="C135" s="91"/>
      <c r="D135" s="92"/>
      <c r="E135" s="92"/>
      <c r="F135" s="92"/>
      <c r="G135" s="92"/>
      <c r="H135" s="92"/>
    </row>
    <row r="136" spans="1:8" ht="34.049999999999997" customHeight="1" x14ac:dyDescent="0.3">
      <c r="A136" s="42" t="s">
        <v>236</v>
      </c>
      <c r="B136" s="43" t="s">
        <v>237</v>
      </c>
      <c r="C136" s="43" t="s">
        <v>238</v>
      </c>
      <c r="D136" s="49">
        <f>IF(OR(NOT(ISNUMBER(D79)),NOT(ISNUMBER(D104))),"n/m",IF(OR((D104)&lt;=0,(D79)&lt;0),"n/m",(D79)/(D104)))</f>
        <v>17.412549352402124</v>
      </c>
      <c r="E136" s="49">
        <f>IF(OR(NOT(ISNUMBER(E79)),NOT(ISNUMBER(E104))),"n/m",IF(OR((E104)&lt;=0,(E79)&lt;0),"n/m",(E79)/(E104)))</f>
        <v>25.013680261160516</v>
      </c>
      <c r="F136" s="49">
        <f>IF(OR(NOT(ISNUMBER(F79)),NOT(ISNUMBER(F104))),"n/m",IF(OR((F104)&lt;=0,(F79)&lt;0),"n/m",(F79)/(F104)))</f>
        <v>28.978958275869324</v>
      </c>
      <c r="G136" s="49">
        <f>IF(OR(NOT(ISNUMBER(G79)),NOT(ISNUMBER(G104))),"n/m",IF(OR((G104)&lt;=0,(G79)&lt;0),"n/m",(G79)/(G104)))</f>
        <v>45.274272678614977</v>
      </c>
      <c r="H136" s="49">
        <f>IF(OR(NOT(ISNUMBER(H79)),NOT(ISNUMBER(H104))),"n/m",IF(OR((H104)&lt;=0,(H79)&lt;0),"n/m",(H79)/(H104)))</f>
        <v>59.842054600869929</v>
      </c>
    </row>
    <row r="137" spans="1:8" ht="34.049999999999997" customHeight="1" x14ac:dyDescent="0.3">
      <c r="A137" s="42" t="s">
        <v>239</v>
      </c>
      <c r="B137" s="43" t="s">
        <v>240</v>
      </c>
      <c r="C137" s="43" t="s">
        <v>241</v>
      </c>
      <c r="D137" s="49">
        <f>IF(OR(NOT(ISNUMBER(D29)),NOT(ISNUMBER(D103))),"n/m",IF(OR((D103)&lt;=0,(D29)&lt;0),"n/m",(D29)/(D103)))</f>
        <v>110.64122209168052</v>
      </c>
      <c r="E137" s="49">
        <f>IF(OR(NOT(ISNUMBER(E29)),NOT(ISNUMBER(E103))),"n/m",IF(OR((E103)&lt;=0,(E29)&lt;0),"n/m",(E29)/(E103)))</f>
        <v>135.64693964412666</v>
      </c>
      <c r="F137" s="49">
        <f>IF(OR(NOT(ISNUMBER(F29)),NOT(ISNUMBER(F103))),"n/m",IF(OR((F103)&lt;=0,(F29)&lt;0),"n/m",(F29)/(F103)))</f>
        <v>162.35106244484723</v>
      </c>
      <c r="G137" s="49">
        <f>IF(OR(NOT(ISNUMBER(G29)),NOT(ISNUMBER(G103))),"n/m",IF(OR((G103)&lt;=0,(G29)&lt;0),"n/m",(G29)/(G103)))</f>
        <v>209.79287853383309</v>
      </c>
      <c r="H137" s="49">
        <f>IF(OR(NOT(ISNUMBER(H29)),NOT(ISNUMBER(H103))),"n/m",IF(OR((H103)&lt;=0,(H29)&lt;0),"n/m",(H29)/(H103)))</f>
        <v>260.8226721418157</v>
      </c>
    </row>
    <row r="138" spans="1:8" ht="34.049999999999997" customHeight="1" x14ac:dyDescent="0.3">
      <c r="A138" s="42" t="s">
        <v>242</v>
      </c>
      <c r="B138" s="43" t="s">
        <v>243</v>
      </c>
      <c r="C138" s="43" t="s">
        <v>244</v>
      </c>
      <c r="D138" s="45">
        <f>IF(OR(NOT(ISNUMBER(D105)),NOT(ISNUMBER(D79/D104))),"n/m",IF(OR((D79/D104)&lt;=0,(D105)&lt;0),"n/m",(D105)/(D79/D104)))</f>
        <v>11.858688571154802</v>
      </c>
      <c r="E138" s="45">
        <f>IF(OR(NOT(ISNUMBER(E105)),NOT(ISNUMBER(E79/E104))),"n/m",IF(OR((E79/E104)&lt;=0,(E105)&lt;0),"n/m",(E105)/(E79/E104)))</f>
        <v>5.2023532179731546</v>
      </c>
      <c r="F138" s="45">
        <f>IF(OR(NOT(ISNUMBER(F105)),NOT(ISNUMBER(F79/F104))),"n/m",IF(OR((F79/F104)&lt;=0,(F105)&lt;0),"n/m",(F105)/(F79/F104)))</f>
        <v>5.9860674889907219</v>
      </c>
      <c r="G138" s="45">
        <f>IF(OR(NOT(ISNUMBER(G105)),NOT(ISNUMBER(G79/G104))),"n/m",IF(OR((G79/G104)&lt;=0,(G105)&lt;0),"n/m",(G105)/(G79/G104)))</f>
        <v>5.5313975285193058</v>
      </c>
      <c r="H138" s="45">
        <f>IF(OR(NOT(ISNUMBER(H105)),NOT(ISNUMBER(H79/H104))),"n/m",IF(OR((H79/H104)&lt;=0,(H105)&lt;0),"n/m",(H105)/(H79/H104)))</f>
        <v>6.3393545313613817</v>
      </c>
    </row>
    <row r="139" spans="1:8" ht="34.049999999999997" customHeight="1" x14ac:dyDescent="0.3">
      <c r="A139" s="42" t="s">
        <v>245</v>
      </c>
      <c r="B139" s="43" t="s">
        <v>246</v>
      </c>
      <c r="C139" s="43" t="s">
        <v>247</v>
      </c>
      <c r="D139" s="45">
        <f>IF(OR(NOT(ISNUMBER(D105)),NOT(ISNUMBER(D29/D103))),"n/m",IF(OR((D29/D103)&lt;=0,(D105)&lt;0),"n/m",(D105)/(D29/D103)))</f>
        <v>1.8663025958706099</v>
      </c>
      <c r="E139" s="45">
        <f>IF(OR(NOT(ISNUMBER(E105)),NOT(ISNUMBER(E29/E103))),"n/m",IF(OR((E29/E103)&lt;=0,(E105)&lt;0),"n/m",(E105)/(E29/E103)))</f>
        <v>0.95932868328175702</v>
      </c>
      <c r="F139" s="45">
        <f>IF(OR(NOT(ISNUMBER(F105)),NOT(ISNUMBER(F29/F103))),"n/m",IF(OR((F29/F103)&lt;=0,(F105)&lt;0),"n/m",(F105)/(F29/F103)))</f>
        <v>1.0684870021034203</v>
      </c>
      <c r="G139" s="45">
        <f>IF(OR(NOT(ISNUMBER(G105)),NOT(ISNUMBER(G29/G103))),"n/m",IF(OR((G29/G103)&lt;=0,(G105)&lt;0),"n/m",(G105)/(G29/G103)))</f>
        <v>1.1937011482475723</v>
      </c>
      <c r="H139" s="45">
        <f>IF(OR(NOT(ISNUMBER(H105)),NOT(ISNUMBER(H29/H103))),"n/m",IF(OR((H29/H103)&lt;=0,(H105)&lt;0),"n/m",(H105)/(H29/H103)))</f>
        <v>1.4544747850514033</v>
      </c>
    </row>
    <row r="140" spans="1:8" ht="34.049999999999997" customHeight="1" x14ac:dyDescent="0.3">
      <c r="A140" s="42" t="s">
        <v>248</v>
      </c>
      <c r="B140" s="43" t="s">
        <v>249</v>
      </c>
      <c r="C140" s="43" t="s">
        <v>308</v>
      </c>
      <c r="D140" s="73">
        <f>IF(OR(NOT(ISNUMBER(D106)),NOT(ISNUMBER(D105))),"n/m",IF(OR((D105)&lt;=0,(D106)&lt;0),"n/m",(D106)/(D105)))</f>
        <v>0</v>
      </c>
      <c r="E140" s="73">
        <f>IF(OR(NOT(ISNUMBER(E106)),NOT(ISNUMBER(E105))),"n/m",IF(OR((E105)&lt;=0,(E106)&lt;0),"n/m",(E106)/(E105)))</f>
        <v>0</v>
      </c>
      <c r="F140" s="73">
        <f>IF(OR(NOT(ISNUMBER(F106)),NOT(ISNUMBER(F105))),"n/m",IF(OR((F105)&lt;=0,(F106)&lt;0),"n/m",(F106)/(F105)))</f>
        <v>0</v>
      </c>
      <c r="G140" s="73">
        <f>IF(OR(NOT(ISNUMBER(G106)),NOT(ISNUMBER(G105))),"n/m",IF(OR((G105)&lt;=0,(G106)&lt;0),"n/m",(G106)/(G105)))</f>
        <v>0</v>
      </c>
      <c r="H140" s="73">
        <f>IF(OR(NOT(ISNUMBER(H106)),NOT(ISNUMBER(H105))),"n/m",IF(OR((H105)&lt;=0,(H106)&lt;0),"n/m",(H106)/(H105)))</f>
        <v>0</v>
      </c>
    </row>
    <row r="141" spans="1:8" ht="34.049999999999997" customHeight="1" x14ac:dyDescent="0.3">
      <c r="A141" s="42" t="s">
        <v>250</v>
      </c>
      <c r="B141" s="43" t="s">
        <v>251</v>
      </c>
      <c r="C141" s="43" t="s">
        <v>252</v>
      </c>
      <c r="D141" s="45">
        <f>IF(OR(NOT(ISNUMBER(D214)),NOT(ISNUMBER(D83))),"n/m",IF(OR((D83)&lt;=0,(D214)&lt;0),"n/m",(D214)/(D83)))</f>
        <v>7.030703799061059</v>
      </c>
      <c r="E141" s="45">
        <f>IF(OR(NOT(ISNUMBER(E214)),NOT(ISNUMBER(E83))),"n/m",IF(OR((E83)&lt;=0,(E214)&lt;0),"n/m",(E214)/(E83)))</f>
        <v>2.8460065892461768</v>
      </c>
      <c r="F141" s="45">
        <f>IF(OR(NOT(ISNUMBER(F214)),NOT(ISNUMBER(F83))),"n/m",IF(OR((F83)&lt;=0,(F214)&lt;0),"n/m",(F214)/(F83)))</f>
        <v>3.0390586129963157</v>
      </c>
      <c r="G141" s="45">
        <f>IF(OR(NOT(ISNUMBER(G214)),NOT(ISNUMBER(G83))),"n/m",IF(OR((G83)&lt;=0,(G214)&lt;0),"n/m",(G214)/(G83)))</f>
        <v>3.2191008909496732</v>
      </c>
      <c r="H141" s="45">
        <f>IF(OR(NOT(ISNUMBER(H214)),NOT(ISNUMBER(H83))),"n/m",IF(OR((H83)&lt;=0,(H214)&lt;0),"n/m",(H214)/(H83)))</f>
        <v>3.6540457208322041</v>
      </c>
    </row>
    <row r="142" spans="1:8" ht="34.049999999999997" customHeight="1" x14ac:dyDescent="0.3">
      <c r="A142" s="40"/>
      <c r="B142" s="40"/>
      <c r="C142" s="40"/>
      <c r="D142" s="40"/>
      <c r="E142" s="40"/>
      <c r="F142" s="40"/>
      <c r="G142" s="40"/>
      <c r="H142" s="40"/>
    </row>
    <row r="143" spans="1:8" ht="21" customHeight="1" x14ac:dyDescent="0.3">
      <c r="A143" s="44" t="s">
        <v>253</v>
      </c>
      <c r="B143" s="44"/>
      <c r="C143" s="44"/>
      <c r="D143" s="44"/>
      <c r="E143" s="44"/>
      <c r="F143" s="44"/>
      <c r="G143" s="44"/>
      <c r="H143" s="44"/>
    </row>
    <row r="144" spans="1:8" ht="21" customHeight="1" x14ac:dyDescent="0.3">
      <c r="A144" s="44" t="s">
        <v>254</v>
      </c>
      <c r="B144" s="44"/>
      <c r="C144" s="44"/>
      <c r="D144" s="44"/>
      <c r="E144" s="44"/>
      <c r="F144" s="44"/>
      <c r="G144" s="44"/>
      <c r="H144" s="44"/>
    </row>
    <row r="145" spans="1:8" ht="21" customHeight="1" x14ac:dyDescent="0.3">
      <c r="A145" s="44" t="s">
        <v>255</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256</v>
      </c>
      <c r="B153" s="27"/>
      <c r="C153" s="3"/>
      <c r="D153" s="3"/>
      <c r="E153" s="3"/>
      <c r="F153" s="3"/>
      <c r="G153" s="3"/>
      <c r="H153" s="3"/>
    </row>
    <row r="154" spans="1:8" x14ac:dyDescent="0.3">
      <c r="A154" s="38" t="s">
        <v>257</v>
      </c>
      <c r="B154" s="38"/>
      <c r="C154" s="18"/>
      <c r="D154" s="18" t="s">
        <v>65</v>
      </c>
      <c r="E154" s="18" t="s">
        <v>66</v>
      </c>
      <c r="F154" s="18" t="s">
        <v>67</v>
      </c>
      <c r="G154" s="18" t="s">
        <v>68</v>
      </c>
      <c r="H154" s="18" t="s">
        <v>69</v>
      </c>
    </row>
    <row r="155" spans="1:8" x14ac:dyDescent="0.3">
      <c r="A155" s="36" t="s">
        <v>72</v>
      </c>
      <c r="B155" s="36"/>
      <c r="C155" s="19"/>
      <c r="D155" s="19">
        <f>D9/D25</f>
        <v>0.61040244043691427</v>
      </c>
      <c r="E155" s="19">
        <f>E9/E25</f>
        <v>0.49206384636937922</v>
      </c>
      <c r="F155" s="19">
        <f>F9/F25</f>
        <v>0.44880679503110582</v>
      </c>
      <c r="G155" s="19">
        <f>G9/G25</f>
        <v>0.37653636593298079</v>
      </c>
      <c r="H155" s="19">
        <f>H9/H25</f>
        <v>0.34973008764784314</v>
      </c>
    </row>
    <row r="156" spans="1:8" x14ac:dyDescent="0.3">
      <c r="A156" s="36" t="s">
        <v>79</v>
      </c>
      <c r="B156" s="36"/>
      <c r="C156" s="19"/>
      <c r="D156" s="19">
        <f>D16/D25</f>
        <v>0.72708121608007259</v>
      </c>
      <c r="E156" s="19">
        <f>E16/E25</f>
        <v>0.5899525351958268</v>
      </c>
      <c r="F156" s="19">
        <f>F16/F25</f>
        <v>0.53738458104748288</v>
      </c>
      <c r="G156" s="19">
        <f>G16/G25</f>
        <v>0.45257320030843079</v>
      </c>
      <c r="H156" s="19">
        <f>H16/H25</f>
        <v>0.42188501577615356</v>
      </c>
    </row>
    <row r="157" spans="1:8" x14ac:dyDescent="0.3">
      <c r="A157" s="36" t="s">
        <v>258</v>
      </c>
      <c r="B157" s="36"/>
      <c r="C157" s="19"/>
      <c r="D157" s="19">
        <f>D54/D25</f>
        <v>0.11592968312089379</v>
      </c>
      <c r="E157" s="19">
        <f>E54/E25</f>
        <v>0.13081658714941574</v>
      </c>
      <c r="F157" s="19">
        <f>F54/F25</f>
        <v>0.15457257502149849</v>
      </c>
      <c r="G157" s="19">
        <f>G54/G25</f>
        <v>0.1288069592402164</v>
      </c>
      <c r="H157" s="19">
        <f>H54/H25</f>
        <v>0.11235789138852169</v>
      </c>
    </row>
    <row r="158" spans="1:8" x14ac:dyDescent="0.3">
      <c r="A158" s="36" t="s">
        <v>83</v>
      </c>
      <c r="B158" s="36"/>
      <c r="C158" s="19"/>
      <c r="D158" s="19">
        <f>D20/D25</f>
        <v>2.7255531473281764E-2</v>
      </c>
      <c r="E158" s="19">
        <f>E20/E25</f>
        <v>2.1130919419659774E-2</v>
      </c>
      <c r="F158" s="19">
        <f>F20/F25</f>
        <v>2.4339825080717026E-2</v>
      </c>
      <c r="G158" s="19">
        <f>G20/G25</f>
        <v>3.5862163988864895E-2</v>
      </c>
      <c r="H158" s="19">
        <f>H20/H25</f>
        <v>2.5334759610633677E-2</v>
      </c>
    </row>
    <row r="159" spans="1:8" x14ac:dyDescent="0.3">
      <c r="A159" s="36" t="s">
        <v>84</v>
      </c>
      <c r="B159" s="36"/>
      <c r="C159" s="19"/>
      <c r="D159" s="19">
        <f>D21/D25</f>
        <v>8.3118656387369455E-2</v>
      </c>
      <c r="E159" s="19">
        <f>E21/E25</f>
        <v>0.23353955536353374</v>
      </c>
      <c r="F159" s="19">
        <f>F21/F25</f>
        <v>0.24904209574227493</v>
      </c>
      <c r="G159" s="19">
        <f>G21/G25</f>
        <v>0.34463987589590195</v>
      </c>
      <c r="H159" s="19">
        <f>H21/H25</f>
        <v>0.40335219409966694</v>
      </c>
    </row>
    <row r="160" spans="1:8" x14ac:dyDescent="0.3">
      <c r="A160" s="36" t="s">
        <v>85</v>
      </c>
      <c r="B160" s="36"/>
      <c r="C160" s="19"/>
      <c r="D160" s="19">
        <f>D22/D25</f>
        <v>3.3190122717754615E-2</v>
      </c>
      <c r="E160" s="19">
        <f>E22/E25</f>
        <v>1.1090155144323594E-2</v>
      </c>
      <c r="F160" s="19">
        <f>F22/F25</f>
        <v>1.8847885506490802E-2</v>
      </c>
      <c r="G160" s="19">
        <f>G22/G25</f>
        <v>1.8738739363736656E-2</v>
      </c>
      <c r="H160" s="19">
        <f>H22/H25</f>
        <v>2.1718956069774295E-2</v>
      </c>
    </row>
    <row r="161" spans="1:8" x14ac:dyDescent="0.3">
      <c r="A161" s="36" t="s">
        <v>87</v>
      </c>
      <c r="B161" s="36"/>
      <c r="C161" s="19"/>
      <c r="D161" s="19">
        <f>D24/D25</f>
        <v>0.27291878391992735</v>
      </c>
      <c r="E161" s="19">
        <f>E24/E25</f>
        <v>0.41004746480417331</v>
      </c>
      <c r="F161" s="19">
        <f>F24/F25</f>
        <v>0.46261541895251718</v>
      </c>
      <c r="G161" s="19">
        <f>G24/G25</f>
        <v>0.54742679969156927</v>
      </c>
      <c r="H161" s="19">
        <f>H24/H25</f>
        <v>0.57811498422384644</v>
      </c>
    </row>
    <row r="162" spans="1:8" x14ac:dyDescent="0.3">
      <c r="A162" s="36" t="s">
        <v>92</v>
      </c>
      <c r="B162" s="36"/>
      <c r="C162" s="19"/>
      <c r="D162" s="19">
        <f>D29/D25</f>
        <v>0.6158336174449659</v>
      </c>
      <c r="E162" s="19">
        <f>E29/E25</f>
        <v>0.62850750832829549</v>
      </c>
      <c r="F162" s="19">
        <f>F29/F25</f>
        <v>0.65838875901516658</v>
      </c>
      <c r="G162" s="19">
        <f>G29/G25</f>
        <v>0.69830054814970499</v>
      </c>
      <c r="H162" s="19">
        <f>H29/H25</f>
        <v>0.7179532735297155</v>
      </c>
    </row>
    <row r="163" spans="1:8" x14ac:dyDescent="0.3">
      <c r="A163" s="36" t="s">
        <v>99</v>
      </c>
      <c r="B163" s="36"/>
      <c r="C163" s="19"/>
      <c r="D163" s="19">
        <f>D36/D25</f>
        <v>0.17433291274189106</v>
      </c>
      <c r="E163" s="19">
        <f>E36/E25</f>
        <v>0.15262641299575178</v>
      </c>
      <c r="F163" s="19">
        <f>F36/F25</f>
        <v>0.14148088984102922</v>
      </c>
      <c r="G163" s="19">
        <f>G36/G25</f>
        <v>0.11313699636826952</v>
      </c>
      <c r="H163" s="19">
        <f>H36/H25</f>
        <v>0.10745549553575273</v>
      </c>
    </row>
    <row r="164" spans="1:8" x14ac:dyDescent="0.3">
      <c r="A164" s="36" t="s">
        <v>111</v>
      </c>
      <c r="B164" s="36"/>
      <c r="C164" s="19"/>
      <c r="D164" s="19">
        <f>D48/D25</f>
        <v>0.20983346981314291</v>
      </c>
      <c r="E164" s="19">
        <f>E48/E25</f>
        <v>0.21886607867595281</v>
      </c>
      <c r="F164" s="19">
        <f>F48/F25</f>
        <v>0.20013035114380423</v>
      </c>
      <c r="G164" s="19">
        <f>G48/G25</f>
        <v>0.18856245548202555</v>
      </c>
      <c r="H164" s="19">
        <f>H48/H25</f>
        <v>0.17459123093453174</v>
      </c>
    </row>
    <row r="165" spans="1:8" x14ac:dyDescent="0.3">
      <c r="A165" s="36" t="s">
        <v>118</v>
      </c>
      <c r="B165" s="36"/>
      <c r="C165" s="19"/>
      <c r="D165" s="19">
        <f>D55/D25</f>
        <v>0.16767255027734551</v>
      </c>
      <c r="E165" s="19">
        <f>E55/E25</f>
        <v>9.8067981081597311E-2</v>
      </c>
      <c r="F165" s="19">
        <f>F55/F25</f>
        <v>6.4271520141490221E-2</v>
      </c>
      <c r="G165" s="19">
        <f>G55/G25</f>
        <v>3.6589718451215648E-2</v>
      </c>
      <c r="H165" s="19">
        <f>H55/H25</f>
        <v>3.3575037823421382E-2</v>
      </c>
    </row>
    <row r="166" spans="1:8" x14ac:dyDescent="0.3">
      <c r="A166" s="38" t="s">
        <v>259</v>
      </c>
      <c r="B166" s="38"/>
      <c r="C166" s="18"/>
      <c r="D166" s="18" t="s">
        <v>65</v>
      </c>
      <c r="E166" s="18" t="s">
        <v>66</v>
      </c>
      <c r="F166" s="18" t="s">
        <v>67</v>
      </c>
      <c r="G166" s="18" t="s">
        <v>68</v>
      </c>
      <c r="H166" s="18" t="s">
        <v>69</v>
      </c>
    </row>
    <row r="167" spans="1:8" x14ac:dyDescent="0.3">
      <c r="A167" s="36" t="s">
        <v>125</v>
      </c>
      <c r="B167" s="36"/>
      <c r="C167" s="19"/>
      <c r="D167" s="19">
        <f>D65/D64</f>
        <v>-0.75203658699171072</v>
      </c>
      <c r="E167" s="19">
        <f>E65/E64</f>
        <v>-0.70156085786490119</v>
      </c>
      <c r="F167" s="19">
        <f>F65/F64</f>
        <v>-0.73195643181010395</v>
      </c>
      <c r="G167" s="19">
        <f>G65/G64</f>
        <v>-0.70874148532574399</v>
      </c>
      <c r="H167" s="19">
        <f>H65/H64</f>
        <v>-0.60779721824554855</v>
      </c>
    </row>
    <row r="168" spans="1:8" x14ac:dyDescent="0.3">
      <c r="A168" s="36" t="s">
        <v>126</v>
      </c>
      <c r="B168" s="36"/>
      <c r="C168" s="19"/>
      <c r="D168" s="19">
        <f>D66/D64</f>
        <v>0.24796341300828931</v>
      </c>
      <c r="E168" s="19">
        <f>E66/E64</f>
        <v>0.29843914213509881</v>
      </c>
      <c r="F168" s="19">
        <f>F66/F64</f>
        <v>0.26804356818989611</v>
      </c>
      <c r="G168" s="19">
        <f>G66/G64</f>
        <v>0.29125851467425595</v>
      </c>
      <c r="H168" s="19">
        <f>H66/H64</f>
        <v>0.39220278175445145</v>
      </c>
    </row>
    <row r="169" spans="1:8" x14ac:dyDescent="0.3">
      <c r="A169" s="36" t="s">
        <v>260</v>
      </c>
      <c r="B169" s="36"/>
      <c r="C169" s="19"/>
      <c r="D169" s="19">
        <f>(D67+D68+D69+D70)/D64</f>
        <v>-3.0469395716463642E-2</v>
      </c>
      <c r="E169" s="19">
        <f>(E67+E68+E69+E70)/E64</f>
        <v>-3.1593927962861972E-2</v>
      </c>
      <c r="F169" s="19">
        <f>(F67+F68+F69+F70)/F64</f>
        <v>-3.3628249692750904E-2</v>
      </c>
      <c r="G169" s="19">
        <f>(G67+G68+G69+G70)/G64</f>
        <v>-3.2479031231749597E-2</v>
      </c>
      <c r="H169" s="19">
        <f>(H67+H68+H69+H70)/H64</f>
        <v>-5.0767433299885575E-2</v>
      </c>
    </row>
    <row r="170" spans="1:8" x14ac:dyDescent="0.3">
      <c r="A170" s="36" t="s">
        <v>261</v>
      </c>
      <c r="B170" s="36"/>
      <c r="C170" s="19"/>
      <c r="D170" s="19">
        <f>D71/D64</f>
        <v>0.21749401729182569</v>
      </c>
      <c r="E170" s="19">
        <f>E71/E64</f>
        <v>0.26684521417223683</v>
      </c>
      <c r="F170" s="19">
        <f>F71/F64</f>
        <v>0.23441531849714523</v>
      </c>
      <c r="G170" s="19">
        <f>G71/G64</f>
        <v>0.25877948344250634</v>
      </c>
      <c r="H170" s="19">
        <f>H71/H64</f>
        <v>0.34143534845456586</v>
      </c>
    </row>
    <row r="171" spans="1:8" x14ac:dyDescent="0.3">
      <c r="A171" s="36" t="s">
        <v>132</v>
      </c>
      <c r="B171" s="36"/>
      <c r="C171" s="19"/>
      <c r="D171" s="19">
        <f>(D72+D73+D74)/D64</f>
        <v>7.0944840391884744E-3</v>
      </c>
      <c r="E171" s="19">
        <f>(E72+E73+E74)/E64</f>
        <v>2.0991710399966976E-2</v>
      </c>
      <c r="F171" s="19">
        <f>(F72+F73+F74)/F64</f>
        <v>5.3589938712582906E-2</v>
      </c>
      <c r="G171" s="19">
        <f>(G72+G73+G74)/G64</f>
        <v>0.11520501044784114</v>
      </c>
      <c r="H171" s="19">
        <f>(H72+H73+H74)/H64</f>
        <v>0.14068524483798328</v>
      </c>
    </row>
    <row r="172" spans="1:8" x14ac:dyDescent="0.3">
      <c r="A172" s="36" t="s">
        <v>135</v>
      </c>
      <c r="B172" s="36"/>
      <c r="C172" s="19"/>
      <c r="D172" s="19">
        <f>D75/D64</f>
        <v>-2.1492593920963813E-2</v>
      </c>
      <c r="E172" s="19">
        <f>E75/E64</f>
        <v>-1.635525279649306E-2</v>
      </c>
      <c r="F172" s="19">
        <f>F75/F64</f>
        <v>-1.9020469344179291E-2</v>
      </c>
      <c r="G172" s="19">
        <f>G75/G64</f>
        <v>-1.7527036632251494E-2</v>
      </c>
      <c r="H172" s="19">
        <f>H75/H64</f>
        <v>-9.3220777162058271E-3</v>
      </c>
    </row>
    <row r="173" spans="1:8" x14ac:dyDescent="0.3">
      <c r="A173" s="36" t="s">
        <v>136</v>
      </c>
      <c r="B173" s="36"/>
      <c r="C173" s="19"/>
      <c r="D173" s="19">
        <f>D76/D64</f>
        <v>0.20309590741005035</v>
      </c>
      <c r="E173" s="19">
        <f>E76/E64</f>
        <v>0.2714816717757107</v>
      </c>
      <c r="F173" s="19">
        <f>F76/F64</f>
        <v>0.26898478786554886</v>
      </c>
      <c r="G173" s="19">
        <f>G76/G64</f>
        <v>0.35645745725809602</v>
      </c>
      <c r="H173" s="19">
        <f>H76/H64</f>
        <v>0.47279851557634339</v>
      </c>
    </row>
    <row r="174" spans="1:8" x14ac:dyDescent="0.3">
      <c r="A174" s="36" t="s">
        <v>262</v>
      </c>
      <c r="B174" s="36"/>
      <c r="C174" s="19"/>
      <c r="D174" s="19">
        <f>(D77+D78)/D64</f>
        <v>-5.7713998420347745E-2</v>
      </c>
      <c r="E174" s="19">
        <f>(E77+E78)/E64</f>
        <v>-0.11866091481784687</v>
      </c>
      <c r="F174" s="19">
        <f>(F77+F78)/F64</f>
        <v>-0.11943425915170339</v>
      </c>
      <c r="G174" s="19">
        <f>(G77+G78)/G64</f>
        <v>-0.12634184505913956</v>
      </c>
      <c r="H174" s="19">
        <f>(H77+H78)/H64</f>
        <v>-0.16442131850039482</v>
      </c>
    </row>
    <row r="175" spans="1:8" x14ac:dyDescent="0.3">
      <c r="A175" s="36" t="s">
        <v>139</v>
      </c>
      <c r="B175" s="36"/>
      <c r="C175" s="19"/>
      <c r="D175" s="19">
        <f>D79/D64</f>
        <v>0.1453819089897026</v>
      </c>
      <c r="E175" s="19">
        <f>E79/E64</f>
        <v>0.15282075695786385</v>
      </c>
      <c r="F175" s="19">
        <f>F79/F64</f>
        <v>0.14955052871384544</v>
      </c>
      <c r="G175" s="19">
        <f>G79/G64</f>
        <v>0.23011561219895646</v>
      </c>
      <c r="H175" s="19">
        <f>H79/H64</f>
        <v>0.30837719707594857</v>
      </c>
    </row>
    <row r="176" spans="1:8" x14ac:dyDescent="0.3">
      <c r="A176" s="36"/>
      <c r="B176" s="36"/>
      <c r="C176" s="19"/>
      <c r="D176" s="19"/>
      <c r="E176" s="19"/>
      <c r="F176" s="19"/>
      <c r="G176" s="19"/>
      <c r="H176" s="19"/>
    </row>
    <row r="177" spans="1:8" x14ac:dyDescent="0.3">
      <c r="A177" s="23"/>
      <c r="B177" s="23"/>
    </row>
    <row r="178" spans="1:8" ht="19.5" customHeight="1" x14ac:dyDescent="0.3">
      <c r="A178" s="26" t="s">
        <v>263</v>
      </c>
      <c r="B178" s="27"/>
      <c r="C178" s="3"/>
      <c r="D178" s="3"/>
      <c r="E178" s="3"/>
      <c r="F178" s="3"/>
      <c r="G178" s="3"/>
      <c r="H178" s="3"/>
    </row>
    <row r="179" spans="1:8" x14ac:dyDescent="0.3">
      <c r="A179" s="38" t="s">
        <v>264</v>
      </c>
      <c r="B179" s="38"/>
      <c r="C179" s="18"/>
      <c r="D179" s="18" t="s">
        <v>65</v>
      </c>
      <c r="E179" s="18" t="s">
        <v>66</v>
      </c>
      <c r="F179" s="18" t="s">
        <v>67</v>
      </c>
      <c r="G179" s="18" t="s">
        <v>68</v>
      </c>
      <c r="H179" s="18" t="s">
        <v>69</v>
      </c>
    </row>
    <row r="180" spans="1:8" x14ac:dyDescent="0.3">
      <c r="A180" s="36" t="s">
        <v>124</v>
      </c>
      <c r="B180" s="36"/>
      <c r="C180" s="17"/>
      <c r="D180" s="17">
        <f>IF(OR(I64&lt;=0,D64&lt;I64),"n/m",D64/I64-1)</f>
        <v>1.1289260088617548</v>
      </c>
      <c r="E180" s="17">
        <f>IF(OR(D64&lt;=0,E64&lt;D64),"n/m",E64/D64-1)</f>
        <v>0.36660578401953936</v>
      </c>
      <c r="F180" s="17">
        <f>IF(OR(E64&lt;=0,F64&lt;E64),"n/m",F64/E64-1)</f>
        <v>0.18385787981997459</v>
      </c>
      <c r="G180" s="17" t="str">
        <f>IF(OR(F64&lt;=0,G64&lt;F64),"n/m",G64/F64-1)</f>
        <v>n/m</v>
      </c>
      <c r="H180" s="17" t="str">
        <f>IF(OR(G64&lt;=0,H64&lt;G64),"n/m",H64/G64-1)</f>
        <v>n/m</v>
      </c>
    </row>
    <row r="181" spans="1:8" x14ac:dyDescent="0.3">
      <c r="A181" s="36" t="s">
        <v>126</v>
      </c>
      <c r="B181" s="36"/>
      <c r="C181" s="17"/>
      <c r="D181" s="17" t="str">
        <f>IF(OR(I66&lt;=0,D66&lt;I66),"n/m",D66/I66-1)</f>
        <v>n/m</v>
      </c>
      <c r="E181" s="17">
        <f>IF(OR(D66&lt;=0,E66&lt;D66),"n/m",E66/D66-1)</f>
        <v>0.64479369303575917</v>
      </c>
      <c r="F181" s="17">
        <f>IF(OR(E66&lt;=0,F66&lt;E66),"n/m",F66/E66-1)</f>
        <v>6.3283750470716882E-2</v>
      </c>
      <c r="G181" s="17">
        <f>IF(OR(F66&lt;=0,G66&lt;F66),"n/m",G66/F66-1)</f>
        <v>7.8963063087991392E-2</v>
      </c>
      <c r="H181" s="17">
        <f>IF(OR(G66&lt;=0,H66&lt;G66),"n/m",H66/G66-1)</f>
        <v>0.30783256110833102</v>
      </c>
    </row>
    <row r="182" spans="1:8" x14ac:dyDescent="0.3">
      <c r="A182" s="36" t="s">
        <v>261</v>
      </c>
      <c r="B182" s="36"/>
      <c r="C182" s="17"/>
      <c r="D182" s="17" t="str">
        <f>IF(OR(I71&lt;=0,D71&lt;I71),"n/m",D71/I71-1)</f>
        <v>n/m</v>
      </c>
      <c r="E182" s="17">
        <f>IF(OR(D71&lt;=0,E71&lt;D71),"n/m",E71/D71-1)</f>
        <v>0.67669997394184622</v>
      </c>
      <c r="F182" s="17">
        <f>IF(OR(E71&lt;=0,F71&lt;E71),"n/m",F71/E71-1)</f>
        <v>3.9982758597390866E-2</v>
      </c>
      <c r="G182" s="17">
        <f>IF(OR(F71&lt;=0,G71&lt;F71),"n/m",G71/F71-1)</f>
        <v>9.6168179470743187E-2</v>
      </c>
      <c r="H182" s="17">
        <f>IF(OR(G71&lt;=0,H71&lt;G71),"n/m",H71/G71-1)</f>
        <v>0.28144138621259374</v>
      </c>
    </row>
    <row r="183" spans="1:8" x14ac:dyDescent="0.3">
      <c r="A183" s="36"/>
      <c r="B183" s="36"/>
      <c r="C183" s="17"/>
      <c r="D183" s="17"/>
      <c r="E183" s="17"/>
      <c r="F183" s="17"/>
      <c r="G183" s="17"/>
      <c r="H183" s="17"/>
    </row>
    <row r="184" spans="1:8" x14ac:dyDescent="0.3">
      <c r="A184" s="36" t="s">
        <v>139</v>
      </c>
      <c r="B184" s="36"/>
      <c r="C184" s="17"/>
      <c r="D184" s="17" t="str">
        <f>IF(OR(I79&lt;=0,D79&lt;I79),"n/m",D79/I79-1)</f>
        <v>n/m</v>
      </c>
      <c r="E184" s="17">
        <f>IF(OR(D79&lt;=0,E79&lt;D79),"n/m",E79/D79-1)</f>
        <v>0.4365317653907923</v>
      </c>
      <c r="F184" s="17">
        <f>IF(OR(E79&lt;=0,F79&lt;E79),"n/m",F79/E79-1)</f>
        <v>0.15852437439467115</v>
      </c>
      <c r="G184" s="17">
        <f>IF(OR(F79&lt;=0,G79&lt;F79),"n/m",G79/F79-1)</f>
        <v>0.52788782159832537</v>
      </c>
      <c r="H184" s="17">
        <f>IF(OR(G79&lt;=0,H79&lt;G79),"n/m",H79/G79-1)</f>
        <v>0.30153628125708454</v>
      </c>
    </row>
    <row r="185" spans="1:8" x14ac:dyDescent="0.3">
      <c r="A185" s="36" t="s">
        <v>151</v>
      </c>
      <c r="B185" s="36"/>
      <c r="C185" s="17"/>
      <c r="D185" s="17" t="str">
        <f>IF(OR(I93&lt;=0,D93&lt;I93),"n/m",D93/I93-1)</f>
        <v>n/m</v>
      </c>
      <c r="E185" s="17">
        <f>IF(OR(D93&lt;=0,E93&lt;D93),"n/m",E93/D93-1)</f>
        <v>0.60755553568054199</v>
      </c>
      <c r="F185" s="17" t="str">
        <f>IF(OR(E93&lt;=0,F93&lt;E93),"n/m",F93/E93-1)</f>
        <v>n/m</v>
      </c>
      <c r="G185" s="17">
        <f>IF(OR(F93&lt;=0,G93&lt;F93),"n/m",G93/F93-1)</f>
        <v>0.49304836834509325</v>
      </c>
      <c r="H185" s="17">
        <f>IF(OR(G93&lt;=0,H93&lt;G93),"n/m",H93/G93-1)</f>
        <v>0.41086864460346151</v>
      </c>
    </row>
    <row r="186" spans="1:8" x14ac:dyDescent="0.3">
      <c r="A186" s="36" t="s">
        <v>265</v>
      </c>
      <c r="B186" s="36"/>
      <c r="C186" s="17"/>
      <c r="D186" s="17">
        <f>IF(OR(I25&lt;=0,D25&lt;I25),"n/m",D25/I25-1)</f>
        <v>0.13635732264152001</v>
      </c>
      <c r="E186" s="17">
        <f>IF(OR(D25&lt;=0,E25&lt;D25),"n/m",E25/D25-1)</f>
        <v>0.20128473468375319</v>
      </c>
      <c r="F186" s="17">
        <f>IF(OR(E25&lt;=0,F25&lt;E25),"n/m",F25/E25-1)</f>
        <v>0.14254469442632289</v>
      </c>
      <c r="G186" s="17">
        <f>IF(OR(F25&lt;=0,G25&lt;F25),"n/m",G25/F25-1)</f>
        <v>0.18803160603982083</v>
      </c>
      <c r="H186" s="17">
        <f>IF(OR(G25&lt;=0,H25&lt;G25),"n/m",H25/G25-1)</f>
        <v>0.13512187827654776</v>
      </c>
    </row>
    <row r="187" spans="1:8" x14ac:dyDescent="0.3">
      <c r="A187" s="36" t="s">
        <v>92</v>
      </c>
      <c r="B187" s="36"/>
      <c r="C187" s="17"/>
      <c r="D187" s="17">
        <f>IF(OR(I29&lt;=0,D29&lt;I29),"n/m",D29/I29-1)</f>
        <v>0.18673183359900003</v>
      </c>
      <c r="E187" s="17">
        <f>IF(OR(D29&lt;=0,E29&lt;D29),"n/m",E29/D29-1)</f>
        <v>0.22600724286763296</v>
      </c>
      <c r="F187" s="17">
        <f>IF(OR(E29&lt;=0,F29&lt;E29),"n/m",F29/E29-1)</f>
        <v>0.19686491173910392</v>
      </c>
      <c r="G187" s="17">
        <f>IF(OR(F29&lt;=0,G29&lt;F29),"n/m",G29/F29-1)</f>
        <v>0.26005055578063208</v>
      </c>
      <c r="H187" s="17">
        <f>IF(OR(G29&lt;=0,H29&lt;G29),"n/m",H29/G29-1)</f>
        <v>0.16706834975751828</v>
      </c>
    </row>
    <row r="188" spans="1:8" x14ac:dyDescent="0.3">
      <c r="A188" s="36" t="s">
        <v>118</v>
      </c>
      <c r="B188" s="36"/>
      <c r="C188" s="17"/>
      <c r="D188" s="17" t="str">
        <f>IF(OR(I55&lt;=0,D55&lt;I55),"n/m",D55/I55-1)</f>
        <v>n/m</v>
      </c>
      <c r="E188" s="17" t="str">
        <f>IF(OR(D55&lt;=0,E55&lt;D55),"n/m",E55/D55-1)</f>
        <v>n/m</v>
      </c>
      <c r="F188" s="17" t="str">
        <f>IF(OR(E55&lt;=0,F55&lt;E55),"n/m",F55/E55-1)</f>
        <v>n/m</v>
      </c>
      <c r="G188" s="17" t="str">
        <f>IF(OR(F55&lt;=0,G55&lt;F55),"n/m",G55/F55-1)</f>
        <v>n/m</v>
      </c>
      <c r="H188" s="17">
        <f>IF(OR(G55&lt;=0,H55&lt;G55),"n/m",H55/G55-1)</f>
        <v>4.1597520028525903E-2</v>
      </c>
    </row>
    <row r="189" spans="1:8" x14ac:dyDescent="0.3">
      <c r="A189" s="36" t="s">
        <v>258</v>
      </c>
      <c r="B189" s="36"/>
      <c r="C189" s="17"/>
      <c r="D189" s="17">
        <f>IF(OR(I54&lt;=0,D54&lt;I54),"n/m",D54/I54-1)</f>
        <v>0.28086771752545969</v>
      </c>
      <c r="E189" s="17">
        <f>IF(OR(D54&lt;=0,E54&lt;D54),"n/m",E54/D54-1)</f>
        <v>0.3555455769006366</v>
      </c>
      <c r="F189" s="17">
        <f>IF(OR(E54&lt;=0,F54&lt;E54),"n/m",F54/E54-1)</f>
        <v>0.35002815272127852</v>
      </c>
      <c r="G189" s="17" t="str">
        <f>IF(OR(F54&lt;=0,G54&lt;F54),"n/m",G54/F54-1)</f>
        <v>n/m</v>
      </c>
      <c r="H189" s="17" t="str">
        <f>IF(OR(G54&lt;=0,H54&lt;G54),"n/m",H54/G54-1)</f>
        <v>n/m</v>
      </c>
    </row>
    <row r="190" spans="1:8" x14ac:dyDescent="0.3">
      <c r="A190" s="36" t="s">
        <v>83</v>
      </c>
      <c r="B190" s="36"/>
      <c r="C190" s="17"/>
      <c r="D190" s="17">
        <f>IF(OR(I20&lt;=0,D20&lt;I20),"n/m",D20/I20-1)</f>
        <v>0.9897591881889225</v>
      </c>
      <c r="E190" s="17" t="str">
        <f>IF(OR(D20&lt;=0,E20&lt;D20),"n/m",E20/D20-1)</f>
        <v>n/m</v>
      </c>
      <c r="F190" s="17">
        <f>IF(OR(E20&lt;=0,F20&lt;E20),"n/m",F20/E20-1)</f>
        <v>0.3160495980768705</v>
      </c>
      <c r="G190" s="17">
        <f>IF(OR(F20&lt;=0,G20&lt;F20),"n/m",G20/F20-1)</f>
        <v>0.75043921385894685</v>
      </c>
      <c r="H190" s="17" t="str">
        <f>IF(OR(G20&lt;=0,H20&lt;G20),"n/m",H20/G20-1)</f>
        <v>n/m</v>
      </c>
    </row>
    <row r="191" spans="1:8" x14ac:dyDescent="0.3">
      <c r="A191" s="36" t="s">
        <v>85</v>
      </c>
      <c r="B191" s="36"/>
      <c r="C191" s="17"/>
      <c r="D191" s="17">
        <f>IF(OR(I22&lt;=0,D22&lt;I22),"n/m",D22/I22-1)</f>
        <v>0.34333913649021541</v>
      </c>
      <c r="E191" s="17" t="str">
        <f>IF(OR(D22&lt;=0,E22&lt;D22),"n/m",E22/D22-1)</f>
        <v>n/m</v>
      </c>
      <c r="F191" s="17">
        <f>IF(OR(E22&lt;=0,F22&lt;E22),"n/m",F22/E22-1)</f>
        <v>0.94177189645702475</v>
      </c>
      <c r="G191" s="17">
        <f>IF(OR(F22&lt;=0,G22&lt;F22),"n/m",G22/F22-1)</f>
        <v>0.18115183869272999</v>
      </c>
      <c r="H191" s="17">
        <f>IF(OR(G22&lt;=0,H22&lt;G22),"n/m",H22/G22-1)</f>
        <v>0.31565212203324466</v>
      </c>
    </row>
    <row r="192" spans="1:8" x14ac:dyDescent="0.3">
      <c r="A192" s="23"/>
      <c r="B192" s="23"/>
    </row>
    <row r="193" spans="1:9" x14ac:dyDescent="0.3">
      <c r="A193" s="25" t="s">
        <v>266</v>
      </c>
      <c r="B193" s="23"/>
    </row>
    <row r="194" spans="1:9" x14ac:dyDescent="0.3">
      <c r="A194" s="23"/>
      <c r="B194" s="23"/>
    </row>
    <row r="195" spans="1:9" x14ac:dyDescent="0.3">
      <c r="A195" s="23"/>
      <c r="B195" s="23"/>
    </row>
    <row r="196" spans="1:9" ht="22.05" customHeight="1" x14ac:dyDescent="0.3">
      <c r="A196" s="89" t="s">
        <v>267</v>
      </c>
      <c r="B196" s="89"/>
      <c r="C196" s="90"/>
      <c r="D196" s="90"/>
      <c r="E196" s="90"/>
      <c r="F196" s="90"/>
      <c r="G196" s="90"/>
      <c r="H196" s="90"/>
    </row>
    <row r="197" spans="1:9" x14ac:dyDescent="0.3">
      <c r="A197" s="23" t="s">
        <v>268</v>
      </c>
      <c r="B197" s="23"/>
      <c r="C197" s="20"/>
      <c r="D197" s="20">
        <v>0</v>
      </c>
      <c r="E197" s="20">
        <v>0</v>
      </c>
      <c r="F197" s="20">
        <v>0</v>
      </c>
      <c r="G197" s="20">
        <v>0</v>
      </c>
      <c r="H197" s="20">
        <v>0</v>
      </c>
      <c r="I197" s="20">
        <v>0</v>
      </c>
    </row>
    <row r="198" spans="1:9" x14ac:dyDescent="0.3">
      <c r="A198" s="23" t="s">
        <v>269</v>
      </c>
      <c r="B198" s="23"/>
      <c r="C198" s="20"/>
      <c r="D198" s="20">
        <v>0</v>
      </c>
      <c r="E198" s="20">
        <v>0</v>
      </c>
      <c r="F198" s="20">
        <v>0</v>
      </c>
      <c r="G198" s="20">
        <v>134.93977000000001</v>
      </c>
      <c r="H198" s="20">
        <v>47.420397000000001</v>
      </c>
      <c r="I198" s="20">
        <v>0</v>
      </c>
    </row>
    <row r="199" spans="1:9" x14ac:dyDescent="0.3">
      <c r="A199" s="23" t="s">
        <v>270</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271</v>
      </c>
      <c r="B203" s="37"/>
      <c r="C203" s="21"/>
      <c r="D203" s="21"/>
      <c r="E203" s="21"/>
      <c r="F203" s="21"/>
      <c r="G203" s="21"/>
      <c r="H203" s="21"/>
      <c r="I203" s="20"/>
    </row>
    <row r="204" spans="1:9" x14ac:dyDescent="0.3">
      <c r="A204" s="23"/>
      <c r="B204" s="23"/>
    </row>
    <row r="205" spans="1:9" ht="22.95" customHeight="1" x14ac:dyDescent="0.3">
      <c r="A205" s="87" t="s">
        <v>272</v>
      </c>
      <c r="B205" s="87"/>
      <c r="C205" s="88"/>
      <c r="D205" s="88"/>
      <c r="E205" s="88"/>
      <c r="F205" s="88"/>
      <c r="G205" s="88"/>
      <c r="H205" s="88"/>
    </row>
    <row r="206" spans="1:9" ht="22.95" customHeight="1" x14ac:dyDescent="0.3">
      <c r="A206" s="87"/>
      <c r="B206" s="87"/>
      <c r="C206" s="88"/>
      <c r="D206" s="88"/>
      <c r="E206" s="88"/>
      <c r="F206" s="88"/>
      <c r="G206" s="88"/>
      <c r="H206" s="88"/>
    </row>
    <row r="207" spans="1:9" x14ac:dyDescent="0.3">
      <c r="A207" s="23"/>
      <c r="B207" s="23"/>
    </row>
    <row r="208" spans="1:9" x14ac:dyDescent="0.3">
      <c r="A208" s="23"/>
      <c r="B208" s="23"/>
    </row>
    <row r="209" spans="1:8" ht="22.95" customHeight="1" x14ac:dyDescent="0.3">
      <c r="A209" s="86" t="s">
        <v>273</v>
      </c>
      <c r="B209" s="86"/>
      <c r="C209" s="86"/>
      <c r="D209" s="86"/>
      <c r="E209" s="86"/>
      <c r="F209" s="86"/>
      <c r="G209" s="86"/>
      <c r="H209" s="86"/>
    </row>
    <row r="210" spans="1:8" x14ac:dyDescent="0.3">
      <c r="D210" t="s">
        <v>65</v>
      </c>
      <c r="E210" t="s">
        <v>66</v>
      </c>
      <c r="F210" t="s">
        <v>67</v>
      </c>
      <c r="G210" t="s">
        <v>68</v>
      </c>
      <c r="H210" t="s">
        <v>69</v>
      </c>
    </row>
    <row r="211" spans="1:8" x14ac:dyDescent="0.3">
      <c r="A211" t="s">
        <v>274</v>
      </c>
      <c r="D211" s="51">
        <f>D22+D215-D216</f>
        <v>1197.729351</v>
      </c>
      <c r="E211" s="51">
        <f>E22+E215-E216</f>
        <v>480.76563199999998</v>
      </c>
      <c r="F211" s="51">
        <f>F22+F215-F216</f>
        <v>933.537193</v>
      </c>
      <c r="G211" s="51">
        <f>G22+G215-G216</f>
        <v>1102.6491719999999</v>
      </c>
      <c r="H211" s="51">
        <f>H22+H215-H216</f>
        <v>1450.7027230000001</v>
      </c>
    </row>
    <row r="212" spans="1:8" x14ac:dyDescent="0.3">
      <c r="A212" t="s">
        <v>275</v>
      </c>
      <c r="D212" s="51">
        <f>D40+D197+D198</f>
        <v>122.613973</v>
      </c>
      <c r="E212" s="51">
        <f>E40+E197+E198</f>
        <v>142.17199299999999</v>
      </c>
      <c r="F212" s="51">
        <f>F40+F197+F198</f>
        <v>192.67479</v>
      </c>
      <c r="G212" s="51">
        <f>G40+G197+G198</f>
        <v>134.93977000000001</v>
      </c>
      <c r="H212" s="51">
        <f>H40+H197+H198</f>
        <v>47.420397000000001</v>
      </c>
    </row>
    <row r="213" spans="1:8" x14ac:dyDescent="0.3">
      <c r="A213" t="s">
        <v>276</v>
      </c>
      <c r="D213" s="51">
        <f>D105*D103</f>
        <v>41475.849217529998</v>
      </c>
      <c r="E213" s="51">
        <f>E105*E103</f>
        <v>26138.080578609995</v>
      </c>
      <c r="F213" s="51">
        <f>F105*F103</f>
        <v>34843.409190589999</v>
      </c>
      <c r="G213" s="51">
        <f>G105*G103</f>
        <v>49049.544607709999</v>
      </c>
      <c r="H213" s="51">
        <f>H105*H103</f>
        <v>69749.621629919988</v>
      </c>
    </row>
    <row r="214" spans="1:8" x14ac:dyDescent="0.3">
      <c r="A214" t="s">
        <v>277</v>
      </c>
      <c r="D214" s="51">
        <f>D213+D55+D212-D211</f>
        <v>46451.519988529995</v>
      </c>
      <c r="E214" s="51">
        <f>E213+E55+E212-E211</f>
        <v>30050.799413609995</v>
      </c>
      <c r="F214" s="51">
        <f>F213+F55+F212-F211</f>
        <v>37285.920035590003</v>
      </c>
      <c r="G214" s="51">
        <f>G213+G55+G212-G211</f>
        <v>50234.89480971</v>
      </c>
      <c r="H214" s="51">
        <f>H213+H55+H212-H211</f>
        <v>70588.960847919981</v>
      </c>
    </row>
    <row r="215" spans="1:8" x14ac:dyDescent="0.3">
      <c r="A215" t="s">
        <v>278</v>
      </c>
      <c r="D215" s="51">
        <v>0</v>
      </c>
      <c r="E215" s="51">
        <v>0</v>
      </c>
      <c r="F215" s="51">
        <v>0</v>
      </c>
      <c r="G215" s="51">
        <v>0</v>
      </c>
      <c r="H215" s="51">
        <v>0</v>
      </c>
    </row>
    <row r="216" spans="1:8" x14ac:dyDescent="0.3">
      <c r="A216" t="s">
        <v>279</v>
      </c>
      <c r="D216" s="51">
        <v>0</v>
      </c>
      <c r="E216" s="51">
        <v>0</v>
      </c>
      <c r="F216" s="51">
        <v>0</v>
      </c>
      <c r="G216" s="51">
        <v>0</v>
      </c>
      <c r="H216" s="51">
        <v>0</v>
      </c>
    </row>
    <row r="217" spans="1:8" x14ac:dyDescent="0.3">
      <c r="A217" s="50" t="s">
        <v>280</v>
      </c>
      <c r="B217" s="50"/>
      <c r="C217" s="50"/>
      <c r="D217" s="50"/>
      <c r="E217" s="50"/>
      <c r="F217" s="50"/>
      <c r="G217" s="50"/>
      <c r="H217" s="50"/>
    </row>
    <row r="218" spans="1:8" x14ac:dyDescent="0.3">
      <c r="A218" s="50" t="s">
        <v>281</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282</v>
      </c>
      <c r="B1" s="23"/>
    </row>
    <row r="2" spans="1:9" x14ac:dyDescent="0.3">
      <c r="A2" s="24" t="s">
        <v>283</v>
      </c>
      <c r="B2" s="23"/>
    </row>
    <row r="3" spans="1:9" x14ac:dyDescent="0.3">
      <c r="A3" s="25" t="s">
        <v>62</v>
      </c>
      <c r="B3" s="23"/>
    </row>
    <row r="4" spans="1:9" x14ac:dyDescent="0.3">
      <c r="A4" s="23"/>
      <c r="B4" s="23"/>
    </row>
    <row r="5" spans="1:9" x14ac:dyDescent="0.3">
      <c r="A5" s="23"/>
      <c r="B5" s="23"/>
    </row>
    <row r="6" spans="1:9" ht="19.5" customHeight="1" x14ac:dyDescent="0.3">
      <c r="A6" s="26" t="s">
        <v>63</v>
      </c>
      <c r="B6" s="27"/>
      <c r="C6" s="3"/>
      <c r="D6" s="3"/>
      <c r="E6" s="3"/>
      <c r="F6" s="3"/>
      <c r="G6" s="3"/>
      <c r="H6" s="3"/>
      <c r="I6" s="3"/>
    </row>
    <row r="7" spans="1:9" ht="16.5" customHeight="1" x14ac:dyDescent="0.3">
      <c r="A7" s="28" t="s">
        <v>64</v>
      </c>
      <c r="B7" s="29"/>
      <c r="C7" s="9"/>
      <c r="D7" s="9" t="s">
        <v>65</v>
      </c>
      <c r="E7" s="9" t="s">
        <v>66</v>
      </c>
      <c r="F7" s="9" t="s">
        <v>67</v>
      </c>
      <c r="G7" s="9" t="s">
        <v>68</v>
      </c>
      <c r="H7" s="9" t="s">
        <v>69</v>
      </c>
      <c r="I7" s="9" t="s">
        <v>70</v>
      </c>
    </row>
    <row r="8" spans="1:9" x14ac:dyDescent="0.3">
      <c r="A8" s="30" t="s">
        <v>71</v>
      </c>
      <c r="B8" s="31"/>
      <c r="C8" s="10"/>
      <c r="D8" s="10"/>
      <c r="E8" s="10"/>
      <c r="F8" s="10"/>
      <c r="G8" s="10"/>
      <c r="H8" s="10"/>
      <c r="I8" s="10"/>
    </row>
    <row r="9" spans="1:9" x14ac:dyDescent="0.3">
      <c r="A9" s="32" t="s">
        <v>72</v>
      </c>
      <c r="B9" s="33"/>
      <c r="C9" s="11"/>
      <c r="D9" s="11">
        <v>62389.947</v>
      </c>
      <c r="E9" s="11">
        <v>82301.05</v>
      </c>
      <c r="F9" s="11">
        <v>95620.305999999997</v>
      </c>
      <c r="G9" s="11">
        <v>107258.973</v>
      </c>
      <c r="H9" s="11">
        <v>107409.588</v>
      </c>
      <c r="I9" s="11">
        <v>60247.57</v>
      </c>
    </row>
    <row r="10" spans="1:9" x14ac:dyDescent="0.3">
      <c r="A10" s="32" t="s">
        <v>73</v>
      </c>
      <c r="B10" s="33"/>
      <c r="C10" s="11"/>
      <c r="D10" s="11">
        <v>4015.0439999999999</v>
      </c>
      <c r="E10" s="11">
        <v>21911.214</v>
      </c>
      <c r="F10" s="11">
        <v>5562.1450000000004</v>
      </c>
      <c r="G10" s="11">
        <v>11633.303</v>
      </c>
      <c r="H10" s="11">
        <v>5420.7420000000002</v>
      </c>
      <c r="I10" s="11">
        <v>334.19099999999997</v>
      </c>
    </row>
    <row r="11" spans="1:9" x14ac:dyDescent="0.3">
      <c r="A11" s="32" t="s">
        <v>74</v>
      </c>
      <c r="B11" s="33"/>
      <c r="C11" s="11"/>
      <c r="D11" s="11">
        <v>0</v>
      </c>
      <c r="E11" s="11">
        <v>0</v>
      </c>
      <c r="F11" s="11">
        <v>0</v>
      </c>
      <c r="G11" s="11">
        <v>0</v>
      </c>
      <c r="H11" s="11">
        <v>0</v>
      </c>
      <c r="I11" s="11">
        <v>0</v>
      </c>
    </row>
    <row r="12" spans="1:9" x14ac:dyDescent="0.3">
      <c r="A12" s="32" t="s">
        <v>75</v>
      </c>
      <c r="B12" s="33"/>
      <c r="C12" s="11"/>
      <c r="D12" s="11">
        <v>0.67</v>
      </c>
      <c r="E12" s="11">
        <v>51.351999999999997</v>
      </c>
      <c r="F12" s="11">
        <v>85.587999999999994</v>
      </c>
      <c r="G12" s="11">
        <v>69.394000000000005</v>
      </c>
      <c r="H12" s="11">
        <v>46.228999999999999</v>
      </c>
      <c r="I12" s="11">
        <v>11.323</v>
      </c>
    </row>
    <row r="13" spans="1:9" x14ac:dyDescent="0.3">
      <c r="A13" s="32" t="s">
        <v>76</v>
      </c>
      <c r="B13" s="33"/>
      <c r="C13" s="11"/>
      <c r="D13" s="11">
        <v>0</v>
      </c>
      <c r="E13" s="11">
        <v>0</v>
      </c>
      <c r="F13" s="11">
        <v>0</v>
      </c>
      <c r="G13" s="11">
        <v>0</v>
      </c>
      <c r="H13" s="11">
        <v>0</v>
      </c>
      <c r="I13" s="11">
        <v>0</v>
      </c>
    </row>
    <row r="14" spans="1:9" x14ac:dyDescent="0.3">
      <c r="A14" s="32" t="s">
        <v>77</v>
      </c>
      <c r="B14" s="33"/>
      <c r="C14" s="11"/>
      <c r="D14" s="11">
        <v>53194.485000000001</v>
      </c>
      <c r="E14" s="11">
        <v>57594.485000000001</v>
      </c>
      <c r="F14" s="11">
        <v>57594.485000000001</v>
      </c>
      <c r="G14" s="11">
        <v>58072.373</v>
      </c>
      <c r="H14" s="11">
        <v>58555.707000000002</v>
      </c>
      <c r="I14" s="11">
        <v>47144.485000000001</v>
      </c>
    </row>
    <row r="15" spans="1:9" x14ac:dyDescent="0.3">
      <c r="A15" s="32" t="s">
        <v>78</v>
      </c>
      <c r="B15" s="33"/>
      <c r="C15" s="11"/>
      <c r="D15" s="11">
        <v>106.592</v>
      </c>
      <c r="E15" s="11">
        <v>199.79</v>
      </c>
      <c r="F15" s="11">
        <v>202.04599999999999</v>
      </c>
      <c r="G15" s="11">
        <v>165.26599999999999</v>
      </c>
      <c r="H15" s="11">
        <v>189.14699999999999</v>
      </c>
      <c r="I15" s="11">
        <v>90.183000000000007</v>
      </c>
    </row>
    <row r="16" spans="1:9" x14ac:dyDescent="0.3">
      <c r="A16" s="34" t="s">
        <v>79</v>
      </c>
      <c r="B16" s="35"/>
      <c r="C16" s="12"/>
      <c r="D16" s="12">
        <f t="shared" ref="D16:I16" si="0">D9+D11+D12+D13+D14+D15</f>
        <v>115691.694</v>
      </c>
      <c r="E16" s="12">
        <f t="shared" si="0"/>
        <v>140146.677</v>
      </c>
      <c r="F16" s="12">
        <f t="shared" si="0"/>
        <v>153502.42500000002</v>
      </c>
      <c r="G16" s="12">
        <f t="shared" si="0"/>
        <v>165566.00599999999</v>
      </c>
      <c r="H16" s="12">
        <f t="shared" si="0"/>
        <v>166200.671</v>
      </c>
      <c r="I16" s="12">
        <f t="shared" si="0"/>
        <v>107493.561</v>
      </c>
    </row>
    <row r="17" spans="1:9" x14ac:dyDescent="0.3">
      <c r="A17" s="30" t="s">
        <v>80</v>
      </c>
      <c r="B17" s="31"/>
      <c r="C17" s="10"/>
      <c r="D17" s="10"/>
      <c r="E17" s="10"/>
      <c r="F17" s="10"/>
      <c r="G17" s="10"/>
      <c r="H17" s="10"/>
      <c r="I17" s="10"/>
    </row>
    <row r="18" spans="1:9" x14ac:dyDescent="0.3">
      <c r="A18" s="32" t="s">
        <v>81</v>
      </c>
      <c r="B18" s="33"/>
      <c r="C18" s="11"/>
      <c r="D18" s="11">
        <v>10526.573</v>
      </c>
      <c r="E18" s="11">
        <v>11206.843000000001</v>
      </c>
      <c r="F18" s="11">
        <v>14084.018</v>
      </c>
      <c r="G18" s="11">
        <v>14591.821</v>
      </c>
      <c r="H18" s="11">
        <v>19895.13</v>
      </c>
      <c r="I18" s="11">
        <v>6520.17</v>
      </c>
    </row>
    <row r="19" spans="1:9" x14ac:dyDescent="0.3">
      <c r="A19" s="32" t="s">
        <v>82</v>
      </c>
      <c r="B19" s="33"/>
      <c r="C19" s="11"/>
      <c r="D19" s="11">
        <v>3105.0369999999998</v>
      </c>
      <c r="E19" s="11">
        <v>7171.3639999999996</v>
      </c>
      <c r="F19" s="11">
        <v>6048.5069999999996</v>
      </c>
      <c r="G19" s="11">
        <v>8505.4259999999995</v>
      </c>
      <c r="H19" s="11">
        <v>4774.5770000000002</v>
      </c>
      <c r="I19" s="11">
        <v>2915.5520000000001</v>
      </c>
    </row>
    <row r="20" spans="1:9" x14ac:dyDescent="0.3">
      <c r="A20" s="32" t="s">
        <v>83</v>
      </c>
      <c r="B20" s="33"/>
      <c r="C20" s="11"/>
      <c r="D20" s="11">
        <v>2710.0810000000001</v>
      </c>
      <c r="E20" s="11">
        <v>3522.931</v>
      </c>
      <c r="F20" s="11">
        <v>5089.6670000000004</v>
      </c>
      <c r="G20" s="11">
        <v>6932.4790000000003</v>
      </c>
      <c r="H20" s="11">
        <v>6353.1940000000004</v>
      </c>
      <c r="I20" s="11">
        <v>3422.7669999999998</v>
      </c>
    </row>
    <row r="21" spans="1:9" x14ac:dyDescent="0.3">
      <c r="A21" s="32" t="s">
        <v>84</v>
      </c>
      <c r="B21" s="33"/>
      <c r="C21" s="11"/>
      <c r="D21" s="11">
        <v>16227.102999999999</v>
      </c>
      <c r="E21" s="11">
        <v>12751.155000000001</v>
      </c>
      <c r="F21" s="11">
        <v>21898.495999999999</v>
      </c>
      <c r="G21" s="11">
        <v>29837.628000000001</v>
      </c>
      <c r="H21" s="11">
        <v>61298.052000000003</v>
      </c>
      <c r="I21" s="11">
        <v>2970.9989999999998</v>
      </c>
    </row>
    <row r="22" spans="1:9" x14ac:dyDescent="0.3">
      <c r="A22" s="32" t="s">
        <v>85</v>
      </c>
      <c r="B22" s="33"/>
      <c r="C22" s="11"/>
      <c r="D22" s="11">
        <v>2825.424</v>
      </c>
      <c r="E22" s="11">
        <v>3871.078</v>
      </c>
      <c r="F22" s="11">
        <v>4116.1809999999996</v>
      </c>
      <c r="G22" s="11">
        <v>2567.1759999999999</v>
      </c>
      <c r="H22" s="11">
        <v>2790.3229999999999</v>
      </c>
      <c r="I22" s="11">
        <v>7816.6059999999998</v>
      </c>
    </row>
    <row r="23" spans="1:9" x14ac:dyDescent="0.3">
      <c r="A23" s="32" t="s">
        <v>86</v>
      </c>
      <c r="B23" s="33"/>
      <c r="C23" s="11"/>
      <c r="D23" s="11">
        <v>5282.15</v>
      </c>
      <c r="E23" s="11">
        <v>6292.32</v>
      </c>
      <c r="F23" s="11">
        <v>8339.7729999999992</v>
      </c>
      <c r="G23" s="11">
        <v>6017.5540000000001</v>
      </c>
      <c r="H23" s="11">
        <v>5436.0829999999996</v>
      </c>
      <c r="I23" s="11">
        <v>4728.8190000000004</v>
      </c>
    </row>
    <row r="24" spans="1:9" x14ac:dyDescent="0.3">
      <c r="A24" s="34" t="s">
        <v>87</v>
      </c>
      <c r="B24" s="35"/>
      <c r="C24" s="12"/>
      <c r="D24" s="12">
        <f t="shared" ref="D24:I24" si="1">D18+D19+D20+D21+D22+D23</f>
        <v>40676.368000000002</v>
      </c>
      <c r="E24" s="12">
        <f t="shared" si="1"/>
        <v>44815.691000000006</v>
      </c>
      <c r="F24" s="12">
        <f t="shared" si="1"/>
        <v>59576.642</v>
      </c>
      <c r="G24" s="12">
        <f t="shared" si="1"/>
        <v>68452.084000000003</v>
      </c>
      <c r="H24" s="12">
        <f t="shared" si="1"/>
        <v>100547.35900000001</v>
      </c>
      <c r="I24" s="12">
        <f t="shared" si="1"/>
        <v>28374.912999999997</v>
      </c>
    </row>
    <row r="25" spans="1:9" x14ac:dyDescent="0.3">
      <c r="A25" s="34" t="s">
        <v>88</v>
      </c>
      <c r="B25" s="35"/>
      <c r="C25" s="12"/>
      <c r="D25" s="12">
        <f t="shared" ref="D25:I25" si="2">D16+D24</f>
        <v>156368.06200000001</v>
      </c>
      <c r="E25" s="12">
        <f t="shared" si="2"/>
        <v>184962.36800000002</v>
      </c>
      <c r="F25" s="12">
        <f t="shared" si="2"/>
        <v>213079.06700000001</v>
      </c>
      <c r="G25" s="12">
        <f t="shared" si="2"/>
        <v>234018.09</v>
      </c>
      <c r="H25" s="12">
        <f t="shared" si="2"/>
        <v>266748.03000000003</v>
      </c>
      <c r="I25" s="12">
        <f t="shared" si="2"/>
        <v>135868.47399999999</v>
      </c>
    </row>
    <row r="26" spans="1:9" x14ac:dyDescent="0.3">
      <c r="A26" s="30" t="s">
        <v>89</v>
      </c>
      <c r="B26" s="31"/>
      <c r="C26" s="10"/>
      <c r="D26" s="10"/>
      <c r="E26" s="10"/>
      <c r="F26" s="10"/>
      <c r="G26" s="10"/>
      <c r="H26" s="10"/>
      <c r="I26" s="10"/>
    </row>
    <row r="27" spans="1:9" x14ac:dyDescent="0.3">
      <c r="A27" s="32" t="s">
        <v>90</v>
      </c>
      <c r="B27" s="33"/>
      <c r="C27" s="11"/>
      <c r="D27" s="11">
        <v>3233.75</v>
      </c>
      <c r="E27" s="11">
        <v>3233.75</v>
      </c>
      <c r="F27" s="11">
        <v>3118.386</v>
      </c>
      <c r="G27" s="11">
        <v>2930</v>
      </c>
      <c r="H27" s="11">
        <v>2930</v>
      </c>
      <c r="I27" s="11">
        <v>3233.75</v>
      </c>
    </row>
    <row r="28" spans="1:9" x14ac:dyDescent="0.3">
      <c r="A28" s="32" t="s">
        <v>91</v>
      </c>
      <c r="B28" s="33"/>
      <c r="C28" s="11"/>
      <c r="D28" s="11">
        <v>109966.508</v>
      </c>
      <c r="E28" s="11">
        <v>125306.57399999999</v>
      </c>
      <c r="F28" s="11">
        <v>134247.94</v>
      </c>
      <c r="G28" s="11">
        <v>144831.277</v>
      </c>
      <c r="H28" s="11">
        <v>172980.4</v>
      </c>
      <c r="I28" s="11">
        <v>95950.111000000004</v>
      </c>
    </row>
    <row r="29" spans="1:9" x14ac:dyDescent="0.3">
      <c r="A29" s="34" t="s">
        <v>92</v>
      </c>
      <c r="B29" s="35"/>
      <c r="C29" s="12"/>
      <c r="D29" s="12">
        <f t="shared" ref="D29:I29" si="3">D27+D28</f>
        <v>113200.258</v>
      </c>
      <c r="E29" s="12">
        <f t="shared" si="3"/>
        <v>128540.32399999999</v>
      </c>
      <c r="F29" s="12">
        <f t="shared" si="3"/>
        <v>137366.326</v>
      </c>
      <c r="G29" s="12">
        <f t="shared" si="3"/>
        <v>147761.277</v>
      </c>
      <c r="H29" s="12">
        <f t="shared" si="3"/>
        <v>175910.39999999999</v>
      </c>
      <c r="I29" s="12">
        <f t="shared" si="3"/>
        <v>99183.861000000004</v>
      </c>
    </row>
    <row r="30" spans="1:9" x14ac:dyDescent="0.3">
      <c r="A30" s="30" t="s">
        <v>93</v>
      </c>
      <c r="B30" s="31"/>
      <c r="C30" s="10"/>
      <c r="D30" s="10"/>
      <c r="E30" s="10"/>
      <c r="F30" s="10"/>
      <c r="G30" s="10"/>
      <c r="H30" s="10"/>
      <c r="I30" s="10"/>
    </row>
    <row r="31" spans="1:9" x14ac:dyDescent="0.3">
      <c r="A31" s="32" t="s">
        <v>94</v>
      </c>
      <c r="B31" s="33"/>
      <c r="C31" s="11"/>
      <c r="D31" s="11">
        <v>2934.0439999999999</v>
      </c>
      <c r="E31" s="11">
        <v>14108.446</v>
      </c>
      <c r="F31" s="11">
        <v>14557.294</v>
      </c>
      <c r="G31" s="11">
        <v>12760.637000000001</v>
      </c>
      <c r="H31" s="11">
        <v>9184.5220000000008</v>
      </c>
      <c r="I31" s="11">
        <v>320.46100000000001</v>
      </c>
    </row>
    <row r="32" spans="1:9" x14ac:dyDescent="0.3">
      <c r="A32" s="32" t="s">
        <v>95</v>
      </c>
      <c r="B32" s="33"/>
      <c r="C32" s="11"/>
      <c r="D32" s="11">
        <v>0</v>
      </c>
      <c r="E32" s="11">
        <v>0</v>
      </c>
      <c r="F32" s="11">
        <v>0</v>
      </c>
      <c r="G32" s="11">
        <v>0</v>
      </c>
      <c r="H32" s="11">
        <v>0</v>
      </c>
      <c r="I32" s="11">
        <v>0</v>
      </c>
    </row>
    <row r="33" spans="1:9" x14ac:dyDescent="0.3">
      <c r="A33" s="32" t="s">
        <v>96</v>
      </c>
      <c r="B33" s="33"/>
      <c r="C33" s="11"/>
      <c r="D33" s="11">
        <v>1107.94</v>
      </c>
      <c r="E33" s="11">
        <v>2164.4549999999999</v>
      </c>
      <c r="F33" s="11">
        <v>2121.3069999999998</v>
      </c>
      <c r="G33" s="11">
        <v>1766.0550000000001</v>
      </c>
      <c r="H33" s="11">
        <v>1382.6510000000001</v>
      </c>
      <c r="I33" s="11">
        <v>59.72</v>
      </c>
    </row>
    <row r="34" spans="1:9" x14ac:dyDescent="0.3">
      <c r="A34" s="32" t="s">
        <v>97</v>
      </c>
      <c r="B34" s="33"/>
      <c r="C34" s="11"/>
      <c r="D34" s="11">
        <v>6157.2240000000002</v>
      </c>
      <c r="E34" s="11">
        <v>6941.1719999999996</v>
      </c>
      <c r="F34" s="11">
        <v>10025.499</v>
      </c>
      <c r="G34" s="11">
        <v>0</v>
      </c>
      <c r="H34" s="11">
        <v>0</v>
      </c>
      <c r="I34" s="11">
        <v>5167.5609999999997</v>
      </c>
    </row>
    <row r="35" spans="1:9" x14ac:dyDescent="0.3">
      <c r="A35" s="32" t="s">
        <v>98</v>
      </c>
      <c r="B35" s="33"/>
      <c r="C35" s="11"/>
      <c r="D35" s="11">
        <v>2581.5300000000002</v>
      </c>
      <c r="E35" s="11">
        <v>2846.6129999999998</v>
      </c>
      <c r="F35" s="11">
        <v>2827.7620000000002</v>
      </c>
      <c r="G35" s="11">
        <v>17541.648000000001</v>
      </c>
      <c r="H35" s="11">
        <v>21629.074000000001</v>
      </c>
      <c r="I35" s="11">
        <v>2181.5189999999998</v>
      </c>
    </row>
    <row r="36" spans="1:9" x14ac:dyDescent="0.3">
      <c r="A36" s="34" t="s">
        <v>99</v>
      </c>
      <c r="B36" s="35"/>
      <c r="C36" s="12"/>
      <c r="D36" s="12">
        <f t="shared" ref="D36:I36" si="4">D31+D32+D33+D34+D35</f>
        <v>12780.738000000001</v>
      </c>
      <c r="E36" s="12">
        <f t="shared" si="4"/>
        <v>26060.686000000002</v>
      </c>
      <c r="F36" s="12">
        <f t="shared" si="4"/>
        <v>29531.861999999997</v>
      </c>
      <c r="G36" s="12">
        <f t="shared" si="4"/>
        <v>32068.340000000004</v>
      </c>
      <c r="H36" s="12">
        <f t="shared" si="4"/>
        <v>32196.247000000003</v>
      </c>
      <c r="I36" s="12">
        <f t="shared" si="4"/>
        <v>7729.2610000000004</v>
      </c>
    </row>
    <row r="37" spans="1:9" x14ac:dyDescent="0.3">
      <c r="A37" s="30" t="s">
        <v>100</v>
      </c>
      <c r="B37" s="31"/>
      <c r="C37" s="10"/>
      <c r="D37" s="10"/>
      <c r="E37" s="10"/>
      <c r="F37" s="10"/>
      <c r="G37" s="10"/>
      <c r="H37" s="10"/>
      <c r="I37" s="10"/>
    </row>
    <row r="38" spans="1:9" x14ac:dyDescent="0.3">
      <c r="A38" s="32" t="s">
        <v>101</v>
      </c>
      <c r="B38" s="33"/>
      <c r="C38" s="11"/>
      <c r="D38" s="11">
        <v>20789.759999999998</v>
      </c>
      <c r="E38" s="11">
        <v>23191.483</v>
      </c>
      <c r="F38" s="11">
        <v>29918.702000000001</v>
      </c>
      <c r="G38" s="11">
        <v>30006.625</v>
      </c>
      <c r="H38" s="11">
        <v>27300.919000000002</v>
      </c>
      <c r="I38" s="11">
        <v>19354.794000000002</v>
      </c>
    </row>
    <row r="39" spans="1:9" x14ac:dyDescent="0.3">
      <c r="A39" s="32" t="s">
        <v>102</v>
      </c>
      <c r="B39" s="33"/>
      <c r="C39" s="11"/>
      <c r="D39" s="11">
        <v>0</v>
      </c>
      <c r="E39" s="11">
        <v>0</v>
      </c>
      <c r="F39" s="11">
        <v>0</v>
      </c>
      <c r="G39" s="11">
        <v>0</v>
      </c>
      <c r="H39" s="11">
        <v>0</v>
      </c>
      <c r="I39" s="11">
        <v>0</v>
      </c>
    </row>
    <row r="40" spans="1:9" x14ac:dyDescent="0.3">
      <c r="A40" s="32" t="s">
        <v>103</v>
      </c>
      <c r="B40" s="33"/>
      <c r="C40" s="11"/>
      <c r="D40" s="11">
        <v>70.867999999999995</v>
      </c>
      <c r="E40" s="11">
        <v>135.452</v>
      </c>
      <c r="F40" s="11">
        <v>497.745</v>
      </c>
      <c r="G40" s="11">
        <v>342.935</v>
      </c>
      <c r="H40" s="11">
        <v>185.61600000000001</v>
      </c>
      <c r="I40" s="11">
        <v>46.173000000000002</v>
      </c>
    </row>
    <row r="41" spans="1:9" x14ac:dyDescent="0.3">
      <c r="A41" s="32" t="s">
        <v>104</v>
      </c>
      <c r="B41" s="33"/>
      <c r="C41" s="11"/>
      <c r="D41" s="11">
        <v>7050</v>
      </c>
      <c r="E41" s="11">
        <v>1000</v>
      </c>
      <c r="F41" s="11">
        <v>5885</v>
      </c>
      <c r="G41" s="11">
        <v>5485</v>
      </c>
      <c r="H41" s="11">
        <v>6485</v>
      </c>
      <c r="I41" s="11">
        <v>7931.4440000000004</v>
      </c>
    </row>
    <row r="42" spans="1:9" x14ac:dyDescent="0.3">
      <c r="A42" s="32" t="s">
        <v>105</v>
      </c>
      <c r="B42" s="33"/>
      <c r="C42" s="11"/>
      <c r="D42" s="11">
        <v>506.90800000000002</v>
      </c>
      <c r="E42" s="11">
        <v>487.202</v>
      </c>
      <c r="F42" s="11">
        <v>599.65300000000002</v>
      </c>
      <c r="G42" s="11">
        <v>2099.1469999999999</v>
      </c>
      <c r="H42" s="11">
        <v>1866.085</v>
      </c>
      <c r="I42" s="11">
        <v>126.727</v>
      </c>
    </row>
    <row r="43" spans="1:9" x14ac:dyDescent="0.3">
      <c r="A43" s="32" t="s">
        <v>106</v>
      </c>
      <c r="B43" s="33"/>
      <c r="C43" s="11"/>
      <c r="D43" s="11">
        <v>0</v>
      </c>
      <c r="E43" s="11">
        <v>0</v>
      </c>
      <c r="F43" s="11">
        <v>0</v>
      </c>
      <c r="G43" s="11">
        <v>0</v>
      </c>
      <c r="H43" s="11">
        <v>0</v>
      </c>
      <c r="I43" s="11">
        <v>0</v>
      </c>
    </row>
    <row r="44" spans="1:9" x14ac:dyDescent="0.3">
      <c r="A44" s="32" t="s">
        <v>107</v>
      </c>
      <c r="B44" s="33"/>
      <c r="C44" s="11"/>
      <c r="D44" s="11">
        <v>0</v>
      </c>
      <c r="E44" s="11">
        <v>0</v>
      </c>
      <c r="F44" s="11">
        <v>0</v>
      </c>
      <c r="G44" s="11">
        <v>0</v>
      </c>
      <c r="H44" s="11">
        <v>0</v>
      </c>
      <c r="I44" s="11">
        <v>0</v>
      </c>
    </row>
    <row r="45" spans="1:9" x14ac:dyDescent="0.3">
      <c r="A45" s="32" t="s">
        <v>108</v>
      </c>
      <c r="B45" s="33"/>
      <c r="C45" s="11"/>
      <c r="D45" s="11">
        <v>53.457999999999998</v>
      </c>
      <c r="E45" s="11">
        <v>51.03</v>
      </c>
      <c r="F45" s="11">
        <v>50.115000000000002</v>
      </c>
      <c r="G45" s="11">
        <v>59.148000000000003</v>
      </c>
      <c r="H45" s="11">
        <v>65.745000000000005</v>
      </c>
      <c r="I45" s="11">
        <v>73.346999999999994</v>
      </c>
    </row>
    <row r="46" spans="1:9" x14ac:dyDescent="0.3">
      <c r="A46" s="32" t="s">
        <v>109</v>
      </c>
      <c r="B46" s="33"/>
      <c r="C46" s="11"/>
      <c r="D46" s="11">
        <v>1916.0719999999999</v>
      </c>
      <c r="E46" s="11">
        <v>5496.1909999999998</v>
      </c>
      <c r="F46" s="11">
        <v>9229.6640000000007</v>
      </c>
      <c r="G46" s="11">
        <v>16195.618</v>
      </c>
      <c r="H46" s="11">
        <v>22738.018</v>
      </c>
      <c r="I46" s="11">
        <v>1422.867</v>
      </c>
    </row>
    <row r="47" spans="1:9" x14ac:dyDescent="0.3">
      <c r="A47" s="32" t="s">
        <v>110</v>
      </c>
      <c r="B47" s="33"/>
      <c r="C47" s="11"/>
      <c r="D47" s="11">
        <v>0</v>
      </c>
      <c r="E47" s="11">
        <v>0</v>
      </c>
      <c r="F47" s="11">
        <v>0</v>
      </c>
      <c r="G47" s="11">
        <v>0</v>
      </c>
      <c r="H47" s="11">
        <v>0</v>
      </c>
      <c r="I47" s="11">
        <v>0</v>
      </c>
    </row>
    <row r="48" spans="1:9" x14ac:dyDescent="0.3">
      <c r="A48" s="34" t="s">
        <v>111</v>
      </c>
      <c r="B48" s="35"/>
      <c r="C48" s="12"/>
      <c r="D48" s="12">
        <f t="shared" ref="D48:I48" si="5">D38+D39+D40+D41+D42+D43+D44+D45+D46+D47</f>
        <v>30387.065999999995</v>
      </c>
      <c r="E48" s="12">
        <f t="shared" si="5"/>
        <v>30361.358</v>
      </c>
      <c r="F48" s="12">
        <f t="shared" si="5"/>
        <v>46180.879000000001</v>
      </c>
      <c r="G48" s="12">
        <f t="shared" si="5"/>
        <v>54188.472999999998</v>
      </c>
      <c r="H48" s="12">
        <f t="shared" si="5"/>
        <v>58641.383000000002</v>
      </c>
      <c r="I48" s="12">
        <f t="shared" si="5"/>
        <v>28955.351999999999</v>
      </c>
    </row>
    <row r="49" spans="1:9" x14ac:dyDescent="0.3">
      <c r="A49" s="34" t="s">
        <v>112</v>
      </c>
      <c r="B49" s="35"/>
      <c r="C49" s="12"/>
      <c r="D49" s="12">
        <f t="shared" ref="D49:I49" si="6">D36+D48</f>
        <v>43167.803999999996</v>
      </c>
      <c r="E49" s="12">
        <f t="shared" si="6"/>
        <v>56422.044000000002</v>
      </c>
      <c r="F49" s="12">
        <f t="shared" si="6"/>
        <v>75712.740999999995</v>
      </c>
      <c r="G49" s="12">
        <f t="shared" si="6"/>
        <v>86256.812999999995</v>
      </c>
      <c r="H49" s="12">
        <f t="shared" si="6"/>
        <v>90837.63</v>
      </c>
      <c r="I49" s="12">
        <f t="shared" si="6"/>
        <v>36684.612999999998</v>
      </c>
    </row>
    <row r="50" spans="1:9" x14ac:dyDescent="0.3">
      <c r="A50" s="34" t="s">
        <v>113</v>
      </c>
      <c r="B50" s="35"/>
      <c r="C50" s="12"/>
      <c r="D50" s="12">
        <f t="shared" ref="D50:I50" si="7">D29+D49</f>
        <v>156368.06200000001</v>
      </c>
      <c r="E50" s="12">
        <f t="shared" si="7"/>
        <v>184962.36799999999</v>
      </c>
      <c r="F50" s="12">
        <f t="shared" si="7"/>
        <v>213079.06699999998</v>
      </c>
      <c r="G50" s="12">
        <f t="shared" si="7"/>
        <v>234018.09</v>
      </c>
      <c r="H50" s="12">
        <f t="shared" si="7"/>
        <v>266748.03000000003</v>
      </c>
      <c r="I50" s="12">
        <f t="shared" si="7"/>
        <v>135868.47399999999</v>
      </c>
    </row>
    <row r="51" spans="1:9" x14ac:dyDescent="0.3">
      <c r="A51" s="30" t="s">
        <v>114</v>
      </c>
      <c r="B51" s="31"/>
      <c r="C51" s="10"/>
      <c r="D51" s="10"/>
      <c r="E51" s="10"/>
      <c r="F51" s="10"/>
      <c r="G51" s="10"/>
      <c r="H51" s="10"/>
      <c r="I51" s="10"/>
    </row>
    <row r="52" spans="1:9" x14ac:dyDescent="0.3">
      <c r="A52" s="32" t="s">
        <v>115</v>
      </c>
      <c r="B52" s="33"/>
      <c r="C52" s="11"/>
      <c r="D52" s="11">
        <v>2882.4340000000002</v>
      </c>
      <c r="E52" s="11">
        <v>3352.998</v>
      </c>
      <c r="F52" s="11">
        <v>5030.5460000000003</v>
      </c>
      <c r="G52" s="11">
        <v>7172.1440000000002</v>
      </c>
      <c r="H52" s="11">
        <v>6426.9750000000004</v>
      </c>
      <c r="I52" s="11">
        <v>2599.29</v>
      </c>
    </row>
    <row r="53" spans="1:9" x14ac:dyDescent="0.3">
      <c r="A53" s="32" t="s">
        <v>116</v>
      </c>
      <c r="B53" s="33"/>
      <c r="C53" s="11"/>
      <c r="D53" s="11">
        <f t="shared" ref="D53:I53" si="8">D9-D10</f>
        <v>58374.902999999998</v>
      </c>
      <c r="E53" s="11">
        <f t="shared" si="8"/>
        <v>60389.836000000003</v>
      </c>
      <c r="F53" s="11">
        <f t="shared" si="8"/>
        <v>90058.160999999993</v>
      </c>
      <c r="G53" s="11">
        <f t="shared" si="8"/>
        <v>95625.67</v>
      </c>
      <c r="H53" s="11">
        <f t="shared" si="8"/>
        <v>101988.84600000001</v>
      </c>
      <c r="I53" s="11">
        <f t="shared" si="8"/>
        <v>59913.379000000001</v>
      </c>
    </row>
    <row r="54" spans="1:9" x14ac:dyDescent="0.3">
      <c r="A54" s="32" t="s">
        <v>117</v>
      </c>
      <c r="B54" s="33"/>
      <c r="C54" s="11"/>
      <c r="D54" s="11">
        <f t="shared" ref="D54:I54" si="9">D18+D19</f>
        <v>13631.61</v>
      </c>
      <c r="E54" s="11">
        <f t="shared" si="9"/>
        <v>18378.207000000002</v>
      </c>
      <c r="F54" s="11">
        <f t="shared" si="9"/>
        <v>20132.525000000001</v>
      </c>
      <c r="G54" s="11">
        <f t="shared" si="9"/>
        <v>23097.246999999999</v>
      </c>
      <c r="H54" s="11">
        <f t="shared" si="9"/>
        <v>24669.707000000002</v>
      </c>
      <c r="I54" s="11">
        <f t="shared" si="9"/>
        <v>9435.7219999999998</v>
      </c>
    </row>
    <row r="55" spans="1:9" x14ac:dyDescent="0.3">
      <c r="A55" s="32" t="s">
        <v>118</v>
      </c>
      <c r="B55" s="33"/>
      <c r="C55" s="11"/>
      <c r="D55" s="11">
        <f t="shared" ref="D55:I55" si="10">D31+D32+D41+D42+D43-D197-D198</f>
        <v>10490.951999999999</v>
      </c>
      <c r="E55" s="11">
        <f t="shared" si="10"/>
        <v>15595.647999999999</v>
      </c>
      <c r="F55" s="11">
        <f t="shared" si="10"/>
        <v>21041.947</v>
      </c>
      <c r="G55" s="11">
        <f t="shared" si="10"/>
        <v>20344.784000000003</v>
      </c>
      <c r="H55" s="11">
        <f t="shared" si="10"/>
        <v>17535.607</v>
      </c>
      <c r="I55" s="11">
        <f t="shared" si="10"/>
        <v>8378.6320000000014</v>
      </c>
    </row>
    <row r="56" spans="1:9" x14ac:dyDescent="0.3">
      <c r="A56" s="32" t="s">
        <v>119</v>
      </c>
      <c r="B56" s="33"/>
      <c r="C56" s="11"/>
      <c r="D56" s="11">
        <f t="shared" ref="D56:I56" si="11">D31+D32</f>
        <v>2934.0439999999999</v>
      </c>
      <c r="E56" s="11">
        <f t="shared" si="11"/>
        <v>14108.446</v>
      </c>
      <c r="F56" s="11">
        <f t="shared" si="11"/>
        <v>14557.294</v>
      </c>
      <c r="G56" s="11">
        <f t="shared" si="11"/>
        <v>12760.637000000001</v>
      </c>
      <c r="H56" s="11">
        <f t="shared" si="11"/>
        <v>9184.5220000000008</v>
      </c>
      <c r="I56" s="11">
        <f t="shared" si="11"/>
        <v>320.46100000000001</v>
      </c>
    </row>
    <row r="57" spans="1:9" x14ac:dyDescent="0.3">
      <c r="A57" s="32"/>
      <c r="B57" s="33"/>
      <c r="C57" s="11"/>
      <c r="D57" s="11"/>
      <c r="E57" s="11"/>
      <c r="F57" s="11"/>
      <c r="G57" s="11"/>
      <c r="H57" s="11"/>
      <c r="I57" s="11"/>
    </row>
    <row r="58" spans="1:9" x14ac:dyDescent="0.3">
      <c r="A58" s="32" t="s">
        <v>120</v>
      </c>
      <c r="B58" s="33"/>
      <c r="C58" s="11"/>
      <c r="D58" s="11">
        <f t="shared" ref="D58:I58" si="12">D55+D29</f>
        <v>123691.21</v>
      </c>
      <c r="E58" s="11">
        <f t="shared" si="12"/>
        <v>144135.97199999998</v>
      </c>
      <c r="F58" s="11">
        <f t="shared" si="12"/>
        <v>158408.27299999999</v>
      </c>
      <c r="G58" s="11">
        <f t="shared" si="12"/>
        <v>168106.06100000002</v>
      </c>
      <c r="H58" s="11">
        <f t="shared" si="12"/>
        <v>193446.00699999998</v>
      </c>
      <c r="I58" s="11">
        <f t="shared" si="12"/>
        <v>107562.493</v>
      </c>
    </row>
    <row r="59" spans="1:9" x14ac:dyDescent="0.3">
      <c r="A59" s="32" t="s">
        <v>121</v>
      </c>
      <c r="B59" s="33"/>
      <c r="C59" s="11"/>
      <c r="D59" s="11">
        <f t="shared" ref="D59:I59" si="13">D24-D22-D21</f>
        <v>21623.841000000004</v>
      </c>
      <c r="E59" s="11">
        <f t="shared" si="13"/>
        <v>28193.458000000006</v>
      </c>
      <c r="F59" s="11">
        <f t="shared" si="13"/>
        <v>33561.965000000004</v>
      </c>
      <c r="G59" s="11">
        <f t="shared" si="13"/>
        <v>36047.279999999999</v>
      </c>
      <c r="H59" s="11">
        <f t="shared" si="13"/>
        <v>36458.984000000004</v>
      </c>
      <c r="I59" s="11">
        <f t="shared" si="13"/>
        <v>17587.307999999997</v>
      </c>
    </row>
    <row r="60" spans="1:9" x14ac:dyDescent="0.3">
      <c r="A60" s="32" t="s">
        <v>122</v>
      </c>
      <c r="B60" s="33"/>
      <c r="C60" s="11"/>
      <c r="D60" s="11">
        <f t="shared" ref="D60:I60" si="14">D48-D41-D42-D43-D44-D40-D45</f>
        <v>22705.831999999999</v>
      </c>
      <c r="E60" s="11">
        <f t="shared" si="14"/>
        <v>28687.673999999999</v>
      </c>
      <c r="F60" s="11">
        <f t="shared" si="14"/>
        <v>39148.366000000002</v>
      </c>
      <c r="G60" s="11">
        <f t="shared" si="14"/>
        <v>46202.243000000002</v>
      </c>
      <c r="H60" s="11">
        <f t="shared" si="14"/>
        <v>50038.936999999998</v>
      </c>
      <c r="I60" s="11">
        <f t="shared" si="14"/>
        <v>20777.661</v>
      </c>
    </row>
    <row r="61" spans="1:9" x14ac:dyDescent="0.3">
      <c r="A61" s="23"/>
      <c r="B61" s="23"/>
    </row>
    <row r="62" spans="1:9" ht="19.5" customHeight="1" x14ac:dyDescent="0.3">
      <c r="A62" s="26" t="s">
        <v>123</v>
      </c>
      <c r="B62" s="27"/>
      <c r="C62" s="3"/>
      <c r="D62" s="3"/>
      <c r="E62" s="3"/>
      <c r="F62" s="3"/>
      <c r="G62" s="3"/>
      <c r="H62" s="3"/>
      <c r="I62" s="3"/>
    </row>
    <row r="63" spans="1:9" ht="16.5" customHeight="1" x14ac:dyDescent="0.3">
      <c r="A63" s="28" t="s">
        <v>64</v>
      </c>
      <c r="B63" s="29"/>
      <c r="C63" s="9"/>
      <c r="D63" s="9" t="s">
        <v>65</v>
      </c>
      <c r="E63" s="9" t="s">
        <v>66</v>
      </c>
      <c r="F63" s="9" t="s">
        <v>67</v>
      </c>
      <c r="G63" s="9" t="s">
        <v>68</v>
      </c>
      <c r="H63" s="9" t="s">
        <v>69</v>
      </c>
      <c r="I63" s="9" t="s">
        <v>70</v>
      </c>
    </row>
    <row r="64" spans="1:9" x14ac:dyDescent="0.3">
      <c r="A64" s="32" t="s">
        <v>124</v>
      </c>
      <c r="B64" s="33"/>
      <c r="C64" s="11"/>
      <c r="D64" s="11">
        <v>62940.805</v>
      </c>
      <c r="E64" s="11">
        <v>81093.524999999994</v>
      </c>
      <c r="F64" s="11">
        <v>95832.146999999997</v>
      </c>
      <c r="G64" s="11">
        <v>115324.942</v>
      </c>
      <c r="H64" s="11">
        <v>124511.74400000001</v>
      </c>
      <c r="I64" s="11">
        <v>41870.796000000002</v>
      </c>
    </row>
    <row r="65" spans="1:9" x14ac:dyDescent="0.3">
      <c r="A65" s="32" t="s">
        <v>125</v>
      </c>
      <c r="B65" s="33"/>
      <c r="C65" s="11"/>
      <c r="D65" s="11">
        <v>-43984.873</v>
      </c>
      <c r="E65" s="11">
        <v>-58541.684000000001</v>
      </c>
      <c r="F65" s="11">
        <v>-69771.468999999997</v>
      </c>
      <c r="G65" s="11">
        <v>-76520.37</v>
      </c>
      <c r="H65" s="11">
        <v>-81827.06</v>
      </c>
      <c r="I65" s="11">
        <v>-35794.031000000003</v>
      </c>
    </row>
    <row r="66" spans="1:9" x14ac:dyDescent="0.3">
      <c r="A66" s="34" t="s">
        <v>126</v>
      </c>
      <c r="B66" s="35"/>
      <c r="C66" s="12"/>
      <c r="D66" s="12">
        <f t="shared" ref="D66:I66" si="15">D64+D65</f>
        <v>18955.932000000001</v>
      </c>
      <c r="E66" s="12">
        <f t="shared" si="15"/>
        <v>22551.840999999993</v>
      </c>
      <c r="F66" s="12">
        <f t="shared" si="15"/>
        <v>26060.678</v>
      </c>
      <c r="G66" s="12">
        <f t="shared" si="15"/>
        <v>38804.572</v>
      </c>
      <c r="H66" s="12">
        <f t="shared" si="15"/>
        <v>42684.684000000008</v>
      </c>
      <c r="I66" s="12">
        <f t="shared" si="15"/>
        <v>6076.7649999999994</v>
      </c>
    </row>
    <row r="67" spans="1:9" x14ac:dyDescent="0.3">
      <c r="A67" s="32" t="s">
        <v>127</v>
      </c>
      <c r="B67" s="33"/>
      <c r="C67" s="11"/>
      <c r="D67" s="11">
        <v>-4859.0959999999995</v>
      </c>
      <c r="E67" s="11">
        <v>-4764.5739999999996</v>
      </c>
      <c r="F67" s="11">
        <v>-5326.8940000000002</v>
      </c>
      <c r="G67" s="11">
        <v>-7773.8850000000002</v>
      </c>
      <c r="H67" s="11">
        <v>-8972.8150000000005</v>
      </c>
      <c r="I67" s="11">
        <v>-3699.154</v>
      </c>
    </row>
    <row r="68" spans="1:9" x14ac:dyDescent="0.3">
      <c r="A68" s="32" t="s">
        <v>128</v>
      </c>
      <c r="B68" s="33"/>
      <c r="C68" s="11"/>
      <c r="D68" s="11">
        <v>-1257.0740000000001</v>
      </c>
      <c r="E68" s="11">
        <v>-1512.279</v>
      </c>
      <c r="F68" s="11">
        <v>-1825.578</v>
      </c>
      <c r="G68" s="11">
        <v>-2160.6819999999998</v>
      </c>
      <c r="H68" s="11">
        <v>-2427.2489999999998</v>
      </c>
      <c r="I68" s="11">
        <v>-1189.6379999999999</v>
      </c>
    </row>
    <row r="69" spans="1:9" x14ac:dyDescent="0.3">
      <c r="A69" s="32" t="s">
        <v>129</v>
      </c>
      <c r="B69" s="33"/>
      <c r="C69" s="11"/>
      <c r="D69" s="11">
        <v>0</v>
      </c>
      <c r="E69" s="11">
        <v>0</v>
      </c>
      <c r="F69" s="11">
        <v>0</v>
      </c>
      <c r="G69" s="11">
        <v>0</v>
      </c>
      <c r="H69" s="11">
        <v>0</v>
      </c>
      <c r="I69" s="11">
        <v>0</v>
      </c>
    </row>
    <row r="70" spans="1:9" x14ac:dyDescent="0.3">
      <c r="A70" s="32" t="s">
        <v>130</v>
      </c>
      <c r="B70" s="33"/>
      <c r="C70" s="11"/>
      <c r="D70" s="11">
        <v>-1507.673</v>
      </c>
      <c r="E70" s="11">
        <v>-1847.039</v>
      </c>
      <c r="F70" s="11">
        <v>-2442.585</v>
      </c>
      <c r="G70" s="11">
        <v>-2476.636</v>
      </c>
      <c r="H70" s="11">
        <v>-3056.913</v>
      </c>
      <c r="I70" s="11">
        <v>-377.52600000000001</v>
      </c>
    </row>
    <row r="71" spans="1:9" x14ac:dyDescent="0.3">
      <c r="A71" s="34" t="s">
        <v>131</v>
      </c>
      <c r="B71" s="35"/>
      <c r="C71" s="12"/>
      <c r="D71" s="12">
        <f t="shared" ref="D71:I71" si="16">D66+D67+D68+D69+D70</f>
        <v>11332.089</v>
      </c>
      <c r="E71" s="12">
        <f t="shared" si="16"/>
        <v>14427.948999999991</v>
      </c>
      <c r="F71" s="12">
        <f t="shared" si="16"/>
        <v>16465.620999999999</v>
      </c>
      <c r="G71" s="12">
        <f t="shared" si="16"/>
        <v>26393.368999999999</v>
      </c>
      <c r="H71" s="12">
        <f t="shared" si="16"/>
        <v>28227.707000000006</v>
      </c>
      <c r="I71" s="12">
        <f t="shared" si="16"/>
        <v>810.44699999999943</v>
      </c>
    </row>
    <row r="72" spans="1:9" x14ac:dyDescent="0.3">
      <c r="A72" s="32" t="s">
        <v>132</v>
      </c>
      <c r="B72" s="33"/>
      <c r="C72" s="11"/>
      <c r="D72" s="11">
        <v>5993.0290000000005</v>
      </c>
      <c r="E72" s="11">
        <v>7387.8</v>
      </c>
      <c r="F72" s="11">
        <v>6047.4229999999998</v>
      </c>
      <c r="G72" s="11">
        <v>16575.363000000001</v>
      </c>
      <c r="H72" s="11">
        <v>20465.920999999998</v>
      </c>
      <c r="I72" s="11">
        <v>3185.8589999999999</v>
      </c>
    </row>
    <row r="73" spans="1:9" x14ac:dyDescent="0.3">
      <c r="A73" s="32" t="s">
        <v>133</v>
      </c>
      <c r="B73" s="33"/>
      <c r="C73" s="11"/>
      <c r="D73" s="11">
        <v>0</v>
      </c>
      <c r="E73" s="11">
        <v>0</v>
      </c>
      <c r="F73" s="11">
        <v>0</v>
      </c>
      <c r="G73" s="11">
        <v>0</v>
      </c>
      <c r="H73" s="11">
        <v>0</v>
      </c>
      <c r="I73" s="11">
        <v>0</v>
      </c>
    </row>
    <row r="74" spans="1:9" x14ac:dyDescent="0.3">
      <c r="A74" s="32" t="s">
        <v>134</v>
      </c>
      <c r="B74" s="33"/>
      <c r="C74" s="11"/>
      <c r="D74" s="11">
        <v>0</v>
      </c>
      <c r="E74" s="11">
        <v>0</v>
      </c>
      <c r="F74" s="11">
        <v>0</v>
      </c>
      <c r="G74" s="11">
        <v>0</v>
      </c>
      <c r="H74" s="11">
        <v>0</v>
      </c>
      <c r="I74" s="11">
        <v>0</v>
      </c>
    </row>
    <row r="75" spans="1:9" x14ac:dyDescent="0.3">
      <c r="A75" s="32" t="s">
        <v>135</v>
      </c>
      <c r="B75" s="33"/>
      <c r="C75" s="11"/>
      <c r="D75" s="11">
        <v>-332.90499999999997</v>
      </c>
      <c r="E75" s="11">
        <v>-394.517</v>
      </c>
      <c r="F75" s="11">
        <v>-1169.77</v>
      </c>
      <c r="G75" s="11">
        <v>-1581.1679999999999</v>
      </c>
      <c r="H75" s="11">
        <v>-1370.569</v>
      </c>
      <c r="I75" s="11">
        <v>-176.37799999999999</v>
      </c>
    </row>
    <row r="76" spans="1:9" x14ac:dyDescent="0.3">
      <c r="A76" s="34" t="s">
        <v>136</v>
      </c>
      <c r="B76" s="35"/>
      <c r="C76" s="12"/>
      <c r="D76" s="12">
        <f t="shared" ref="D76:I76" si="17">D71+D72+D73+D74+D75</f>
        <v>16992.213000000003</v>
      </c>
      <c r="E76" s="12">
        <f t="shared" si="17"/>
        <v>21421.231999999993</v>
      </c>
      <c r="F76" s="12">
        <f t="shared" si="17"/>
        <v>21343.273999999998</v>
      </c>
      <c r="G76" s="12">
        <f t="shared" si="17"/>
        <v>41387.564000000006</v>
      </c>
      <c r="H76" s="12">
        <f t="shared" si="17"/>
        <v>47323.059000000001</v>
      </c>
      <c r="I76" s="12">
        <f t="shared" si="17"/>
        <v>3819.9279999999994</v>
      </c>
    </row>
    <row r="77" spans="1:9" x14ac:dyDescent="0.3">
      <c r="A77" s="32" t="s">
        <v>137</v>
      </c>
      <c r="B77" s="33"/>
      <c r="C77" s="11"/>
      <c r="D77" s="11">
        <v>0</v>
      </c>
      <c r="E77" s="11">
        <v>0</v>
      </c>
      <c r="F77" s="11">
        <v>-437.83300000000003</v>
      </c>
      <c r="G77" s="11">
        <v>-953.05100000000004</v>
      </c>
      <c r="H77" s="11">
        <v>-329.6</v>
      </c>
      <c r="I77" s="11">
        <v>0</v>
      </c>
    </row>
    <row r="78" spans="1:9" x14ac:dyDescent="0.3">
      <c r="A78" s="32" t="s">
        <v>138</v>
      </c>
      <c r="B78" s="33"/>
      <c r="C78" s="11"/>
      <c r="D78" s="11">
        <v>-2922.0239999999999</v>
      </c>
      <c r="E78" s="11">
        <v>-6122.6139999999996</v>
      </c>
      <c r="F78" s="11">
        <v>-7179.6270000000004</v>
      </c>
      <c r="G78" s="11">
        <v>-12327.974</v>
      </c>
      <c r="H78" s="11">
        <v>-13901.297</v>
      </c>
      <c r="I78" s="11">
        <v>-475.995</v>
      </c>
    </row>
    <row r="79" spans="1:9" x14ac:dyDescent="0.3">
      <c r="A79" s="34" t="s">
        <v>139</v>
      </c>
      <c r="B79" s="35"/>
      <c r="C79" s="12"/>
      <c r="D79" s="12">
        <f t="shared" ref="D79:I79" si="18">D76+D77+D78</f>
        <v>14070.189000000004</v>
      </c>
      <c r="E79" s="12">
        <f t="shared" si="18"/>
        <v>15298.617999999993</v>
      </c>
      <c r="F79" s="12">
        <f t="shared" si="18"/>
        <v>13725.813999999998</v>
      </c>
      <c r="G79" s="12">
        <f t="shared" si="18"/>
        <v>28106.539000000004</v>
      </c>
      <c r="H79" s="12">
        <f t="shared" si="18"/>
        <v>33092.162000000004</v>
      </c>
      <c r="I79" s="12">
        <f t="shared" si="18"/>
        <v>3343.9329999999995</v>
      </c>
    </row>
    <row r="80" spans="1:9" x14ac:dyDescent="0.3">
      <c r="A80" s="30" t="s">
        <v>140</v>
      </c>
      <c r="B80" s="31"/>
      <c r="C80" s="10"/>
      <c r="D80" s="10"/>
      <c r="E80" s="10"/>
      <c r="F80" s="10"/>
      <c r="G80" s="10"/>
      <c r="H80" s="10"/>
      <c r="I80" s="10"/>
    </row>
    <row r="81" spans="1:9" x14ac:dyDescent="0.3">
      <c r="A81" s="32" t="s">
        <v>141</v>
      </c>
      <c r="B81" s="33"/>
      <c r="C81" s="11"/>
      <c r="D81" s="11">
        <v>4309.4130000000005</v>
      </c>
      <c r="E81" s="11">
        <v>4527.7610000000004</v>
      </c>
      <c r="F81" s="11">
        <v>5314.7620000000006</v>
      </c>
      <c r="G81" s="11">
        <v>6097.4219999999996</v>
      </c>
      <c r="H81" s="11">
        <v>6937.732</v>
      </c>
      <c r="I81" s="11"/>
    </row>
    <row r="82" spans="1:9" x14ac:dyDescent="0.3">
      <c r="A82" s="32" t="s">
        <v>142</v>
      </c>
      <c r="B82" s="33"/>
      <c r="C82" s="11"/>
      <c r="D82" s="11">
        <f>D76+D85</f>
        <v>17325.118000000002</v>
      </c>
      <c r="E82" s="11">
        <f>E76+E85</f>
        <v>21815.748999999993</v>
      </c>
      <c r="F82" s="11">
        <f>F76+F85</f>
        <v>22502.069999999996</v>
      </c>
      <c r="G82" s="11">
        <f>G76+G85</f>
        <v>42948.099000000002</v>
      </c>
      <c r="H82" s="11">
        <f>H76+H85</f>
        <v>48649.106</v>
      </c>
      <c r="I82" s="11">
        <f>I76-I75</f>
        <v>3996.3059999999996</v>
      </c>
    </row>
    <row r="83" spans="1:9" x14ac:dyDescent="0.3">
      <c r="A83" s="32" t="s">
        <v>143</v>
      </c>
      <c r="B83" s="33"/>
      <c r="C83" s="11"/>
      <c r="D83" s="11">
        <f>D82+D81</f>
        <v>21634.531000000003</v>
      </c>
      <c r="E83" s="11">
        <f>E82+E81</f>
        <v>26343.509999999995</v>
      </c>
      <c r="F83" s="11">
        <f>F82+F81</f>
        <v>27816.831999999995</v>
      </c>
      <c r="G83" s="11">
        <f>G82+G81</f>
        <v>49045.521000000001</v>
      </c>
      <c r="H83" s="11">
        <f>H82+H81</f>
        <v>55586.838000000003</v>
      </c>
      <c r="I83" s="11"/>
    </row>
    <row r="84" spans="1:9" x14ac:dyDescent="0.3">
      <c r="A84" s="32" t="s">
        <v>144</v>
      </c>
      <c r="B84" s="33"/>
      <c r="C84" s="11"/>
      <c r="D84" s="11">
        <v>0</v>
      </c>
      <c r="E84" s="11">
        <v>0</v>
      </c>
      <c r="F84" s="11">
        <v>10.974</v>
      </c>
      <c r="G84" s="11">
        <v>20.632999999999999</v>
      </c>
      <c r="H84" s="11">
        <v>44.521999999999998</v>
      </c>
      <c r="I84" s="13"/>
    </row>
    <row r="85" spans="1:9" x14ac:dyDescent="0.3">
      <c r="A85" s="32" t="s">
        <v>145</v>
      </c>
      <c r="B85" s="33"/>
      <c r="C85" s="11"/>
      <c r="D85" s="11">
        <f>-D75-D84</f>
        <v>332.90499999999997</v>
      </c>
      <c r="E85" s="11">
        <f>-E75-E84</f>
        <v>394.517</v>
      </c>
      <c r="F85" s="11">
        <f>-F75-F84</f>
        <v>1158.796</v>
      </c>
      <c r="G85" s="11">
        <f>-G75-G84</f>
        <v>1560.5349999999999</v>
      </c>
      <c r="H85" s="11">
        <f>-H75-H84</f>
        <v>1326.047</v>
      </c>
      <c r="I85" s="13"/>
    </row>
    <row r="86" spans="1:9" x14ac:dyDescent="0.3">
      <c r="A86" s="32" t="s">
        <v>146</v>
      </c>
      <c r="B86" s="33"/>
      <c r="C86" s="14"/>
      <c r="D86" s="14">
        <f>IF(D76&lt;=0,"n/m",-(D77+D78)/D76)</f>
        <v>0.17196253366174255</v>
      </c>
      <c r="E86" s="14">
        <f>IF(E76&lt;=0,"n/m",-(E77+E78)/E76)</f>
        <v>0.28581988188167712</v>
      </c>
      <c r="F86" s="14">
        <f>IF(F76&lt;=0,"n/m",-(F77+F78)/F76)</f>
        <v>0.35690213225955875</v>
      </c>
      <c r="G86" s="14">
        <f>IF(G76&lt;=0,"n/m",-(G77+G78)/G76)</f>
        <v>0.32089409756032022</v>
      </c>
      <c r="H86" s="14">
        <f>IF(H76&lt;=0,"n/m",-(H77+H78)/H76)</f>
        <v>0.30071802839288136</v>
      </c>
      <c r="I86" s="13"/>
    </row>
    <row r="87" spans="1:9" x14ac:dyDescent="0.3">
      <c r="A87" s="32" t="s">
        <v>147</v>
      </c>
      <c r="B87" s="33"/>
      <c r="C87" s="14"/>
      <c r="D87" s="14">
        <f>D86</f>
        <v>0.17196253366174255</v>
      </c>
      <c r="E87" s="14">
        <f>E86</f>
        <v>0.28581988188167712</v>
      </c>
      <c r="F87" s="14">
        <f>F86</f>
        <v>0.35690213225955875</v>
      </c>
      <c r="G87" s="14">
        <f>G86</f>
        <v>0.32089409756032022</v>
      </c>
      <c r="H87" s="14">
        <f>H86</f>
        <v>0.30071802839288136</v>
      </c>
      <c r="I87" s="13"/>
    </row>
    <row r="88" spans="1:9" x14ac:dyDescent="0.3">
      <c r="A88" s="32" t="s">
        <v>148</v>
      </c>
      <c r="B88" s="33"/>
      <c r="C88" s="11"/>
      <c r="D88" s="11">
        <f>IF(ISNUMBER(D87),D82*(1-D87),"n/m")</f>
        <v>14345.846812731341</v>
      </c>
      <c r="E88" s="11">
        <f>IF(ISNUMBER(E87),E82*(1-E87),"n/m")</f>
        <v>15580.374197659679</v>
      </c>
      <c r="F88" s="11">
        <f>IF(ISNUMBER(F87),F82*(1-F87),"n/m")</f>
        <v>14471.033236746149</v>
      </c>
      <c r="G88" s="11">
        <f>IF(ISNUMBER(G87),G82*(1-G87),"n/m")</f>
        <v>29166.307529463709</v>
      </c>
      <c r="H88" s="11">
        <f>IF(ISNUMBER(H87),H82*(1-H87),"n/m")</f>
        <v>34019.442760603699</v>
      </c>
      <c r="I88" s="13"/>
    </row>
    <row r="89" spans="1:9" x14ac:dyDescent="0.3">
      <c r="A89" s="23"/>
      <c r="B89" s="23"/>
    </row>
    <row r="90" spans="1:9" ht="19.5" customHeight="1" x14ac:dyDescent="0.3">
      <c r="A90" s="26" t="s">
        <v>149</v>
      </c>
      <c r="B90" s="27"/>
      <c r="C90" s="3"/>
      <c r="D90" s="3"/>
      <c r="E90" s="3"/>
      <c r="F90" s="3"/>
      <c r="G90" s="3"/>
      <c r="H90" s="3"/>
      <c r="I90" s="3"/>
    </row>
    <row r="91" spans="1:9" ht="16.5" customHeight="1" x14ac:dyDescent="0.3">
      <c r="A91" s="28" t="s">
        <v>64</v>
      </c>
      <c r="B91" s="29"/>
      <c r="C91" s="9"/>
      <c r="D91" s="9" t="s">
        <v>65</v>
      </c>
      <c r="E91" s="9" t="s">
        <v>66</v>
      </c>
      <c r="F91" s="9" t="s">
        <v>67</v>
      </c>
      <c r="G91" s="9" t="s">
        <v>68</v>
      </c>
      <c r="H91" s="9" t="s">
        <v>69</v>
      </c>
      <c r="I91" s="9" t="s">
        <v>70</v>
      </c>
    </row>
    <row r="92" spans="1:9" x14ac:dyDescent="0.3">
      <c r="A92" s="32" t="s">
        <v>150</v>
      </c>
      <c r="B92" s="33"/>
      <c r="C92" s="11"/>
      <c r="D92" s="11">
        <v>13285.674000000001</v>
      </c>
      <c r="E92" s="11">
        <v>18126.508000000002</v>
      </c>
      <c r="F92" s="11">
        <v>24515.258000000002</v>
      </c>
      <c r="G92" s="11">
        <v>30937.432000000001</v>
      </c>
      <c r="H92" s="11">
        <v>33808.781000000003</v>
      </c>
      <c r="I92" s="11">
        <v>4141.7759999999998</v>
      </c>
    </row>
    <row r="93" spans="1:9" x14ac:dyDescent="0.3">
      <c r="A93" s="32" t="s">
        <v>151</v>
      </c>
      <c r="B93" s="33"/>
      <c r="C93" s="11"/>
      <c r="D93" s="11">
        <v>12492.630999999999</v>
      </c>
      <c r="E93" s="11">
        <v>15469.449000000001</v>
      </c>
      <c r="F93" s="11">
        <v>23242.896000000001</v>
      </c>
      <c r="G93" s="11">
        <v>27580.741000000002</v>
      </c>
      <c r="H93" s="11">
        <v>27572.566999999999</v>
      </c>
      <c r="I93" s="11">
        <v>5046.8609999999999</v>
      </c>
    </row>
    <row r="94" spans="1:9" x14ac:dyDescent="0.3">
      <c r="A94" s="32" t="s">
        <v>152</v>
      </c>
      <c r="B94" s="33"/>
      <c r="C94" s="11"/>
      <c r="D94" s="11">
        <v>-5762.3249999999998</v>
      </c>
      <c r="E94" s="11">
        <v>-24826.255000000001</v>
      </c>
      <c r="F94" s="11">
        <v>-12978.915000000001</v>
      </c>
      <c r="G94" s="11">
        <v>-2580.0210000000002</v>
      </c>
      <c r="H94" s="11">
        <v>11714.661</v>
      </c>
      <c r="I94" s="11">
        <v>-8395.8979999999992</v>
      </c>
    </row>
    <row r="95" spans="1:9" x14ac:dyDescent="0.3">
      <c r="A95" s="32" t="s">
        <v>153</v>
      </c>
      <c r="B95" s="33"/>
      <c r="C95" s="11"/>
      <c r="D95" s="11">
        <v>4022.0949999999998</v>
      </c>
      <c r="E95" s="11">
        <v>6158.7830000000004</v>
      </c>
      <c r="F95" s="11">
        <v>244.58199999999999</v>
      </c>
      <c r="G95" s="11">
        <v>-18620.168000000001</v>
      </c>
      <c r="H95" s="11">
        <v>-7580.9840000000004</v>
      </c>
      <c r="I95" s="11">
        <v>-1666.7550000000001</v>
      </c>
    </row>
    <row r="96" spans="1:9" x14ac:dyDescent="0.3">
      <c r="A96" s="32" t="s">
        <v>154</v>
      </c>
      <c r="B96" s="33"/>
      <c r="C96" s="11"/>
      <c r="D96" s="11">
        <v>-6470.9129999999996</v>
      </c>
      <c r="E96" s="11">
        <v>-24537.83</v>
      </c>
      <c r="F96" s="11">
        <v>-18644.905999999999</v>
      </c>
      <c r="G96" s="11">
        <v>-17709.901999999998</v>
      </c>
      <c r="H96" s="11">
        <v>-7048.7250000000004</v>
      </c>
      <c r="I96" s="11">
        <v>-6855.8159999999998</v>
      </c>
    </row>
    <row r="97" spans="1:9" x14ac:dyDescent="0.3">
      <c r="A97" s="32" t="s">
        <v>155</v>
      </c>
      <c r="B97" s="33"/>
      <c r="C97" s="11"/>
      <c r="D97" s="11">
        <v>-308.20999999999998</v>
      </c>
      <c r="E97" s="11">
        <v>-329.93299999999999</v>
      </c>
      <c r="F97" s="11">
        <v>-807.47699999999998</v>
      </c>
      <c r="G97" s="11">
        <v>-1735.9780000000001</v>
      </c>
      <c r="H97" s="11">
        <v>-1527.8879999999999</v>
      </c>
      <c r="I97" s="11">
        <v>-140.54300000000001</v>
      </c>
    </row>
    <row r="98" spans="1:9" x14ac:dyDescent="0.3">
      <c r="A98" s="32" t="s">
        <v>156</v>
      </c>
      <c r="B98" s="33"/>
      <c r="C98" s="11"/>
      <c r="D98" s="11">
        <v>-19.888999999999999</v>
      </c>
      <c r="E98" s="11">
        <v>-2.4279999999999999</v>
      </c>
      <c r="F98" s="11">
        <v>-0.91500000000000004</v>
      </c>
      <c r="G98" s="11">
        <v>-5443.0839999999998</v>
      </c>
      <c r="H98" s="11">
        <v>-4388.4030000000002</v>
      </c>
      <c r="I98" s="11">
        <v>-2173.663</v>
      </c>
    </row>
    <row r="99" spans="1:9" x14ac:dyDescent="0.3">
      <c r="A99" s="23"/>
      <c r="B99" s="23"/>
    </row>
    <row r="100" spans="1:9" ht="19.5" customHeight="1" x14ac:dyDescent="0.3">
      <c r="A100" s="26" t="s">
        <v>157</v>
      </c>
      <c r="B100" s="27"/>
      <c r="C100" s="3"/>
      <c r="D100" s="3"/>
      <c r="E100" s="3"/>
      <c r="F100" s="3"/>
      <c r="G100" s="3"/>
      <c r="H100" s="3"/>
      <c r="I100" s="3"/>
    </row>
    <row r="101" spans="1:9" ht="16.5" customHeight="1" x14ac:dyDescent="0.3">
      <c r="A101" s="28" t="s">
        <v>64</v>
      </c>
      <c r="B101" s="29"/>
      <c r="C101" s="9"/>
      <c r="D101" s="9" t="s">
        <v>65</v>
      </c>
      <c r="E101" s="9" t="s">
        <v>66</v>
      </c>
      <c r="F101" s="9" t="s">
        <v>67</v>
      </c>
      <c r="G101" s="9" t="s">
        <v>68</v>
      </c>
      <c r="H101" s="9" t="s">
        <v>69</v>
      </c>
    </row>
    <row r="102" spans="1:9" x14ac:dyDescent="0.3">
      <c r="A102" s="32" t="s">
        <v>158</v>
      </c>
      <c r="B102" s="33"/>
      <c r="C102" s="15"/>
      <c r="D102" s="15">
        <v>10</v>
      </c>
      <c r="E102" s="15">
        <v>10</v>
      </c>
      <c r="F102" s="15">
        <v>10</v>
      </c>
      <c r="G102" s="15">
        <v>10</v>
      </c>
      <c r="H102" s="15">
        <v>2</v>
      </c>
    </row>
    <row r="103" spans="1:9" x14ac:dyDescent="0.3">
      <c r="A103" s="32" t="s">
        <v>159</v>
      </c>
      <c r="B103" s="33"/>
      <c r="C103" s="16"/>
      <c r="D103" s="16">
        <f>D27/D102-D107</f>
        <v>323.375</v>
      </c>
      <c r="E103" s="16">
        <f>E27/E102-E107</f>
        <v>323.375</v>
      </c>
      <c r="F103" s="16">
        <f>F27/F102-F107</f>
        <v>311.83859999999999</v>
      </c>
      <c r="G103" s="16">
        <f>G27/G102-G107</f>
        <v>293</v>
      </c>
      <c r="H103" s="16">
        <f>H27/H102-H107</f>
        <v>1465</v>
      </c>
    </row>
    <row r="104" spans="1:9" x14ac:dyDescent="0.3">
      <c r="A104" s="32" t="s">
        <v>160</v>
      </c>
      <c r="B104" s="33"/>
      <c r="C104" s="16"/>
      <c r="D104" s="16">
        <v>323.375</v>
      </c>
      <c r="E104" s="16">
        <v>323.375</v>
      </c>
      <c r="F104" s="16">
        <v>318.74900000000002</v>
      </c>
      <c r="G104" s="16">
        <v>297.29599999999999</v>
      </c>
      <c r="H104" s="16">
        <v>1465</v>
      </c>
    </row>
    <row r="105" spans="1:9" x14ac:dyDescent="0.3">
      <c r="A105" s="32" t="s">
        <v>161</v>
      </c>
      <c r="B105" s="33"/>
      <c r="C105" s="15"/>
      <c r="D105" s="15">
        <v>863.44</v>
      </c>
      <c r="E105" s="15">
        <v>459.04</v>
      </c>
      <c r="F105" s="15">
        <v>522.09</v>
      </c>
      <c r="G105" s="15">
        <v>906.73</v>
      </c>
      <c r="H105" s="15">
        <v>355.24</v>
      </c>
    </row>
    <row r="106" spans="1:9" x14ac:dyDescent="0.3">
      <c r="A106" s="32" t="s">
        <v>162</v>
      </c>
      <c r="B106" s="33"/>
      <c r="C106" s="15"/>
      <c r="D106" s="74">
        <v>0</v>
      </c>
      <c r="E106" s="74">
        <v>0</v>
      </c>
      <c r="F106" s="15">
        <v>18</v>
      </c>
      <c r="G106" s="15">
        <v>15</v>
      </c>
      <c r="H106" s="15">
        <v>4</v>
      </c>
    </row>
    <row r="107" spans="1:9" x14ac:dyDescent="0.3">
      <c r="A107" s="32" t="s">
        <v>163</v>
      </c>
      <c r="B107" s="33"/>
      <c r="C107" s="15"/>
      <c r="D107" s="15">
        <v>0</v>
      </c>
      <c r="E107" s="15">
        <v>0</v>
      </c>
      <c r="F107" s="15">
        <v>0</v>
      </c>
      <c r="G107" s="15">
        <v>0</v>
      </c>
      <c r="H107" s="15">
        <v>0</v>
      </c>
    </row>
    <row r="108" spans="1:9" ht="19.5" customHeight="1" x14ac:dyDescent="0.3">
      <c r="A108" s="26" t="s">
        <v>164</v>
      </c>
      <c r="B108" s="27"/>
      <c r="C108" s="3"/>
      <c r="D108" s="3"/>
      <c r="E108" s="3"/>
      <c r="F108" s="3"/>
      <c r="G108" s="3"/>
      <c r="H108" s="3"/>
      <c r="I108" s="3"/>
    </row>
    <row r="109" spans="1:9" ht="30" customHeight="1" x14ac:dyDescent="0.3">
      <c r="A109" s="41" t="s">
        <v>165</v>
      </c>
      <c r="B109" s="41" t="s">
        <v>166</v>
      </c>
      <c r="C109" s="41" t="s">
        <v>167</v>
      </c>
      <c r="D109" s="41" t="s">
        <v>65</v>
      </c>
      <c r="E109" s="41" t="s">
        <v>66</v>
      </c>
      <c r="F109" s="41" t="s">
        <v>67</v>
      </c>
      <c r="G109" s="41" t="s">
        <v>68</v>
      </c>
      <c r="H109" s="41" t="s">
        <v>69</v>
      </c>
    </row>
    <row r="110" spans="1:9" ht="22.95" customHeight="1" x14ac:dyDescent="0.3">
      <c r="A110" s="91" t="s">
        <v>168</v>
      </c>
      <c r="B110" s="91"/>
      <c r="C110" s="91"/>
      <c r="D110" s="91"/>
      <c r="E110" s="91"/>
      <c r="F110" s="91"/>
      <c r="G110" s="91"/>
      <c r="H110" s="91"/>
    </row>
    <row r="111" spans="1:9" ht="34.049999999999997" customHeight="1" x14ac:dyDescent="0.3">
      <c r="A111" s="42" t="s">
        <v>169</v>
      </c>
      <c r="B111" s="43" t="s">
        <v>170</v>
      </c>
      <c r="C111" s="43" t="s">
        <v>171</v>
      </c>
      <c r="D111" s="45">
        <f>IF(OR(NOT(ISNUMBER(D24)),NOT(ISNUMBER(D48))),"n/m",IF(OR((D48)&lt;=0,(D24)&lt;0),"n/m",(D24)/(D48)))</f>
        <v>1.3386079458938223</v>
      </c>
      <c r="E111" s="45">
        <f>IF(OR(NOT(ISNUMBER(E24)),NOT(ISNUMBER(E48))),"n/m",IF(OR((E48)&lt;=0,(E24)&lt;0),"n/m",(E24)/(E48)))</f>
        <v>1.4760766300374313</v>
      </c>
      <c r="F111" s="45">
        <f>IF(OR(NOT(ISNUMBER(F24)),NOT(ISNUMBER(F48))),"n/m",IF(OR((F48)&lt;=0,(F24)&lt;0),"n/m",(F24)/(F48)))</f>
        <v>1.290071633326858</v>
      </c>
      <c r="G111" s="45">
        <f>IF(OR(NOT(ISNUMBER(G24)),NOT(ISNUMBER(G48))),"n/m",IF(OR((G48)&lt;=0,(G24)&lt;0),"n/m",(G24)/(G48)))</f>
        <v>1.2632222354743232</v>
      </c>
      <c r="H111" s="45">
        <f>IF(OR(NOT(ISNUMBER(H24)),NOT(ISNUMBER(H48))),"n/m",IF(OR((H48)&lt;=0,(H24)&lt;0),"n/m",(H24)/(H48)))</f>
        <v>1.7146143875904156</v>
      </c>
    </row>
    <row r="112" spans="1:9" ht="34.049999999999997" customHeight="1" x14ac:dyDescent="0.3">
      <c r="A112" s="42" t="s">
        <v>172</v>
      </c>
      <c r="B112" s="43" t="s">
        <v>173</v>
      </c>
      <c r="C112" s="43" t="s">
        <v>174</v>
      </c>
      <c r="D112" s="45">
        <f>IF(OR(NOT(ISNUMBER(D24-D54)),NOT(ISNUMBER(D48))),"n/m",IF(OR((D48)&lt;=0,(D24-D54)&lt;0),"n/m",(D24-D54)/(D48)))</f>
        <v>0.89000886100685095</v>
      </c>
      <c r="E112" s="45">
        <f>IF(OR(NOT(ISNUMBER(E24-E54)),NOT(ISNUMBER(E48))),"n/m",IF(OR((E48)&lt;=0,(E24-E54)&lt;0),"n/m",(E24-E54)/(E48)))</f>
        <v>0.87076091919208631</v>
      </c>
      <c r="F112" s="45">
        <f>IF(OR(NOT(ISNUMBER(F24-F54)),NOT(ISNUMBER(F48))),"n/m",IF(OR((F48)&lt;=0,(F24-F54)&lt;0),"n/m",(F24-F54)/(F48)))</f>
        <v>0.85412226562426408</v>
      </c>
      <c r="G112" s="45">
        <f>IF(OR(NOT(ISNUMBER(G24-G54)),NOT(ISNUMBER(G48))),"n/m",IF(OR((G48)&lt;=0,(G24-G54)&lt;0),"n/m",(G24-G54)/(G48)))</f>
        <v>0.83698311631700717</v>
      </c>
      <c r="H112" s="45">
        <f>IF(OR(NOT(ISNUMBER(H24-H54)),NOT(ISNUMBER(H48))),"n/m",IF(OR((H48)&lt;=0,(H24-H54)&lt;0),"n/m",(H24-H54)/(H48)))</f>
        <v>1.2939267138361998</v>
      </c>
    </row>
    <row r="113" spans="1:8" ht="34.049999999999997" customHeight="1" x14ac:dyDescent="0.3">
      <c r="A113" s="42" t="s">
        <v>175</v>
      </c>
      <c r="B113" s="43" t="s">
        <v>176</v>
      </c>
      <c r="C113" s="43" t="s">
        <v>177</v>
      </c>
      <c r="D113" s="45">
        <f>IF(OR(NOT(ISNUMBER(D211)),NOT(ISNUMBER(D48))),"n/m",IF(OR((D48)&lt;=0,(D211)&lt;0),"n/m",(D211)/(D48)))</f>
        <v>0.61509850934604882</v>
      </c>
      <c r="E113" s="45">
        <f>IF(OR(NOT(ISNUMBER(E211)),NOT(ISNUMBER(E48))),"n/m",IF(OR((E48)&lt;=0,(E211)&lt;0),"n/m",(E211)/(E48)))</f>
        <v>0.51028731982278264</v>
      </c>
      <c r="F113" s="45">
        <f>IF(OR(NOT(ISNUMBER(F211)),NOT(ISNUMBER(F48))),"n/m",IF(OR((F48)&lt;=0,(F211)&lt;0),"n/m",(F211)/(F48)))</f>
        <v>0.56303776721097065</v>
      </c>
      <c r="G113" s="45">
        <f>IF(OR(NOT(ISNUMBER(G211)),NOT(ISNUMBER(G48))),"n/m",IF(OR((G48)&lt;=0,(G211)&lt;0),"n/m",(G211)/(G48)))</f>
        <v>0.59758338272421885</v>
      </c>
      <c r="H113" s="45">
        <f>IF(OR(NOT(ISNUMBER(H211)),NOT(ISNUMBER(H48))),"n/m",IF(OR((H48)&lt;=0,(H211)&lt;0),"n/m",(H211)/(H48)))</f>
        <v>1.0928864859820921</v>
      </c>
    </row>
    <row r="114" spans="1:8" ht="34.049999999999997" customHeight="1" x14ac:dyDescent="0.3">
      <c r="A114" s="42" t="s">
        <v>178</v>
      </c>
      <c r="B114" s="43" t="s">
        <v>179</v>
      </c>
      <c r="C114" s="43" t="s">
        <v>180</v>
      </c>
      <c r="D114" s="46">
        <f>IF(OR(NOT(ISNUMBER(D24-D48)),NOT(ISNUMBER(1))),"n/m",IF(OR((1)&lt;=0,(D24-D48)&lt;0),"n/m",(D24-D48)/(1)))</f>
        <v>10289.302000000007</v>
      </c>
      <c r="E114" s="46">
        <f>IF(OR(NOT(ISNUMBER(E24-E48)),NOT(ISNUMBER(1))),"n/m",IF(OR((1)&lt;=0,(E24-E48)&lt;0),"n/m",(E24-E48)/(1)))</f>
        <v>14454.333000000006</v>
      </c>
      <c r="F114" s="46">
        <f>IF(OR(NOT(ISNUMBER(F24-F48)),NOT(ISNUMBER(1))),"n/m",IF(OR((1)&lt;=0,(F24-F48)&lt;0),"n/m",(F24-F48)/(1)))</f>
        <v>13395.762999999999</v>
      </c>
      <c r="G114" s="46">
        <f>IF(OR(NOT(ISNUMBER(G24-G48)),NOT(ISNUMBER(1))),"n/m",IF(OR((1)&lt;=0,(G24-G48)&lt;0),"n/m",(G24-G48)/(1)))</f>
        <v>14263.611000000004</v>
      </c>
      <c r="H114" s="46">
        <f>IF(OR(NOT(ISNUMBER(H24-H48)),NOT(ISNUMBER(1))),"n/m",IF(OR((1)&lt;=0,(H24-H48)&lt;0),"n/m",(H24-H48)/(1)))</f>
        <v>41905.97600000001</v>
      </c>
    </row>
    <row r="115" spans="1:8" ht="22.95" customHeight="1" x14ac:dyDescent="0.3">
      <c r="A115" s="91" t="s">
        <v>181</v>
      </c>
      <c r="B115" s="91"/>
      <c r="C115" s="91"/>
      <c r="D115" s="92"/>
      <c r="E115" s="92"/>
      <c r="F115" s="92"/>
      <c r="G115" s="92"/>
      <c r="H115" s="92"/>
    </row>
    <row r="116" spans="1:8" ht="34.049999999999997" customHeight="1" x14ac:dyDescent="0.3">
      <c r="A116" s="42" t="s">
        <v>182</v>
      </c>
      <c r="B116" s="43" t="s">
        <v>183</v>
      </c>
      <c r="C116" s="43" t="s">
        <v>184</v>
      </c>
      <c r="D116" s="45">
        <f>IF(OR(NOT(ISNUMBER(-D65)),NOT(ISNUMBER(AVERAGE(I54,D54)))),"n/m",IF(OR((AVERAGE(I54,D54))&lt;=0,(-D65)&lt;0),"n/m",(-D65)/(AVERAGE(I54,D54))))</f>
        <v>3.8136073127139278</v>
      </c>
      <c r="E116" s="45">
        <f>IF(OR(NOT(ISNUMBER(-E65)),NOT(ISNUMBER(AVERAGE(D54,E54)))),"n/m",IF(OR((AVERAGE(D54,E54))&lt;=0,(-E65)&lt;0),"n/m",(-E65)/(AVERAGE(D54,E54))))</f>
        <v>3.657733126059421</v>
      </c>
      <c r="F116" s="45">
        <f>IF(OR(NOT(ISNUMBER(-F65)),NOT(ISNUMBER(AVERAGE(E54,F54)))),"n/m",IF(OR((AVERAGE(E54,F54))&lt;=0,(-F65)&lt;0),"n/m",(-F65)/(AVERAGE(E54,F54))))</f>
        <v>3.6234818387767853</v>
      </c>
      <c r="G116" s="45">
        <f>IF(OR(NOT(ISNUMBER(-G65)),NOT(ISNUMBER(AVERAGE(F54,G54)))),"n/m",IF(OR((AVERAGE(F54,G54))&lt;=0,(-G65)&lt;0),"n/m",(-G65)/(AVERAGE(F54,G54))))</f>
        <v>3.5401699550948362</v>
      </c>
      <c r="H116" s="45">
        <f>IF(OR(NOT(ISNUMBER(-H65)),NOT(ISNUMBER(AVERAGE(G54,H54)))),"n/m",IF(OR((AVERAGE(G54,H54))&lt;=0,(-H65)&lt;0),"n/m",(-H65)/(AVERAGE(G54,H54))))</f>
        <v>3.4260949525900268</v>
      </c>
    </row>
    <row r="117" spans="1:8" ht="34.049999999999997" customHeight="1" x14ac:dyDescent="0.3">
      <c r="A117" s="42" t="s">
        <v>185</v>
      </c>
      <c r="B117" s="43" t="s">
        <v>186</v>
      </c>
      <c r="C117" s="43" t="s">
        <v>187</v>
      </c>
      <c r="D117" s="45">
        <f>IF(OR(NOT(ISNUMBER(D64)),NOT(ISNUMBER(AVERAGE(I20,D20)))),"n/m",IF(OR((AVERAGE(I20,D20))&lt;=0,(D64)&lt;0),"n/m",(D64)/(AVERAGE(I20,D20))))</f>
        <v>20.525799758937445</v>
      </c>
      <c r="E117" s="45">
        <f>IF(OR(NOT(ISNUMBER(E64)),NOT(ISNUMBER(AVERAGE(D20,E20)))),"n/m",IF(OR((AVERAGE(D20,E20))&lt;=0,(E64)&lt;0),"n/m",(E64)/(AVERAGE(D20,E20))))</f>
        <v>26.020654219821807</v>
      </c>
      <c r="F117" s="45">
        <f>IF(OR(NOT(ISNUMBER(F64)),NOT(ISNUMBER(AVERAGE(E20,F20)))),"n/m",IF(OR((AVERAGE(E20,F20))&lt;=0,(F64)&lt;0),"n/m",(F64)/(AVERAGE(E20,F20))))</f>
        <v>22.253946370189343</v>
      </c>
      <c r="G117" s="45">
        <f>IF(OR(NOT(ISNUMBER(G64)),NOT(ISNUMBER(AVERAGE(F20,G20)))),"n/m",IF(OR((AVERAGE(F20,G20))&lt;=0,(G64)&lt;0),"n/m",(G64)/(AVERAGE(F20,G20))))</f>
        <v>19.185416979630755</v>
      </c>
      <c r="H117" s="45">
        <f>IF(OR(NOT(ISNUMBER(H64)),NOT(ISNUMBER(AVERAGE(G20,H20)))),"n/m",IF(OR((AVERAGE(G20,H20))&lt;=0,(H64)&lt;0),"n/m",(H64)/(AVERAGE(G20,H20))))</f>
        <v>18.743761644592638</v>
      </c>
    </row>
    <row r="118" spans="1:8" ht="34.049999999999997" customHeight="1" x14ac:dyDescent="0.3">
      <c r="A118" s="42" t="s">
        <v>188</v>
      </c>
      <c r="B118" s="43" t="s">
        <v>189</v>
      </c>
      <c r="C118" s="43" t="s">
        <v>190</v>
      </c>
      <c r="D118" s="47">
        <f>IF(OR(NOT(ISNUMBER(365*AVERAGE(I54,D54))),NOT(ISNUMBER(-D65))),"n/m",IF(OR((-D65)&lt;=0,(365*AVERAGE(I54,D54))&lt;0),"n/m",(365*AVERAGE(I54,D54))/(-D65)))</f>
        <v>95.709906676324849</v>
      </c>
      <c r="E118" s="47">
        <f>IF(OR(NOT(ISNUMBER(365*AVERAGE(D54,E54))),NOT(ISNUMBER(-E65))),"n/m",IF(OR((-E65)&lt;=0,(365*AVERAGE(D54,E54))&lt;0),"n/m",(365*AVERAGE(D54,E54))/(-E65)))</f>
        <v>99.788581457615734</v>
      </c>
      <c r="F118" s="47">
        <f>IF(OR(NOT(ISNUMBER(365*AVERAGE(E54,F54))),NOT(ISNUMBER(-F65))),"n/m",IF(OR((-F65)&lt;=0,(365*AVERAGE(E54,F54))&lt;0),"n/m",(365*AVERAGE(E54,F54))/(-F65)))</f>
        <v>100.73184197970664</v>
      </c>
      <c r="G118" s="47">
        <f>IF(OR(NOT(ISNUMBER(365*AVERAGE(F54,G54))),NOT(ISNUMBER(-G65))),"n/m",IF(OR((-G65)&lt;=0,(365*AVERAGE(F54,G54))&lt;0),"n/m",(365*AVERAGE(F54,G54))/(-G65)))</f>
        <v>103.10239469568691</v>
      </c>
      <c r="H118" s="47">
        <f>IF(OR(NOT(ISNUMBER(365*AVERAGE(G54,H54))),NOT(ISNUMBER(-H65))),"n/m",IF(OR((-H65)&lt;=0,(365*AVERAGE(G54,H54))&lt;0),"n/m",(365*AVERAGE(G54,H54))/(-H65)))</f>
        <v>106.53528435458882</v>
      </c>
    </row>
    <row r="119" spans="1:8" ht="34.049999999999997" customHeight="1" x14ac:dyDescent="0.3">
      <c r="A119" s="42" t="s">
        <v>191</v>
      </c>
      <c r="B119" s="43" t="s">
        <v>192</v>
      </c>
      <c r="C119" s="43" t="s">
        <v>193</v>
      </c>
      <c r="D119" s="47">
        <f>IF(OR(NOT(ISNUMBER(365*AVERAGE(I20,D20))),NOT(ISNUMBER(D64))),"n/m",IF(OR((D64)&lt;=0,(365*AVERAGE(I20,D20))&lt;0),"n/m",(365*AVERAGE(I20,D20))/(D64)))</f>
        <v>17.782498333156049</v>
      </c>
      <c r="E119" s="47">
        <f>IF(OR(NOT(ISNUMBER(365*AVERAGE(D20,E20))),NOT(ISNUMBER(E64))),"n/m",IF(OR((E64)&lt;=0,(365*AVERAGE(D20,E20))&lt;0),"n/m",(365*AVERAGE(D20,E20))/(E64)))</f>
        <v>14.027318333985361</v>
      </c>
      <c r="F119" s="47">
        <f>IF(OR(NOT(ISNUMBER(365*AVERAGE(E20,F20))),NOT(ISNUMBER(F64))),"n/m",IF(OR((F64)&lt;=0,(365*AVERAGE(E20,F20))&lt;0),"n/m",(365*AVERAGE(E20,F20))/(F64)))</f>
        <v>16.401585315624828</v>
      </c>
      <c r="G119" s="47">
        <f>IF(OR(NOT(ISNUMBER(365*AVERAGE(F20,G20))),NOT(ISNUMBER(G64))),"n/m",IF(OR((G64)&lt;=0,(365*AVERAGE(F20,G20))&lt;0),"n/m",(365*AVERAGE(F20,G20))/(G64)))</f>
        <v>19.024866667611246</v>
      </c>
      <c r="H119" s="47">
        <f>IF(OR(NOT(ISNUMBER(365*AVERAGE(G20,H20))),NOT(ISNUMBER(H64))),"n/m",IF(OR((H64)&lt;=0,(365*AVERAGE(G20,H20))&lt;0),"n/m",(365*AVERAGE(G20,H20))/(H64)))</f>
        <v>19.473145621508603</v>
      </c>
    </row>
    <row r="120" spans="1:8" ht="34.049999999999997" customHeight="1" x14ac:dyDescent="0.3">
      <c r="A120" s="42" t="s">
        <v>194</v>
      </c>
      <c r="B120" s="43" t="s">
        <v>195</v>
      </c>
      <c r="C120" s="43" t="s">
        <v>196</v>
      </c>
      <c r="D120" s="45">
        <f>IF(OR(NOT(ISNUMBER(D64)),NOT(ISNUMBER(D9))),"n/m",IF(OR((D9)&lt;=0,(D64)&lt;0),"n/m",(D64)/(D9)))</f>
        <v>1.0088292750112451</v>
      </c>
      <c r="E120" s="45">
        <f>IF(OR(NOT(ISNUMBER(E64)),NOT(ISNUMBER(E9))),"n/m",IF(OR((E9)&lt;=0,(E64)&lt;0),"n/m",(E64)/(E9)))</f>
        <v>0.98532795146598973</v>
      </c>
      <c r="F120" s="45">
        <f>IF(OR(NOT(ISNUMBER(F64)),NOT(ISNUMBER(F9))),"n/m",IF(OR((F9)&lt;=0,(F64)&lt;0),"n/m",(F64)/(F9)))</f>
        <v>1.0022154394695202</v>
      </c>
      <c r="G120" s="45">
        <f>IF(OR(NOT(ISNUMBER(G64)),NOT(ISNUMBER(G9))),"n/m",IF(OR((G9)&lt;=0,(G64)&lt;0),"n/m",(G64)/(G9)))</f>
        <v>1.0752008785316265</v>
      </c>
      <c r="H120" s="45">
        <f>IF(OR(NOT(ISNUMBER(H64)),NOT(ISNUMBER(H9))),"n/m",IF(OR((H9)&lt;=0,(H64)&lt;0),"n/m",(H64)/(H9)))</f>
        <v>1.1592237370838812</v>
      </c>
    </row>
    <row r="121" spans="1:8" ht="34.049999999999997" customHeight="1" x14ac:dyDescent="0.3">
      <c r="A121" s="42" t="s">
        <v>197</v>
      </c>
      <c r="B121" s="43" t="s">
        <v>198</v>
      </c>
      <c r="C121" s="43" t="s">
        <v>199</v>
      </c>
      <c r="D121" s="45">
        <f>IF(OR(NOT(ISNUMBER(D64)),NOT(ISNUMBER(D25))),"n/m",IF(OR((D25)&lt;=0,(D64)&lt;0),"n/m",(D64)/(D25)))</f>
        <v>0.40251701143421476</v>
      </c>
      <c r="E121" s="45">
        <f>IF(OR(NOT(ISNUMBER(E64)),NOT(ISNUMBER(E25))),"n/m",IF(OR((E25)&lt;=0,(E64)&lt;0),"n/m",(E64)/(E25)))</f>
        <v>0.4384325626713429</v>
      </c>
      <c r="F121" s="45">
        <f>IF(OR(NOT(ISNUMBER(F64)),NOT(ISNUMBER(F25))),"n/m",IF(OR((F25)&lt;=0,(F64)&lt;0),"n/m",(F64)/(F25)))</f>
        <v>0.44974923322711935</v>
      </c>
      <c r="G121" s="45">
        <f>IF(OR(NOT(ISNUMBER(G64)),NOT(ISNUMBER(G25))),"n/m",IF(OR((G25)&lt;=0,(G64)&lt;0),"n/m",(G64)/(G25)))</f>
        <v>0.49280353497458251</v>
      </c>
      <c r="H121" s="45">
        <f>IF(OR(NOT(ISNUMBER(H64)),NOT(ISNUMBER(H25))),"n/m",IF(OR((H25)&lt;=0,(H64)&lt;0),"n/m",(H64)/(H25)))</f>
        <v>0.46677662061834158</v>
      </c>
    </row>
    <row r="122" spans="1:8" ht="22.95" customHeight="1" x14ac:dyDescent="0.3">
      <c r="A122" s="91" t="s">
        <v>200</v>
      </c>
      <c r="B122" s="91"/>
      <c r="C122" s="91"/>
      <c r="D122" s="92"/>
      <c r="E122" s="92"/>
      <c r="F122" s="92"/>
      <c r="G122" s="92"/>
      <c r="H122" s="92"/>
    </row>
    <row r="123" spans="1:8" ht="34.049999999999997" customHeight="1" x14ac:dyDescent="0.3">
      <c r="A123" s="42" t="s">
        <v>201</v>
      </c>
      <c r="B123" s="43" t="s">
        <v>202</v>
      </c>
      <c r="C123" s="43" t="s">
        <v>203</v>
      </c>
      <c r="D123" s="48">
        <f>IF(OR(NOT(ISNUMBER(D49)),NOT(ISNUMBER(D25))),"n/m",IF(OR((D25)&lt;=0,(D49)&lt;0),"n/m",(D49)/(D25)))</f>
        <v>0.27606535150381284</v>
      </c>
      <c r="E123" s="48">
        <f>IF(OR(NOT(ISNUMBER(E49)),NOT(ISNUMBER(E25))),"n/m",IF(OR((E25)&lt;=0,(E49)&lt;0),"n/m",(E49)/(E25)))</f>
        <v>0.30504607293955061</v>
      </c>
      <c r="F123" s="48">
        <f>IF(OR(NOT(ISNUMBER(F49)),NOT(ISNUMBER(F25))),"n/m",IF(OR((F25)&lt;=0,(F49)&lt;0),"n/m",(F49)/(F25)))</f>
        <v>0.35532697822447284</v>
      </c>
      <c r="G123" s="48">
        <f>IF(OR(NOT(ISNUMBER(G49)),NOT(ISNUMBER(G25))),"n/m",IF(OR((G25)&lt;=0,(G49)&lt;0),"n/m",(G49)/(G25)))</f>
        <v>0.36859036410390322</v>
      </c>
      <c r="H123" s="48">
        <f>IF(OR(NOT(ISNUMBER(H49)),NOT(ISNUMBER(H25))),"n/m",IF(OR((H25)&lt;=0,(H49)&lt;0),"n/m",(H49)/(H25)))</f>
        <v>0.34053721034041001</v>
      </c>
    </row>
    <row r="124" spans="1:8" ht="34.049999999999997" customHeight="1" x14ac:dyDescent="0.3">
      <c r="A124" s="42" t="s">
        <v>204</v>
      </c>
      <c r="B124" s="43" t="s">
        <v>205</v>
      </c>
      <c r="C124" s="43" t="s">
        <v>206</v>
      </c>
      <c r="D124" s="45">
        <f>IF(OR(NOT(ISNUMBER(D55)),NOT(ISNUMBER(D29))),"n/m",IF(OR((D29)&lt;=0,(D55)&lt;0),"n/m",(D55)/(D29)))</f>
        <v>9.267604319417716E-2</v>
      </c>
      <c r="E124" s="45">
        <f>IF(OR(NOT(ISNUMBER(E55)),NOT(ISNUMBER(E29))),"n/m",IF(OR((E29)&lt;=0,(E55)&lt;0),"n/m",(E55)/(E29)))</f>
        <v>0.12132883685589589</v>
      </c>
      <c r="F124" s="45">
        <f>IF(OR(NOT(ISNUMBER(F55)),NOT(ISNUMBER(F29))),"n/m",IF(OR((F29)&lt;=0,(F55)&lt;0),"n/m",(F55)/(F29)))</f>
        <v>0.15318126074071459</v>
      </c>
      <c r="G124" s="45">
        <f>IF(OR(NOT(ISNUMBER(G55)),NOT(ISNUMBER(G29))),"n/m",IF(OR((G29)&lt;=0,(G55)&lt;0),"n/m",(G55)/(G29)))</f>
        <v>0.13768684470695258</v>
      </c>
      <c r="H124" s="45">
        <f>IF(OR(NOT(ISNUMBER(H55)),NOT(ISNUMBER(H29))),"n/m",IF(OR((H29)&lt;=0,(H55)&lt;0),"n/m",(H55)/(H29)))</f>
        <v>9.9684879347667912E-2</v>
      </c>
    </row>
    <row r="125" spans="1:8" ht="34.049999999999997" customHeight="1" x14ac:dyDescent="0.3">
      <c r="A125" s="42" t="s">
        <v>207</v>
      </c>
      <c r="B125" s="43" t="s">
        <v>208</v>
      </c>
      <c r="C125" s="43" t="s">
        <v>209</v>
      </c>
      <c r="D125" s="48">
        <f>IF(OR(NOT(ISNUMBER(D55)),NOT(ISNUMBER(D55+D29))),"n/m",IF(OR((D55+D29)&lt;=0,(D55)&lt;0),"n/m",(D55)/(D55+D29)))</f>
        <v>8.4815663134025443E-2</v>
      </c>
      <c r="E125" s="48">
        <f>IF(OR(NOT(ISNUMBER(E55)),NOT(ISNUMBER(E55+E29))),"n/m",IF(OR((E55+E29)&lt;=0,(E55)&lt;0),"n/m",(E55)/(E55+E29)))</f>
        <v>0.10820094237127705</v>
      </c>
      <c r="F125" s="48">
        <f>IF(OR(NOT(ISNUMBER(F55)),NOT(ISNUMBER(F55+F29))),"n/m",IF(OR((F55+F29)&lt;=0,(F55)&lt;0),"n/m",(F55)/(F55+F29)))</f>
        <v>0.13283363678865434</v>
      </c>
      <c r="G125" s="48">
        <f>IF(OR(NOT(ISNUMBER(G55)),NOT(ISNUMBER(G55+G29))),"n/m",IF(OR((G55+G29)&lt;=0,(G55)&lt;0),"n/m",(G55)/(G55+G29)))</f>
        <v>0.12102350075289672</v>
      </c>
      <c r="H125" s="48">
        <f>IF(OR(NOT(ISNUMBER(H55)),NOT(ISNUMBER(H55+H29))),"n/m",IF(OR((H55+H29)&lt;=0,(H55)&lt;0),"n/m",(H55)/(H55+H29)))</f>
        <v>9.0648585990198302E-2</v>
      </c>
    </row>
    <row r="126" spans="1:8" ht="34.049999999999997" customHeight="1" x14ac:dyDescent="0.3">
      <c r="A126" s="42" t="s">
        <v>210</v>
      </c>
      <c r="B126" s="43" t="s">
        <v>211</v>
      </c>
      <c r="C126" s="43" t="s">
        <v>212</v>
      </c>
      <c r="D126" s="45">
        <f>IF(OR(NOT(ISNUMBER(D82)),NOT(ISNUMBER(D85))),"n/m",IF(OR((D85)&lt;=0,(D82)&lt;0),"n/m",(D82)/(D85)))</f>
        <v>52.042228263318378</v>
      </c>
      <c r="E126" s="45">
        <f>IF(OR(NOT(ISNUMBER(E82)),NOT(ISNUMBER(E85))),"n/m",IF(OR((E85)&lt;=0,(E82)&lt;0),"n/m",(E82)/(E85)))</f>
        <v>55.297361076962446</v>
      </c>
      <c r="F126" s="45">
        <f>IF(OR(NOT(ISNUMBER(F82)),NOT(ISNUMBER(F85))),"n/m",IF(OR((F85)&lt;=0,(F82)&lt;0),"n/m",(F82)/(F85)))</f>
        <v>19.418491261619813</v>
      </c>
      <c r="G126" s="45">
        <f>IF(OR(NOT(ISNUMBER(G82)),NOT(ISNUMBER(G85))),"n/m",IF(OR((G85)&lt;=0,(G82)&lt;0),"n/m",(G82)/(G85)))</f>
        <v>27.521394265428206</v>
      </c>
      <c r="H126" s="45">
        <f>IF(OR(NOT(ISNUMBER(H82)),NOT(ISNUMBER(H85))),"n/m",IF(OR((H85)&lt;=0,(H82)&lt;0),"n/m",(H82)/(H85)))</f>
        <v>36.687316512913945</v>
      </c>
    </row>
    <row r="127" spans="1:8" ht="22.95" customHeight="1" x14ac:dyDescent="0.3">
      <c r="A127" s="91" t="s">
        <v>213</v>
      </c>
      <c r="B127" s="91"/>
      <c r="C127" s="91"/>
      <c r="D127" s="92"/>
      <c r="E127" s="92"/>
      <c r="F127" s="92"/>
      <c r="G127" s="92"/>
      <c r="H127" s="92"/>
    </row>
    <row r="128" spans="1:8" ht="34.049999999999997" customHeight="1" x14ac:dyDescent="0.3">
      <c r="A128" s="42" t="s">
        <v>214</v>
      </c>
      <c r="B128" s="43" t="s">
        <v>215</v>
      </c>
      <c r="C128" s="43" t="s">
        <v>216</v>
      </c>
      <c r="D128" s="48">
        <f>IF(OR(NOT(ISNUMBER(D66)),NOT(ISNUMBER(D64))),"n/m",IF(OR((D64)&lt;=0,(D66)&lt;0),"n/m",(D66)/(D64)))</f>
        <v>0.30117079055471246</v>
      </c>
      <c r="E128" s="48">
        <f>IF(OR(NOT(ISNUMBER(E66)),NOT(ISNUMBER(E64))),"n/m",IF(OR((E64)&lt;=0,(E66)&lt;0),"n/m",(E66)/(E64)))</f>
        <v>0.27809669144361399</v>
      </c>
      <c r="F128" s="48">
        <f>IF(OR(NOT(ISNUMBER(F66)),NOT(ISNUMBER(F64))),"n/m",IF(OR((F64)&lt;=0,(F66)&lt;0),"n/m",(F66)/(F64)))</f>
        <v>0.27194087595679139</v>
      </c>
      <c r="G128" s="48">
        <f>IF(OR(NOT(ISNUMBER(G66)),NOT(ISNUMBER(G64))),"n/m",IF(OR((G64)&lt;=0,(G66)&lt;0),"n/m",(G66)/(G64)))</f>
        <v>0.33648030796321582</v>
      </c>
      <c r="H128" s="48">
        <f>IF(OR(NOT(ISNUMBER(H66)),NOT(ISNUMBER(H64))),"n/m",IF(OR((H64)&lt;=0,(H66)&lt;0),"n/m",(H66)/(H64)))</f>
        <v>0.34281652982067301</v>
      </c>
    </row>
    <row r="129" spans="1:8" ht="34.049999999999997" customHeight="1" x14ac:dyDescent="0.3">
      <c r="A129" s="42" t="s">
        <v>217</v>
      </c>
      <c r="B129" s="43" t="s">
        <v>218</v>
      </c>
      <c r="C129" s="43" t="s">
        <v>219</v>
      </c>
      <c r="D129" s="48">
        <f>IF(OR(NOT(ISNUMBER(D82)),NOT(ISNUMBER(D64))),"n/m",IF(OR((D64)&lt;=0,(D82)&lt;0),"n/m",(D82)/(D64)))</f>
        <v>0.27526050866365631</v>
      </c>
      <c r="E129" s="48">
        <f>IF(OR(NOT(ISNUMBER(E82)),NOT(ISNUMBER(E64))),"n/m",IF(OR((E64)&lt;=0,(E82)&lt;0),"n/m",(E82)/(E64)))</f>
        <v>0.26901961654768358</v>
      </c>
      <c r="F129" s="48">
        <f>IF(OR(NOT(ISNUMBER(F82)),NOT(ISNUMBER(F64))),"n/m",IF(OR((F64)&lt;=0,(F82)&lt;0),"n/m",(F82)/(F64)))</f>
        <v>0.23480711540356072</v>
      </c>
      <c r="G129" s="48">
        <f>IF(OR(NOT(ISNUMBER(G82)),NOT(ISNUMBER(G64))),"n/m",IF(OR((G64)&lt;=0,(G82)&lt;0),"n/m",(G82)/(G64)))</f>
        <v>0.37240945675047471</v>
      </c>
      <c r="H129" s="48">
        <f>IF(OR(NOT(ISNUMBER(H82)),NOT(ISNUMBER(H64))),"n/m",IF(OR((H64)&lt;=0,(H82)&lt;0),"n/m",(H82)/(H64)))</f>
        <v>0.39071901522799324</v>
      </c>
    </row>
    <row r="130" spans="1:8" ht="34.049999999999997" customHeight="1" x14ac:dyDescent="0.3">
      <c r="A130" s="42" t="s">
        <v>220</v>
      </c>
      <c r="B130" s="43" t="s">
        <v>221</v>
      </c>
      <c r="C130" s="43" t="s">
        <v>222</v>
      </c>
      <c r="D130" s="48">
        <f>IF(OR(NOT(ISNUMBER(D79)),NOT(ISNUMBER(D64))),"n/m",IF(OR((D64)&lt;=0,(D79)&lt;0),"n/m",(D79)/(D64)))</f>
        <v>0.22354637821997994</v>
      </c>
      <c r="E130" s="48">
        <f>IF(OR(NOT(ISNUMBER(E79)),NOT(ISNUMBER(E64))),"n/m",IF(OR((E64)&lt;=0,(E79)&lt;0),"n/m",(E79)/(E64)))</f>
        <v>0.18865400166042842</v>
      </c>
      <c r="F130" s="48">
        <f>IF(OR(NOT(ISNUMBER(F79)),NOT(ISNUMBER(F64))),"n/m",IF(OR((F64)&lt;=0,(F79)&lt;0),"n/m",(F79)/(F64)))</f>
        <v>0.14322765825125466</v>
      </c>
      <c r="G130" s="48">
        <f>IF(OR(NOT(ISNUMBER(G79)),NOT(ISNUMBER(G64))),"n/m",IF(OR((G64)&lt;=0,(G79)&lt;0),"n/m",(G79)/(G64)))</f>
        <v>0.24371604713228476</v>
      </c>
      <c r="H130" s="48">
        <f>IF(OR(NOT(ISNUMBER(H79)),NOT(ISNUMBER(H64))),"n/m",IF(OR((H64)&lt;=0,(H79)&lt;0),"n/m",(H79)/(H64)))</f>
        <v>0.26577542757733763</v>
      </c>
    </row>
    <row r="131" spans="1:8" ht="34.049999999999997" customHeight="1" x14ac:dyDescent="0.3">
      <c r="A131" s="42" t="s">
        <v>223</v>
      </c>
      <c r="B131" s="43" t="s">
        <v>224</v>
      </c>
      <c r="C131" s="43" t="s">
        <v>225</v>
      </c>
      <c r="D131" s="48">
        <f>IF(OR(NOT(ISNUMBER(D79)),NOT(ISNUMBER(D25))),"n/m",IF(OR((D25)&lt;=0,(D79)&lt;0),"n/m",(D79)/(D25)))</f>
        <v>8.9981220078048957E-2</v>
      </c>
      <c r="E131" s="48">
        <f>IF(OR(NOT(ISNUMBER(E79)),NOT(ISNUMBER(E25))),"n/m",IF(OR((E25)&lt;=0,(E79)&lt;0),"n/m",(E79)/(E25)))</f>
        <v>8.271205740618541E-2</v>
      </c>
      <c r="F131" s="48">
        <f>IF(OR(NOT(ISNUMBER(F79)),NOT(ISNUMBER(F25))),"n/m",IF(OR((F25)&lt;=0,(F79)&lt;0),"n/m",(F79)/(F25)))</f>
        <v>6.4416529475417678E-2</v>
      </c>
      <c r="G131" s="48">
        <f>IF(OR(NOT(ISNUMBER(G79)),NOT(ISNUMBER(G25))),"n/m",IF(OR((G25)&lt;=0,(G79)&lt;0),"n/m",(G79)/(G25)))</f>
        <v>0.12010412955682188</v>
      </c>
      <c r="H131" s="48">
        <f>IF(OR(NOT(ISNUMBER(H79)),NOT(ISNUMBER(H25))),"n/m",IF(OR((H25)&lt;=0,(H79)&lt;0),"n/m",(H79)/(H25)))</f>
        <v>0.12405775592794444</v>
      </c>
    </row>
    <row r="132" spans="1:8" ht="34.049999999999997" customHeight="1" x14ac:dyDescent="0.3">
      <c r="A132" s="42" t="s">
        <v>226</v>
      </c>
      <c r="B132" s="43" t="s">
        <v>227</v>
      </c>
      <c r="C132" s="43" t="s">
        <v>228</v>
      </c>
      <c r="D132" s="48">
        <f>IF(OR(NOT(ISNUMBER(D79)),NOT(ISNUMBER(D29))),"n/m",IF(OR((D29)&lt;=0,(D79)&lt;0),"n/m",(D79)/(D29)))</f>
        <v>0.12429467254394423</v>
      </c>
      <c r="E132" s="48">
        <f>IF(OR(NOT(ISNUMBER(E79)),NOT(ISNUMBER(E29))),"n/m",IF(OR((E29)&lt;=0,(E79)&lt;0),"n/m",(E79)/(E29)))</f>
        <v>0.11901804448540206</v>
      </c>
      <c r="F132" s="48">
        <f>IF(OR(NOT(ISNUMBER(F79)),NOT(ISNUMBER(F29))),"n/m",IF(OR((F29)&lt;=0,(F79)&lt;0),"n/m",(F79)/(F29)))</f>
        <v>9.9921242706891636E-2</v>
      </c>
      <c r="G132" s="48">
        <f>IF(OR(NOT(ISNUMBER(G79)),NOT(ISNUMBER(G29))),"n/m",IF(OR((G29)&lt;=0,(G79)&lt;0),"n/m",(G79)/(G29)))</f>
        <v>0.19021586420101122</v>
      </c>
      <c r="H132" s="48">
        <f>IF(OR(NOT(ISNUMBER(H79)),NOT(ISNUMBER(H29))),"n/m",IF(OR((H29)&lt;=0,(H79)&lt;0),"n/m",(H79)/(H29)))</f>
        <v>0.18811941761260281</v>
      </c>
    </row>
    <row r="133" spans="1:8" ht="34.049999999999997" customHeight="1" x14ac:dyDescent="0.3">
      <c r="A133" s="42" t="s">
        <v>229</v>
      </c>
      <c r="B133" s="43" t="s">
        <v>230</v>
      </c>
      <c r="C133" s="43" t="s">
        <v>231</v>
      </c>
      <c r="D133" s="48">
        <f>IF(OR(NOT(ISNUMBER(D88)),NOT(ISNUMBER(D58))),"n/m",IF(OR((D58)&lt;=0,(D88)&lt;0),"n/m",(D88)/(D58)))</f>
        <v>0.11598113408973314</v>
      </c>
      <c r="E133" s="48">
        <f>IF(OR(NOT(ISNUMBER(E88)),NOT(ISNUMBER(E58))),"n/m",IF(OR((E58)&lt;=0,(E88)&lt;0),"n/m",(E88)/(E58)))</f>
        <v>0.10809497435976413</v>
      </c>
      <c r="F133" s="48">
        <f>IF(OR(NOT(ISNUMBER(F88)),NOT(ISNUMBER(F58))),"n/m",IF(OR((F58)&lt;=0,(F88)&lt;0),"n/m",(F88)/(F58)))</f>
        <v>9.1352761839314733E-2</v>
      </c>
      <c r="G133" s="48">
        <f>IF(OR(NOT(ISNUMBER(G88)),NOT(ISNUMBER(G58))),"n/m",IF(OR((G58)&lt;=0,(G88)&lt;0),"n/m",(G88)/(G58)))</f>
        <v>0.17349944050776198</v>
      </c>
      <c r="H133" s="48">
        <f>IF(OR(NOT(ISNUMBER(H88)),NOT(ISNUMBER(H58))),"n/m",IF(OR((H58)&lt;=0,(H88)&lt;0),"n/m",(H88)/(H58)))</f>
        <v>0.17586014458599655</v>
      </c>
    </row>
    <row r="134" spans="1:8" ht="34.049999999999997" customHeight="1" x14ac:dyDescent="0.3">
      <c r="A134" s="42" t="s">
        <v>232</v>
      </c>
      <c r="B134" s="43" t="s">
        <v>233</v>
      </c>
      <c r="C134" s="43" t="s">
        <v>234</v>
      </c>
      <c r="D134" s="48">
        <f>IF(OR(NOT(ISNUMBER(D82)),NOT(ISNUMBER(D25))),"n/m",IF(OR((D25)&lt;=0,(D82)&lt;0),"n/m",(D82)/(D25)))</f>
        <v>0.11079703731315671</v>
      </c>
      <c r="E134" s="48">
        <f>IF(OR(NOT(ISNUMBER(E82)),NOT(ISNUMBER(E25))),"n/m",IF(OR((E25)&lt;=0,(E82)&lt;0),"n/m",(E82)/(E25)))</f>
        <v>0.11794695989186292</v>
      </c>
      <c r="F134" s="48">
        <f>IF(OR(NOT(ISNUMBER(F82)),NOT(ISNUMBER(F25))),"n/m",IF(OR((F25)&lt;=0,(F82)&lt;0),"n/m",(F82)/(F25)))</f>
        <v>0.10560432010902317</v>
      </c>
      <c r="G134" s="48">
        <f>IF(OR(NOT(ISNUMBER(G82)),NOT(ISNUMBER(G25))),"n/m",IF(OR((G25)&lt;=0,(G82)&lt;0),"n/m",(G82)/(G25)))</f>
        <v>0.18352469674459784</v>
      </c>
      <c r="H134" s="48">
        <f>IF(OR(NOT(ISNUMBER(H82)),NOT(ISNUMBER(H25))),"n/m",IF(OR((H25)&lt;=0,(H82)&lt;0),"n/m",(H82)/(H25)))</f>
        <v>0.18237850153944901</v>
      </c>
    </row>
    <row r="135" spans="1:8" ht="22.95" customHeight="1" x14ac:dyDescent="0.3">
      <c r="A135" s="91" t="s">
        <v>235</v>
      </c>
      <c r="B135" s="91"/>
      <c r="C135" s="91"/>
      <c r="D135" s="92"/>
      <c r="E135" s="92"/>
      <c r="F135" s="92"/>
      <c r="G135" s="92"/>
      <c r="H135" s="92"/>
    </row>
    <row r="136" spans="1:8" ht="34.049999999999997" customHeight="1" x14ac:dyDescent="0.3">
      <c r="A136" s="42" t="s">
        <v>236</v>
      </c>
      <c r="B136" s="43" t="s">
        <v>237</v>
      </c>
      <c r="C136" s="43" t="s">
        <v>238</v>
      </c>
      <c r="D136" s="49">
        <f>IF(OR(NOT(ISNUMBER(D79)),NOT(ISNUMBER(D104))),"n/m",IF(OR((D104)&lt;=0,(D79)&lt;0),"n/m",(D79)/(D104)))</f>
        <v>43.510441437959038</v>
      </c>
      <c r="E136" s="49">
        <f>IF(OR(NOT(ISNUMBER(E79)),NOT(ISNUMBER(E104))),"n/m",IF(OR((E104)&lt;=0,(E79)&lt;0),"n/m",(E79)/(E104)))</f>
        <v>47.309216853498242</v>
      </c>
      <c r="F136" s="49">
        <f>IF(OR(NOT(ISNUMBER(F79)),NOT(ISNUMBER(F104))),"n/m",IF(OR((F104)&lt;=0,(F79)&lt;0),"n/m",(F79)/(F104)))</f>
        <v>43.061512349842658</v>
      </c>
      <c r="G136" s="49">
        <f>IF(OR(NOT(ISNUMBER(G79)),NOT(ISNUMBER(G104))),"n/m",IF(OR((G104)&lt;=0,(G79)&lt;0),"n/m",(G79)/(G104)))</f>
        <v>94.540589177116431</v>
      </c>
      <c r="H136" s="49">
        <f>IF(OR(NOT(ISNUMBER(H79)),NOT(ISNUMBER(H104))),"n/m",IF(OR((H104)&lt;=0,(H79)&lt;0),"n/m",(H79)/(H104)))</f>
        <v>22.588506484641641</v>
      </c>
    </row>
    <row r="137" spans="1:8" ht="34.049999999999997" customHeight="1" x14ac:dyDescent="0.3">
      <c r="A137" s="42" t="s">
        <v>239</v>
      </c>
      <c r="B137" s="43" t="s">
        <v>240</v>
      </c>
      <c r="C137" s="43" t="s">
        <v>241</v>
      </c>
      <c r="D137" s="49">
        <f>IF(OR(NOT(ISNUMBER(D29)),NOT(ISNUMBER(D103))),"n/m",IF(OR((D103)&lt;=0,(D29)&lt;0),"n/m",(D29)/(D103)))</f>
        <v>350.05878005411677</v>
      </c>
      <c r="E137" s="49">
        <f>IF(OR(NOT(ISNUMBER(E29)),NOT(ISNUMBER(E103))),"n/m",IF(OR((E103)&lt;=0,(E29)&lt;0),"n/m",(E29)/(E103)))</f>
        <v>397.49617008117508</v>
      </c>
      <c r="F137" s="49">
        <f>IF(OR(NOT(ISNUMBER(F29)),NOT(ISNUMBER(F103))),"n/m",IF(OR((F103)&lt;=0,(F29)&lt;0),"n/m",(F29)/(F103)))</f>
        <v>440.50456229600826</v>
      </c>
      <c r="G137" s="49">
        <f>IF(OR(NOT(ISNUMBER(G29)),NOT(ISNUMBER(G103))),"n/m",IF(OR((G103)&lt;=0,(G29)&lt;0),"n/m",(G29)/(G103)))</f>
        <v>504.3046996587031</v>
      </c>
      <c r="H137" s="49">
        <f>IF(OR(NOT(ISNUMBER(H29)),NOT(ISNUMBER(H103))),"n/m",IF(OR((H103)&lt;=0,(H29)&lt;0),"n/m",(H29)/(H103)))</f>
        <v>120.07535836177475</v>
      </c>
    </row>
    <row r="138" spans="1:8" ht="34.049999999999997" customHeight="1" x14ac:dyDescent="0.3">
      <c r="A138" s="42" t="s">
        <v>242</v>
      </c>
      <c r="B138" s="43" t="s">
        <v>243</v>
      </c>
      <c r="C138" s="43" t="s">
        <v>244</v>
      </c>
      <c r="D138" s="45">
        <f>IF(OR(NOT(ISNUMBER(D105)),NOT(ISNUMBER(D79/D104))),"n/m",IF(OR((D79/D104)&lt;=0,(D105)&lt;0),"n/m",(D105)/(D79/D104)))</f>
        <v>19.844432082610968</v>
      </c>
      <c r="E138" s="45">
        <f>IF(OR(NOT(ISNUMBER(E105)),NOT(ISNUMBER(E79/E104))),"n/m",IF(OR((E79/E104)&lt;=0,(E105)&lt;0),"n/m",(E105)/(E79/E104)))</f>
        <v>9.7029718632101325</v>
      </c>
      <c r="F138" s="45">
        <f>IF(OR(NOT(ISNUMBER(F105)),NOT(ISNUMBER(F79/F104))),"n/m",IF(OR((F79/F104)&lt;=0,(F105)&lt;0),"n/m",(F105)/(F79/F104)))</f>
        <v>12.124283879265743</v>
      </c>
      <c r="G138" s="45">
        <f>IF(OR(NOT(ISNUMBER(G105)),NOT(ISNUMBER(G79/G104))),"n/m",IF(OR((G79/G104)&lt;=0,(G105)&lt;0),"n/m",(G105)/(G79/G104)))</f>
        <v>9.5909070156236584</v>
      </c>
      <c r="H138" s="45">
        <f>IF(OR(NOT(ISNUMBER(H105)),NOT(ISNUMBER(H79/H104))),"n/m",IF(OR((H79/H104)&lt;=0,(H105)&lt;0),"n/m",(H105)/(H79/H104)))</f>
        <v>15.726582022655393</v>
      </c>
    </row>
    <row r="139" spans="1:8" ht="34.049999999999997" customHeight="1" x14ac:dyDescent="0.3">
      <c r="A139" s="42" t="s">
        <v>245</v>
      </c>
      <c r="B139" s="43" t="s">
        <v>246</v>
      </c>
      <c r="C139" s="43" t="s">
        <v>247</v>
      </c>
      <c r="D139" s="45">
        <f>IF(OR(NOT(ISNUMBER(D105)),NOT(ISNUMBER(D29/D103))),"n/m",IF(OR((D29/D103)&lt;=0,(D105)&lt;0),"n/m",(D105)/(D29/D103)))</f>
        <v>2.4665571875286716</v>
      </c>
      <c r="E139" s="45">
        <f>IF(OR(NOT(ISNUMBER(E105)),NOT(ISNUMBER(E29/E103))),"n/m",IF(OR((E29/E103)&lt;=0,(E105)&lt;0),"n/m",(E105)/(E29/E103)))</f>
        <v>1.1548287368561481</v>
      </c>
      <c r="F139" s="45">
        <f>IF(OR(NOT(ISNUMBER(F105)),NOT(ISNUMBER(F29/F103))),"n/m",IF(OR((F29/F103)&lt;=0,(F105)&lt;0),"n/m",(F105)/(F29/F103)))</f>
        <v>1.1852090640758639</v>
      </c>
      <c r="G139" s="45">
        <f>IF(OR(NOT(ISNUMBER(G105)),NOT(ISNUMBER(G29/G103))),"n/m",IF(OR((G29/G103)&lt;=0,(G105)&lt;0),"n/m",(G105)/(G29/G103)))</f>
        <v>1.7979804681845026</v>
      </c>
      <c r="H139" s="45">
        <f>IF(OR(NOT(ISNUMBER(H105)),NOT(ISNUMBER(H29/H103))),"n/m",IF(OR((H29/H103)&lt;=0,(H105)&lt;0),"n/m",(H105)/(H29/H103)))</f>
        <v>2.9584754511387614</v>
      </c>
    </row>
    <row r="140" spans="1:8" ht="34.049999999999997" customHeight="1" x14ac:dyDescent="0.3">
      <c r="A140" s="42" t="s">
        <v>248</v>
      </c>
      <c r="B140" s="43" t="s">
        <v>249</v>
      </c>
      <c r="C140" s="43" t="s">
        <v>309</v>
      </c>
      <c r="D140" s="73">
        <f>IF(OR(NOT(ISNUMBER(D106)),NOT(ISNUMBER(D105))),"n/m",IF(OR((D105)&lt;=0,(D106)&lt;0),"n/m",(D106)/(D105)))</f>
        <v>0</v>
      </c>
      <c r="E140" s="73">
        <f>IF(OR(NOT(ISNUMBER(E106)),NOT(ISNUMBER(E105))),"n/m",IF(OR((E105)&lt;=0,(E106)&lt;0),"n/m",(E106)/(E105)))</f>
        <v>0</v>
      </c>
      <c r="F140" s="48">
        <f>IF(OR(NOT(ISNUMBER(F106)),NOT(ISNUMBER(F105))),"n/m",IF(OR((F105)&lt;=0,(F106)&lt;0),"n/m",(F106)/(F105)))</f>
        <v>3.4476814342354764E-2</v>
      </c>
      <c r="G140" s="48">
        <f>IF(OR(NOT(ISNUMBER(G106)),NOT(ISNUMBER(G105))),"n/m",IF(OR((G105)&lt;=0,(G106)&lt;0),"n/m",(G106)/(G105)))</f>
        <v>1.6542962072502287E-2</v>
      </c>
      <c r="H140" s="48">
        <f>IF(OR(NOT(ISNUMBER(H106)),NOT(ISNUMBER(H105))),"n/m",IF(OR((H105)&lt;=0,(H106)&lt;0),"n/m",(H106)/(H105)))</f>
        <v>1.1259993244004052E-2</v>
      </c>
    </row>
    <row r="141" spans="1:8" ht="34.049999999999997" customHeight="1" x14ac:dyDescent="0.3">
      <c r="A141" s="42" t="s">
        <v>250</v>
      </c>
      <c r="B141" s="43" t="s">
        <v>251</v>
      </c>
      <c r="C141" s="43" t="s">
        <v>252</v>
      </c>
      <c r="D141" s="45">
        <f>IF(OR(NOT(ISNUMBER(D214)),NOT(ISNUMBER(D83))),"n/m",IF(OR((D83)&lt;=0,(D214)&lt;0),"n/m",(D214)/(D83)))</f>
        <v>12.530231924140164</v>
      </c>
      <c r="E141" s="45">
        <f>IF(OR(NOT(ISNUMBER(E214)),NOT(ISNUMBER(E83))),"n/m",IF(OR((E83)&lt;=0,(E214)&lt;0),"n/m",(E214)/(E83)))</f>
        <v>5.6439003003016683</v>
      </c>
      <c r="F141" s="45">
        <f>IF(OR(NOT(ISNUMBER(F214)),NOT(ISNUMBER(F83))),"n/m",IF(OR((F83)&lt;=0,(F214)&lt;0),"n/m",(F214)/(F83)))</f>
        <v>5.6924500846825419</v>
      </c>
      <c r="G141" s="45">
        <f>IF(OR(NOT(ISNUMBER(G214)),NOT(ISNUMBER(G83))),"n/m",IF(OR((G83)&lt;=0,(G214)&lt;0),"n/m",(G214)/(G83)))</f>
        <v>5.178403100254557</v>
      </c>
      <c r="H141" s="45">
        <f>IF(OR(NOT(ISNUMBER(H214)),NOT(ISNUMBER(H83))),"n/m",IF(OR((H83)&lt;=0,(H214)&lt;0),"n/m",(H214)/(H83)))</f>
        <v>8.5282679327793396</v>
      </c>
    </row>
    <row r="142" spans="1:8" ht="34.049999999999997" customHeight="1" x14ac:dyDescent="0.3">
      <c r="A142" s="40"/>
      <c r="B142" s="40"/>
      <c r="C142" s="40"/>
      <c r="D142" s="40"/>
      <c r="E142" s="40"/>
      <c r="F142" s="40"/>
      <c r="G142" s="40"/>
      <c r="H142" s="40"/>
    </row>
    <row r="143" spans="1:8" ht="21" customHeight="1" x14ac:dyDescent="0.3">
      <c r="A143" s="44" t="s">
        <v>253</v>
      </c>
      <c r="B143" s="44"/>
      <c r="C143" s="44"/>
      <c r="D143" s="44"/>
      <c r="E143" s="44"/>
      <c r="F143" s="44"/>
      <c r="G143" s="44"/>
      <c r="H143" s="44"/>
    </row>
    <row r="144" spans="1:8" ht="21" customHeight="1" x14ac:dyDescent="0.3">
      <c r="A144" s="44" t="s">
        <v>254</v>
      </c>
      <c r="B144" s="44"/>
      <c r="C144" s="44"/>
      <c r="D144" s="44"/>
      <c r="E144" s="44"/>
      <c r="F144" s="44"/>
      <c r="G144" s="44"/>
      <c r="H144" s="44"/>
    </row>
    <row r="145" spans="1:8" ht="21" customHeight="1" x14ac:dyDescent="0.3">
      <c r="A145" s="44" t="s">
        <v>255</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256</v>
      </c>
      <c r="B153" s="27"/>
      <c r="C153" s="3"/>
      <c r="D153" s="3"/>
      <c r="E153" s="3"/>
      <c r="F153" s="3"/>
      <c r="G153" s="3"/>
      <c r="H153" s="3"/>
    </row>
    <row r="154" spans="1:8" x14ac:dyDescent="0.3">
      <c r="A154" s="38" t="s">
        <v>257</v>
      </c>
      <c r="B154" s="38"/>
      <c r="C154" s="18"/>
      <c r="D154" s="18" t="s">
        <v>65</v>
      </c>
      <c r="E154" s="18" t="s">
        <v>66</v>
      </c>
      <c r="F154" s="18" t="s">
        <v>67</v>
      </c>
      <c r="G154" s="18" t="s">
        <v>68</v>
      </c>
      <c r="H154" s="18" t="s">
        <v>69</v>
      </c>
    </row>
    <row r="155" spans="1:8" x14ac:dyDescent="0.3">
      <c r="A155" s="36" t="s">
        <v>72</v>
      </c>
      <c r="B155" s="36"/>
      <c r="C155" s="19"/>
      <c r="D155" s="19">
        <f>D9/D25</f>
        <v>0.39899418207280718</v>
      </c>
      <c r="E155" s="19">
        <f>E9/E25</f>
        <v>0.44496105283427162</v>
      </c>
      <c r="F155" s="19">
        <f>F9/F25</f>
        <v>0.44875504359140073</v>
      </c>
      <c r="G155" s="19">
        <f>G9/G25</f>
        <v>0.45833624656965621</v>
      </c>
      <c r="H155" s="19">
        <f>H9/H25</f>
        <v>0.40266309745567752</v>
      </c>
    </row>
    <row r="156" spans="1:8" x14ac:dyDescent="0.3">
      <c r="A156" s="36" t="s">
        <v>79</v>
      </c>
      <c r="B156" s="36"/>
      <c r="C156" s="19"/>
      <c r="D156" s="19">
        <f>D16/D25</f>
        <v>0.73986779985800422</v>
      </c>
      <c r="E156" s="19">
        <f>E16/E25</f>
        <v>0.75770373463211704</v>
      </c>
      <c r="F156" s="19">
        <f>F16/F25</f>
        <v>0.72040124429491714</v>
      </c>
      <c r="G156" s="19">
        <f>G16/G25</f>
        <v>0.70749233958793523</v>
      </c>
      <c r="H156" s="19">
        <f>H16/H25</f>
        <v>0.62306241211978208</v>
      </c>
    </row>
    <row r="157" spans="1:8" x14ac:dyDescent="0.3">
      <c r="A157" s="36" t="s">
        <v>258</v>
      </c>
      <c r="B157" s="36"/>
      <c r="C157" s="19"/>
      <c r="D157" s="19">
        <f>D54/D25</f>
        <v>8.7176433765611294E-2</v>
      </c>
      <c r="E157" s="19">
        <f>E54/E25</f>
        <v>9.9361871275350455E-2</v>
      </c>
      <c r="F157" s="19">
        <f>F54/F25</f>
        <v>9.4483823697238178E-2</v>
      </c>
      <c r="G157" s="19">
        <f>G54/G25</f>
        <v>9.8698553603270581E-2</v>
      </c>
      <c r="H157" s="19">
        <f>H54/H25</f>
        <v>9.2483183474682082E-2</v>
      </c>
    </row>
    <row r="158" spans="1:8" x14ac:dyDescent="0.3">
      <c r="A158" s="36" t="s">
        <v>83</v>
      </c>
      <c r="B158" s="36"/>
      <c r="C158" s="19"/>
      <c r="D158" s="19">
        <f>D20/D25</f>
        <v>1.7331422832368416E-2</v>
      </c>
      <c r="E158" s="19">
        <f>E20/E25</f>
        <v>1.9046744687005734E-2</v>
      </c>
      <c r="F158" s="19">
        <f>F20/F25</f>
        <v>2.3886283489311506E-2</v>
      </c>
      <c r="G158" s="19">
        <f>G20/G25</f>
        <v>2.9623688493483562E-2</v>
      </c>
      <c r="H158" s="19">
        <f>H20/H25</f>
        <v>2.381721057133955E-2</v>
      </c>
    </row>
    <row r="159" spans="1:8" x14ac:dyDescent="0.3">
      <c r="A159" s="36" t="s">
        <v>84</v>
      </c>
      <c r="B159" s="36"/>
      <c r="C159" s="19"/>
      <c r="D159" s="19">
        <f>D21/D25</f>
        <v>0.10377504710648648</v>
      </c>
      <c r="E159" s="19">
        <f>E21/E25</f>
        <v>6.8939185510427714E-2</v>
      </c>
      <c r="F159" s="19">
        <f>F21/F25</f>
        <v>0.10277169084844923</v>
      </c>
      <c r="G159" s="19">
        <f>G21/G25</f>
        <v>0.127501373932246</v>
      </c>
      <c r="H159" s="19">
        <f>H21/H25</f>
        <v>0.22979758088560204</v>
      </c>
    </row>
    <row r="160" spans="1:8" x14ac:dyDescent="0.3">
      <c r="A160" s="36" t="s">
        <v>85</v>
      </c>
      <c r="B160" s="36"/>
      <c r="C160" s="19"/>
      <c r="D160" s="19">
        <f>D22/D25</f>
        <v>1.8069060675574528E-2</v>
      </c>
      <c r="E160" s="19">
        <f>E22/E25</f>
        <v>2.0929003244595137E-2</v>
      </c>
      <c r="F160" s="19">
        <f>F22/F25</f>
        <v>1.9317622598751097E-2</v>
      </c>
      <c r="G160" s="19">
        <f>G22/G25</f>
        <v>1.0969989542261456E-2</v>
      </c>
      <c r="H160" s="19">
        <f>H22/H25</f>
        <v>1.0460519614709056E-2</v>
      </c>
    </row>
    <row r="161" spans="1:8" x14ac:dyDescent="0.3">
      <c r="A161" s="36" t="s">
        <v>87</v>
      </c>
      <c r="B161" s="36"/>
      <c r="C161" s="19"/>
      <c r="D161" s="19">
        <f>D24/D25</f>
        <v>0.26013220014199573</v>
      </c>
      <c r="E161" s="19">
        <f>E24/E25</f>
        <v>0.24229626536788285</v>
      </c>
      <c r="F161" s="19">
        <f>F24/F25</f>
        <v>0.27959875570508291</v>
      </c>
      <c r="G161" s="19">
        <f>G24/G25</f>
        <v>0.29250766041206472</v>
      </c>
      <c r="H161" s="19">
        <f>H24/H25</f>
        <v>0.37693758788021792</v>
      </c>
    </row>
    <row r="162" spans="1:8" x14ac:dyDescent="0.3">
      <c r="A162" s="36" t="s">
        <v>92</v>
      </c>
      <c r="B162" s="36"/>
      <c r="C162" s="19"/>
      <c r="D162" s="19">
        <f>D29/D25</f>
        <v>0.72393464849618716</v>
      </c>
      <c r="E162" s="19">
        <f>E29/E25</f>
        <v>0.69495392706044934</v>
      </c>
      <c r="F162" s="19">
        <f>F29/F25</f>
        <v>0.6446730217755271</v>
      </c>
      <c r="G162" s="19">
        <f>G29/G25</f>
        <v>0.63140963589609678</v>
      </c>
      <c r="H162" s="19">
        <f>H29/H25</f>
        <v>0.65946278965958993</v>
      </c>
    </row>
    <row r="163" spans="1:8" x14ac:dyDescent="0.3">
      <c r="A163" s="36" t="s">
        <v>99</v>
      </c>
      <c r="B163" s="36"/>
      <c r="C163" s="19"/>
      <c r="D163" s="19">
        <f>D36/D25</f>
        <v>8.1734964522358802E-2</v>
      </c>
      <c r="E163" s="19">
        <f>E36/E25</f>
        <v>0.14089723375513877</v>
      </c>
      <c r="F163" s="19">
        <f>F36/F25</f>
        <v>0.13859579176775724</v>
      </c>
      <c r="G163" s="19">
        <f>G36/G25</f>
        <v>0.13703359428324538</v>
      </c>
      <c r="H163" s="19">
        <f>H36/H25</f>
        <v>0.12069909944602028</v>
      </c>
    </row>
    <row r="164" spans="1:8" x14ac:dyDescent="0.3">
      <c r="A164" s="36" t="s">
        <v>111</v>
      </c>
      <c r="B164" s="36"/>
      <c r="C164" s="19"/>
      <c r="D164" s="19">
        <f>D48/D25</f>
        <v>0.19433038698145402</v>
      </c>
      <c r="E164" s="19">
        <f>E48/E25</f>
        <v>0.16414883918441181</v>
      </c>
      <c r="F164" s="19">
        <f>F48/F25</f>
        <v>0.2167311864567156</v>
      </c>
      <c r="G164" s="19">
        <f>G48/G25</f>
        <v>0.23155676982065787</v>
      </c>
      <c r="H164" s="19">
        <f>H48/H25</f>
        <v>0.21983811089438973</v>
      </c>
    </row>
    <row r="165" spans="1:8" x14ac:dyDescent="0.3">
      <c r="A165" s="36" t="s">
        <v>118</v>
      </c>
      <c r="B165" s="36"/>
      <c r="C165" s="19"/>
      <c r="D165" s="19">
        <f>D55/D25</f>
        <v>6.7091398753794107E-2</v>
      </c>
      <c r="E165" s="19">
        <f>E55/E25</f>
        <v>8.4317951638681429E-2</v>
      </c>
      <c r="F165" s="19">
        <f>F55/F25</f>
        <v>9.8751826241101376E-2</v>
      </c>
      <c r="G165" s="19">
        <f>G55/G25</f>
        <v>8.6936800484099339E-2</v>
      </c>
      <c r="H165" s="19">
        <f>H55/H25</f>
        <v>6.5738468621492713E-2</v>
      </c>
    </row>
    <row r="166" spans="1:8" x14ac:dyDescent="0.3">
      <c r="A166" s="38" t="s">
        <v>259</v>
      </c>
      <c r="B166" s="38"/>
      <c r="C166" s="18"/>
      <c r="D166" s="18" t="s">
        <v>65</v>
      </c>
      <c r="E166" s="18" t="s">
        <v>66</v>
      </c>
      <c r="F166" s="18" t="s">
        <v>67</v>
      </c>
      <c r="G166" s="18" t="s">
        <v>68</v>
      </c>
      <c r="H166" s="18" t="s">
        <v>69</v>
      </c>
    </row>
    <row r="167" spans="1:8" x14ac:dyDescent="0.3">
      <c r="A167" s="36" t="s">
        <v>125</v>
      </c>
      <c r="B167" s="36"/>
      <c r="C167" s="19"/>
      <c r="D167" s="19">
        <f>D65/D64</f>
        <v>-0.69882920944528748</v>
      </c>
      <c r="E167" s="19">
        <f>E65/E64</f>
        <v>-0.72190330855638607</v>
      </c>
      <c r="F167" s="19">
        <f>F65/F64</f>
        <v>-0.72805912404320861</v>
      </c>
      <c r="G167" s="19">
        <f>G65/G64</f>
        <v>-0.66351969203678418</v>
      </c>
      <c r="H167" s="19">
        <f>H65/H64</f>
        <v>-0.65718347017932699</v>
      </c>
    </row>
    <row r="168" spans="1:8" x14ac:dyDescent="0.3">
      <c r="A168" s="36" t="s">
        <v>126</v>
      </c>
      <c r="B168" s="36"/>
      <c r="C168" s="19"/>
      <c r="D168" s="19">
        <f>D66/D64</f>
        <v>0.30117079055471246</v>
      </c>
      <c r="E168" s="19">
        <f>E66/E64</f>
        <v>0.27809669144361399</v>
      </c>
      <c r="F168" s="19">
        <f>F66/F64</f>
        <v>0.27194087595679139</v>
      </c>
      <c r="G168" s="19">
        <f>G66/G64</f>
        <v>0.33648030796321582</v>
      </c>
      <c r="H168" s="19">
        <f>H66/H64</f>
        <v>0.34281652982067301</v>
      </c>
    </row>
    <row r="169" spans="1:8" x14ac:dyDescent="0.3">
      <c r="A169" s="36" t="s">
        <v>260</v>
      </c>
      <c r="B169" s="36"/>
      <c r="C169" s="19"/>
      <c r="D169" s="19">
        <f>(D67+D68+D69+D70)/D64</f>
        <v>-0.12112719244693486</v>
      </c>
      <c r="E169" s="19">
        <f>(E67+E68+E69+E70)/E64</f>
        <v>-0.10017929298300943</v>
      </c>
      <c r="F169" s="19">
        <f>(F67+F68+F69+F70)/F64</f>
        <v>-0.10012357335581766</v>
      </c>
      <c r="G169" s="19">
        <f>(G67+G68+G69+G70)/G64</f>
        <v>-0.10761941679537111</v>
      </c>
      <c r="H169" s="19">
        <f>(H67+H68+H69+H70)/H64</f>
        <v>-0.1161093446735434</v>
      </c>
    </row>
    <row r="170" spans="1:8" x14ac:dyDescent="0.3">
      <c r="A170" s="36" t="s">
        <v>261</v>
      </c>
      <c r="B170" s="36"/>
      <c r="C170" s="19"/>
      <c r="D170" s="19">
        <f>D71/D64</f>
        <v>0.18004359810777762</v>
      </c>
      <c r="E170" s="19">
        <f>E71/E64</f>
        <v>0.1779173984606045</v>
      </c>
      <c r="F170" s="19">
        <f>F71/F64</f>
        <v>0.17181730260097375</v>
      </c>
      <c r="G170" s="19">
        <f>G71/G64</f>
        <v>0.22886089116784467</v>
      </c>
      <c r="H170" s="19">
        <f>H71/H64</f>
        <v>0.22670718514712962</v>
      </c>
    </row>
    <row r="171" spans="1:8" x14ac:dyDescent="0.3">
      <c r="A171" s="36" t="s">
        <v>132</v>
      </c>
      <c r="B171" s="36"/>
      <c r="C171" s="19"/>
      <c r="D171" s="19">
        <f>(D72+D73+D74)/D64</f>
        <v>9.5216910555878664E-2</v>
      </c>
      <c r="E171" s="19">
        <f>(E72+E73+E74)/E64</f>
        <v>9.1102218087079093E-2</v>
      </c>
      <c r="F171" s="19">
        <f>(F72+F73+F74)/F64</f>
        <v>6.310432552450275E-2</v>
      </c>
      <c r="G171" s="19">
        <f>(G72+G73+G74)/G64</f>
        <v>0.14372747744369124</v>
      </c>
      <c r="H171" s="19">
        <f>(H72+H73+H74)/H64</f>
        <v>0.1643694027769782</v>
      </c>
    </row>
    <row r="172" spans="1:8" x14ac:dyDescent="0.3">
      <c r="A172" s="36" t="s">
        <v>135</v>
      </c>
      <c r="B172" s="36"/>
      <c r="C172" s="19"/>
      <c r="D172" s="19">
        <f>D75/D64</f>
        <v>-5.2891760758382415E-3</v>
      </c>
      <c r="E172" s="19">
        <f>E75/E64</f>
        <v>-4.8649630164677143E-3</v>
      </c>
      <c r="F172" s="19">
        <f>F75/F64</f>
        <v>-1.2206446757370468E-2</v>
      </c>
      <c r="G172" s="19">
        <f>G75/G64</f>
        <v>-1.3710546674283175E-2</v>
      </c>
      <c r="H172" s="19">
        <f>H75/H64</f>
        <v>-1.1007548010892852E-2</v>
      </c>
    </row>
    <row r="173" spans="1:8" x14ac:dyDescent="0.3">
      <c r="A173" s="36" t="s">
        <v>136</v>
      </c>
      <c r="B173" s="36"/>
      <c r="C173" s="19"/>
      <c r="D173" s="19">
        <f>D76/D64</f>
        <v>0.26997133258781808</v>
      </c>
      <c r="E173" s="19">
        <f>E76/E64</f>
        <v>0.26415465353121587</v>
      </c>
      <c r="F173" s="19">
        <f>F76/F64</f>
        <v>0.22271518136810603</v>
      </c>
      <c r="G173" s="19">
        <f>G76/G64</f>
        <v>0.35887782193725282</v>
      </c>
      <c r="H173" s="19">
        <f>H76/H64</f>
        <v>0.38006903991321495</v>
      </c>
    </row>
    <row r="174" spans="1:8" x14ac:dyDescent="0.3">
      <c r="A174" s="36" t="s">
        <v>262</v>
      </c>
      <c r="B174" s="36"/>
      <c r="C174" s="19"/>
      <c r="D174" s="19">
        <f>(D77+D78)/D64</f>
        <v>-4.642495436783816E-2</v>
      </c>
      <c r="E174" s="19">
        <f>(E77+E78)/E64</f>
        <v>-7.5500651870787458E-2</v>
      </c>
      <c r="F174" s="19">
        <f>(F77+F78)/F64</f>
        <v>-7.948752311685138E-2</v>
      </c>
      <c r="G174" s="19">
        <f>(G77+G78)/G64</f>
        <v>-0.11516177480496803</v>
      </c>
      <c r="H174" s="19">
        <f>(H77+H78)/H64</f>
        <v>-0.11429361233587733</v>
      </c>
    </row>
    <row r="175" spans="1:8" x14ac:dyDescent="0.3">
      <c r="A175" s="36" t="s">
        <v>139</v>
      </c>
      <c r="B175" s="36"/>
      <c r="C175" s="19"/>
      <c r="D175" s="19">
        <f>D79/D64</f>
        <v>0.22354637821997994</v>
      </c>
      <c r="E175" s="19">
        <f>E79/E64</f>
        <v>0.18865400166042842</v>
      </c>
      <c r="F175" s="19">
        <f>F79/F64</f>
        <v>0.14322765825125466</v>
      </c>
      <c r="G175" s="19">
        <f>G79/G64</f>
        <v>0.24371604713228476</v>
      </c>
      <c r="H175" s="19">
        <f>H79/H64</f>
        <v>0.26577542757733763</v>
      </c>
    </row>
    <row r="176" spans="1:8" x14ac:dyDescent="0.3">
      <c r="A176" s="36"/>
      <c r="B176" s="36"/>
      <c r="C176" s="19"/>
      <c r="D176" s="19"/>
      <c r="E176" s="19"/>
      <c r="F176" s="19"/>
      <c r="G176" s="19"/>
      <c r="H176" s="19"/>
    </row>
    <row r="177" spans="1:8" x14ac:dyDescent="0.3">
      <c r="A177" s="23"/>
      <c r="B177" s="23"/>
    </row>
    <row r="178" spans="1:8" ht="19.5" customHeight="1" x14ac:dyDescent="0.3">
      <c r="A178" s="26" t="s">
        <v>263</v>
      </c>
      <c r="B178" s="27"/>
      <c r="C178" s="3"/>
      <c r="D178" s="3"/>
      <c r="E178" s="3"/>
      <c r="F178" s="3"/>
      <c r="G178" s="3"/>
      <c r="H178" s="3"/>
    </row>
    <row r="179" spans="1:8" x14ac:dyDescent="0.3">
      <c r="A179" s="38" t="s">
        <v>264</v>
      </c>
      <c r="B179" s="38"/>
      <c r="C179" s="18"/>
      <c r="D179" s="18" t="s">
        <v>65</v>
      </c>
      <c r="E179" s="18" t="s">
        <v>66</v>
      </c>
      <c r="F179" s="18" t="s">
        <v>67</v>
      </c>
      <c r="G179" s="18" t="s">
        <v>68</v>
      </c>
      <c r="H179" s="18" t="s">
        <v>69</v>
      </c>
    </row>
    <row r="180" spans="1:8" x14ac:dyDescent="0.3">
      <c r="A180" s="36" t="s">
        <v>124</v>
      </c>
      <c r="B180" s="36"/>
      <c r="C180" s="17"/>
      <c r="D180" s="17">
        <f>IF(OR(I64&lt;=0,D64&lt;I64),"n/m",D64/I64-1)</f>
        <v>0.50321491380292827</v>
      </c>
      <c r="E180" s="17">
        <f>IF(OR(D64&lt;=0,E64&lt;D64),"n/m",E64/D64-1)</f>
        <v>0.28840940308914065</v>
      </c>
      <c r="F180" s="17">
        <f>IF(OR(E64&lt;=0,F64&lt;E64),"n/m",F64/E64-1)</f>
        <v>0.181748444157533</v>
      </c>
      <c r="G180" s="17">
        <f>IF(OR(F64&lt;=0,G64&lt;F64),"n/m",G64/F64-1)</f>
        <v>0.20340559624527654</v>
      </c>
      <c r="H180" s="17">
        <f>IF(OR(G64&lt;=0,H64&lt;G64),"n/m",H64/G64-1)</f>
        <v>7.9660148452535218E-2</v>
      </c>
    </row>
    <row r="181" spans="1:8" x14ac:dyDescent="0.3">
      <c r="A181" s="36" t="s">
        <v>126</v>
      </c>
      <c r="B181" s="36"/>
      <c r="C181" s="17"/>
      <c r="D181" s="17">
        <f>IF(OR(I66&lt;=0,D66&lt;I66),"n/m",D66/I66-1)</f>
        <v>2.1194117264695942</v>
      </c>
      <c r="E181" s="17">
        <f>IF(OR(D66&lt;=0,E66&lt;D66),"n/m",E66/D66-1)</f>
        <v>0.18969834878073999</v>
      </c>
      <c r="F181" s="17">
        <f>IF(OR(E66&lt;=0,F66&lt;E66),"n/m",F66/E66-1)</f>
        <v>0.15558982523865827</v>
      </c>
      <c r="G181" s="17">
        <f>IF(OR(F66&lt;=0,G66&lt;F66),"n/m",G66/F66-1)</f>
        <v>0.4890085361555061</v>
      </c>
      <c r="H181" s="17">
        <f>IF(OR(G66&lt;=0,H66&lt;G66),"n/m",H66/G66-1)</f>
        <v>9.9991104141027742E-2</v>
      </c>
    </row>
    <row r="182" spans="1:8" x14ac:dyDescent="0.3">
      <c r="A182" s="36" t="s">
        <v>261</v>
      </c>
      <c r="B182" s="36"/>
      <c r="C182" s="17"/>
      <c r="D182" s="17">
        <f>IF(OR(I71&lt;=0,D71&lt;I71),"n/m",D71/I71-1)</f>
        <v>12.982517055402768</v>
      </c>
      <c r="E182" s="17">
        <f>IF(OR(D71&lt;=0,E71&lt;D71),"n/m",E71/D71-1)</f>
        <v>0.27319411275361416</v>
      </c>
      <c r="F182" s="17">
        <f>IF(OR(E71&lt;=0,F71&lt;E71),"n/m",F71/E71-1)</f>
        <v>0.14123088458380395</v>
      </c>
      <c r="G182" s="17">
        <f>IF(OR(F71&lt;=0,G71&lt;F71),"n/m",G71/F71-1)</f>
        <v>0.60293796389458976</v>
      </c>
      <c r="H182" s="17">
        <f>IF(OR(G71&lt;=0,H71&lt;G71),"n/m",H71/G71-1)</f>
        <v>6.9499956598947588E-2</v>
      </c>
    </row>
    <row r="183" spans="1:8" x14ac:dyDescent="0.3">
      <c r="A183" s="36"/>
      <c r="B183" s="36"/>
      <c r="C183" s="17"/>
      <c r="D183" s="17"/>
      <c r="E183" s="17"/>
      <c r="F183" s="17"/>
      <c r="G183" s="17"/>
      <c r="H183" s="17"/>
    </row>
    <row r="184" spans="1:8" x14ac:dyDescent="0.3">
      <c r="A184" s="36" t="s">
        <v>139</v>
      </c>
      <c r="B184" s="36"/>
      <c r="C184" s="17"/>
      <c r="D184" s="17">
        <f>IF(OR(I79&lt;=0,D79&lt;I79),"n/m",D79/I79-1)</f>
        <v>3.2076767088335822</v>
      </c>
      <c r="E184" s="17">
        <f>IF(OR(D79&lt;=0,E79&lt;D79),"n/m",E79/D79-1)</f>
        <v>8.7307213854766808E-2</v>
      </c>
      <c r="F184" s="17" t="str">
        <f>IF(OR(E79&lt;=0,F79&lt;E79),"n/m",F79/E79-1)</f>
        <v>n/m</v>
      </c>
      <c r="G184" s="17">
        <f>IF(OR(F79&lt;=0,G79&lt;F79),"n/m",G79/F79-1)</f>
        <v>1.0477138186485702</v>
      </c>
      <c r="H184" s="17">
        <f>IF(OR(G79&lt;=0,H79&lt;G79),"n/m",H79/G79-1)</f>
        <v>0.17738302819852692</v>
      </c>
    </row>
    <row r="185" spans="1:8" x14ac:dyDescent="0.3">
      <c r="A185" s="36" t="s">
        <v>151</v>
      </c>
      <c r="B185" s="36"/>
      <c r="C185" s="17"/>
      <c r="D185" s="17">
        <f>IF(OR(I93&lt;=0,D93&lt;I93),"n/m",D93/I93-1)</f>
        <v>1.4753269408450125</v>
      </c>
      <c r="E185" s="17">
        <f>IF(OR(D93&lt;=0,E93&lt;D93),"n/m",E93/D93-1)</f>
        <v>0.23828591431220536</v>
      </c>
      <c r="F185" s="17">
        <f>IF(OR(E93&lt;=0,F93&lt;E93),"n/m",F93/E93-1)</f>
        <v>0.50250315961479952</v>
      </c>
      <c r="G185" s="17">
        <f>IF(OR(F93&lt;=0,G93&lt;F93),"n/m",G93/F93-1)</f>
        <v>0.18663100329666316</v>
      </c>
      <c r="H185" s="17" t="str">
        <f>IF(OR(G93&lt;=0,H93&lt;G93),"n/m",H93/G93-1)</f>
        <v>n/m</v>
      </c>
    </row>
    <row r="186" spans="1:8" x14ac:dyDescent="0.3">
      <c r="A186" s="36" t="s">
        <v>265</v>
      </c>
      <c r="B186" s="36"/>
      <c r="C186" s="17"/>
      <c r="D186" s="17">
        <f>IF(OR(I25&lt;=0,D25&lt;I25),"n/m",D25/I25-1)</f>
        <v>0.15087817943697535</v>
      </c>
      <c r="E186" s="17">
        <f>IF(OR(D25&lt;=0,E25&lt;D25),"n/m",E25/D25-1)</f>
        <v>0.18286538589958368</v>
      </c>
      <c r="F186" s="17">
        <f>IF(OR(E25&lt;=0,F25&lt;E25),"n/m",F25/E25-1)</f>
        <v>0.15201307868203751</v>
      </c>
      <c r="G186" s="17">
        <f>IF(OR(F25&lt;=0,G25&lt;F25),"n/m",G25/F25-1)</f>
        <v>9.8268794278135285E-2</v>
      </c>
      <c r="H186" s="17">
        <f>IF(OR(G25&lt;=0,H25&lt;G25),"n/m",H25/G25-1)</f>
        <v>0.13986072615155543</v>
      </c>
    </row>
    <row r="187" spans="1:8" x14ac:dyDescent="0.3">
      <c r="A187" s="36" t="s">
        <v>92</v>
      </c>
      <c r="B187" s="36"/>
      <c r="C187" s="17"/>
      <c r="D187" s="17">
        <f>IF(OR(I29&lt;=0,D29&lt;I29),"n/m",D29/I29-1)</f>
        <v>0.14131731572740436</v>
      </c>
      <c r="E187" s="17">
        <f>IF(OR(D29&lt;=0,E29&lt;D29),"n/m",E29/D29-1)</f>
        <v>0.13551264167613453</v>
      </c>
      <c r="F187" s="17">
        <f>IF(OR(E29&lt;=0,F29&lt;E29),"n/m",F29/E29-1)</f>
        <v>6.8663293551368465E-2</v>
      </c>
      <c r="G187" s="17">
        <f>IF(OR(F29&lt;=0,G29&lt;F29),"n/m",G29/F29-1)</f>
        <v>7.5673211206070956E-2</v>
      </c>
      <c r="H187" s="17">
        <f>IF(OR(G29&lt;=0,H29&lt;G29),"n/m",H29/G29-1)</f>
        <v>0.19050405878666021</v>
      </c>
    </row>
    <row r="188" spans="1:8" x14ac:dyDescent="0.3">
      <c r="A188" s="36" t="s">
        <v>118</v>
      </c>
      <c r="B188" s="36"/>
      <c r="C188" s="17"/>
      <c r="D188" s="17">
        <f>IF(OR(I55&lt;=0,D55&lt;I55),"n/m",D55/I55-1)</f>
        <v>0.2521079813506546</v>
      </c>
      <c r="E188" s="17">
        <f>IF(OR(D55&lt;=0,E55&lt;D55),"n/m",E55/D55-1)</f>
        <v>0.48658081745107595</v>
      </c>
      <c r="F188" s="17">
        <f>IF(OR(E55&lt;=0,F55&lt;E55),"n/m",F55/E55-1)</f>
        <v>0.34921915395884806</v>
      </c>
      <c r="G188" s="17" t="str">
        <f>IF(OR(F55&lt;=0,G55&lt;F55),"n/m",G55/F55-1)</f>
        <v>n/m</v>
      </c>
      <c r="H188" s="17" t="str">
        <f>IF(OR(G55&lt;=0,H55&lt;G55),"n/m",H55/G55-1)</f>
        <v>n/m</v>
      </c>
    </row>
    <row r="189" spans="1:8" x14ac:dyDescent="0.3">
      <c r="A189" s="36" t="s">
        <v>258</v>
      </c>
      <c r="B189" s="36"/>
      <c r="C189" s="17"/>
      <c r="D189" s="17">
        <f>IF(OR(I54&lt;=0,D54&lt;I54),"n/m",D54/I54-1)</f>
        <v>0.44468118072999618</v>
      </c>
      <c r="E189" s="17">
        <f>IF(OR(D54&lt;=0,E54&lt;D54),"n/m",E54/D54-1)</f>
        <v>0.34820516432028215</v>
      </c>
      <c r="F189" s="17">
        <f>IF(OR(E54&lt;=0,F54&lt;E54),"n/m",F54/E54-1)</f>
        <v>9.5456428366488488E-2</v>
      </c>
      <c r="G189" s="17">
        <f>IF(OR(F54&lt;=0,G54&lt;F54),"n/m",G54/F54-1)</f>
        <v>0.14726031632892544</v>
      </c>
      <c r="H189" s="17">
        <f>IF(OR(G54&lt;=0,H54&lt;G54),"n/m",H54/G54-1)</f>
        <v>6.8079975072353971E-2</v>
      </c>
    </row>
    <row r="190" spans="1:8" x14ac:dyDescent="0.3">
      <c r="A190" s="36" t="s">
        <v>83</v>
      </c>
      <c r="B190" s="36"/>
      <c r="C190" s="17"/>
      <c r="D190" s="17" t="str">
        <f>IF(OR(I20&lt;=0,D20&lt;I20),"n/m",D20/I20-1)</f>
        <v>n/m</v>
      </c>
      <c r="E190" s="17">
        <f>IF(OR(D20&lt;=0,E20&lt;D20),"n/m",E20/D20-1)</f>
        <v>0.29993568457916941</v>
      </c>
      <c r="F190" s="17">
        <f>IF(OR(E20&lt;=0,F20&lt;E20),"n/m",F20/E20-1)</f>
        <v>0.44472514505677241</v>
      </c>
      <c r="G190" s="17">
        <f>IF(OR(F20&lt;=0,G20&lt;F20),"n/m",G20/F20-1)</f>
        <v>0.36206926700705555</v>
      </c>
      <c r="H190" s="17" t="str">
        <f>IF(OR(G20&lt;=0,H20&lt;G20),"n/m",H20/G20-1)</f>
        <v>n/m</v>
      </c>
    </row>
    <row r="191" spans="1:8" x14ac:dyDescent="0.3">
      <c r="A191" s="36" t="s">
        <v>85</v>
      </c>
      <c r="B191" s="36"/>
      <c r="C191" s="17"/>
      <c r="D191" s="17" t="str">
        <f>IF(OR(I22&lt;=0,D22&lt;I22),"n/m",D22/I22-1)</f>
        <v>n/m</v>
      </c>
      <c r="E191" s="17">
        <f>IF(OR(D22&lt;=0,E22&lt;D22),"n/m",E22/D22-1)</f>
        <v>0.37008746297900785</v>
      </c>
      <c r="F191" s="17">
        <f>IF(OR(E22&lt;=0,F22&lt;E22),"n/m",F22/E22-1)</f>
        <v>6.3316471535835639E-2</v>
      </c>
      <c r="G191" s="17" t="str">
        <f>IF(OR(F22&lt;=0,G22&lt;F22),"n/m",G22/F22-1)</f>
        <v>n/m</v>
      </c>
      <c r="H191" s="17">
        <f>IF(OR(G22&lt;=0,H22&lt;G22),"n/m",H22/G22-1)</f>
        <v>8.692314044693461E-2</v>
      </c>
    </row>
    <row r="192" spans="1:8" x14ac:dyDescent="0.3">
      <c r="A192" s="23"/>
      <c r="B192" s="23"/>
    </row>
    <row r="193" spans="1:9" x14ac:dyDescent="0.3">
      <c r="A193" s="25" t="s">
        <v>266</v>
      </c>
      <c r="B193" s="23"/>
    </row>
    <row r="194" spans="1:9" x14ac:dyDescent="0.3">
      <c r="A194" s="23"/>
      <c r="B194" s="23"/>
    </row>
    <row r="195" spans="1:9" x14ac:dyDescent="0.3">
      <c r="A195" s="23"/>
      <c r="B195" s="23"/>
    </row>
    <row r="196" spans="1:9" ht="22.05" customHeight="1" x14ac:dyDescent="0.3">
      <c r="A196" s="89" t="s">
        <v>267</v>
      </c>
      <c r="B196" s="89"/>
      <c r="C196" s="90"/>
      <c r="D196" s="90"/>
      <c r="E196" s="90"/>
      <c r="F196" s="90"/>
      <c r="G196" s="90"/>
      <c r="H196" s="90"/>
    </row>
    <row r="197" spans="1:9" x14ac:dyDescent="0.3">
      <c r="A197" s="23" t="s">
        <v>268</v>
      </c>
      <c r="B197" s="23"/>
      <c r="C197" s="20"/>
      <c r="D197" s="20">
        <v>0</v>
      </c>
      <c r="E197" s="20">
        <v>0</v>
      </c>
      <c r="F197" s="20">
        <v>0</v>
      </c>
      <c r="G197" s="20">
        <v>0</v>
      </c>
      <c r="H197" s="20">
        <v>0</v>
      </c>
      <c r="I197" s="20">
        <v>0</v>
      </c>
    </row>
    <row r="198" spans="1:9" x14ac:dyDescent="0.3">
      <c r="A198" s="23" t="s">
        <v>269</v>
      </c>
      <c r="B198" s="23"/>
      <c r="C198" s="20"/>
      <c r="D198" s="20">
        <v>0</v>
      </c>
      <c r="E198" s="20">
        <v>0</v>
      </c>
      <c r="F198" s="20">
        <v>0</v>
      </c>
      <c r="G198" s="20">
        <v>0</v>
      </c>
      <c r="H198" s="20">
        <v>0</v>
      </c>
      <c r="I198" s="20">
        <v>0</v>
      </c>
    </row>
    <row r="199" spans="1:9" x14ac:dyDescent="0.3">
      <c r="A199" s="23" t="s">
        <v>270</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271</v>
      </c>
      <c r="B203" s="37"/>
      <c r="C203" s="21"/>
      <c r="D203" s="21"/>
      <c r="E203" s="21"/>
      <c r="F203" s="21"/>
      <c r="G203" s="21"/>
      <c r="H203" s="21"/>
      <c r="I203" s="20"/>
    </row>
    <row r="204" spans="1:9" x14ac:dyDescent="0.3">
      <c r="A204" s="23"/>
      <c r="B204" s="23"/>
    </row>
    <row r="205" spans="1:9" ht="22.95" customHeight="1" x14ac:dyDescent="0.3">
      <c r="A205" s="87" t="s">
        <v>284</v>
      </c>
      <c r="B205" s="87"/>
      <c r="C205" s="88"/>
      <c r="D205" s="88"/>
      <c r="E205" s="88"/>
      <c r="F205" s="88"/>
      <c r="G205" s="88"/>
      <c r="H205" s="88"/>
    </row>
    <row r="206" spans="1:9" ht="22.95" customHeight="1" x14ac:dyDescent="0.3">
      <c r="A206" s="87"/>
      <c r="B206" s="87"/>
      <c r="C206" s="88"/>
      <c r="D206" s="88"/>
      <c r="E206" s="88"/>
      <c r="F206" s="88"/>
      <c r="G206" s="88"/>
      <c r="H206" s="88"/>
    </row>
    <row r="207" spans="1:9" x14ac:dyDescent="0.3">
      <c r="A207" s="23"/>
      <c r="B207" s="23"/>
    </row>
    <row r="208" spans="1:9" x14ac:dyDescent="0.3">
      <c r="A208" s="23"/>
      <c r="B208" s="23"/>
    </row>
    <row r="209" spans="1:8" ht="22.95" customHeight="1" x14ac:dyDescent="0.3">
      <c r="A209" s="86" t="s">
        <v>273</v>
      </c>
      <c r="B209" s="86"/>
      <c r="C209" s="86"/>
      <c r="D209" s="86"/>
      <c r="E209" s="86"/>
      <c r="F209" s="86"/>
      <c r="G209" s="86"/>
      <c r="H209" s="86"/>
    </row>
    <row r="210" spans="1:8" x14ac:dyDescent="0.3">
      <c r="D210" t="s">
        <v>65</v>
      </c>
      <c r="E210" t="s">
        <v>66</v>
      </c>
      <c r="F210" t="s">
        <v>67</v>
      </c>
      <c r="G210" t="s">
        <v>68</v>
      </c>
      <c r="H210" t="s">
        <v>69</v>
      </c>
    </row>
    <row r="211" spans="1:8" x14ac:dyDescent="0.3">
      <c r="A211" t="s">
        <v>274</v>
      </c>
      <c r="D211" s="51">
        <f>D22+D215-D216</f>
        <v>18691.039000000001</v>
      </c>
      <c r="E211" s="51">
        <f>E22+E215-E216</f>
        <v>15493.016</v>
      </c>
      <c r="F211" s="51">
        <f>F22+F215-F216</f>
        <v>26001.579000000002</v>
      </c>
      <c r="G211" s="51">
        <f>G22+G215-G216</f>
        <v>32382.131000000001</v>
      </c>
      <c r="H211" s="51">
        <f>H22+H215-H216</f>
        <v>64088.375</v>
      </c>
    </row>
    <row r="212" spans="1:8" x14ac:dyDescent="0.3">
      <c r="A212" t="s">
        <v>275</v>
      </c>
      <c r="D212" s="51">
        <f>D40+D197+D198</f>
        <v>70.867999999999995</v>
      </c>
      <c r="E212" s="51">
        <f>E40+E197+E198</f>
        <v>135.452</v>
      </c>
      <c r="F212" s="51">
        <f>F40+F197+F198</f>
        <v>497.745</v>
      </c>
      <c r="G212" s="51">
        <f>G40+G197+G198</f>
        <v>342.935</v>
      </c>
      <c r="H212" s="51">
        <f>H40+H197+H198</f>
        <v>185.61600000000001</v>
      </c>
    </row>
    <row r="213" spans="1:8" x14ac:dyDescent="0.3">
      <c r="A213" t="s">
        <v>276</v>
      </c>
      <c r="D213" s="51">
        <f>D105*D103</f>
        <v>279214.91000000003</v>
      </c>
      <c r="E213" s="51">
        <f>E105*E103</f>
        <v>148442.06</v>
      </c>
      <c r="F213" s="51">
        <f>F105*F103</f>
        <v>162807.81467399999</v>
      </c>
      <c r="G213" s="51">
        <f>G105*G103</f>
        <v>265671.89</v>
      </c>
      <c r="H213" s="51">
        <f>H105*H103</f>
        <v>520426.60000000003</v>
      </c>
    </row>
    <row r="214" spans="1:8" x14ac:dyDescent="0.3">
      <c r="A214" t="s">
        <v>277</v>
      </c>
      <c r="D214" s="51">
        <f>D213+D55+D212-D211</f>
        <v>271085.69100000005</v>
      </c>
      <c r="E214" s="51">
        <f>E213+E55+E212-E211</f>
        <v>148680.14399999997</v>
      </c>
      <c r="F214" s="51">
        <f>F213+F55+F212-F211</f>
        <v>158345.92767400001</v>
      </c>
      <c r="G214" s="51">
        <f>G213+G55+G212-G211</f>
        <v>253977.478</v>
      </c>
      <c r="H214" s="51">
        <f>H213+H55+H212-H211</f>
        <v>474059.44800000009</v>
      </c>
    </row>
    <row r="215" spans="1:8" x14ac:dyDescent="0.3">
      <c r="A215" t="s">
        <v>278</v>
      </c>
      <c r="D215" s="51">
        <v>16187.615</v>
      </c>
      <c r="E215" s="51">
        <v>12733.049000000001</v>
      </c>
      <c r="F215" s="51">
        <v>21885.398000000001</v>
      </c>
      <c r="G215" s="51">
        <v>29814.955000000002</v>
      </c>
      <c r="H215" s="51">
        <v>61298.052000000003</v>
      </c>
    </row>
    <row r="216" spans="1:8" x14ac:dyDescent="0.3">
      <c r="A216" t="s">
        <v>279</v>
      </c>
      <c r="D216" s="51">
        <v>322</v>
      </c>
      <c r="E216" s="51">
        <v>1111.1110000000001</v>
      </c>
      <c r="F216" s="51">
        <v>0</v>
      </c>
      <c r="G216" s="51">
        <v>0</v>
      </c>
      <c r="H216" s="51">
        <v>0</v>
      </c>
    </row>
    <row r="217" spans="1:8" x14ac:dyDescent="0.3">
      <c r="A217" s="50" t="s">
        <v>280</v>
      </c>
      <c r="B217" s="50"/>
      <c r="C217" s="50"/>
      <c r="D217" s="50"/>
      <c r="E217" s="50"/>
      <c r="F217" s="50"/>
      <c r="G217" s="50"/>
      <c r="H217" s="50"/>
    </row>
    <row r="218" spans="1:8" x14ac:dyDescent="0.3">
      <c r="A218" s="50" t="s">
        <v>281</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FA98A"/>
    <pageSetUpPr fitToPage="1"/>
  </sheetPr>
  <dimension ref="A1:I218"/>
  <sheetViews>
    <sheetView showGridLines="0" workbookViewId="0">
      <pane xSplit="3" ySplit="7" topLeftCell="D138" activePane="bottomRight" state="frozen"/>
      <selection pane="topRight"/>
      <selection pane="bottomLeft"/>
      <selection pane="bottomRight" activeCell="D8" sqref="D8"/>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285</v>
      </c>
      <c r="B1" s="23"/>
    </row>
    <row r="2" spans="1:9" x14ac:dyDescent="0.3">
      <c r="A2" s="24" t="s">
        <v>286</v>
      </c>
      <c r="B2" s="23"/>
    </row>
    <row r="3" spans="1:9" x14ac:dyDescent="0.3">
      <c r="A3" s="25" t="s">
        <v>62</v>
      </c>
      <c r="B3" s="23"/>
    </row>
    <row r="4" spans="1:9" x14ac:dyDescent="0.3">
      <c r="A4" s="23"/>
      <c r="B4" s="23"/>
    </row>
    <row r="5" spans="1:9" x14ac:dyDescent="0.3">
      <c r="A5" s="23"/>
      <c r="B5" s="23"/>
    </row>
    <row r="6" spans="1:9" ht="19.5" customHeight="1" x14ac:dyDescent="0.3">
      <c r="A6" s="26" t="s">
        <v>63</v>
      </c>
      <c r="B6" s="27"/>
      <c r="C6" s="3"/>
      <c r="D6" s="3"/>
      <c r="E6" s="3"/>
      <c r="F6" s="3"/>
      <c r="G6" s="3"/>
      <c r="H6" s="3"/>
      <c r="I6" s="3"/>
    </row>
    <row r="7" spans="1:9" ht="16.5" customHeight="1" x14ac:dyDescent="0.3">
      <c r="A7" s="28" t="s">
        <v>64</v>
      </c>
      <c r="B7" s="29"/>
      <c r="C7" s="9"/>
      <c r="D7" s="9" t="s">
        <v>65</v>
      </c>
      <c r="E7" s="9" t="s">
        <v>66</v>
      </c>
      <c r="F7" s="9" t="s">
        <v>67</v>
      </c>
      <c r="G7" s="9" t="s">
        <v>68</v>
      </c>
      <c r="H7" s="9" t="s">
        <v>69</v>
      </c>
      <c r="I7" s="9" t="s">
        <v>70</v>
      </c>
    </row>
    <row r="8" spans="1:9" x14ac:dyDescent="0.3">
      <c r="A8" s="30" t="s">
        <v>71</v>
      </c>
      <c r="B8" s="31"/>
      <c r="C8" s="10"/>
      <c r="D8" s="10"/>
      <c r="E8" s="10"/>
      <c r="F8" s="10"/>
      <c r="G8" s="10"/>
      <c r="H8" s="10"/>
      <c r="I8" s="10"/>
    </row>
    <row r="9" spans="1:9" x14ac:dyDescent="0.3">
      <c r="A9" s="32" t="s">
        <v>72</v>
      </c>
      <c r="B9" s="33"/>
      <c r="C9" s="11"/>
      <c r="D9" s="11">
        <v>85020.108999999997</v>
      </c>
      <c r="E9" s="11">
        <v>82803.86</v>
      </c>
      <c r="F9" s="11">
        <v>82245.649999999994</v>
      </c>
      <c r="G9" s="11">
        <v>79877.839000000007</v>
      </c>
      <c r="H9" s="11">
        <v>77252.558999999994</v>
      </c>
      <c r="I9" s="11">
        <v>83537.294999999998</v>
      </c>
    </row>
    <row r="10" spans="1:9" x14ac:dyDescent="0.3">
      <c r="A10" s="32" t="s">
        <v>73</v>
      </c>
      <c r="B10" s="33"/>
      <c r="C10" s="11"/>
      <c r="D10" s="11">
        <v>7726.72</v>
      </c>
      <c r="E10" s="11">
        <v>724.16800000000001</v>
      </c>
      <c r="F10" s="11">
        <v>2006.864</v>
      </c>
      <c r="G10" s="11">
        <v>1341.029</v>
      </c>
      <c r="H10" s="11">
        <v>798.31200000000001</v>
      </c>
      <c r="I10" s="11">
        <v>6358.259</v>
      </c>
    </row>
    <row r="11" spans="1:9" x14ac:dyDescent="0.3">
      <c r="A11" s="32" t="s">
        <v>74</v>
      </c>
      <c r="B11" s="33"/>
      <c r="C11" s="11"/>
      <c r="D11" s="11">
        <v>0</v>
      </c>
      <c r="E11" s="11">
        <v>0</v>
      </c>
      <c r="F11" s="11">
        <v>0</v>
      </c>
      <c r="G11" s="11">
        <v>0</v>
      </c>
      <c r="H11" s="11">
        <v>0</v>
      </c>
      <c r="I11" s="11">
        <v>0</v>
      </c>
    </row>
    <row r="12" spans="1:9" x14ac:dyDescent="0.3">
      <c r="A12" s="32" t="s">
        <v>75</v>
      </c>
      <c r="B12" s="33"/>
      <c r="C12" s="11"/>
      <c r="D12" s="11">
        <v>0</v>
      </c>
      <c r="E12" s="11">
        <v>17.318999999999999</v>
      </c>
      <c r="F12" s="11">
        <v>10.151999999999999</v>
      </c>
      <c r="G12" s="11">
        <v>42.762</v>
      </c>
      <c r="H12" s="11">
        <v>13.076000000000001</v>
      </c>
      <c r="I12" s="11">
        <v>0</v>
      </c>
    </row>
    <row r="13" spans="1:9" x14ac:dyDescent="0.3">
      <c r="A13" s="32" t="s">
        <v>76</v>
      </c>
      <c r="B13" s="33"/>
      <c r="C13" s="11"/>
      <c r="D13" s="11">
        <v>0</v>
      </c>
      <c r="E13" s="11">
        <v>0</v>
      </c>
      <c r="F13" s="11">
        <v>0</v>
      </c>
      <c r="G13" s="11">
        <v>0</v>
      </c>
      <c r="H13" s="11">
        <v>0</v>
      </c>
      <c r="I13" s="11">
        <v>0</v>
      </c>
    </row>
    <row r="14" spans="1:9" x14ac:dyDescent="0.3">
      <c r="A14" s="32" t="s">
        <v>77</v>
      </c>
      <c r="B14" s="33"/>
      <c r="C14" s="11"/>
      <c r="D14" s="11">
        <v>15965.811</v>
      </c>
      <c r="E14" s="11">
        <v>12866.145</v>
      </c>
      <c r="F14" s="11">
        <v>13366.36</v>
      </c>
      <c r="G14" s="11">
        <v>16633.063999999998</v>
      </c>
      <c r="H14" s="11">
        <v>20689.544999999998</v>
      </c>
      <c r="I14" s="11">
        <v>11849.828</v>
      </c>
    </row>
    <row r="15" spans="1:9" x14ac:dyDescent="0.3">
      <c r="A15" s="32" t="s">
        <v>78</v>
      </c>
      <c r="B15" s="33"/>
      <c r="C15" s="11"/>
      <c r="D15" s="11">
        <v>57.512999999999998</v>
      </c>
      <c r="E15" s="11">
        <v>61.526000000000003</v>
      </c>
      <c r="F15" s="11">
        <v>64.426000000000002</v>
      </c>
      <c r="G15" s="11">
        <v>61.567999999999998</v>
      </c>
      <c r="H15" s="11">
        <v>61.012999999999998</v>
      </c>
      <c r="I15" s="11">
        <v>57.984000000000002</v>
      </c>
    </row>
    <row r="16" spans="1:9" x14ac:dyDescent="0.3">
      <c r="A16" s="34" t="s">
        <v>79</v>
      </c>
      <c r="B16" s="35"/>
      <c r="C16" s="12"/>
      <c r="D16" s="12">
        <f t="shared" ref="D16:I16" si="0">D9+D11+D12+D13+D14+D15</f>
        <v>101043.433</v>
      </c>
      <c r="E16" s="12">
        <f t="shared" si="0"/>
        <v>95748.85</v>
      </c>
      <c r="F16" s="12">
        <f t="shared" si="0"/>
        <v>95686.588000000003</v>
      </c>
      <c r="G16" s="12">
        <f t="shared" si="0"/>
        <v>96615.233000000007</v>
      </c>
      <c r="H16" s="12">
        <f t="shared" si="0"/>
        <v>98016.192999999999</v>
      </c>
      <c r="I16" s="12">
        <f t="shared" si="0"/>
        <v>95445.106999999989</v>
      </c>
    </row>
    <row r="17" spans="1:9" x14ac:dyDescent="0.3">
      <c r="A17" s="30" t="s">
        <v>80</v>
      </c>
      <c r="B17" s="31"/>
      <c r="C17" s="10"/>
      <c r="D17" s="10"/>
      <c r="E17" s="10"/>
      <c r="F17" s="10"/>
      <c r="G17" s="10"/>
      <c r="H17" s="10"/>
      <c r="I17" s="10"/>
    </row>
    <row r="18" spans="1:9" x14ac:dyDescent="0.3">
      <c r="A18" s="32" t="s">
        <v>81</v>
      </c>
      <c r="B18" s="33"/>
      <c r="C18" s="11"/>
      <c r="D18" s="11">
        <v>12879.348</v>
      </c>
      <c r="E18" s="11">
        <v>16813.883000000002</v>
      </c>
      <c r="F18" s="11">
        <v>13852.004999999999</v>
      </c>
      <c r="G18" s="11">
        <v>12559.773999999999</v>
      </c>
      <c r="H18" s="11">
        <v>12306.679</v>
      </c>
      <c r="I18" s="11">
        <v>8237.99</v>
      </c>
    </row>
    <row r="19" spans="1:9" x14ac:dyDescent="0.3">
      <c r="A19" s="32" t="s">
        <v>82</v>
      </c>
      <c r="B19" s="33"/>
      <c r="C19" s="11"/>
      <c r="D19" s="11">
        <v>2728.5889999999999</v>
      </c>
      <c r="E19" s="11">
        <v>5981.5150000000003</v>
      </c>
      <c r="F19" s="11">
        <v>8873.17</v>
      </c>
      <c r="G19" s="11">
        <v>7693.067</v>
      </c>
      <c r="H19" s="11">
        <v>8188.6779999999999</v>
      </c>
      <c r="I19" s="11">
        <v>4352.9949999999999</v>
      </c>
    </row>
    <row r="20" spans="1:9" x14ac:dyDescent="0.3">
      <c r="A20" s="32" t="s">
        <v>83</v>
      </c>
      <c r="B20" s="33"/>
      <c r="C20" s="11"/>
      <c r="D20" s="11">
        <v>1676.2449999999999</v>
      </c>
      <c r="E20" s="11">
        <v>1467.8620000000001</v>
      </c>
      <c r="F20" s="11">
        <v>1193.44</v>
      </c>
      <c r="G20" s="11">
        <v>855.74199999999996</v>
      </c>
      <c r="H20" s="11">
        <v>1493.08</v>
      </c>
      <c r="I20" s="11">
        <v>2286.0839999999998</v>
      </c>
    </row>
    <row r="21" spans="1:9" x14ac:dyDescent="0.3">
      <c r="A21" s="32" t="s">
        <v>84</v>
      </c>
      <c r="B21" s="33"/>
      <c r="C21" s="11"/>
      <c r="D21" s="11">
        <v>12946.786</v>
      </c>
      <c r="E21" s="11">
        <v>9962.4210000000003</v>
      </c>
      <c r="F21" s="11">
        <v>9270.8979999999992</v>
      </c>
      <c r="G21" s="11">
        <v>18384.882000000001</v>
      </c>
      <c r="H21" s="11">
        <v>24005.1</v>
      </c>
      <c r="I21" s="11">
        <v>13126.388000000001</v>
      </c>
    </row>
    <row r="22" spans="1:9" x14ac:dyDescent="0.3">
      <c r="A22" s="32" t="s">
        <v>85</v>
      </c>
      <c r="B22" s="33"/>
      <c r="C22" s="11"/>
      <c r="D22" s="11">
        <v>806.37300000000005</v>
      </c>
      <c r="E22" s="11">
        <v>410.803</v>
      </c>
      <c r="F22" s="11">
        <v>674.97199999999998</v>
      </c>
      <c r="G22" s="11">
        <v>732.16800000000001</v>
      </c>
      <c r="H22" s="11">
        <v>568.83199999999999</v>
      </c>
      <c r="I22" s="11">
        <v>347.834</v>
      </c>
    </row>
    <row r="23" spans="1:9" x14ac:dyDescent="0.3">
      <c r="A23" s="32" t="s">
        <v>86</v>
      </c>
      <c r="B23" s="33"/>
      <c r="C23" s="11"/>
      <c r="D23" s="11">
        <v>5813.9229999999998</v>
      </c>
      <c r="E23" s="11">
        <v>6176.6790000000001</v>
      </c>
      <c r="F23" s="11">
        <v>5162.1809999999996</v>
      </c>
      <c r="G23" s="11">
        <v>1544.8879999999999</v>
      </c>
      <c r="H23" s="11">
        <v>1345.673</v>
      </c>
      <c r="I23" s="11">
        <v>5755.1360000000004</v>
      </c>
    </row>
    <row r="24" spans="1:9" x14ac:dyDescent="0.3">
      <c r="A24" s="34" t="s">
        <v>87</v>
      </c>
      <c r="B24" s="35"/>
      <c r="C24" s="12"/>
      <c r="D24" s="12">
        <f t="shared" ref="D24:I24" si="1">D18+D19+D20+D21+D22+D23</f>
        <v>36851.264000000003</v>
      </c>
      <c r="E24" s="12">
        <f t="shared" si="1"/>
        <v>40813.163</v>
      </c>
      <c r="F24" s="12">
        <f t="shared" si="1"/>
        <v>39026.665999999997</v>
      </c>
      <c r="G24" s="12">
        <f t="shared" si="1"/>
        <v>41770.520999999993</v>
      </c>
      <c r="H24" s="12">
        <f t="shared" si="1"/>
        <v>47908.042000000001</v>
      </c>
      <c r="I24" s="12">
        <f t="shared" si="1"/>
        <v>34106.427000000003</v>
      </c>
    </row>
    <row r="25" spans="1:9" x14ac:dyDescent="0.3">
      <c r="A25" s="34" t="s">
        <v>88</v>
      </c>
      <c r="B25" s="35"/>
      <c r="C25" s="12"/>
      <c r="D25" s="12">
        <f t="shared" ref="D25:I25" si="2">D16+D24</f>
        <v>137894.69700000001</v>
      </c>
      <c r="E25" s="12">
        <f t="shared" si="2"/>
        <v>136562.01300000001</v>
      </c>
      <c r="F25" s="12">
        <f t="shared" si="2"/>
        <v>134713.25400000002</v>
      </c>
      <c r="G25" s="12">
        <f t="shared" si="2"/>
        <v>138385.75400000002</v>
      </c>
      <c r="H25" s="12">
        <f t="shared" si="2"/>
        <v>145924.23499999999</v>
      </c>
      <c r="I25" s="12">
        <f t="shared" si="2"/>
        <v>129551.53399999999</v>
      </c>
    </row>
    <row r="26" spans="1:9" x14ac:dyDescent="0.3">
      <c r="A26" s="30" t="s">
        <v>89</v>
      </c>
      <c r="B26" s="31"/>
      <c r="C26" s="10"/>
      <c r="D26" s="10"/>
      <c r="E26" s="10"/>
      <c r="F26" s="10"/>
      <c r="G26" s="10"/>
      <c r="H26" s="10"/>
      <c r="I26" s="10"/>
    </row>
    <row r="27" spans="1:9" x14ac:dyDescent="0.3">
      <c r="A27" s="32" t="s">
        <v>90</v>
      </c>
      <c r="B27" s="33"/>
      <c r="C27" s="11"/>
      <c r="D27" s="11">
        <v>4381.1909999999998</v>
      </c>
      <c r="E27" s="11">
        <v>4381.1909999999998</v>
      </c>
      <c r="F27" s="11">
        <v>4381.1909999999998</v>
      </c>
      <c r="G27" s="11">
        <v>4381.1909999999998</v>
      </c>
      <c r="H27" s="11">
        <v>4381.1909999999998</v>
      </c>
      <c r="I27" s="11">
        <v>4381.1909999999998</v>
      </c>
    </row>
    <row r="28" spans="1:9" x14ac:dyDescent="0.3">
      <c r="A28" s="32" t="s">
        <v>91</v>
      </c>
      <c r="B28" s="33"/>
      <c r="C28" s="11"/>
      <c r="D28" s="11">
        <v>69096.682000000001</v>
      </c>
      <c r="E28" s="11">
        <v>65536.910999999993</v>
      </c>
      <c r="F28" s="11">
        <v>59811.086000000003</v>
      </c>
      <c r="G28" s="11">
        <v>71466.346999999994</v>
      </c>
      <c r="H28" s="11">
        <v>90286.286999999997</v>
      </c>
      <c r="I28" s="11">
        <v>62262.966</v>
      </c>
    </row>
    <row r="29" spans="1:9" x14ac:dyDescent="0.3">
      <c r="A29" s="34" t="s">
        <v>92</v>
      </c>
      <c r="B29" s="35"/>
      <c r="C29" s="12"/>
      <c r="D29" s="12">
        <f t="shared" ref="D29:I29" si="3">D27+D28</f>
        <v>73477.873000000007</v>
      </c>
      <c r="E29" s="12">
        <f t="shared" si="3"/>
        <v>69918.101999999999</v>
      </c>
      <c r="F29" s="12">
        <f t="shared" si="3"/>
        <v>64192.277000000002</v>
      </c>
      <c r="G29" s="12">
        <f t="shared" si="3"/>
        <v>75847.538</v>
      </c>
      <c r="H29" s="12">
        <f t="shared" si="3"/>
        <v>94667.478000000003</v>
      </c>
      <c r="I29" s="12">
        <f t="shared" si="3"/>
        <v>66644.157000000007</v>
      </c>
    </row>
    <row r="30" spans="1:9" x14ac:dyDescent="0.3">
      <c r="A30" s="30" t="s">
        <v>93</v>
      </c>
      <c r="B30" s="31"/>
      <c r="C30" s="10"/>
      <c r="D30" s="10"/>
      <c r="E30" s="10"/>
      <c r="F30" s="10"/>
      <c r="G30" s="10"/>
      <c r="H30" s="10"/>
      <c r="I30" s="10"/>
    </row>
    <row r="31" spans="1:9" x14ac:dyDescent="0.3">
      <c r="A31" s="32" t="s">
        <v>94</v>
      </c>
      <c r="B31" s="33"/>
      <c r="C31" s="11"/>
      <c r="D31" s="11">
        <v>19300.063999999998</v>
      </c>
      <c r="E31" s="11">
        <v>14168.228999999999</v>
      </c>
      <c r="F31" s="11">
        <v>9663.6190000000006</v>
      </c>
      <c r="G31" s="11">
        <v>15965.116</v>
      </c>
      <c r="H31" s="11">
        <v>10093.829</v>
      </c>
      <c r="I31" s="11">
        <v>21972</v>
      </c>
    </row>
    <row r="32" spans="1:9" x14ac:dyDescent="0.3">
      <c r="A32" s="32" t="s">
        <v>95</v>
      </c>
      <c r="B32" s="33"/>
      <c r="C32" s="11"/>
      <c r="D32" s="11">
        <v>0</v>
      </c>
      <c r="E32" s="11">
        <v>0</v>
      </c>
      <c r="F32" s="11">
        <v>0</v>
      </c>
      <c r="G32" s="11">
        <v>0</v>
      </c>
      <c r="H32" s="11">
        <v>0</v>
      </c>
      <c r="I32" s="11">
        <v>0</v>
      </c>
    </row>
    <row r="33" spans="1:9" x14ac:dyDescent="0.3">
      <c r="A33" s="32" t="s">
        <v>96</v>
      </c>
      <c r="B33" s="33"/>
      <c r="C33" s="11"/>
      <c r="D33" s="11">
        <v>664.50400000000002</v>
      </c>
      <c r="E33" s="11">
        <v>450.68400000000003</v>
      </c>
      <c r="F33" s="11">
        <v>278.75299999999999</v>
      </c>
      <c r="G33" s="11">
        <v>154.614</v>
      </c>
      <c r="H33" s="11">
        <v>70.135000000000005</v>
      </c>
      <c r="I33" s="11">
        <v>0</v>
      </c>
    </row>
    <row r="34" spans="1:9" x14ac:dyDescent="0.3">
      <c r="A34" s="32" t="s">
        <v>97</v>
      </c>
      <c r="B34" s="33"/>
      <c r="C34" s="11"/>
      <c r="D34" s="11">
        <v>3378.9409999999998</v>
      </c>
      <c r="E34" s="11">
        <v>4942.1499999999996</v>
      </c>
      <c r="F34" s="11">
        <v>10613.602999999999</v>
      </c>
      <c r="G34" s="11">
        <v>12675.472</v>
      </c>
      <c r="H34" s="11">
        <v>13286.941999999999</v>
      </c>
      <c r="I34" s="11">
        <v>2535.3490000000002</v>
      </c>
    </row>
    <row r="35" spans="1:9" x14ac:dyDescent="0.3">
      <c r="A35" s="32" t="s">
        <v>98</v>
      </c>
      <c r="B35" s="33"/>
      <c r="C35" s="11"/>
      <c r="D35" s="11">
        <v>777.79499999999996</v>
      </c>
      <c r="E35" s="11">
        <v>993.81700000000001</v>
      </c>
      <c r="F35" s="11">
        <v>1289.212</v>
      </c>
      <c r="G35" s="11">
        <v>1517.297</v>
      </c>
      <c r="H35" s="11">
        <v>1894.931</v>
      </c>
      <c r="I35" s="11">
        <v>775.77099999999996</v>
      </c>
    </row>
    <row r="36" spans="1:9" x14ac:dyDescent="0.3">
      <c r="A36" s="34" t="s">
        <v>99</v>
      </c>
      <c r="B36" s="35"/>
      <c r="C36" s="12"/>
      <c r="D36" s="12">
        <f t="shared" ref="D36:I36" si="4">D31+D32+D33+D34+D35</f>
        <v>24121.303999999996</v>
      </c>
      <c r="E36" s="12">
        <f t="shared" si="4"/>
        <v>20554.879999999997</v>
      </c>
      <c r="F36" s="12">
        <f t="shared" si="4"/>
        <v>21845.186999999998</v>
      </c>
      <c r="G36" s="12">
        <f t="shared" si="4"/>
        <v>30312.498999999996</v>
      </c>
      <c r="H36" s="12">
        <f t="shared" si="4"/>
        <v>25345.837</v>
      </c>
      <c r="I36" s="12">
        <f t="shared" si="4"/>
        <v>25283.120000000003</v>
      </c>
    </row>
    <row r="37" spans="1:9" x14ac:dyDescent="0.3">
      <c r="A37" s="30" t="s">
        <v>100</v>
      </c>
      <c r="B37" s="31"/>
      <c r="C37" s="10"/>
      <c r="D37" s="10"/>
      <c r="E37" s="10"/>
      <c r="F37" s="10"/>
      <c r="G37" s="10"/>
      <c r="H37" s="10"/>
      <c r="I37" s="10"/>
    </row>
    <row r="38" spans="1:9" x14ac:dyDescent="0.3">
      <c r="A38" s="32" t="s">
        <v>101</v>
      </c>
      <c r="B38" s="33"/>
      <c r="C38" s="11"/>
      <c r="D38" s="11">
        <v>14923.151</v>
      </c>
      <c r="E38" s="11">
        <v>12591.709000000001</v>
      </c>
      <c r="F38" s="11">
        <v>13783.299000000001</v>
      </c>
      <c r="G38" s="11">
        <v>12394.455</v>
      </c>
      <c r="H38" s="11">
        <v>13333.448</v>
      </c>
      <c r="I38" s="11">
        <v>11298.187</v>
      </c>
    </row>
    <row r="39" spans="1:9" x14ac:dyDescent="0.3">
      <c r="A39" s="32" t="s">
        <v>102</v>
      </c>
      <c r="B39" s="33"/>
      <c r="C39" s="11"/>
      <c r="D39" s="11">
        <v>0</v>
      </c>
      <c r="E39" s="11">
        <v>0</v>
      </c>
      <c r="F39" s="11">
        <v>0</v>
      </c>
      <c r="G39" s="11">
        <v>0</v>
      </c>
      <c r="H39" s="11">
        <v>0</v>
      </c>
      <c r="I39" s="11">
        <v>0</v>
      </c>
    </row>
    <row r="40" spans="1:9" x14ac:dyDescent="0.3">
      <c r="A40" s="32" t="s">
        <v>103</v>
      </c>
      <c r="B40" s="33"/>
      <c r="C40" s="11"/>
      <c r="D40" s="11">
        <v>507.76900000000001</v>
      </c>
      <c r="E40" s="11">
        <v>883.22900000000004</v>
      </c>
      <c r="F40" s="11">
        <v>1739.547</v>
      </c>
      <c r="G40" s="11">
        <v>1280.4459999999999</v>
      </c>
      <c r="H40" s="11">
        <v>229.65199999999999</v>
      </c>
      <c r="I40" s="11">
        <v>712.27499999999998</v>
      </c>
    </row>
    <row r="41" spans="1:9" x14ac:dyDescent="0.3">
      <c r="A41" s="32" t="s">
        <v>104</v>
      </c>
      <c r="B41" s="33"/>
      <c r="C41" s="11"/>
      <c r="D41" s="11">
        <v>18362.05</v>
      </c>
      <c r="E41" s="11">
        <v>25210.506000000001</v>
      </c>
      <c r="F41" s="11">
        <v>25494.293000000001</v>
      </c>
      <c r="G41" s="11">
        <v>13064.718000000001</v>
      </c>
      <c r="H41" s="11">
        <v>9878.4989999999998</v>
      </c>
      <c r="I41" s="11">
        <v>23495.967000000001</v>
      </c>
    </row>
    <row r="42" spans="1:9" x14ac:dyDescent="0.3">
      <c r="A42" s="32" t="s">
        <v>105</v>
      </c>
      <c r="B42" s="33"/>
      <c r="C42" s="11"/>
      <c r="D42" s="11">
        <v>6130.7030000000004</v>
      </c>
      <c r="E42" s="11">
        <v>7097.1660000000002</v>
      </c>
      <c r="F42" s="11">
        <v>7370.3639999999996</v>
      </c>
      <c r="G42" s="11">
        <v>5291.9719999999998</v>
      </c>
      <c r="H42" s="11">
        <v>1934.7719999999999</v>
      </c>
      <c r="I42" s="11">
        <v>2010.6210000000001</v>
      </c>
    </row>
    <row r="43" spans="1:9" x14ac:dyDescent="0.3">
      <c r="A43" s="32" t="s">
        <v>106</v>
      </c>
      <c r="B43" s="33"/>
      <c r="C43" s="11"/>
      <c r="D43" s="11">
        <v>0</v>
      </c>
      <c r="E43" s="11">
        <v>0</v>
      </c>
      <c r="F43" s="11">
        <v>0</v>
      </c>
      <c r="G43" s="11">
        <v>0</v>
      </c>
      <c r="H43" s="11">
        <v>0</v>
      </c>
      <c r="I43" s="11">
        <v>0</v>
      </c>
    </row>
    <row r="44" spans="1:9" x14ac:dyDescent="0.3">
      <c r="A44" s="32" t="s">
        <v>107</v>
      </c>
      <c r="B44" s="33"/>
      <c r="C44" s="11"/>
      <c r="D44" s="11">
        <v>262.52300000000002</v>
      </c>
      <c r="E44" s="11">
        <v>213.88300000000001</v>
      </c>
      <c r="F44" s="11">
        <v>171.58099999999999</v>
      </c>
      <c r="G44" s="11">
        <v>124.13800000000001</v>
      </c>
      <c r="H44" s="11">
        <v>79.465000000000003</v>
      </c>
      <c r="I44" s="11">
        <v>0</v>
      </c>
    </row>
    <row r="45" spans="1:9" x14ac:dyDescent="0.3">
      <c r="A45" s="32" t="s">
        <v>108</v>
      </c>
      <c r="B45" s="33"/>
      <c r="C45" s="11"/>
      <c r="D45" s="11">
        <v>33.517000000000003</v>
      </c>
      <c r="E45" s="11">
        <v>34.512</v>
      </c>
      <c r="F45" s="11">
        <v>34.704000000000001</v>
      </c>
      <c r="G45" s="11">
        <v>34.201000000000001</v>
      </c>
      <c r="H45" s="11">
        <v>34.154000000000003</v>
      </c>
      <c r="I45" s="11">
        <v>33.837000000000003</v>
      </c>
    </row>
    <row r="46" spans="1:9" x14ac:dyDescent="0.3">
      <c r="A46" s="32" t="s">
        <v>109</v>
      </c>
      <c r="B46" s="33"/>
      <c r="C46" s="11"/>
      <c r="D46" s="11">
        <v>35.090000000000003</v>
      </c>
      <c r="E46" s="11">
        <v>35.090000000000003</v>
      </c>
      <c r="F46" s="11">
        <v>35.090000000000003</v>
      </c>
      <c r="G46" s="11">
        <v>35.090000000000003</v>
      </c>
      <c r="H46" s="11">
        <v>365.92399999999998</v>
      </c>
      <c r="I46" s="11">
        <v>35.090000000000003</v>
      </c>
    </row>
    <row r="47" spans="1:9" x14ac:dyDescent="0.3">
      <c r="A47" s="32" t="s">
        <v>110</v>
      </c>
      <c r="B47" s="33"/>
      <c r="C47" s="11"/>
      <c r="D47" s="11">
        <v>40.716999999999999</v>
      </c>
      <c r="E47" s="11">
        <v>22.936</v>
      </c>
      <c r="F47" s="11">
        <v>46.911999999999999</v>
      </c>
      <c r="G47" s="11">
        <v>0.69699999999999995</v>
      </c>
      <c r="H47" s="11">
        <v>55.006</v>
      </c>
      <c r="I47" s="11">
        <v>38.28</v>
      </c>
    </row>
    <row r="48" spans="1:9" x14ac:dyDescent="0.3">
      <c r="A48" s="34" t="s">
        <v>111</v>
      </c>
      <c r="B48" s="35"/>
      <c r="C48" s="12"/>
      <c r="D48" s="12">
        <f t="shared" ref="D48:I48" si="5">D38+D39+D40+D41+D42+D43+D44+D45+D46+D47</f>
        <v>40295.519999999997</v>
      </c>
      <c r="E48" s="12">
        <f t="shared" si="5"/>
        <v>46089.031000000003</v>
      </c>
      <c r="F48" s="12">
        <f t="shared" si="5"/>
        <v>48675.789999999994</v>
      </c>
      <c r="G48" s="12">
        <f t="shared" si="5"/>
        <v>32225.717000000001</v>
      </c>
      <c r="H48" s="12">
        <f t="shared" si="5"/>
        <v>25910.920000000002</v>
      </c>
      <c r="I48" s="12">
        <f t="shared" si="5"/>
        <v>37624.256999999998</v>
      </c>
    </row>
    <row r="49" spans="1:9" x14ac:dyDescent="0.3">
      <c r="A49" s="34" t="s">
        <v>112</v>
      </c>
      <c r="B49" s="35"/>
      <c r="C49" s="12"/>
      <c r="D49" s="12">
        <f t="shared" ref="D49:I49" si="6">D36+D48</f>
        <v>64416.823999999993</v>
      </c>
      <c r="E49" s="12">
        <f t="shared" si="6"/>
        <v>66643.910999999993</v>
      </c>
      <c r="F49" s="12">
        <f t="shared" si="6"/>
        <v>70520.976999999984</v>
      </c>
      <c r="G49" s="12">
        <f t="shared" si="6"/>
        <v>62538.216</v>
      </c>
      <c r="H49" s="12">
        <f t="shared" si="6"/>
        <v>51256.756999999998</v>
      </c>
      <c r="I49" s="12">
        <f t="shared" si="6"/>
        <v>62907.377</v>
      </c>
    </row>
    <row r="50" spans="1:9" x14ac:dyDescent="0.3">
      <c r="A50" s="34" t="s">
        <v>113</v>
      </c>
      <c r="B50" s="35"/>
      <c r="C50" s="12"/>
      <c r="D50" s="12">
        <f t="shared" ref="D50:I50" si="7">D29+D49</f>
        <v>137894.69699999999</v>
      </c>
      <c r="E50" s="12">
        <f t="shared" si="7"/>
        <v>136562.01299999998</v>
      </c>
      <c r="F50" s="12">
        <f t="shared" si="7"/>
        <v>134713.25399999999</v>
      </c>
      <c r="G50" s="12">
        <f t="shared" si="7"/>
        <v>138385.75400000002</v>
      </c>
      <c r="H50" s="12">
        <f t="shared" si="7"/>
        <v>145924.23499999999</v>
      </c>
      <c r="I50" s="12">
        <f t="shared" si="7"/>
        <v>129551.53400000001</v>
      </c>
    </row>
    <row r="51" spans="1:9" x14ac:dyDescent="0.3">
      <c r="A51" s="30" t="s">
        <v>114</v>
      </c>
      <c r="B51" s="31"/>
      <c r="C51" s="10"/>
      <c r="D51" s="10"/>
      <c r="E51" s="10"/>
      <c r="F51" s="10"/>
      <c r="G51" s="10"/>
      <c r="H51" s="10"/>
      <c r="I51" s="10"/>
    </row>
    <row r="52" spans="1:9" x14ac:dyDescent="0.3">
      <c r="A52" s="32" t="s">
        <v>115</v>
      </c>
      <c r="B52" s="33"/>
      <c r="C52" s="11"/>
      <c r="D52" s="11">
        <v>7375.63</v>
      </c>
      <c r="E52" s="11">
        <v>3871.2069999999999</v>
      </c>
      <c r="F52" s="11">
        <v>6530.049</v>
      </c>
      <c r="G52" s="11">
        <v>5046.7439999999997</v>
      </c>
      <c r="H52" s="11">
        <v>3900.1419999999998</v>
      </c>
      <c r="I52" s="11">
        <v>4325.32</v>
      </c>
    </row>
    <row r="53" spans="1:9" x14ac:dyDescent="0.3">
      <c r="A53" s="32" t="s">
        <v>116</v>
      </c>
      <c r="B53" s="33"/>
      <c r="C53" s="11"/>
      <c r="D53" s="11">
        <f t="shared" ref="D53:I53" si="8">D9-D10</f>
        <v>77293.388999999996</v>
      </c>
      <c r="E53" s="11">
        <f t="shared" si="8"/>
        <v>82079.691999999995</v>
      </c>
      <c r="F53" s="11">
        <f t="shared" si="8"/>
        <v>80238.785999999993</v>
      </c>
      <c r="G53" s="11">
        <f t="shared" si="8"/>
        <v>78536.810000000012</v>
      </c>
      <c r="H53" s="11">
        <f t="shared" si="8"/>
        <v>76454.246999999988</v>
      </c>
      <c r="I53" s="11">
        <f t="shared" si="8"/>
        <v>77179.035999999993</v>
      </c>
    </row>
    <row r="54" spans="1:9" x14ac:dyDescent="0.3">
      <c r="A54" s="32" t="s">
        <v>117</v>
      </c>
      <c r="B54" s="33"/>
      <c r="C54" s="11"/>
      <c r="D54" s="11">
        <f t="shared" ref="D54:I54" si="9">D18+D19</f>
        <v>15607.937</v>
      </c>
      <c r="E54" s="11">
        <f t="shared" si="9"/>
        <v>22795.398000000001</v>
      </c>
      <c r="F54" s="11">
        <f t="shared" si="9"/>
        <v>22725.174999999999</v>
      </c>
      <c r="G54" s="11">
        <f t="shared" si="9"/>
        <v>20252.841</v>
      </c>
      <c r="H54" s="11">
        <f t="shared" si="9"/>
        <v>20495.357</v>
      </c>
      <c r="I54" s="11">
        <f t="shared" si="9"/>
        <v>12590.985000000001</v>
      </c>
    </row>
    <row r="55" spans="1:9" x14ac:dyDescent="0.3">
      <c r="A55" s="32" t="s">
        <v>118</v>
      </c>
      <c r="B55" s="33"/>
      <c r="C55" s="11"/>
      <c r="D55" s="11">
        <f t="shared" ref="D55:I55" si="10">D31+D32+D41+D42+D43-D197-D198</f>
        <v>43792.817000000003</v>
      </c>
      <c r="E55" s="11">
        <f t="shared" si="10"/>
        <v>46475.900999999998</v>
      </c>
      <c r="F55" s="11">
        <f t="shared" si="10"/>
        <v>42528.276000000005</v>
      </c>
      <c r="G55" s="11">
        <f t="shared" si="10"/>
        <v>34321.806000000004</v>
      </c>
      <c r="H55" s="11">
        <f t="shared" si="10"/>
        <v>21907.100000000002</v>
      </c>
      <c r="I55" s="11">
        <f t="shared" si="10"/>
        <v>47478.588000000003</v>
      </c>
    </row>
    <row r="56" spans="1:9" x14ac:dyDescent="0.3">
      <c r="A56" s="32" t="s">
        <v>119</v>
      </c>
      <c r="B56" s="33"/>
      <c r="C56" s="11"/>
      <c r="D56" s="11">
        <f t="shared" ref="D56:I56" si="11">D31+D32</f>
        <v>19300.063999999998</v>
      </c>
      <c r="E56" s="11">
        <f t="shared" si="11"/>
        <v>14168.228999999999</v>
      </c>
      <c r="F56" s="11">
        <f t="shared" si="11"/>
        <v>9663.6190000000006</v>
      </c>
      <c r="G56" s="11">
        <f t="shared" si="11"/>
        <v>15965.116</v>
      </c>
      <c r="H56" s="11">
        <f t="shared" si="11"/>
        <v>10093.829</v>
      </c>
      <c r="I56" s="11">
        <f t="shared" si="11"/>
        <v>21972</v>
      </c>
    </row>
    <row r="57" spans="1:9" x14ac:dyDescent="0.3">
      <c r="A57" s="32"/>
      <c r="B57" s="33"/>
      <c r="C57" s="11"/>
      <c r="D57" s="11"/>
      <c r="E57" s="11"/>
      <c r="F57" s="11"/>
      <c r="G57" s="11"/>
      <c r="H57" s="11"/>
      <c r="I57" s="11"/>
    </row>
    <row r="58" spans="1:9" x14ac:dyDescent="0.3">
      <c r="A58" s="32" t="s">
        <v>120</v>
      </c>
      <c r="B58" s="33"/>
      <c r="C58" s="11"/>
      <c r="D58" s="11">
        <f t="shared" ref="D58:I58" si="12">D55+D29</f>
        <v>117270.69</v>
      </c>
      <c r="E58" s="11">
        <f t="shared" si="12"/>
        <v>116394.003</v>
      </c>
      <c r="F58" s="11">
        <f t="shared" si="12"/>
        <v>106720.55300000001</v>
      </c>
      <c r="G58" s="11">
        <f t="shared" si="12"/>
        <v>110169.34400000001</v>
      </c>
      <c r="H58" s="11">
        <f t="shared" si="12"/>
        <v>116574.57800000001</v>
      </c>
      <c r="I58" s="11">
        <f t="shared" si="12"/>
        <v>114122.74500000001</v>
      </c>
    </row>
    <row r="59" spans="1:9" x14ac:dyDescent="0.3">
      <c r="A59" s="32" t="s">
        <v>121</v>
      </c>
      <c r="B59" s="33"/>
      <c r="C59" s="11"/>
      <c r="D59" s="11">
        <f t="shared" ref="D59:I59" si="13">D24-D22-D21</f>
        <v>23098.105000000003</v>
      </c>
      <c r="E59" s="11">
        <f t="shared" si="13"/>
        <v>30439.938999999998</v>
      </c>
      <c r="F59" s="11">
        <f t="shared" si="13"/>
        <v>29080.795999999995</v>
      </c>
      <c r="G59" s="11">
        <f t="shared" si="13"/>
        <v>22653.470999999994</v>
      </c>
      <c r="H59" s="11">
        <f t="shared" si="13"/>
        <v>23334.11</v>
      </c>
      <c r="I59" s="11">
        <f t="shared" si="13"/>
        <v>20632.205000000002</v>
      </c>
    </row>
    <row r="60" spans="1:9" x14ac:dyDescent="0.3">
      <c r="A60" s="32" t="s">
        <v>122</v>
      </c>
      <c r="B60" s="33"/>
      <c r="C60" s="11"/>
      <c r="D60" s="11">
        <f t="shared" ref="D60:I60" si="14">D48-D41-D42-D43-D44-D40-D45</f>
        <v>14998.957999999997</v>
      </c>
      <c r="E60" s="11">
        <f t="shared" si="14"/>
        <v>12649.735000000001</v>
      </c>
      <c r="F60" s="11">
        <f t="shared" si="14"/>
        <v>13865.300999999992</v>
      </c>
      <c r="G60" s="11">
        <f t="shared" si="14"/>
        <v>12430.242</v>
      </c>
      <c r="H60" s="11">
        <f t="shared" si="14"/>
        <v>13754.378000000001</v>
      </c>
      <c r="I60" s="11">
        <f t="shared" si="14"/>
        <v>11371.556999999999</v>
      </c>
    </row>
    <row r="61" spans="1:9" x14ac:dyDescent="0.3">
      <c r="A61" s="23"/>
      <c r="B61" s="23"/>
    </row>
    <row r="62" spans="1:9" ht="19.5" customHeight="1" x14ac:dyDescent="0.3">
      <c r="A62" s="26" t="s">
        <v>123</v>
      </c>
      <c r="B62" s="27"/>
      <c r="C62" s="3"/>
      <c r="D62" s="3"/>
      <c r="E62" s="3"/>
      <c r="F62" s="3"/>
      <c r="G62" s="3"/>
      <c r="H62" s="3"/>
      <c r="I62" s="3"/>
    </row>
    <row r="63" spans="1:9" ht="16.5" customHeight="1" x14ac:dyDescent="0.3">
      <c r="A63" s="28" t="s">
        <v>64</v>
      </c>
      <c r="B63" s="29"/>
      <c r="C63" s="9"/>
      <c r="D63" s="9" t="s">
        <v>65</v>
      </c>
      <c r="E63" s="9" t="s">
        <v>66</v>
      </c>
      <c r="F63" s="9" t="s">
        <v>67</v>
      </c>
      <c r="G63" s="9" t="s">
        <v>68</v>
      </c>
      <c r="H63" s="9" t="s">
        <v>69</v>
      </c>
      <c r="I63" s="9" t="s">
        <v>70</v>
      </c>
    </row>
    <row r="64" spans="1:9" x14ac:dyDescent="0.3">
      <c r="A64" s="32" t="s">
        <v>124</v>
      </c>
      <c r="B64" s="33"/>
      <c r="C64" s="11"/>
      <c r="D64" s="11">
        <v>45107.69</v>
      </c>
      <c r="E64" s="11">
        <v>58043.862999999998</v>
      </c>
      <c r="F64" s="11">
        <v>64983.821000000004</v>
      </c>
      <c r="G64" s="11">
        <v>66038.688999999998</v>
      </c>
      <c r="H64" s="11">
        <v>71892.837</v>
      </c>
      <c r="I64" s="11">
        <v>38033.124000000003</v>
      </c>
    </row>
    <row r="65" spans="1:9" x14ac:dyDescent="0.3">
      <c r="A65" s="32" t="s">
        <v>125</v>
      </c>
      <c r="B65" s="33"/>
      <c r="C65" s="11"/>
      <c r="D65" s="11">
        <v>-37035.798000000003</v>
      </c>
      <c r="E65" s="11">
        <v>-47615.550999999999</v>
      </c>
      <c r="F65" s="11">
        <v>-55428.046000000002</v>
      </c>
      <c r="G65" s="11">
        <v>-55510.428999999996</v>
      </c>
      <c r="H65" s="11">
        <v>-53387.165999999997</v>
      </c>
      <c r="I65" s="11">
        <v>-36447.218000000001</v>
      </c>
    </row>
    <row r="66" spans="1:9" x14ac:dyDescent="0.3">
      <c r="A66" s="34" t="s">
        <v>126</v>
      </c>
      <c r="B66" s="35"/>
      <c r="C66" s="12"/>
      <c r="D66" s="12">
        <f t="shared" ref="D66:I66" si="15">D64+D65</f>
        <v>8071.8919999999998</v>
      </c>
      <c r="E66" s="12">
        <f t="shared" si="15"/>
        <v>10428.311999999998</v>
      </c>
      <c r="F66" s="12">
        <f t="shared" si="15"/>
        <v>9555.7750000000015</v>
      </c>
      <c r="G66" s="12">
        <f t="shared" si="15"/>
        <v>10528.260000000002</v>
      </c>
      <c r="H66" s="12">
        <f t="shared" si="15"/>
        <v>18505.671000000002</v>
      </c>
      <c r="I66" s="12">
        <f t="shared" si="15"/>
        <v>1585.9060000000027</v>
      </c>
    </row>
    <row r="67" spans="1:9" x14ac:dyDescent="0.3">
      <c r="A67" s="32" t="s">
        <v>127</v>
      </c>
      <c r="B67" s="33"/>
      <c r="C67" s="11"/>
      <c r="D67" s="11">
        <v>-1950.056</v>
      </c>
      <c r="E67" s="11">
        <v>-1748.8589999999999</v>
      </c>
      <c r="F67" s="11">
        <v>-1818.028</v>
      </c>
      <c r="G67" s="11">
        <v>-2608.5369999999998</v>
      </c>
      <c r="H67" s="11">
        <v>-3874.6880000000001</v>
      </c>
      <c r="I67" s="11">
        <v>-1783.422</v>
      </c>
    </row>
    <row r="68" spans="1:9" x14ac:dyDescent="0.3">
      <c r="A68" s="32" t="s">
        <v>128</v>
      </c>
      <c r="B68" s="33"/>
      <c r="C68" s="11"/>
      <c r="D68" s="11">
        <v>-646.76199999999994</v>
      </c>
      <c r="E68" s="11">
        <v>-751.05200000000002</v>
      </c>
      <c r="F68" s="11">
        <v>-879.35599999999999</v>
      </c>
      <c r="G68" s="11">
        <v>-1206.105</v>
      </c>
      <c r="H68" s="11">
        <v>-1294.9739999999999</v>
      </c>
      <c r="I68" s="11">
        <v>-658.87400000000002</v>
      </c>
    </row>
    <row r="69" spans="1:9" x14ac:dyDescent="0.3">
      <c r="A69" s="32" t="s">
        <v>129</v>
      </c>
      <c r="B69" s="33"/>
      <c r="C69" s="11"/>
      <c r="D69" s="11">
        <v>104.703</v>
      </c>
      <c r="E69" s="11">
        <v>-8.99</v>
      </c>
      <c r="F69" s="11">
        <v>-104.09399999999999</v>
      </c>
      <c r="G69" s="11">
        <v>-103.367</v>
      </c>
      <c r="H69" s="11">
        <v>-6.899</v>
      </c>
      <c r="I69" s="11">
        <v>-146.447</v>
      </c>
    </row>
    <row r="70" spans="1:9" x14ac:dyDescent="0.3">
      <c r="A70" s="32" t="s">
        <v>130</v>
      </c>
      <c r="B70" s="33"/>
      <c r="C70" s="11"/>
      <c r="D70" s="11">
        <v>-414.315</v>
      </c>
      <c r="E70" s="11">
        <v>-1042.8030000000001</v>
      </c>
      <c r="F70" s="11">
        <v>-96.460999999999999</v>
      </c>
      <c r="G70" s="11">
        <v>-5.0330000000000004</v>
      </c>
      <c r="H70" s="11">
        <v>-725.66300000000001</v>
      </c>
      <c r="I70" s="11">
        <v>-529.64</v>
      </c>
    </row>
    <row r="71" spans="1:9" x14ac:dyDescent="0.3">
      <c r="A71" s="34" t="s">
        <v>131</v>
      </c>
      <c r="B71" s="35"/>
      <c r="C71" s="12"/>
      <c r="D71" s="12">
        <f t="shared" ref="D71:I71" si="16">D66+D67+D68+D69+D70</f>
        <v>5165.4620000000004</v>
      </c>
      <c r="E71" s="12">
        <f t="shared" si="16"/>
        <v>6876.6079999999984</v>
      </c>
      <c r="F71" s="12">
        <f t="shared" si="16"/>
        <v>6657.8360000000011</v>
      </c>
      <c r="G71" s="12">
        <f t="shared" si="16"/>
        <v>6605.2180000000017</v>
      </c>
      <c r="H71" s="12">
        <f t="shared" si="16"/>
        <v>12603.447000000002</v>
      </c>
      <c r="I71" s="12">
        <f t="shared" si="16"/>
        <v>-1532.4769999999974</v>
      </c>
    </row>
    <row r="72" spans="1:9" x14ac:dyDescent="0.3">
      <c r="A72" s="32" t="s">
        <v>132</v>
      </c>
      <c r="B72" s="33"/>
      <c r="C72" s="11"/>
      <c r="D72" s="11">
        <v>2526.8180000000002</v>
      </c>
      <c r="E72" s="11">
        <v>2714.34</v>
      </c>
      <c r="F72" s="11">
        <v>3246.9989999999998</v>
      </c>
      <c r="G72" s="11">
        <v>4234.7969999999996</v>
      </c>
      <c r="H72" s="11">
        <v>4271.57</v>
      </c>
      <c r="I72" s="11">
        <v>2429.5749999999998</v>
      </c>
    </row>
    <row r="73" spans="1:9" x14ac:dyDescent="0.3">
      <c r="A73" s="32" t="s">
        <v>133</v>
      </c>
      <c r="B73" s="33"/>
      <c r="C73" s="11"/>
      <c r="D73" s="11">
        <v>0</v>
      </c>
      <c r="E73" s="11">
        <v>0</v>
      </c>
      <c r="F73" s="11">
        <v>0</v>
      </c>
      <c r="G73" s="11">
        <v>0</v>
      </c>
      <c r="H73" s="11">
        <v>0</v>
      </c>
      <c r="I73" s="11">
        <v>0</v>
      </c>
    </row>
    <row r="74" spans="1:9" x14ac:dyDescent="0.3">
      <c r="A74" s="32" t="s">
        <v>134</v>
      </c>
      <c r="B74" s="33"/>
      <c r="C74" s="11"/>
      <c r="D74" s="11">
        <v>0</v>
      </c>
      <c r="E74" s="11">
        <v>0</v>
      </c>
      <c r="F74" s="11">
        <v>0</v>
      </c>
      <c r="G74" s="11">
        <v>0</v>
      </c>
      <c r="H74" s="11">
        <v>0</v>
      </c>
      <c r="I74" s="11">
        <v>0</v>
      </c>
    </row>
    <row r="75" spans="1:9" x14ac:dyDescent="0.3">
      <c r="A75" s="32" t="s">
        <v>135</v>
      </c>
      <c r="B75" s="33"/>
      <c r="C75" s="11"/>
      <c r="D75" s="11">
        <v>-2920.875</v>
      </c>
      <c r="E75" s="11">
        <v>-3571.1869999999999</v>
      </c>
      <c r="F75" s="11">
        <v>-6742.2920000000004</v>
      </c>
      <c r="G75" s="11">
        <v>-8001.1049999999996</v>
      </c>
      <c r="H75" s="11">
        <v>-3870.4050000000002</v>
      </c>
      <c r="I75" s="11">
        <v>-4653.2860000000001</v>
      </c>
    </row>
    <row r="76" spans="1:9" x14ac:dyDescent="0.3">
      <c r="A76" s="34" t="s">
        <v>136</v>
      </c>
      <c r="B76" s="35"/>
      <c r="C76" s="12"/>
      <c r="D76" s="12">
        <f t="shared" ref="D76:I76" si="17">D71+D72+D73+D74+D75</f>
        <v>4771.4050000000007</v>
      </c>
      <c r="E76" s="12">
        <f t="shared" si="17"/>
        <v>6019.7609999999986</v>
      </c>
      <c r="F76" s="12">
        <f t="shared" si="17"/>
        <v>3162.5430000000006</v>
      </c>
      <c r="G76" s="12">
        <f t="shared" si="17"/>
        <v>2838.9100000000017</v>
      </c>
      <c r="H76" s="12">
        <f t="shared" si="17"/>
        <v>13004.611999999999</v>
      </c>
      <c r="I76" s="12">
        <f t="shared" si="17"/>
        <v>-3756.1879999999974</v>
      </c>
    </row>
    <row r="77" spans="1:9" x14ac:dyDescent="0.3">
      <c r="A77" s="32" t="s">
        <v>137</v>
      </c>
      <c r="B77" s="33"/>
      <c r="C77" s="11"/>
      <c r="D77" s="11">
        <v>0</v>
      </c>
      <c r="E77" s="11">
        <v>0</v>
      </c>
      <c r="F77" s="11">
        <v>-364.05399999999997</v>
      </c>
      <c r="G77" s="11">
        <v>-520.84799999999996</v>
      </c>
      <c r="H77" s="11">
        <v>-577.125</v>
      </c>
      <c r="I77" s="11">
        <v>0</v>
      </c>
    </row>
    <row r="78" spans="1:9" x14ac:dyDescent="0.3">
      <c r="A78" s="32" t="s">
        <v>138</v>
      </c>
      <c r="B78" s="33"/>
      <c r="C78" s="11"/>
      <c r="D78" s="11">
        <v>-1050.1320000000001</v>
      </c>
      <c r="E78" s="11">
        <v>-3047.6289999999999</v>
      </c>
      <c r="F78" s="11">
        <v>-6434.4650000000001</v>
      </c>
      <c r="G78" s="11">
        <v>-1775.6659999999999</v>
      </c>
      <c r="H78" s="11">
        <v>-3752.4279999999999</v>
      </c>
      <c r="I78" s="11">
        <v>1597.527</v>
      </c>
    </row>
    <row r="79" spans="1:9" x14ac:dyDescent="0.3">
      <c r="A79" s="34" t="s">
        <v>139</v>
      </c>
      <c r="B79" s="35"/>
      <c r="C79" s="12"/>
      <c r="D79" s="12">
        <f t="shared" ref="D79:I79" si="18">D76+D77+D78</f>
        <v>3721.2730000000006</v>
      </c>
      <c r="E79" s="12">
        <f t="shared" si="18"/>
        <v>2972.1319999999987</v>
      </c>
      <c r="F79" s="12">
        <f t="shared" si="18"/>
        <v>-3635.9759999999997</v>
      </c>
      <c r="G79" s="12">
        <f t="shared" si="18"/>
        <v>542.39600000000178</v>
      </c>
      <c r="H79" s="12">
        <f t="shared" si="18"/>
        <v>8675.0589999999993</v>
      </c>
      <c r="I79" s="12">
        <f t="shared" si="18"/>
        <v>-2158.6609999999973</v>
      </c>
    </row>
    <row r="80" spans="1:9" x14ac:dyDescent="0.3">
      <c r="A80" s="30" t="s">
        <v>140</v>
      </c>
      <c r="B80" s="31"/>
      <c r="C80" s="10"/>
      <c r="D80" s="10"/>
      <c r="E80" s="10"/>
      <c r="F80" s="10"/>
      <c r="G80" s="10"/>
      <c r="H80" s="10"/>
      <c r="I80" s="10"/>
    </row>
    <row r="81" spans="1:9" x14ac:dyDescent="0.3">
      <c r="A81" s="32" t="s">
        <v>141</v>
      </c>
      <c r="B81" s="33"/>
      <c r="C81" s="11"/>
      <c r="D81" s="11">
        <v>3580.8069999999998</v>
      </c>
      <c r="E81" s="11">
        <v>3913.288</v>
      </c>
      <c r="F81" s="11">
        <v>3944.1279999999997</v>
      </c>
      <c r="G81" s="11">
        <v>3853.4520000000002</v>
      </c>
      <c r="H81" s="11">
        <v>3832.6020000000003</v>
      </c>
      <c r="I81" s="11"/>
    </row>
    <row r="82" spans="1:9" x14ac:dyDescent="0.3">
      <c r="A82" s="32" t="s">
        <v>142</v>
      </c>
      <c r="B82" s="33"/>
      <c r="C82" s="11"/>
      <c r="D82" s="11">
        <f>D76+D85</f>
        <v>7657.514000000001</v>
      </c>
      <c r="E82" s="11">
        <f>E76+E85</f>
        <v>9564.4179999999978</v>
      </c>
      <c r="F82" s="11">
        <f>F76+F85</f>
        <v>9866.3420000000006</v>
      </c>
      <c r="G82" s="11">
        <f>G76+G85</f>
        <v>10763.888000000001</v>
      </c>
      <c r="H82" s="11">
        <f>H76+H85</f>
        <v>16821.347999999998</v>
      </c>
      <c r="I82" s="11">
        <f>I76-I75</f>
        <v>897.09800000000268</v>
      </c>
    </row>
    <row r="83" spans="1:9" x14ac:dyDescent="0.3">
      <c r="A83" s="32" t="s">
        <v>143</v>
      </c>
      <c r="B83" s="33"/>
      <c r="C83" s="11"/>
      <c r="D83" s="11">
        <f>D82+D81</f>
        <v>11238.321</v>
      </c>
      <c r="E83" s="11">
        <f>E82+E81</f>
        <v>13477.705999999998</v>
      </c>
      <c r="F83" s="11">
        <f>F82+F81</f>
        <v>13810.470000000001</v>
      </c>
      <c r="G83" s="11">
        <f>G82+G81</f>
        <v>14617.34</v>
      </c>
      <c r="H83" s="11">
        <f>H82+H81</f>
        <v>20653.949999999997</v>
      </c>
      <c r="I83" s="11"/>
    </row>
    <row r="84" spans="1:9" x14ac:dyDescent="0.3">
      <c r="A84" s="32" t="s">
        <v>144</v>
      </c>
      <c r="B84" s="33"/>
      <c r="C84" s="11"/>
      <c r="D84" s="11">
        <v>34.765999999999998</v>
      </c>
      <c r="E84" s="11">
        <v>26.53</v>
      </c>
      <c r="F84" s="11">
        <v>38.493000000000002</v>
      </c>
      <c r="G84" s="11">
        <v>76.126999999999995</v>
      </c>
      <c r="H84" s="11">
        <v>53.668999999999997</v>
      </c>
      <c r="I84" s="13"/>
    </row>
    <row r="85" spans="1:9" x14ac:dyDescent="0.3">
      <c r="A85" s="32" t="s">
        <v>145</v>
      </c>
      <c r="B85" s="33"/>
      <c r="C85" s="11"/>
      <c r="D85" s="11">
        <f>-D75-D84</f>
        <v>2886.1089999999999</v>
      </c>
      <c r="E85" s="11">
        <f>-E75-E84</f>
        <v>3544.6569999999997</v>
      </c>
      <c r="F85" s="11">
        <f>-F75-F84</f>
        <v>6703.799</v>
      </c>
      <c r="G85" s="11">
        <f>-G75-G84</f>
        <v>7924.9779999999992</v>
      </c>
      <c r="H85" s="11">
        <f>-H75-H84</f>
        <v>3816.7360000000003</v>
      </c>
      <c r="I85" s="13"/>
    </row>
    <row r="86" spans="1:9" x14ac:dyDescent="0.3">
      <c r="A86" s="32" t="s">
        <v>146</v>
      </c>
      <c r="B86" s="33"/>
      <c r="C86" s="14"/>
      <c r="D86" s="14">
        <f>IF(D76&lt;=0,"n/m",-(D77+D78)/D76)</f>
        <v>0.22008863217438049</v>
      </c>
      <c r="E86" s="14">
        <f>IF(E76&lt;=0,"n/m",-(E77+E78)/E76)</f>
        <v>0.50627076390574322</v>
      </c>
      <c r="F86" s="14">
        <f>IF(F76&lt;=0,"n/m",-(F77+F78)/F76)</f>
        <v>2.1497000989393658</v>
      </c>
      <c r="G86" s="14">
        <f>IF(G76&lt;=0,"n/m",-(G77+G78)/G76)</f>
        <v>0.80894216442226019</v>
      </c>
      <c r="H86" s="14">
        <f>IF(H76&lt;=0,"n/m",-(H77+H78)/H76)</f>
        <v>0.3329244271186253</v>
      </c>
      <c r="I86" s="13"/>
    </row>
    <row r="87" spans="1:9" x14ac:dyDescent="0.3">
      <c r="A87" s="32" t="s">
        <v>147</v>
      </c>
      <c r="B87" s="33"/>
      <c r="C87" s="14"/>
      <c r="D87" s="14">
        <f>D86</f>
        <v>0.22008863217438049</v>
      </c>
      <c r="E87" s="14">
        <f>E86</f>
        <v>0.50627076390574322</v>
      </c>
      <c r="F87" s="14">
        <f>F86</f>
        <v>2.1497000989393658</v>
      </c>
      <c r="G87" s="14">
        <f>G86</f>
        <v>0.80894216442226019</v>
      </c>
      <c r="H87" s="14">
        <f>H86</f>
        <v>0.3329244271186253</v>
      </c>
      <c r="I87" s="13"/>
    </row>
    <row r="88" spans="1:9" x14ac:dyDescent="0.3">
      <c r="A88" s="32" t="s">
        <v>148</v>
      </c>
      <c r="B88" s="33"/>
      <c r="C88" s="11"/>
      <c r="D88" s="11">
        <f>IF(ISNUMBER(D87),D82*(1-D87),"n/m")</f>
        <v>5972.182217883832</v>
      </c>
      <c r="E88" s="11">
        <f>IF(ISNUMBER(E87),E82*(1-E87),"n/m")</f>
        <v>4722.2327928261584</v>
      </c>
      <c r="F88" s="11">
        <f>IF(ISNUMBER(F87),F82*(1-F87),"n/m")</f>
        <v>-11343.33437356962</v>
      </c>
      <c r="G88" s="11">
        <f>IF(ISNUMBER(G87),G82*(1-G87),"n/m")</f>
        <v>2056.5251436812068</v>
      </c>
      <c r="H88" s="11">
        <f>IF(ISNUMBER(H87),H82*(1-H87),"n/m")</f>
        <v>11221.110353736964</v>
      </c>
      <c r="I88" s="13"/>
    </row>
    <row r="89" spans="1:9" x14ac:dyDescent="0.3">
      <c r="A89" s="23"/>
      <c r="B89" s="23"/>
    </row>
    <row r="90" spans="1:9" ht="19.5" customHeight="1" x14ac:dyDescent="0.3">
      <c r="A90" s="26" t="s">
        <v>149</v>
      </c>
      <c r="B90" s="27"/>
      <c r="C90" s="3"/>
      <c r="D90" s="3"/>
      <c r="E90" s="3"/>
      <c r="F90" s="3"/>
      <c r="G90" s="3"/>
      <c r="H90" s="3"/>
      <c r="I90" s="3"/>
    </row>
    <row r="91" spans="1:9" ht="16.5" customHeight="1" x14ac:dyDescent="0.3">
      <c r="A91" s="28" t="s">
        <v>64</v>
      </c>
      <c r="B91" s="29"/>
      <c r="C91" s="9"/>
      <c r="D91" s="9" t="s">
        <v>65</v>
      </c>
      <c r="E91" s="9" t="s">
        <v>66</v>
      </c>
      <c r="F91" s="9" t="s">
        <v>67</v>
      </c>
      <c r="G91" s="9" t="s">
        <v>68</v>
      </c>
      <c r="H91" s="9" t="s">
        <v>69</v>
      </c>
      <c r="I91" s="9" t="s">
        <v>70</v>
      </c>
    </row>
    <row r="92" spans="1:9" x14ac:dyDescent="0.3">
      <c r="A92" s="32" t="s">
        <v>150</v>
      </c>
      <c r="B92" s="33"/>
      <c r="C92" s="11"/>
      <c r="D92" s="11">
        <v>10472.429</v>
      </c>
      <c r="E92" s="11">
        <v>941.86599999999999</v>
      </c>
      <c r="F92" s="11">
        <v>13397.298000000001</v>
      </c>
      <c r="G92" s="11">
        <v>13222.674999999999</v>
      </c>
      <c r="H92" s="11">
        <v>15811.428</v>
      </c>
      <c r="I92" s="11">
        <v>6062.299</v>
      </c>
    </row>
    <row r="93" spans="1:9" x14ac:dyDescent="0.3">
      <c r="A93" s="32" t="s">
        <v>151</v>
      </c>
      <c r="B93" s="33"/>
      <c r="C93" s="11"/>
      <c r="D93" s="11">
        <v>6161.19</v>
      </c>
      <c r="E93" s="11">
        <v>-3932.4789999999998</v>
      </c>
      <c r="F93" s="11">
        <v>6504.2340000000004</v>
      </c>
      <c r="G93" s="11">
        <v>6029.5450000000001</v>
      </c>
      <c r="H93" s="11">
        <v>10034.132</v>
      </c>
      <c r="I93" s="11">
        <v>-343.13099999999997</v>
      </c>
    </row>
    <row r="94" spans="1:9" x14ac:dyDescent="0.3">
      <c r="A94" s="32" t="s">
        <v>152</v>
      </c>
      <c r="B94" s="33"/>
      <c r="C94" s="11"/>
      <c r="D94" s="11">
        <v>-2962.16</v>
      </c>
      <c r="E94" s="11">
        <v>1461.646</v>
      </c>
      <c r="F94" s="11">
        <v>-1747.152</v>
      </c>
      <c r="G94" s="11">
        <v>2277.223</v>
      </c>
      <c r="H94" s="11">
        <v>3000.5349999999999</v>
      </c>
      <c r="I94" s="11">
        <v>-5082.7960000000003</v>
      </c>
    </row>
    <row r="95" spans="1:9" x14ac:dyDescent="0.3">
      <c r="A95" s="32" t="s">
        <v>153</v>
      </c>
      <c r="B95" s="33"/>
      <c r="C95" s="11"/>
      <c r="D95" s="11">
        <v>2374.8530000000001</v>
      </c>
      <c r="E95" s="11">
        <v>-4864.9560000000001</v>
      </c>
      <c r="F95" s="11">
        <v>-4883.5690000000004</v>
      </c>
      <c r="G95" s="11">
        <v>4051.0210000000002</v>
      </c>
      <c r="H95" s="11">
        <v>-9357.6869999999999</v>
      </c>
      <c r="I95" s="11">
        <v>2519.5770000000002</v>
      </c>
    </row>
    <row r="96" spans="1:9" x14ac:dyDescent="0.3">
      <c r="A96" s="32" t="s">
        <v>154</v>
      </c>
      <c r="B96" s="33"/>
      <c r="C96" s="11"/>
      <c r="D96" s="11">
        <v>-5087.1040000000003</v>
      </c>
      <c r="E96" s="11">
        <v>-1739.5509999999999</v>
      </c>
      <c r="F96" s="11">
        <v>-3418.069</v>
      </c>
      <c r="G96" s="11">
        <v>-1620.798</v>
      </c>
      <c r="H96" s="11">
        <v>-1211.491</v>
      </c>
      <c r="I96" s="11">
        <v>-7374.4279999999999</v>
      </c>
    </row>
    <row r="97" spans="1:9" x14ac:dyDescent="0.3">
      <c r="A97" s="32" t="s">
        <v>155</v>
      </c>
      <c r="B97" s="33"/>
      <c r="C97" s="11"/>
      <c r="D97" s="11">
        <v>-3125.3809999999999</v>
      </c>
      <c r="E97" s="11">
        <v>-3195.7269999999999</v>
      </c>
      <c r="F97" s="11">
        <v>-5998.5990000000002</v>
      </c>
      <c r="G97" s="11">
        <v>-8460.2060000000001</v>
      </c>
      <c r="H97" s="11">
        <v>-4921.1989999999996</v>
      </c>
      <c r="I97" s="11">
        <v>-4750.58</v>
      </c>
    </row>
    <row r="98" spans="1:9" x14ac:dyDescent="0.3">
      <c r="A98" s="32" t="s">
        <v>156</v>
      </c>
      <c r="B98" s="33"/>
      <c r="C98" s="11"/>
      <c r="D98" s="11">
        <v>-0.32</v>
      </c>
      <c r="E98" s="11">
        <v>-437.12400000000002</v>
      </c>
      <c r="F98" s="11">
        <v>-437.92700000000002</v>
      </c>
      <c r="G98" s="11">
        <v>-0.502</v>
      </c>
      <c r="H98" s="11">
        <v>-4.8000000000000001E-2</v>
      </c>
      <c r="I98" s="11">
        <v>-437.72</v>
      </c>
    </row>
    <row r="99" spans="1:9" x14ac:dyDescent="0.3">
      <c r="A99" s="23"/>
      <c r="B99" s="23"/>
    </row>
    <row r="100" spans="1:9" ht="19.5" customHeight="1" x14ac:dyDescent="0.3">
      <c r="A100" s="26" t="s">
        <v>157</v>
      </c>
      <c r="B100" s="27"/>
      <c r="C100" s="3"/>
      <c r="D100" s="3"/>
      <c r="E100" s="3"/>
      <c r="F100" s="3"/>
      <c r="G100" s="3"/>
      <c r="H100" s="3"/>
      <c r="I100" s="3"/>
    </row>
    <row r="101" spans="1:9" ht="16.5" customHeight="1" x14ac:dyDescent="0.3">
      <c r="A101" s="28" t="s">
        <v>64</v>
      </c>
      <c r="B101" s="29"/>
      <c r="C101" s="9"/>
      <c r="D101" s="9" t="s">
        <v>65</v>
      </c>
      <c r="E101" s="9" t="s">
        <v>66</v>
      </c>
      <c r="F101" s="9" t="s">
        <v>67</v>
      </c>
      <c r="G101" s="9" t="s">
        <v>68</v>
      </c>
      <c r="H101" s="9" t="s">
        <v>69</v>
      </c>
    </row>
    <row r="102" spans="1:9" x14ac:dyDescent="0.3">
      <c r="A102" s="32" t="s">
        <v>158</v>
      </c>
      <c r="B102" s="33"/>
      <c r="C102" s="15"/>
      <c r="D102" s="15">
        <v>10</v>
      </c>
      <c r="E102" s="15">
        <v>10</v>
      </c>
      <c r="F102" s="15">
        <v>10</v>
      </c>
      <c r="G102" s="15">
        <v>10</v>
      </c>
      <c r="H102" s="15">
        <v>10</v>
      </c>
    </row>
    <row r="103" spans="1:9" x14ac:dyDescent="0.3">
      <c r="A103" s="32" t="s">
        <v>159</v>
      </c>
      <c r="B103" s="33"/>
      <c r="C103" s="16"/>
      <c r="D103" s="16">
        <f>D27/D102-D107</f>
        <v>438.1191</v>
      </c>
      <c r="E103" s="16">
        <f>E27/E102-E107</f>
        <v>438.1191</v>
      </c>
      <c r="F103" s="16">
        <f>F27/F102-F107</f>
        <v>438.1191</v>
      </c>
      <c r="G103" s="16">
        <f>G27/G102-G107</f>
        <v>438.1191</v>
      </c>
      <c r="H103" s="16">
        <f>H27/H102-H107</f>
        <v>438.1191</v>
      </c>
    </row>
    <row r="104" spans="1:9" x14ac:dyDescent="0.3">
      <c r="A104" s="32" t="s">
        <v>160</v>
      </c>
      <c r="B104" s="33"/>
      <c r="C104" s="16"/>
      <c r="D104" s="16">
        <v>438.11911800000001</v>
      </c>
      <c r="E104" s="16">
        <v>438.11911800000001</v>
      </c>
      <c r="F104" s="16">
        <v>438.11911800000001</v>
      </c>
      <c r="G104" s="16">
        <v>438.11911800000001</v>
      </c>
      <c r="H104" s="16">
        <v>438.11911800000001</v>
      </c>
    </row>
    <row r="105" spans="1:9" x14ac:dyDescent="0.3">
      <c r="A105" s="32" t="s">
        <v>161</v>
      </c>
      <c r="B105" s="33"/>
      <c r="C105" s="15"/>
      <c r="D105" s="15">
        <v>117.92</v>
      </c>
      <c r="E105" s="15">
        <v>62.5</v>
      </c>
      <c r="F105" s="15">
        <v>51.3</v>
      </c>
      <c r="G105" s="15">
        <v>90.27</v>
      </c>
      <c r="H105" s="15">
        <v>165.56</v>
      </c>
    </row>
    <row r="106" spans="1:9" x14ac:dyDescent="0.3">
      <c r="A106" s="32" t="s">
        <v>162</v>
      </c>
      <c r="B106" s="33"/>
      <c r="C106" s="15"/>
      <c r="D106" s="15">
        <v>1</v>
      </c>
      <c r="E106" s="15">
        <v>1</v>
      </c>
      <c r="F106" s="74">
        <v>0</v>
      </c>
      <c r="G106" s="74">
        <v>0</v>
      </c>
      <c r="H106" s="15">
        <v>2</v>
      </c>
    </row>
    <row r="107" spans="1:9" x14ac:dyDescent="0.3">
      <c r="A107" s="32" t="s">
        <v>163</v>
      </c>
      <c r="B107" s="33"/>
      <c r="C107" s="15"/>
      <c r="D107" s="15">
        <v>0</v>
      </c>
      <c r="E107" s="15">
        <v>0</v>
      </c>
      <c r="F107" s="15">
        <v>0</v>
      </c>
      <c r="G107" s="15">
        <v>0</v>
      </c>
      <c r="H107" s="15">
        <v>0</v>
      </c>
    </row>
    <row r="108" spans="1:9" ht="19.5" customHeight="1" x14ac:dyDescent="0.3">
      <c r="A108" s="26" t="s">
        <v>164</v>
      </c>
      <c r="B108" s="27"/>
      <c r="C108" s="3"/>
      <c r="D108" s="3"/>
      <c r="E108" s="3"/>
      <c r="F108" s="3"/>
      <c r="G108" s="3"/>
      <c r="H108" s="3"/>
      <c r="I108" s="3"/>
    </row>
    <row r="109" spans="1:9" ht="30" customHeight="1" x14ac:dyDescent="0.3">
      <c r="A109" s="41" t="s">
        <v>165</v>
      </c>
      <c r="B109" s="41" t="s">
        <v>166</v>
      </c>
      <c r="C109" s="41" t="s">
        <v>167</v>
      </c>
      <c r="D109" s="41" t="s">
        <v>65</v>
      </c>
      <c r="E109" s="41" t="s">
        <v>66</v>
      </c>
      <c r="F109" s="41" t="s">
        <v>67</v>
      </c>
      <c r="G109" s="41" t="s">
        <v>68</v>
      </c>
      <c r="H109" s="41" t="s">
        <v>69</v>
      </c>
    </row>
    <row r="110" spans="1:9" ht="22.95" customHeight="1" x14ac:dyDescent="0.3">
      <c r="A110" s="91" t="s">
        <v>168</v>
      </c>
      <c r="B110" s="91"/>
      <c r="C110" s="91"/>
      <c r="D110" s="91"/>
      <c r="E110" s="91"/>
      <c r="F110" s="91"/>
      <c r="G110" s="91"/>
      <c r="H110" s="91"/>
    </row>
    <row r="111" spans="1:9" ht="34.049999999999997" customHeight="1" x14ac:dyDescent="0.3">
      <c r="A111" s="42" t="s">
        <v>169</v>
      </c>
      <c r="B111" s="43" t="s">
        <v>170</v>
      </c>
      <c r="C111" s="43" t="s">
        <v>171</v>
      </c>
      <c r="D111" s="45">
        <f>IF(OR(NOT(ISNUMBER(D24)),NOT(ISNUMBER(D48))),"n/m",IF(OR((D48)&lt;=0,(D24)&lt;0),"n/m",(D24)/(D48)))</f>
        <v>0.91452508864509019</v>
      </c>
      <c r="E111" s="45">
        <f>IF(OR(NOT(ISNUMBER(E24)),NOT(ISNUMBER(E48))),"n/m",IF(OR((E48)&lt;=0,(E24)&lt;0),"n/m",(E24)/(E48)))</f>
        <v>0.88552877147710041</v>
      </c>
      <c r="F111" s="45">
        <f>IF(OR(NOT(ISNUMBER(F24)),NOT(ISNUMBER(F48))),"n/m",IF(OR((F48)&lt;=0,(F24)&lt;0),"n/m",(F24)/(F48)))</f>
        <v>0.80176749057385621</v>
      </c>
      <c r="G111" s="45">
        <f>IF(OR(NOT(ISNUMBER(G24)),NOT(ISNUMBER(G48))),"n/m",IF(OR((G48)&lt;=0,(G24)&lt;0),"n/m",(G24)/(G48)))</f>
        <v>1.296185931254842</v>
      </c>
      <c r="H111" s="45">
        <f>IF(OR(NOT(ISNUMBER(H24)),NOT(ISNUMBER(H48))),"n/m",IF(OR((H48)&lt;=0,(H24)&lt;0),"n/m",(H24)/(H48)))</f>
        <v>1.8489517932979607</v>
      </c>
    </row>
    <row r="112" spans="1:9" ht="34.049999999999997" customHeight="1" x14ac:dyDescent="0.3">
      <c r="A112" s="42" t="s">
        <v>172</v>
      </c>
      <c r="B112" s="43" t="s">
        <v>173</v>
      </c>
      <c r="C112" s="43" t="s">
        <v>174</v>
      </c>
      <c r="D112" s="45">
        <f>IF(OR(NOT(ISNUMBER(D24-D54)),NOT(ISNUMBER(D48))),"n/m",IF(OR((D48)&lt;=0,(D24-D54)&lt;0),"n/m",(D24-D54)/(D48)))</f>
        <v>0.52718830778210601</v>
      </c>
      <c r="E112" s="45">
        <f>IF(OR(NOT(ISNUMBER(E24-E54)),NOT(ISNUMBER(E48))),"n/m",IF(OR((E48)&lt;=0,(E24-E54)&lt;0),"n/m",(E24-E54)/(E48)))</f>
        <v>0.39093390789665328</v>
      </c>
      <c r="F112" s="45">
        <f>IF(OR(NOT(ISNUMBER(F24-F54)),NOT(ISNUMBER(F48))),"n/m",IF(OR((F48)&lt;=0,(F24-F54)&lt;0),"n/m",(F24-F54)/(F48)))</f>
        <v>0.33489936167445872</v>
      </c>
      <c r="G112" s="45">
        <f>IF(OR(NOT(ISNUMBER(G24-G54)),NOT(ISNUMBER(G48))),"n/m",IF(OR((G48)&lt;=0,(G24-G54)&lt;0),"n/m",(G24-G54)/(G48)))</f>
        <v>0.66771764923027133</v>
      </c>
      <c r="H112" s="45">
        <f>IF(OR(NOT(ISNUMBER(H24-H54)),NOT(ISNUMBER(H48))),"n/m",IF(OR((H48)&lt;=0,(H24-H54)&lt;0),"n/m",(H24-H54)/(H48)))</f>
        <v>1.0579587679634685</v>
      </c>
    </row>
    <row r="113" spans="1:8" ht="34.049999999999997" customHeight="1" x14ac:dyDescent="0.3">
      <c r="A113" s="42" t="s">
        <v>175</v>
      </c>
      <c r="B113" s="43" t="s">
        <v>176</v>
      </c>
      <c r="C113" s="43" t="s">
        <v>177</v>
      </c>
      <c r="D113" s="45">
        <f>IF(OR(NOT(ISNUMBER(D211)),NOT(ISNUMBER(D48))),"n/m",IF(OR((D48)&lt;=0,(D211)&lt;0),"n/m",(D211)/(D48)))</f>
        <v>2.0011480184397672E-2</v>
      </c>
      <c r="E113" s="45">
        <f>IF(OR(NOT(ISNUMBER(E211)),NOT(ISNUMBER(E48))),"n/m",IF(OR((E48)&lt;=0,(E211)&lt;0),"n/m",(E211)/(E48)))</f>
        <v>8.913248794490819E-3</v>
      </c>
      <c r="F113" s="45">
        <f>IF(OR(NOT(ISNUMBER(F211)),NOT(ISNUMBER(F48))),"n/m",IF(OR((F48)&lt;=0,(F211)&lt;0),"n/m",(F211)/(F48)))</f>
        <v>1.3866688142092815E-2</v>
      </c>
      <c r="G113" s="45">
        <f>IF(OR(NOT(ISNUMBER(G211)),NOT(ISNUMBER(G48))),"n/m",IF(OR((G48)&lt;=0,(G211)&lt;0),"n/m",(G211)/(G48)))</f>
        <v>2.2719990993528554E-2</v>
      </c>
      <c r="H113" s="45">
        <f>IF(OR(NOT(ISNUMBER(H211)),NOT(ISNUMBER(H48))),"n/m",IF(OR((H48)&lt;=0,(H211)&lt;0),"n/m",(H211)/(H48)))</f>
        <v>4.7175167844291127E-2</v>
      </c>
    </row>
    <row r="114" spans="1:8" ht="34.049999999999997" customHeight="1" x14ac:dyDescent="0.3">
      <c r="A114" s="42" t="s">
        <v>178</v>
      </c>
      <c r="B114" s="43" t="s">
        <v>179</v>
      </c>
      <c r="C114" s="43" t="s">
        <v>180</v>
      </c>
      <c r="D114" s="46" t="str">
        <f>IF(OR(NOT(ISNUMBER(D24-D48)),NOT(ISNUMBER(1))),"n/m",IF(OR((1)&lt;=0,(D24-D48)&lt;0),"n/m",(D24-D48)/(1)))</f>
        <v>n/m</v>
      </c>
      <c r="E114" s="46" t="str">
        <f>IF(OR(NOT(ISNUMBER(E24-E48)),NOT(ISNUMBER(1))),"n/m",IF(OR((1)&lt;=0,(E24-E48)&lt;0),"n/m",(E24-E48)/(1)))</f>
        <v>n/m</v>
      </c>
      <c r="F114" s="46" t="str">
        <f>IF(OR(NOT(ISNUMBER(F24-F48)),NOT(ISNUMBER(1))),"n/m",IF(OR((1)&lt;=0,(F24-F48)&lt;0),"n/m",(F24-F48)/(1)))</f>
        <v>n/m</v>
      </c>
      <c r="G114" s="46">
        <f>IF(OR(NOT(ISNUMBER(G24-G48)),NOT(ISNUMBER(1))),"n/m",IF(OR((1)&lt;=0,(G24-G48)&lt;0),"n/m",(G24-G48)/(1)))</f>
        <v>9544.8039999999928</v>
      </c>
      <c r="H114" s="46">
        <f>IF(OR(NOT(ISNUMBER(H24-H48)),NOT(ISNUMBER(1))),"n/m",IF(OR((1)&lt;=0,(H24-H48)&lt;0),"n/m",(H24-H48)/(1)))</f>
        <v>21997.121999999999</v>
      </c>
    </row>
    <row r="115" spans="1:8" ht="22.95" customHeight="1" x14ac:dyDescent="0.3">
      <c r="A115" s="91" t="s">
        <v>181</v>
      </c>
      <c r="B115" s="91"/>
      <c r="C115" s="91"/>
      <c r="D115" s="92"/>
      <c r="E115" s="92"/>
      <c r="F115" s="92"/>
      <c r="G115" s="92"/>
      <c r="H115" s="92"/>
    </row>
    <row r="116" spans="1:8" ht="34.049999999999997" customHeight="1" x14ac:dyDescent="0.3">
      <c r="A116" s="42" t="s">
        <v>182</v>
      </c>
      <c r="B116" s="43" t="s">
        <v>183</v>
      </c>
      <c r="C116" s="43" t="s">
        <v>184</v>
      </c>
      <c r="D116" s="45">
        <f>IF(OR(NOT(ISNUMBER(-D65)),NOT(ISNUMBER(AVERAGE(I54,D54)))),"n/m",IF(OR((AVERAGE(I54,D54))&lt;=0,(-D65)&lt;0),"n/m",(-D65)/(AVERAGE(I54,D54))))</f>
        <v>2.6267527531726218</v>
      </c>
      <c r="E116" s="45">
        <f>IF(OR(NOT(ISNUMBER(-E65)),NOT(ISNUMBER(AVERAGE(D54,E54)))),"n/m",IF(OR((AVERAGE(D54,E54))&lt;=0,(-E65)&lt;0),"n/m",(-E65)/(AVERAGE(D54,E54))))</f>
        <v>2.479761249901864</v>
      </c>
      <c r="F116" s="45">
        <f>IF(OR(NOT(ISNUMBER(-F65)),NOT(ISNUMBER(AVERAGE(E54,F54)))),"n/m",IF(OR((AVERAGE(E54,F54))&lt;=0,(-F65)&lt;0),"n/m",(-F65)/(AVERAGE(E54,F54))))</f>
        <v>2.4352964976956684</v>
      </c>
      <c r="G116" s="45">
        <f>IF(OR(NOT(ISNUMBER(-G65)),NOT(ISNUMBER(AVERAGE(F54,G54)))),"n/m",IF(OR((AVERAGE(F54,G54))&lt;=0,(-G65)&lt;0),"n/m",(-G65)/(AVERAGE(F54,G54))))</f>
        <v>2.5832010951831741</v>
      </c>
      <c r="H116" s="45">
        <f>IF(OR(NOT(ISNUMBER(-H65)),NOT(ISNUMBER(AVERAGE(G54,H54)))),"n/m",IF(OR((AVERAGE(G54,H54))&lt;=0,(-H65)&lt;0),"n/m",(-H65)/(AVERAGE(G54,H54))))</f>
        <v>2.6203448800361673</v>
      </c>
    </row>
    <row r="117" spans="1:8" ht="34.049999999999997" customHeight="1" x14ac:dyDescent="0.3">
      <c r="A117" s="42" t="s">
        <v>185</v>
      </c>
      <c r="B117" s="43" t="s">
        <v>186</v>
      </c>
      <c r="C117" s="43" t="s">
        <v>187</v>
      </c>
      <c r="D117" s="45">
        <f>IF(OR(NOT(ISNUMBER(D64)),NOT(ISNUMBER(AVERAGE(I20,D20)))),"n/m",IF(OR((AVERAGE(I20,D20))&lt;=0,(D64)&lt;0),"n/m",(D64)/(AVERAGE(I20,D20))))</f>
        <v>22.768270883109405</v>
      </c>
      <c r="E117" s="45">
        <f>IF(OR(NOT(ISNUMBER(E64)),NOT(ISNUMBER(AVERAGE(D20,E20)))),"n/m",IF(OR((AVERAGE(D20,E20))&lt;=0,(E64)&lt;0),"n/m",(E64)/(AVERAGE(D20,E20))))</f>
        <v>36.922320391767833</v>
      </c>
      <c r="F117" s="45">
        <f>IF(OR(NOT(ISNUMBER(F64)),NOT(ISNUMBER(AVERAGE(E20,F20)))),"n/m",IF(OR((AVERAGE(E20,F20))&lt;=0,(F64)&lt;0),"n/m",(F64)/(AVERAGE(E20,F20))))</f>
        <v>48.836111797909446</v>
      </c>
      <c r="G117" s="45">
        <f>IF(OR(NOT(ISNUMBER(G64)),NOT(ISNUMBER(AVERAGE(F20,G20)))),"n/m",IF(OR((AVERAGE(F20,G20))&lt;=0,(G64)&lt;0),"n/m",(G64)/(AVERAGE(F20,G20))))</f>
        <v>64.453707869774377</v>
      </c>
      <c r="H117" s="45">
        <f>IF(OR(NOT(ISNUMBER(H64)),NOT(ISNUMBER(AVERAGE(G20,H20)))),"n/m",IF(OR((AVERAGE(G20,H20))&lt;=0,(H64)&lt;0),"n/m",(H64)/(AVERAGE(G20,H20))))</f>
        <v>61.216079379365482</v>
      </c>
    </row>
    <row r="118" spans="1:8" ht="34.049999999999997" customHeight="1" x14ac:dyDescent="0.3">
      <c r="A118" s="42" t="s">
        <v>188</v>
      </c>
      <c r="B118" s="43" t="s">
        <v>189</v>
      </c>
      <c r="C118" s="43" t="s">
        <v>190</v>
      </c>
      <c r="D118" s="47">
        <f>IF(OR(NOT(ISNUMBER(365*AVERAGE(I54,D54))),NOT(ISNUMBER(-D65))),"n/m",IF(OR((-D65)&lt;=0,(365*AVERAGE(I54,D54))&lt;0),"n/m",(365*AVERAGE(I54,D54))/(-D65)))</f>
        <v>138.95483675010863</v>
      </c>
      <c r="E118" s="47">
        <f>IF(OR(NOT(ISNUMBER(365*AVERAGE(D54,E54))),NOT(ISNUMBER(-E65))),"n/m",IF(OR((-E65)&lt;=0,(365*AVERAGE(D54,E54))&lt;0),"n/m",(365*AVERAGE(D54,E54))/(-E65)))</f>
        <v>147.19158951872677</v>
      </c>
      <c r="F118" s="47">
        <f>IF(OR(NOT(ISNUMBER(365*AVERAGE(E54,F54))),NOT(ISNUMBER(-F65))),"n/m",IF(OR((-F65)&lt;=0,(365*AVERAGE(E54,F54))&lt;0),"n/m",(365*AVERAGE(E54,F54))/(-F65)))</f>
        <v>149.87908057411946</v>
      </c>
      <c r="G118" s="47">
        <f>IF(OR(NOT(ISNUMBER(365*AVERAGE(F54,G54))),NOT(ISNUMBER(-G65))),"n/m",IF(OR((-G65)&lt;=0,(365*AVERAGE(F54,G54))&lt;0),"n/m",(365*AVERAGE(F54,G54))/(-G65)))</f>
        <v>141.29755545575051</v>
      </c>
      <c r="H118" s="47">
        <f>IF(OR(NOT(ISNUMBER(365*AVERAGE(G54,H54))),NOT(ISNUMBER(-H65))),"n/m",IF(OR((-H65)&lt;=0,(365*AVERAGE(G54,H54))&lt;0),"n/m",(365*AVERAGE(G54,H54))/(-H65)))</f>
        <v>139.29464124392746</v>
      </c>
    </row>
    <row r="119" spans="1:8" ht="34.049999999999997" customHeight="1" x14ac:dyDescent="0.3">
      <c r="A119" s="42" t="s">
        <v>191</v>
      </c>
      <c r="B119" s="43" t="s">
        <v>192</v>
      </c>
      <c r="C119" s="43" t="s">
        <v>193</v>
      </c>
      <c r="D119" s="47">
        <f>IF(OR(NOT(ISNUMBER(365*AVERAGE(I20,D20))),NOT(ISNUMBER(D64))),"n/m",IF(OR((D64)&lt;=0,(365*AVERAGE(I20,D20))&lt;0),"n/m",(365*AVERAGE(I20,D20))/(D64)))</f>
        <v>16.031081230273596</v>
      </c>
      <c r="E119" s="47">
        <f>IF(OR(NOT(ISNUMBER(365*AVERAGE(D20,E20))),NOT(ISNUMBER(E64))),"n/m",IF(OR((E64)&lt;=0,(365*AVERAGE(D20,E20))&lt;0),"n/m",(365*AVERAGE(D20,E20))/(E64)))</f>
        <v>9.8856192169704489</v>
      </c>
      <c r="F119" s="47">
        <f>IF(OR(NOT(ISNUMBER(365*AVERAGE(E20,F20))),NOT(ISNUMBER(F64))),"n/m",IF(OR((F64)&lt;=0,(365*AVERAGE(E20,F20))&lt;0),"n/m",(365*AVERAGE(E20,F20))/(F64)))</f>
        <v>7.4739774843341396</v>
      </c>
      <c r="G119" s="47">
        <f>IF(OR(NOT(ISNUMBER(365*AVERAGE(F20,G20))),NOT(ISNUMBER(G64))),"n/m",IF(OR((G64)&lt;=0,(365*AVERAGE(F20,G20))&lt;0),"n/m",(365*AVERAGE(F20,G20))/(G64)))</f>
        <v>5.6629790909386459</v>
      </c>
      <c r="H119" s="47">
        <f>IF(OR(NOT(ISNUMBER(365*AVERAGE(G20,H20))),NOT(ISNUMBER(H64))),"n/m",IF(OR((H64)&lt;=0,(365*AVERAGE(G20,H20))&lt;0),"n/m",(365*AVERAGE(G20,H20))/(H64)))</f>
        <v>5.9624857341490083</v>
      </c>
    </row>
    <row r="120" spans="1:8" ht="34.049999999999997" customHeight="1" x14ac:dyDescent="0.3">
      <c r="A120" s="42" t="s">
        <v>194</v>
      </c>
      <c r="B120" s="43" t="s">
        <v>195</v>
      </c>
      <c r="C120" s="43" t="s">
        <v>196</v>
      </c>
      <c r="D120" s="45">
        <f>IF(OR(NOT(ISNUMBER(D64)),NOT(ISNUMBER(D9))),"n/m",IF(OR((D9)&lt;=0,(D64)&lt;0),"n/m",(D64)/(D9)))</f>
        <v>0.53055318948132613</v>
      </c>
      <c r="E120" s="45">
        <f>IF(OR(NOT(ISNUMBER(E64)),NOT(ISNUMBER(E9))),"n/m",IF(OR((E9)&lt;=0,(E64)&lt;0),"n/m",(E64)/(E9)))</f>
        <v>0.70098015962057802</v>
      </c>
      <c r="F120" s="45">
        <f>IF(OR(NOT(ISNUMBER(F64)),NOT(ISNUMBER(F9))),"n/m",IF(OR((F9)&lt;=0,(F64)&lt;0),"n/m",(F64)/(F9)))</f>
        <v>0.79011863849334296</v>
      </c>
      <c r="G120" s="45">
        <f>IF(OR(NOT(ISNUMBER(G64)),NOT(ISNUMBER(G9))),"n/m",IF(OR((G9)&lt;=0,(G64)&lt;0),"n/m",(G64)/(G9)))</f>
        <v>0.82674606407416695</v>
      </c>
      <c r="H120" s="45">
        <f>IF(OR(NOT(ISNUMBER(H64)),NOT(ISNUMBER(H9))),"n/m",IF(OR((H9)&lt;=0,(H64)&lt;0),"n/m",(H64)/(H9)))</f>
        <v>0.93062078370763102</v>
      </c>
    </row>
    <row r="121" spans="1:8" ht="34.049999999999997" customHeight="1" x14ac:dyDescent="0.3">
      <c r="A121" s="42" t="s">
        <v>197</v>
      </c>
      <c r="B121" s="43" t="s">
        <v>198</v>
      </c>
      <c r="C121" s="43" t="s">
        <v>199</v>
      </c>
      <c r="D121" s="45">
        <f>IF(OR(NOT(ISNUMBER(D64)),NOT(ISNUMBER(D25))),"n/m",IF(OR((D25)&lt;=0,(D64)&lt;0),"n/m",(D64)/(D25)))</f>
        <v>0.32711693039218176</v>
      </c>
      <c r="E121" s="45">
        <f>IF(OR(NOT(ISNUMBER(E64)),NOT(ISNUMBER(E25))),"n/m",IF(OR((E25)&lt;=0,(E64)&lt;0),"n/m",(E64)/(E25)))</f>
        <v>0.42503666813991675</v>
      </c>
      <c r="F121" s="45">
        <f>IF(OR(NOT(ISNUMBER(F64)),NOT(ISNUMBER(F25))),"n/m",IF(OR((F25)&lt;=0,(F64)&lt;0),"n/m",(F64)/(F25)))</f>
        <v>0.4823862468647665</v>
      </c>
      <c r="G121" s="45">
        <f>IF(OR(NOT(ISNUMBER(G64)),NOT(ISNUMBER(G25))),"n/m",IF(OR((G25)&lt;=0,(G64)&lt;0),"n/m",(G64)/(G25)))</f>
        <v>0.47720727814222835</v>
      </c>
      <c r="H121" s="45">
        <f>IF(OR(NOT(ISNUMBER(H64)),NOT(ISNUMBER(H25))),"n/m",IF(OR((H25)&lt;=0,(H64)&lt;0),"n/m",(H64)/(H25)))</f>
        <v>0.49267235836459933</v>
      </c>
    </row>
    <row r="122" spans="1:8" ht="22.95" customHeight="1" x14ac:dyDescent="0.3">
      <c r="A122" s="91" t="s">
        <v>200</v>
      </c>
      <c r="B122" s="91"/>
      <c r="C122" s="91"/>
      <c r="D122" s="92"/>
      <c r="E122" s="92"/>
      <c r="F122" s="92"/>
      <c r="G122" s="92"/>
      <c r="H122" s="92"/>
    </row>
    <row r="123" spans="1:8" ht="34.049999999999997" customHeight="1" x14ac:dyDescent="0.3">
      <c r="A123" s="42" t="s">
        <v>201</v>
      </c>
      <c r="B123" s="43" t="s">
        <v>202</v>
      </c>
      <c r="C123" s="43" t="s">
        <v>203</v>
      </c>
      <c r="D123" s="48">
        <f>IF(OR(NOT(ISNUMBER(D49)),NOT(ISNUMBER(D25))),"n/m",IF(OR((D25)&lt;=0,(D49)&lt;0),"n/m",(D49)/(D25)))</f>
        <v>0.46714504184305206</v>
      </c>
      <c r="E123" s="48">
        <f>IF(OR(NOT(ISNUMBER(E49)),NOT(ISNUMBER(E25))),"n/m",IF(OR((E25)&lt;=0,(E49)&lt;0),"n/m",(E49)/(E25)))</f>
        <v>0.48801207258126744</v>
      </c>
      <c r="F123" s="48">
        <f>IF(OR(NOT(ISNUMBER(F49)),NOT(ISNUMBER(F25))),"n/m",IF(OR((F25)&lt;=0,(F49)&lt;0),"n/m",(F49)/(F25)))</f>
        <v>0.52348952241922664</v>
      </c>
      <c r="G123" s="48">
        <f>IF(OR(NOT(ISNUMBER(G49)),NOT(ISNUMBER(G25))),"n/m",IF(OR((G25)&lt;=0,(G49)&lt;0),"n/m",(G49)/(G25)))</f>
        <v>0.45191223946360831</v>
      </c>
      <c r="H123" s="48">
        <f>IF(OR(NOT(ISNUMBER(H49)),NOT(ISNUMBER(H25))),"n/m",IF(OR((H25)&lt;=0,(H49)&lt;0),"n/m",(H49)/(H25)))</f>
        <v>0.35125595827177031</v>
      </c>
    </row>
    <row r="124" spans="1:8" ht="34.049999999999997" customHeight="1" x14ac:dyDescent="0.3">
      <c r="A124" s="42" t="s">
        <v>204</v>
      </c>
      <c r="B124" s="43" t="s">
        <v>205</v>
      </c>
      <c r="C124" s="43" t="s">
        <v>206</v>
      </c>
      <c r="D124" s="45">
        <f>IF(OR(NOT(ISNUMBER(D55)),NOT(ISNUMBER(D29))),"n/m",IF(OR((D29)&lt;=0,(D55)&lt;0),"n/m",(D55)/(D29)))</f>
        <v>0.59600006385595838</v>
      </c>
      <c r="E124" s="45">
        <f>IF(OR(NOT(ISNUMBER(E55)),NOT(ISNUMBER(E29))),"n/m",IF(OR((E29)&lt;=0,(E55)&lt;0),"n/m",(E55)/(E29)))</f>
        <v>0.66471914526512743</v>
      </c>
      <c r="F124" s="45">
        <f>IF(OR(NOT(ISNUMBER(F55)),NOT(ISNUMBER(F29))),"n/m",IF(OR((F29)&lt;=0,(F55)&lt;0),"n/m",(F55)/(F29)))</f>
        <v>0.66251390334697124</v>
      </c>
      <c r="G124" s="45">
        <f>IF(OR(NOT(ISNUMBER(G55)),NOT(ISNUMBER(G29))),"n/m",IF(OR((G29)&lt;=0,(G55)&lt;0),"n/m",(G55)/(G29)))</f>
        <v>0.45251048227827784</v>
      </c>
      <c r="H124" s="45">
        <f>IF(OR(NOT(ISNUMBER(H55)),NOT(ISNUMBER(H29))),"n/m",IF(OR((H29)&lt;=0,(H55)&lt;0),"n/m",(H55)/(H29)))</f>
        <v>0.23141104487858016</v>
      </c>
    </row>
    <row r="125" spans="1:8" ht="34.049999999999997" customHeight="1" x14ac:dyDescent="0.3">
      <c r="A125" s="42" t="s">
        <v>207</v>
      </c>
      <c r="B125" s="43" t="s">
        <v>208</v>
      </c>
      <c r="C125" s="43" t="s">
        <v>209</v>
      </c>
      <c r="D125" s="48">
        <f>IF(OR(NOT(ISNUMBER(D55)),NOT(ISNUMBER(D55+D29))),"n/m",IF(OR((D55+D29)&lt;=0,(D55)&lt;0),"n/m",(D55)/(D55+D29)))</f>
        <v>0.37343360902882045</v>
      </c>
      <c r="E125" s="48">
        <f>IF(OR(NOT(ISNUMBER(E55)),NOT(ISNUMBER(E55+E29))),"n/m",IF(OR((E55+E29)&lt;=0,(E55)&lt;0),"n/m",(E55)/(E55+E29)))</f>
        <v>0.39929807208366225</v>
      </c>
      <c r="F125" s="48">
        <f>IF(OR(NOT(ISNUMBER(F55)),NOT(ISNUMBER(F55+F29))),"n/m",IF(OR((F55+F29)&lt;=0,(F55)&lt;0),"n/m",(F55)/(F55+F29)))</f>
        <v>0.39850127088453147</v>
      </c>
      <c r="G125" s="48">
        <f>IF(OR(NOT(ISNUMBER(G55)),NOT(ISNUMBER(G55+G29))),"n/m",IF(OR((G55+G29)&lt;=0,(G55)&lt;0),"n/m",(G55)/(G55+G29)))</f>
        <v>0.31153681009483003</v>
      </c>
      <c r="H125" s="48">
        <f>IF(OR(NOT(ISNUMBER(H55)),NOT(ISNUMBER(H55+H29))),"n/m",IF(OR((H55+H29)&lt;=0,(H55)&lt;0),"n/m",(H55)/(H55+H29)))</f>
        <v>0.18792347676351873</v>
      </c>
    </row>
    <row r="126" spans="1:8" ht="34.049999999999997" customHeight="1" x14ac:dyDescent="0.3">
      <c r="A126" s="42" t="s">
        <v>210</v>
      </c>
      <c r="B126" s="43" t="s">
        <v>211</v>
      </c>
      <c r="C126" s="43" t="s">
        <v>212</v>
      </c>
      <c r="D126" s="45">
        <f>IF(OR(NOT(ISNUMBER(D82)),NOT(ISNUMBER(D85))),"n/m",IF(OR((D85)&lt;=0,(D82)&lt;0),"n/m",(D82)/(D85)))</f>
        <v>2.6532310456742976</v>
      </c>
      <c r="E126" s="45">
        <f>IF(OR(NOT(ISNUMBER(E82)),NOT(ISNUMBER(E85))),"n/m",IF(OR((E85)&lt;=0,(E82)&lt;0),"n/m",(E82)/(E85)))</f>
        <v>2.6982633298510965</v>
      </c>
      <c r="F126" s="45">
        <f>IF(OR(NOT(ISNUMBER(F82)),NOT(ISNUMBER(F85))),"n/m",IF(OR((F85)&lt;=0,(F82)&lt;0),"n/m",(F82)/(F85)))</f>
        <v>1.4717538518085045</v>
      </c>
      <c r="G126" s="45">
        <f>IF(OR(NOT(ISNUMBER(G82)),NOT(ISNUMBER(G85))),"n/m",IF(OR((G85)&lt;=0,(G82)&lt;0),"n/m",(G82)/(G85)))</f>
        <v>1.3582230764552283</v>
      </c>
      <c r="H126" s="45">
        <f>IF(OR(NOT(ISNUMBER(H82)),NOT(ISNUMBER(H85))),"n/m",IF(OR((H85)&lt;=0,(H82)&lt;0),"n/m",(H82)/(H85)))</f>
        <v>4.4072600253200633</v>
      </c>
    </row>
    <row r="127" spans="1:8" ht="22.95" customHeight="1" x14ac:dyDescent="0.3">
      <c r="A127" s="91" t="s">
        <v>213</v>
      </c>
      <c r="B127" s="91"/>
      <c r="C127" s="91"/>
      <c r="D127" s="92"/>
      <c r="E127" s="92"/>
      <c r="F127" s="92"/>
      <c r="G127" s="92"/>
      <c r="H127" s="92"/>
    </row>
    <row r="128" spans="1:8" ht="34.049999999999997" customHeight="1" x14ac:dyDescent="0.3">
      <c r="A128" s="42" t="s">
        <v>214</v>
      </c>
      <c r="B128" s="43" t="s">
        <v>215</v>
      </c>
      <c r="C128" s="43" t="s">
        <v>216</v>
      </c>
      <c r="D128" s="48">
        <f>IF(OR(NOT(ISNUMBER(D66)),NOT(ISNUMBER(D64))),"n/m",IF(OR((D64)&lt;=0,(D66)&lt;0),"n/m",(D66)/(D64)))</f>
        <v>0.17894713739497631</v>
      </c>
      <c r="E128" s="48">
        <f>IF(OR(NOT(ISNUMBER(E66)),NOT(ISNUMBER(E64))),"n/m",IF(OR((E64)&lt;=0,(E66)&lt;0),"n/m",(E66)/(E64)))</f>
        <v>0.17966261135996409</v>
      </c>
      <c r="F128" s="48">
        <f>IF(OR(NOT(ISNUMBER(F66)),NOT(ISNUMBER(F64))),"n/m",IF(OR((F64)&lt;=0,(F66)&lt;0),"n/m",(F66)/(F64)))</f>
        <v>0.14704852458583501</v>
      </c>
      <c r="G128" s="48">
        <f>IF(OR(NOT(ISNUMBER(G66)),NOT(ISNUMBER(G64))),"n/m",IF(OR((G64)&lt;=0,(G66)&lt;0),"n/m",(G66)/(G64)))</f>
        <v>0.15942563608432631</v>
      </c>
      <c r="H128" s="48">
        <f>IF(OR(NOT(ISNUMBER(H66)),NOT(ISNUMBER(H64))),"n/m",IF(OR((H64)&lt;=0,(H66)&lt;0),"n/m",(H66)/(H64)))</f>
        <v>0.25740632547300923</v>
      </c>
    </row>
    <row r="129" spans="1:8" ht="34.049999999999997" customHeight="1" x14ac:dyDescent="0.3">
      <c r="A129" s="42" t="s">
        <v>217</v>
      </c>
      <c r="B129" s="43" t="s">
        <v>218</v>
      </c>
      <c r="C129" s="43" t="s">
        <v>219</v>
      </c>
      <c r="D129" s="48">
        <f>IF(OR(NOT(ISNUMBER(D82)),NOT(ISNUMBER(D64))),"n/m",IF(OR((D64)&lt;=0,(D82)&lt;0),"n/m",(D82)/(D64)))</f>
        <v>0.16976072150890459</v>
      </c>
      <c r="E129" s="48">
        <f>IF(OR(NOT(ISNUMBER(E82)),NOT(ISNUMBER(E64))),"n/m",IF(OR((E64)&lt;=0,(E82)&lt;0),"n/m",(E82)/(E64)))</f>
        <v>0.1647791429733062</v>
      </c>
      <c r="F129" s="48">
        <f>IF(OR(NOT(ISNUMBER(F82)),NOT(ISNUMBER(F64))),"n/m",IF(OR((F64)&lt;=0,(F82)&lt;0),"n/m",(F82)/(F64)))</f>
        <v>0.15182766799754666</v>
      </c>
      <c r="G129" s="48">
        <f>IF(OR(NOT(ISNUMBER(G82)),NOT(ISNUMBER(G64))),"n/m",IF(OR((G64)&lt;=0,(G82)&lt;0),"n/m",(G82)/(G64)))</f>
        <v>0.16299366572828242</v>
      </c>
      <c r="H129" s="48">
        <f>IF(OR(NOT(ISNUMBER(H82)),NOT(ISNUMBER(H64))),"n/m",IF(OR((H64)&lt;=0,(H82)&lt;0),"n/m",(H82)/(H64)))</f>
        <v>0.23397808045883622</v>
      </c>
    </row>
    <row r="130" spans="1:8" ht="34.049999999999997" customHeight="1" x14ac:dyDescent="0.3">
      <c r="A130" s="42" t="s">
        <v>220</v>
      </c>
      <c r="B130" s="43" t="s">
        <v>221</v>
      </c>
      <c r="C130" s="43" t="s">
        <v>222</v>
      </c>
      <c r="D130" s="48">
        <f>IF(OR(NOT(ISNUMBER(D79)),NOT(ISNUMBER(D64))),"n/m",IF(OR((D64)&lt;=0,(D79)&lt;0),"n/m",(D79)/(D64)))</f>
        <v>8.2497529800351119E-2</v>
      </c>
      <c r="E130" s="48">
        <f>IF(OR(NOT(ISNUMBER(E79)),NOT(ISNUMBER(E64))),"n/m",IF(OR((E64)&lt;=0,(E79)&lt;0),"n/m",(E79)/(E64)))</f>
        <v>5.120493100192175E-2</v>
      </c>
      <c r="F130" s="48" t="str">
        <f>IF(OR(NOT(ISNUMBER(F79)),NOT(ISNUMBER(F64))),"n/m",IF(OR((F64)&lt;=0,(F79)&lt;0),"n/m",(F79)/(F64)))</f>
        <v>n/m</v>
      </c>
      <c r="G130" s="48">
        <f>IF(OR(NOT(ISNUMBER(G79)),NOT(ISNUMBER(G64))),"n/m",IF(OR((G64)&lt;=0,(G79)&lt;0),"n/m",(G79)/(G64)))</f>
        <v>8.2133065966830711E-3</v>
      </c>
      <c r="H130" s="48">
        <f>IF(OR(NOT(ISNUMBER(H79)),NOT(ISNUMBER(H64))),"n/m",IF(OR((H64)&lt;=0,(H79)&lt;0),"n/m",(H79)/(H64)))</f>
        <v>0.12066652759857006</v>
      </c>
    </row>
    <row r="131" spans="1:8" ht="34.049999999999997" customHeight="1" x14ac:dyDescent="0.3">
      <c r="A131" s="42" t="s">
        <v>223</v>
      </c>
      <c r="B131" s="43" t="s">
        <v>224</v>
      </c>
      <c r="C131" s="43" t="s">
        <v>225</v>
      </c>
      <c r="D131" s="48">
        <f>IF(OR(NOT(ISNUMBER(D79)),NOT(ISNUMBER(D25))),"n/m",IF(OR((D25)&lt;=0,(D79)&lt;0),"n/m",(D79)/(D25)))</f>
        <v>2.6986338713228402E-2</v>
      </c>
      <c r="E131" s="48">
        <f>IF(OR(NOT(ISNUMBER(E79)),NOT(ISNUMBER(E25))),"n/m",IF(OR((E25)&lt;=0,(E79)&lt;0),"n/m",(E79)/(E25)))</f>
        <v>2.1763973265391149E-2</v>
      </c>
      <c r="F131" s="48" t="str">
        <f>IF(OR(NOT(ISNUMBER(F79)),NOT(ISNUMBER(F25))),"n/m",IF(OR((F25)&lt;=0,(F79)&lt;0),"n/m",(F79)/(F25)))</f>
        <v>n/m</v>
      </c>
      <c r="G131" s="48">
        <f>IF(OR(NOT(ISNUMBER(G79)),NOT(ISNUMBER(G25))),"n/m",IF(OR((G25)&lt;=0,(G79)&lt;0),"n/m",(G79)/(G25)))</f>
        <v>3.9194496855507379E-3</v>
      </c>
      <c r="H131" s="48">
        <f>IF(OR(NOT(ISNUMBER(H79)),NOT(ISNUMBER(H25))),"n/m",IF(OR((H25)&lt;=0,(H79)&lt;0),"n/m",(H79)/(H25)))</f>
        <v>5.9449062727654524E-2</v>
      </c>
    </row>
    <row r="132" spans="1:8" ht="34.049999999999997" customHeight="1" x14ac:dyDescent="0.3">
      <c r="A132" s="42" t="s">
        <v>226</v>
      </c>
      <c r="B132" s="43" t="s">
        <v>227</v>
      </c>
      <c r="C132" s="43" t="s">
        <v>228</v>
      </c>
      <c r="D132" s="48">
        <f>IF(OR(NOT(ISNUMBER(D79)),NOT(ISNUMBER(D29))),"n/m",IF(OR((D29)&lt;=0,(D79)&lt;0),"n/m",(D79)/(D29)))</f>
        <v>5.0644811125656837E-2</v>
      </c>
      <c r="E132" s="48">
        <f>IF(OR(NOT(ISNUMBER(E79)),NOT(ISNUMBER(E29))),"n/m",IF(OR((E29)&lt;=0,(E79)&lt;0),"n/m",(E79)/(E29)))</f>
        <v>4.2508762609145177E-2</v>
      </c>
      <c r="F132" s="48" t="str">
        <f>IF(OR(NOT(ISNUMBER(F79)),NOT(ISNUMBER(F29))),"n/m",IF(OR((F29)&lt;=0,(F79)&lt;0),"n/m",(F79)/(F29)))</f>
        <v>n/m</v>
      </c>
      <c r="G132" s="48">
        <f>IF(OR(NOT(ISNUMBER(G79)),NOT(ISNUMBER(G29))),"n/m",IF(OR((G29)&lt;=0,(G79)&lt;0),"n/m",(G79)/(G29)))</f>
        <v>7.1511352154898129E-3</v>
      </c>
      <c r="H132" s="48">
        <f>IF(OR(NOT(ISNUMBER(H79)),NOT(ISNUMBER(H29))),"n/m",IF(OR((H29)&lt;=0,(H79)&lt;0),"n/m",(H79)/(H29)))</f>
        <v>9.1637161813901913E-2</v>
      </c>
    </row>
    <row r="133" spans="1:8" ht="34.049999999999997" customHeight="1" x14ac:dyDescent="0.3">
      <c r="A133" s="42" t="s">
        <v>229</v>
      </c>
      <c r="B133" s="43" t="s">
        <v>230</v>
      </c>
      <c r="C133" s="43" t="s">
        <v>231</v>
      </c>
      <c r="D133" s="48">
        <f>IF(OR(NOT(ISNUMBER(D88)),NOT(ISNUMBER(D58))),"n/m",IF(OR((D58)&lt;=0,(D88)&lt;0),"n/m",(D88)/(D58)))</f>
        <v>5.0926469503026137E-2</v>
      </c>
      <c r="E133" s="48">
        <f>IF(OR(NOT(ISNUMBER(E88)),NOT(ISNUMBER(E58))),"n/m",IF(OR((E58)&lt;=0,(E88)&lt;0),"n/m",(E88)/(E58)))</f>
        <v>4.0571100495840479E-2</v>
      </c>
      <c r="F133" s="48" t="str">
        <f>IF(OR(NOT(ISNUMBER(F88)),NOT(ISNUMBER(F58))),"n/m",IF(OR((F58)&lt;=0,(F88)&lt;0),"n/m",(F88)/(F58)))</f>
        <v>n/m</v>
      </c>
      <c r="G133" s="48">
        <f>IF(OR(NOT(ISNUMBER(G88)),NOT(ISNUMBER(G58))),"n/m",IF(OR((G58)&lt;=0,(G88)&lt;0),"n/m",(G88)/(G58)))</f>
        <v>1.8666945531428475E-2</v>
      </c>
      <c r="H133" s="48">
        <f>IF(OR(NOT(ISNUMBER(H88)),NOT(ISNUMBER(H58))),"n/m",IF(OR((H58)&lt;=0,(H88)&lt;0),"n/m",(H88)/(H58)))</f>
        <v>9.6256924504903307E-2</v>
      </c>
    </row>
    <row r="134" spans="1:8" ht="34.049999999999997" customHeight="1" x14ac:dyDescent="0.3">
      <c r="A134" s="42" t="s">
        <v>232</v>
      </c>
      <c r="B134" s="43" t="s">
        <v>233</v>
      </c>
      <c r="C134" s="43" t="s">
        <v>234</v>
      </c>
      <c r="D134" s="48">
        <f>IF(OR(NOT(ISNUMBER(D82)),NOT(ISNUMBER(D25))),"n/m",IF(OR((D25)&lt;=0,(D82)&lt;0),"n/m",(D82)/(D25)))</f>
        <v>5.5531606121154903E-2</v>
      </c>
      <c r="E134" s="48">
        <f>IF(OR(NOT(ISNUMBER(E82)),NOT(ISNUMBER(E25))),"n/m",IF(OR((E25)&lt;=0,(E82)&lt;0),"n/m",(E82)/(E25)))</f>
        <v>7.0037177908325046E-2</v>
      </c>
      <c r="F134" s="48">
        <f>IF(OR(NOT(ISNUMBER(F82)),NOT(ISNUMBER(F25))),"n/m",IF(OR((F25)&lt;=0,(F82)&lt;0),"n/m",(F82)/(F25)))</f>
        <v>7.3239578935566346E-2</v>
      </c>
      <c r="G134" s="48">
        <f>IF(OR(NOT(ISNUMBER(G82)),NOT(ISNUMBER(G25))),"n/m",IF(OR((G25)&lt;=0,(G82)&lt;0),"n/m",(G82)/(G25)))</f>
        <v>7.7781763576617868E-2</v>
      </c>
      <c r="H134" s="48">
        <f>IF(OR(NOT(ISNUMBER(H82)),NOT(ISNUMBER(H25))),"n/m",IF(OR((H25)&lt;=0,(H82)&lt;0),"n/m",(H82)/(H25)))</f>
        <v>0.11527453270527682</v>
      </c>
    </row>
    <row r="135" spans="1:8" ht="22.95" customHeight="1" x14ac:dyDescent="0.3">
      <c r="A135" s="91" t="s">
        <v>235</v>
      </c>
      <c r="B135" s="91"/>
      <c r="C135" s="91"/>
      <c r="D135" s="92"/>
      <c r="E135" s="92"/>
      <c r="F135" s="92"/>
      <c r="G135" s="92"/>
      <c r="H135" s="92"/>
    </row>
    <row r="136" spans="1:8" ht="34.049999999999997" customHeight="1" x14ac:dyDescent="0.3">
      <c r="A136" s="42" t="s">
        <v>236</v>
      </c>
      <c r="B136" s="43" t="s">
        <v>237</v>
      </c>
      <c r="C136" s="43" t="s">
        <v>238</v>
      </c>
      <c r="D136" s="49">
        <f>IF(OR(NOT(ISNUMBER(D79)),NOT(ISNUMBER(D104))),"n/m",IF(OR((D104)&lt;=0,(D79)&lt;0),"n/m",(D79)/(D104)))</f>
        <v>8.4937471274650029</v>
      </c>
      <c r="E136" s="49">
        <f>IF(OR(NOT(ISNUMBER(E79)),NOT(ISNUMBER(E104))),"n/m",IF(OR((E104)&lt;=0,(E79)&lt;0),"n/m",(E79)/(E104)))</f>
        <v>6.7838445707817723</v>
      </c>
      <c r="F136" s="49" t="str">
        <f>IF(OR(NOT(ISNUMBER(F79)),NOT(ISNUMBER(F104))),"n/m",IF(OR((F104)&lt;=0,(F79)&lt;0),"n/m",(F79)/(F104)))</f>
        <v>n/m</v>
      </c>
      <c r="G136" s="49">
        <f>IF(OR(NOT(ISNUMBER(G79)),NOT(ISNUMBER(G104))),"n/m",IF(OR((G104)&lt;=0,(G79)&lt;0),"n/m",(G79)/(G104)))</f>
        <v>1.2380103440270365</v>
      </c>
      <c r="H136" s="49">
        <f>IF(OR(NOT(ISNUMBER(H79)),NOT(ISNUMBER(H104))),"n/m",IF(OR((H104)&lt;=0,(H79)&lt;0),"n/m",(H79)/(H104)))</f>
        <v>19.800685803443983</v>
      </c>
    </row>
    <row r="137" spans="1:8" ht="34.049999999999997" customHeight="1" x14ac:dyDescent="0.3">
      <c r="A137" s="42" t="s">
        <v>239</v>
      </c>
      <c r="B137" s="43" t="s">
        <v>240</v>
      </c>
      <c r="C137" s="43" t="s">
        <v>241</v>
      </c>
      <c r="D137" s="49">
        <f>IF(OR(NOT(ISNUMBER(D29)),NOT(ISNUMBER(D103))),"n/m",IF(OR((D103)&lt;=0,(D29)&lt;0),"n/m",(D29)/(D103)))</f>
        <v>167.71209700741193</v>
      </c>
      <c r="E137" s="49">
        <f>IF(OR(NOT(ISNUMBER(E29)),NOT(ISNUMBER(E103))),"n/m",IF(OR((E103)&lt;=0,(E29)&lt;0),"n/m",(E29)/(E103)))</f>
        <v>159.58697532246367</v>
      </c>
      <c r="F137" s="49">
        <f>IF(OR(NOT(ISNUMBER(F29)),NOT(ISNUMBER(F103))),"n/m",IF(OR((F103)&lt;=0,(F29)&lt;0),"n/m",(F29)/(F103)))</f>
        <v>146.51786922779672</v>
      </c>
      <c r="G137" s="49">
        <f>IF(OR(NOT(ISNUMBER(G29)),NOT(ISNUMBER(G103))),"n/m",IF(OR((G103)&lt;=0,(G29)&lt;0),"n/m",(G29)/(G103)))</f>
        <v>173.12082034314415</v>
      </c>
      <c r="H137" s="49">
        <f>IF(OR(NOT(ISNUMBER(H29)),NOT(ISNUMBER(H103))),"n/m",IF(OR((H103)&lt;=0,(H29)&lt;0),"n/m",(H29)/(H103)))</f>
        <v>216.07703932560804</v>
      </c>
    </row>
    <row r="138" spans="1:8" ht="34.049999999999997" customHeight="1" x14ac:dyDescent="0.3">
      <c r="A138" s="42" t="s">
        <v>242</v>
      </c>
      <c r="B138" s="43" t="s">
        <v>243</v>
      </c>
      <c r="C138" s="43" t="s">
        <v>244</v>
      </c>
      <c r="D138" s="45">
        <f>IF(OR(NOT(ISNUMBER(D105)),NOT(ISNUMBER(D79/D104))),"n/m",IF(OR((D79/D104)&lt;=0,(D105)&lt;0),"n/m",(D105)/(D79/D104)))</f>
        <v>13.883154069739035</v>
      </c>
      <c r="E138" s="45">
        <f>IF(OR(NOT(ISNUMBER(E105)),NOT(ISNUMBER(E79/E104))),"n/m",IF(OR((E79/E104)&lt;=0,(E105)&lt;0),"n/m",(E105)/(E79/E104)))</f>
        <v>9.2130648554640278</v>
      </c>
      <c r="F138" s="45" t="str">
        <f>IF(OR(NOT(ISNUMBER(F105)),NOT(ISNUMBER(F79/F104))),"n/m",IF(OR((F79/F104)&lt;=0,(F105)&lt;0),"n/m",(F105)/(F79/F104)))</f>
        <v>n/m</v>
      </c>
      <c r="G138" s="45">
        <f>IF(OR(NOT(ISNUMBER(G105)),NOT(ISNUMBER(G79/G104))),"n/m",IF(OR((G79/G104)&lt;=0,(G105)&lt;0),"n/m",(G105)/(G79/G104)))</f>
        <v>72.91538429829842</v>
      </c>
      <c r="H138" s="45">
        <f>IF(OR(NOT(ISNUMBER(H105)),NOT(ISNUMBER(H79/H104))),"n/m",IF(OR((H79/H104)&lt;=0,(H105)&lt;0),"n/m",(H105)/(H79/H104)))</f>
        <v>8.3613265542147914</v>
      </c>
    </row>
    <row r="139" spans="1:8" ht="34.049999999999997" customHeight="1" x14ac:dyDescent="0.3">
      <c r="A139" s="42" t="s">
        <v>245</v>
      </c>
      <c r="B139" s="43" t="s">
        <v>246</v>
      </c>
      <c r="C139" s="43" t="s">
        <v>247</v>
      </c>
      <c r="D139" s="45">
        <f>IF(OR(NOT(ISNUMBER(D105)),NOT(ISNUMBER(D29/D103))),"n/m",IF(OR((D29/D103)&lt;=0,(D105)&lt;0),"n/m",(D105)/(D29/D103)))</f>
        <v>0.7031096868032638</v>
      </c>
      <c r="E139" s="45">
        <f>IF(OR(NOT(ISNUMBER(E105)),NOT(ISNUMBER(E29/E103))),"n/m",IF(OR((E29/E103)&lt;=0,(E105)&lt;0),"n/m",(E105)/(E29/E103)))</f>
        <v>0.39163597075332512</v>
      </c>
      <c r="F139" s="45">
        <f>IF(OR(NOT(ISNUMBER(F105)),NOT(ISNUMBER(F29/F103))),"n/m",IF(OR((F29/F103)&lt;=0,(F105)&lt;0),"n/m",(F105)/(F29/F103)))</f>
        <v>0.35012794187063967</v>
      </c>
      <c r="G139" s="45">
        <f>IF(OR(NOT(ISNUMBER(G105)),NOT(ISNUMBER(G29/G103))),"n/m",IF(OR((G29/G103)&lt;=0,(G105)&lt;0),"n/m",(G105)/(G29/G103)))</f>
        <v>0.52142775098382221</v>
      </c>
      <c r="H139" s="45">
        <f>IF(OR(NOT(ISNUMBER(H105)),NOT(ISNUMBER(H29/H103))),"n/m",IF(OR((H29/H103)&lt;=0,(H105)&lt;0),"n/m",(H105)/(H29/H103)))</f>
        <v>0.76620820294800718</v>
      </c>
    </row>
    <row r="140" spans="1:8" ht="34.049999999999997" customHeight="1" x14ac:dyDescent="0.3">
      <c r="A140" s="42" t="s">
        <v>248</v>
      </c>
      <c r="B140" s="43" t="s">
        <v>249</v>
      </c>
      <c r="C140" s="43" t="s">
        <v>310</v>
      </c>
      <c r="D140" s="48">
        <f>IF(OR(NOT(ISNUMBER(D106)),NOT(ISNUMBER(D105))),"n/m",IF(OR((D105)&lt;=0,(D106)&lt;0),"n/m",(D106)/(D105)))</f>
        <v>8.4803256445047485E-3</v>
      </c>
      <c r="E140" s="48">
        <f>IF(OR(NOT(ISNUMBER(E106)),NOT(ISNUMBER(E105))),"n/m",IF(OR((E105)&lt;=0,(E106)&lt;0),"n/m",(E106)/(E105)))</f>
        <v>1.6E-2</v>
      </c>
      <c r="F140" s="73">
        <f>IF(OR(NOT(ISNUMBER(F106)),NOT(ISNUMBER(F105))),"n/m",IF(OR((F105)&lt;=0,(F106)&lt;0),"n/m",(F106)/(F105)))</f>
        <v>0</v>
      </c>
      <c r="G140" s="73">
        <f>IF(OR(NOT(ISNUMBER(G106)),NOT(ISNUMBER(G105))),"n/m",IF(OR((G105)&lt;=0,(G106)&lt;0),"n/m",(G106)/(G105)))</f>
        <v>0</v>
      </c>
      <c r="H140" s="48">
        <f>IF(OR(NOT(ISNUMBER(H106)),NOT(ISNUMBER(H105))),"n/m",IF(OR((H105)&lt;=0,(H106)&lt;0),"n/m",(H106)/(H105)))</f>
        <v>1.2080212611741966E-2</v>
      </c>
    </row>
    <row r="141" spans="1:8" ht="34.049999999999997" customHeight="1" x14ac:dyDescent="0.3">
      <c r="A141" s="42" t="s">
        <v>250</v>
      </c>
      <c r="B141" s="43" t="s">
        <v>251</v>
      </c>
      <c r="C141" s="43" t="s">
        <v>252</v>
      </c>
      <c r="D141" s="45">
        <f>IF(OR(NOT(ISNUMBER(D214)),NOT(ISNUMBER(D83))),"n/m",IF(OR((D83)&lt;=0,(D214)&lt;0),"n/m",(D214)/(D83)))</f>
        <v>8.4672094053907152</v>
      </c>
      <c r="E141" s="45">
        <f>IF(OR(NOT(ISNUMBER(E214)),NOT(ISNUMBER(E83))),"n/m",IF(OR((E83)&lt;=0,(E214)&lt;0),"n/m",(E214)/(E83)))</f>
        <v>5.5150906801201929</v>
      </c>
      <c r="F141" s="45">
        <f>IF(OR(NOT(ISNUMBER(F214)),NOT(ISNUMBER(F83))),"n/m",IF(OR((F83)&lt;=0,(F214)&lt;0),"n/m",(F214)/(F83)))</f>
        <v>4.7839328299471351</v>
      </c>
      <c r="G141" s="45">
        <f>IF(OR(NOT(ISNUMBER(G214)),NOT(ISNUMBER(G83))),"n/m",IF(OR((G83)&lt;=0,(G214)&lt;0),"n/m",(G214)/(G83)))</f>
        <v>5.0911516840273263</v>
      </c>
      <c r="H141" s="45">
        <f>IF(OR(NOT(ISNUMBER(H214)),NOT(ISNUMBER(H83))),"n/m",IF(OR((H83)&lt;=0,(H214)&lt;0),"n/m",(H214)/(H83)))</f>
        <v>4.5245291189336676</v>
      </c>
    </row>
    <row r="142" spans="1:8" ht="34.049999999999997" customHeight="1" x14ac:dyDescent="0.3">
      <c r="A142" s="40"/>
      <c r="B142" s="40"/>
      <c r="C142" s="40"/>
      <c r="D142" s="40"/>
      <c r="E142" s="40"/>
      <c r="F142" s="40"/>
      <c r="G142" s="40"/>
      <c r="H142" s="40"/>
    </row>
    <row r="143" spans="1:8" ht="21" customHeight="1" x14ac:dyDescent="0.3">
      <c r="A143" s="44" t="s">
        <v>253</v>
      </c>
      <c r="B143" s="44"/>
      <c r="C143" s="44"/>
      <c r="D143" s="44"/>
      <c r="E143" s="44"/>
      <c r="F143" s="44"/>
      <c r="G143" s="44"/>
      <c r="H143" s="44"/>
    </row>
    <row r="144" spans="1:8" ht="21" customHeight="1" x14ac:dyDescent="0.3">
      <c r="A144" s="44" t="s">
        <v>254</v>
      </c>
      <c r="B144" s="44"/>
      <c r="C144" s="44"/>
      <c r="D144" s="44"/>
      <c r="E144" s="44"/>
      <c r="F144" s="44"/>
      <c r="G144" s="44"/>
      <c r="H144" s="44"/>
    </row>
    <row r="145" spans="1:8" ht="21" customHeight="1" x14ac:dyDescent="0.3">
      <c r="A145" s="44" t="s">
        <v>255</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256</v>
      </c>
      <c r="B153" s="27"/>
      <c r="C153" s="3"/>
      <c r="D153" s="3"/>
      <c r="E153" s="3"/>
      <c r="F153" s="3"/>
      <c r="G153" s="3"/>
      <c r="H153" s="3"/>
    </row>
    <row r="154" spans="1:8" x14ac:dyDescent="0.3">
      <c r="A154" s="38" t="s">
        <v>257</v>
      </c>
      <c r="B154" s="38"/>
      <c r="C154" s="18"/>
      <c r="D154" s="18" t="s">
        <v>65</v>
      </c>
      <c r="E154" s="18" t="s">
        <v>66</v>
      </c>
      <c r="F154" s="18" t="s">
        <v>67</v>
      </c>
      <c r="G154" s="18" t="s">
        <v>68</v>
      </c>
      <c r="H154" s="18" t="s">
        <v>69</v>
      </c>
    </row>
    <row r="155" spans="1:8" x14ac:dyDescent="0.3">
      <c r="A155" s="36" t="s">
        <v>72</v>
      </c>
      <c r="B155" s="36"/>
      <c r="C155" s="19"/>
      <c r="D155" s="19">
        <f>D9/D25</f>
        <v>0.61655822050937892</v>
      </c>
      <c r="E155" s="19">
        <f>E9/E25</f>
        <v>0.60634621723099524</v>
      </c>
      <c r="F155" s="19">
        <f>F9/F25</f>
        <v>0.6105238167582232</v>
      </c>
      <c r="G155" s="19">
        <f>G9/G25</f>
        <v>0.57721143030372912</v>
      </c>
      <c r="H155" s="19">
        <f>H9/H25</f>
        <v>0.52940184336070018</v>
      </c>
    </row>
    <row r="156" spans="1:8" x14ac:dyDescent="0.3">
      <c r="A156" s="36" t="s">
        <v>79</v>
      </c>
      <c r="B156" s="36"/>
      <c r="C156" s="19"/>
      <c r="D156" s="19">
        <f>D16/D25</f>
        <v>0.73275793194570782</v>
      </c>
      <c r="E156" s="19">
        <f>E16/E25</f>
        <v>0.70113824405912939</v>
      </c>
      <c r="F156" s="19">
        <f>F16/F25</f>
        <v>0.71029824578359602</v>
      </c>
      <c r="G156" s="19">
        <f>G16/G25</f>
        <v>0.69815880758939963</v>
      </c>
      <c r="H156" s="19">
        <f>H16/H25</f>
        <v>0.67169235459757604</v>
      </c>
    </row>
    <row r="157" spans="1:8" x14ac:dyDescent="0.3">
      <c r="A157" s="36" t="s">
        <v>258</v>
      </c>
      <c r="B157" s="36"/>
      <c r="C157" s="19"/>
      <c r="D157" s="19">
        <f>D54/D25</f>
        <v>0.11318736209268437</v>
      </c>
      <c r="E157" s="19">
        <f>E54/E25</f>
        <v>0.16692341815435893</v>
      </c>
      <c r="F157" s="19">
        <f>F54/F25</f>
        <v>0.16869294093363668</v>
      </c>
      <c r="G157" s="19">
        <f>G54/G25</f>
        <v>0.14635062074380864</v>
      </c>
      <c r="H157" s="19">
        <f>H54/H25</f>
        <v>0.14045204348681356</v>
      </c>
    </row>
    <row r="158" spans="1:8" x14ac:dyDescent="0.3">
      <c r="A158" s="36" t="s">
        <v>83</v>
      </c>
      <c r="B158" s="36"/>
      <c r="C158" s="19"/>
      <c r="D158" s="19">
        <f>D20/D25</f>
        <v>1.2155978703082394E-2</v>
      </c>
      <c r="E158" s="19">
        <f>E20/E25</f>
        <v>1.0748684555492017E-2</v>
      </c>
      <c r="F158" s="19">
        <f>F20/F25</f>
        <v>8.8591134469960912E-3</v>
      </c>
      <c r="G158" s="19">
        <f>G20/G25</f>
        <v>6.1837434509335399E-3</v>
      </c>
      <c r="H158" s="19">
        <f>H20/H25</f>
        <v>1.0231885060079294E-2</v>
      </c>
    </row>
    <row r="159" spans="1:8" x14ac:dyDescent="0.3">
      <c r="A159" s="36" t="s">
        <v>84</v>
      </c>
      <c r="B159" s="36"/>
      <c r="C159" s="19"/>
      <c r="D159" s="19">
        <f>D21/D25</f>
        <v>9.3888933234321542E-2</v>
      </c>
      <c r="E159" s="19">
        <f>E21/E25</f>
        <v>7.2951626745572359E-2</v>
      </c>
      <c r="F159" s="19">
        <f>F21/F25</f>
        <v>6.8819494182806973E-2</v>
      </c>
      <c r="G159" s="19">
        <f>G21/G25</f>
        <v>0.13285241774236387</v>
      </c>
      <c r="H159" s="19">
        <f>H21/H25</f>
        <v>0.16450386051364257</v>
      </c>
    </row>
    <row r="160" spans="1:8" x14ac:dyDescent="0.3">
      <c r="A160" s="36" t="s">
        <v>85</v>
      </c>
      <c r="B160" s="36"/>
      <c r="C160" s="19"/>
      <c r="D160" s="19">
        <f>D22/D25</f>
        <v>5.8477448193674916E-3</v>
      </c>
      <c r="E160" s="19">
        <f>E22/E25</f>
        <v>3.0081791486187303E-3</v>
      </c>
      <c r="F160" s="19">
        <f>F22/F25</f>
        <v>5.0104349791743573E-3</v>
      </c>
      <c r="G160" s="19">
        <f>G22/G25</f>
        <v>5.2907758120825064E-3</v>
      </c>
      <c r="H160" s="19">
        <f>H22/H25</f>
        <v>3.8981324795021202E-3</v>
      </c>
    </row>
    <row r="161" spans="1:8" x14ac:dyDescent="0.3">
      <c r="A161" s="36" t="s">
        <v>87</v>
      </c>
      <c r="B161" s="36"/>
      <c r="C161" s="19"/>
      <c r="D161" s="19">
        <f>D24/D25</f>
        <v>0.26724206805429218</v>
      </c>
      <c r="E161" s="19">
        <f>E24/E25</f>
        <v>0.29886175594087061</v>
      </c>
      <c r="F161" s="19">
        <f>F24/F25</f>
        <v>0.28970175421640393</v>
      </c>
      <c r="G161" s="19">
        <f>G24/G25</f>
        <v>0.3018411924106002</v>
      </c>
      <c r="H161" s="19">
        <f>H24/H25</f>
        <v>0.32830764540242413</v>
      </c>
    </row>
    <row r="162" spans="1:8" x14ac:dyDescent="0.3">
      <c r="A162" s="36" t="s">
        <v>92</v>
      </c>
      <c r="B162" s="36"/>
      <c r="C162" s="19"/>
      <c r="D162" s="19">
        <f>D29/D25</f>
        <v>0.53285495815694783</v>
      </c>
      <c r="E162" s="19">
        <f>E29/E25</f>
        <v>0.51198792741873245</v>
      </c>
      <c r="F162" s="19">
        <f>F29/F25</f>
        <v>0.47651047758077314</v>
      </c>
      <c r="G162" s="19">
        <f>G29/G25</f>
        <v>0.54808776053639152</v>
      </c>
      <c r="H162" s="19">
        <f>H29/H25</f>
        <v>0.64874404172822975</v>
      </c>
    </row>
    <row r="163" spans="1:8" x14ac:dyDescent="0.3">
      <c r="A163" s="36" t="s">
        <v>99</v>
      </c>
      <c r="B163" s="36"/>
      <c r="C163" s="19"/>
      <c r="D163" s="19">
        <f>D36/D25</f>
        <v>0.1749255375643633</v>
      </c>
      <c r="E163" s="19">
        <f>E36/E25</f>
        <v>0.15051682051581941</v>
      </c>
      <c r="F163" s="19">
        <f>F36/F25</f>
        <v>0.16216063639885053</v>
      </c>
      <c r="G163" s="19">
        <f>G36/G25</f>
        <v>0.21904349345092264</v>
      </c>
      <c r="H163" s="19">
        <f>H36/H25</f>
        <v>0.17369175860336017</v>
      </c>
    </row>
    <row r="164" spans="1:8" x14ac:dyDescent="0.3">
      <c r="A164" s="36" t="s">
        <v>111</v>
      </c>
      <c r="B164" s="36"/>
      <c r="C164" s="19"/>
      <c r="D164" s="19">
        <f>D48/D25</f>
        <v>0.29221950427868876</v>
      </c>
      <c r="E164" s="19">
        <f>E48/E25</f>
        <v>0.33749525206544811</v>
      </c>
      <c r="F164" s="19">
        <f>F48/F25</f>
        <v>0.36132888602037622</v>
      </c>
      <c r="G164" s="19">
        <f>G48/G25</f>
        <v>0.23286874601268565</v>
      </c>
      <c r="H164" s="19">
        <f>H48/H25</f>
        <v>0.17756419966841014</v>
      </c>
    </row>
    <row r="165" spans="1:8" x14ac:dyDescent="0.3">
      <c r="A165" s="36" t="s">
        <v>118</v>
      </c>
      <c r="B165" s="36"/>
      <c r="C165" s="19"/>
      <c r="D165" s="19">
        <f>D55/D25</f>
        <v>0.31758158908750495</v>
      </c>
      <c r="E165" s="19">
        <f>E55/E25</f>
        <v>0.34032817749984395</v>
      </c>
      <c r="F165" s="19">
        <f>F55/F25</f>
        <v>0.31569481648776743</v>
      </c>
      <c r="G165" s="19">
        <f>G55/G25</f>
        <v>0.24801545685114379</v>
      </c>
      <c r="H165" s="19">
        <f>H55/H25</f>
        <v>0.15012653655508287</v>
      </c>
    </row>
    <row r="166" spans="1:8" x14ac:dyDescent="0.3">
      <c r="A166" s="38" t="s">
        <v>259</v>
      </c>
      <c r="B166" s="38"/>
      <c r="C166" s="18"/>
      <c r="D166" s="18" t="s">
        <v>65</v>
      </c>
      <c r="E166" s="18" t="s">
        <v>66</v>
      </c>
      <c r="F166" s="18" t="s">
        <v>67</v>
      </c>
      <c r="G166" s="18" t="s">
        <v>68</v>
      </c>
      <c r="H166" s="18" t="s">
        <v>69</v>
      </c>
    </row>
    <row r="167" spans="1:8" x14ac:dyDescent="0.3">
      <c r="A167" s="36" t="s">
        <v>125</v>
      </c>
      <c r="B167" s="36"/>
      <c r="C167" s="19"/>
      <c r="D167" s="19">
        <f>D65/D64</f>
        <v>-0.82105286260502364</v>
      </c>
      <c r="E167" s="19">
        <f>E65/E64</f>
        <v>-0.82033738864003591</v>
      </c>
      <c r="F167" s="19">
        <f>F65/F64</f>
        <v>-0.85295147541416505</v>
      </c>
      <c r="G167" s="19">
        <f>G65/G64</f>
        <v>-0.84057436391567375</v>
      </c>
      <c r="H167" s="19">
        <f>H65/H64</f>
        <v>-0.74259367452699077</v>
      </c>
    </row>
    <row r="168" spans="1:8" x14ac:dyDescent="0.3">
      <c r="A168" s="36" t="s">
        <v>126</v>
      </c>
      <c r="B168" s="36"/>
      <c r="C168" s="19"/>
      <c r="D168" s="19">
        <f>D66/D64</f>
        <v>0.17894713739497631</v>
      </c>
      <c r="E168" s="19">
        <f>E66/E64</f>
        <v>0.17966261135996409</v>
      </c>
      <c r="F168" s="19">
        <f>F66/F64</f>
        <v>0.14704852458583501</v>
      </c>
      <c r="G168" s="19">
        <f>G66/G64</f>
        <v>0.15942563608432631</v>
      </c>
      <c r="H168" s="19">
        <f>H66/H64</f>
        <v>0.25740632547300923</v>
      </c>
    </row>
    <row r="169" spans="1:8" x14ac:dyDescent="0.3">
      <c r="A169" s="36" t="s">
        <v>260</v>
      </c>
      <c r="B169" s="36"/>
      <c r="C169" s="19"/>
      <c r="D169" s="19">
        <f>(D67+D68+D69+D70)/D64</f>
        <v>-6.4433137675638019E-2</v>
      </c>
      <c r="E169" s="19">
        <f>(E67+E68+E69+E70)/E64</f>
        <v>-6.1190000396768904E-2</v>
      </c>
      <c r="F169" s="19">
        <f>(F67+F68+F69+F70)/F64</f>
        <v>-4.4594776906085591E-2</v>
      </c>
      <c r="G169" s="19">
        <f>(G67+G68+G69+G70)/G64</f>
        <v>-5.9405207150614391E-2</v>
      </c>
      <c r="H169" s="19">
        <f>(H67+H68+H69+H70)/H64</f>
        <v>-8.2097525237458641E-2</v>
      </c>
    </row>
    <row r="170" spans="1:8" x14ac:dyDescent="0.3">
      <c r="A170" s="36" t="s">
        <v>261</v>
      </c>
      <c r="B170" s="36"/>
      <c r="C170" s="19"/>
      <c r="D170" s="19">
        <f>D71/D64</f>
        <v>0.11451399971933833</v>
      </c>
      <c r="E170" s="19">
        <f>E71/E64</f>
        <v>0.11847261096319517</v>
      </c>
      <c r="F170" s="19">
        <f>F71/F64</f>
        <v>0.10245374767974941</v>
      </c>
      <c r="G170" s="19">
        <f>G71/G64</f>
        <v>0.10002042893371189</v>
      </c>
      <c r="H170" s="19">
        <f>H71/H64</f>
        <v>0.17530880023555062</v>
      </c>
    </row>
    <row r="171" spans="1:8" x14ac:dyDescent="0.3">
      <c r="A171" s="36" t="s">
        <v>132</v>
      </c>
      <c r="B171" s="36"/>
      <c r="C171" s="19"/>
      <c r="D171" s="19">
        <f>(D72+D73+D74)/D64</f>
        <v>5.6017455116854797E-2</v>
      </c>
      <c r="E171" s="19">
        <f>(E72+E73+E74)/E64</f>
        <v>4.6763600141499891E-2</v>
      </c>
      <c r="F171" s="19">
        <f>(F72+F73+F74)/F64</f>
        <v>4.9966267757631543E-2</v>
      </c>
      <c r="G171" s="19">
        <f>(G72+G73+G74)/G64</f>
        <v>6.4126000441953046E-2</v>
      </c>
      <c r="H171" s="19">
        <f>(H72+H73+H74)/H64</f>
        <v>5.9415794093645238E-2</v>
      </c>
    </row>
    <row r="172" spans="1:8" x14ac:dyDescent="0.3">
      <c r="A172" s="36" t="s">
        <v>135</v>
      </c>
      <c r="B172" s="36"/>
      <c r="C172" s="19"/>
      <c r="D172" s="19">
        <f>D75/D64</f>
        <v>-6.4753371320943276E-2</v>
      </c>
      <c r="E172" s="19">
        <f>E75/E64</f>
        <v>-6.1525660344143529E-2</v>
      </c>
      <c r="F172" s="19">
        <f>F75/F64</f>
        <v>-0.10375339424870077</v>
      </c>
      <c r="G172" s="19">
        <f>G75/G64</f>
        <v>-0.12115784127695206</v>
      </c>
      <c r="H172" s="19">
        <f>H75/H64</f>
        <v>-5.3835752788556672E-2</v>
      </c>
    </row>
    <row r="173" spans="1:8" x14ac:dyDescent="0.3">
      <c r="A173" s="36" t="s">
        <v>136</v>
      </c>
      <c r="B173" s="36"/>
      <c r="C173" s="19"/>
      <c r="D173" s="19">
        <f>D76/D64</f>
        <v>0.10577808351524985</v>
      </c>
      <c r="E173" s="19">
        <f>E76/E64</f>
        <v>0.10371055076055154</v>
      </c>
      <c r="F173" s="19">
        <f>F76/F64</f>
        <v>4.8666621188680183E-2</v>
      </c>
      <c r="G173" s="19">
        <f>G76/G64</f>
        <v>4.2988588098712886E-2</v>
      </c>
      <c r="H173" s="19">
        <f>H76/H64</f>
        <v>0.18088884154063914</v>
      </c>
    </row>
    <row r="174" spans="1:8" x14ac:dyDescent="0.3">
      <c r="A174" s="36" t="s">
        <v>262</v>
      </c>
      <c r="B174" s="36"/>
      <c r="C174" s="19"/>
      <c r="D174" s="19">
        <f>(D77+D78)/D64</f>
        <v>-2.3280553714898723E-2</v>
      </c>
      <c r="E174" s="19">
        <f>(E77+E78)/E64</f>
        <v>-5.250561975862978E-2</v>
      </c>
      <c r="F174" s="19">
        <f>(F77+F78)/F64</f>
        <v>-0.10461864038435044</v>
      </c>
      <c r="G174" s="19">
        <f>(G77+G78)/G64</f>
        <v>-3.4775281502029819E-2</v>
      </c>
      <c r="H174" s="19">
        <f>(H77+H78)/H64</f>
        <v>-6.0222313942069082E-2</v>
      </c>
    </row>
    <row r="175" spans="1:8" x14ac:dyDescent="0.3">
      <c r="A175" s="36" t="s">
        <v>139</v>
      </c>
      <c r="B175" s="36"/>
      <c r="C175" s="19"/>
      <c r="D175" s="19">
        <f>D79/D64</f>
        <v>8.2497529800351119E-2</v>
      </c>
      <c r="E175" s="19">
        <f>E79/E64</f>
        <v>5.120493100192175E-2</v>
      </c>
      <c r="F175" s="19">
        <f>F79/F64</f>
        <v>-5.595201919567025E-2</v>
      </c>
      <c r="G175" s="19">
        <f>G79/G64</f>
        <v>8.2133065966830711E-3</v>
      </c>
      <c r="H175" s="19">
        <f>H79/H64</f>
        <v>0.12066652759857006</v>
      </c>
    </row>
    <row r="176" spans="1:8" x14ac:dyDescent="0.3">
      <c r="A176" s="36"/>
      <c r="B176" s="36"/>
      <c r="C176" s="19"/>
      <c r="D176" s="19"/>
      <c r="E176" s="19"/>
      <c r="F176" s="19"/>
      <c r="G176" s="19"/>
      <c r="H176" s="19"/>
    </row>
    <row r="177" spans="1:8" x14ac:dyDescent="0.3">
      <c r="A177" s="23"/>
      <c r="B177" s="23"/>
    </row>
    <row r="178" spans="1:8" ht="19.5" customHeight="1" x14ac:dyDescent="0.3">
      <c r="A178" s="26" t="s">
        <v>263</v>
      </c>
      <c r="B178" s="27"/>
      <c r="C178" s="3"/>
      <c r="D178" s="3"/>
      <c r="E178" s="3"/>
      <c r="F178" s="3"/>
      <c r="G178" s="3"/>
      <c r="H178" s="3"/>
    </row>
    <row r="179" spans="1:8" x14ac:dyDescent="0.3">
      <c r="A179" s="38" t="s">
        <v>264</v>
      </c>
      <c r="B179" s="38"/>
      <c r="C179" s="18"/>
      <c r="D179" s="18" t="s">
        <v>65</v>
      </c>
      <c r="E179" s="18" t="s">
        <v>66</v>
      </c>
      <c r="F179" s="18" t="s">
        <v>67</v>
      </c>
      <c r="G179" s="18" t="s">
        <v>68</v>
      </c>
      <c r="H179" s="18" t="s">
        <v>69</v>
      </c>
    </row>
    <row r="180" spans="1:8" x14ac:dyDescent="0.3">
      <c r="A180" s="36" t="s">
        <v>124</v>
      </c>
      <c r="B180" s="36"/>
      <c r="C180" s="17"/>
      <c r="D180" s="17">
        <f>IF(OR(I64&lt;=0,D64&lt;I64),"n/m",D64/I64-1)</f>
        <v>0.18601064692976577</v>
      </c>
      <c r="E180" s="17">
        <f>IF(OR(D64&lt;=0,E64&lt;D64),"n/m",E64/D64-1)</f>
        <v>0.28678420464448506</v>
      </c>
      <c r="F180" s="17">
        <f>IF(OR(E64&lt;=0,F64&lt;E64),"n/m",F64/E64-1)</f>
        <v>0.1195640269497571</v>
      </c>
      <c r="G180" s="17">
        <f>IF(OR(F64&lt;=0,G64&lt;F64),"n/m",G64/F64-1)</f>
        <v>1.623277892508046E-2</v>
      </c>
      <c r="H180" s="17">
        <f>IF(OR(G64&lt;=0,H64&lt;G64),"n/m",H64/G64-1)</f>
        <v>8.8647247373429883E-2</v>
      </c>
    </row>
    <row r="181" spans="1:8" x14ac:dyDescent="0.3">
      <c r="A181" s="36" t="s">
        <v>126</v>
      </c>
      <c r="B181" s="36"/>
      <c r="C181" s="17"/>
      <c r="D181" s="17">
        <f>IF(OR(I66&lt;=0,D66&lt;I66),"n/m",D66/I66-1)</f>
        <v>4.0897669849284801</v>
      </c>
      <c r="E181" s="17">
        <f>IF(OR(D66&lt;=0,E66&lt;D66),"n/m",E66/D66-1)</f>
        <v>0.29192907932861312</v>
      </c>
      <c r="F181" s="17" t="str">
        <f>IF(OR(E66&lt;=0,F66&lt;E66),"n/m",F66/E66-1)</f>
        <v>n/m</v>
      </c>
      <c r="G181" s="17">
        <f>IF(OR(F66&lt;=0,G66&lt;F66),"n/m",G66/F66-1)</f>
        <v>0.10176934890158051</v>
      </c>
      <c r="H181" s="17">
        <f>IF(OR(G66&lt;=0,H66&lt;G66),"n/m",H66/G66-1)</f>
        <v>0.75771409520661526</v>
      </c>
    </row>
    <row r="182" spans="1:8" x14ac:dyDescent="0.3">
      <c r="A182" s="36" t="s">
        <v>261</v>
      </c>
      <c r="B182" s="36"/>
      <c r="C182" s="17"/>
      <c r="D182" s="17" t="str">
        <f>IF(OR(I71&lt;=0,D71&lt;I71),"n/m",D71/I71-1)</f>
        <v>n/m</v>
      </c>
      <c r="E182" s="17">
        <f>IF(OR(D71&lt;=0,E71&lt;D71),"n/m",E71/D71-1)</f>
        <v>0.33126678697858924</v>
      </c>
      <c r="F182" s="17" t="str">
        <f>IF(OR(E71&lt;=0,F71&lt;E71),"n/m",F71/E71-1)</f>
        <v>n/m</v>
      </c>
      <c r="G182" s="17" t="str">
        <f>IF(OR(F71&lt;=0,G71&lt;F71),"n/m",G71/F71-1)</f>
        <v>n/m</v>
      </c>
      <c r="H182" s="17">
        <f>IF(OR(G71&lt;=0,H71&lt;G71),"n/m",H71/G71-1)</f>
        <v>0.90810462273917358</v>
      </c>
    </row>
    <row r="183" spans="1:8" x14ac:dyDescent="0.3">
      <c r="A183" s="36"/>
      <c r="B183" s="36"/>
      <c r="C183" s="17"/>
      <c r="D183" s="17"/>
      <c r="E183" s="17"/>
      <c r="F183" s="17"/>
      <c r="G183" s="17"/>
      <c r="H183" s="17"/>
    </row>
    <row r="184" spans="1:8" x14ac:dyDescent="0.3">
      <c r="A184" s="36" t="s">
        <v>139</v>
      </c>
      <c r="B184" s="36"/>
      <c r="C184" s="17"/>
      <c r="D184" s="17" t="str">
        <f>IF(OR(I79&lt;=0,D79&lt;I79),"n/m",D79/I79-1)</f>
        <v>n/m</v>
      </c>
      <c r="E184" s="17" t="str">
        <f>IF(OR(D79&lt;=0,E79&lt;D79),"n/m",E79/D79-1)</f>
        <v>n/m</v>
      </c>
      <c r="F184" s="17" t="str">
        <f>IF(OR(E79&lt;=0,F79&lt;E79),"n/m",F79/E79-1)</f>
        <v>n/m</v>
      </c>
      <c r="G184" s="17" t="str">
        <f>IF(OR(F79&lt;=0,G79&lt;F79),"n/m",G79/F79-1)</f>
        <v>n/m</v>
      </c>
      <c r="H184" s="17">
        <f>IF(OR(G79&lt;=0,H79&lt;G79),"n/m",H79/G79-1)</f>
        <v>14.993958288777888</v>
      </c>
    </row>
    <row r="185" spans="1:8" x14ac:dyDescent="0.3">
      <c r="A185" s="36" t="s">
        <v>151</v>
      </c>
      <c r="B185" s="36"/>
      <c r="C185" s="17"/>
      <c r="D185" s="17" t="str">
        <f>IF(OR(I93&lt;=0,D93&lt;I93),"n/m",D93/I93-1)</f>
        <v>n/m</v>
      </c>
      <c r="E185" s="17" t="str">
        <f>IF(OR(D93&lt;=0,E93&lt;D93),"n/m",E93/D93-1)</f>
        <v>n/m</v>
      </c>
      <c r="F185" s="17" t="str">
        <f>IF(OR(E93&lt;=0,F93&lt;E93),"n/m",F93/E93-1)</f>
        <v>n/m</v>
      </c>
      <c r="G185" s="17" t="str">
        <f>IF(OR(F93&lt;=0,G93&lt;F93),"n/m",G93/F93-1)</f>
        <v>n/m</v>
      </c>
      <c r="H185" s="17">
        <f>IF(OR(G93&lt;=0,H93&lt;G93),"n/m",H93/G93-1)</f>
        <v>0.66416072854585195</v>
      </c>
    </row>
    <row r="186" spans="1:8" x14ac:dyDescent="0.3">
      <c r="A186" s="36" t="s">
        <v>265</v>
      </c>
      <c r="B186" s="36"/>
      <c r="C186" s="17"/>
      <c r="D186" s="17">
        <f>IF(OR(I25&lt;=0,D25&lt;I25),"n/m",D25/I25-1)</f>
        <v>6.4400341257248472E-2</v>
      </c>
      <c r="E186" s="17" t="str">
        <f>IF(OR(D25&lt;=0,E25&lt;D25),"n/m",E25/D25-1)</f>
        <v>n/m</v>
      </c>
      <c r="F186" s="17" t="str">
        <f>IF(OR(E25&lt;=0,F25&lt;E25),"n/m",F25/E25-1)</f>
        <v>n/m</v>
      </c>
      <c r="G186" s="17">
        <f>IF(OR(F25&lt;=0,G25&lt;F25),"n/m",G25/F25-1)</f>
        <v>2.726160857193749E-2</v>
      </c>
      <c r="H186" s="17">
        <f>IF(OR(G25&lt;=0,H25&lt;G25),"n/m",H25/G25-1)</f>
        <v>5.447440059473152E-2</v>
      </c>
    </row>
    <row r="187" spans="1:8" x14ac:dyDescent="0.3">
      <c r="A187" s="36" t="s">
        <v>92</v>
      </c>
      <c r="B187" s="36"/>
      <c r="C187" s="17"/>
      <c r="D187" s="17">
        <f>IF(OR(I29&lt;=0,D29&lt;I29),"n/m",D29/I29-1)</f>
        <v>0.1025403622406087</v>
      </c>
      <c r="E187" s="17" t="str">
        <f>IF(OR(D29&lt;=0,E29&lt;D29),"n/m",E29/D29-1)</f>
        <v>n/m</v>
      </c>
      <c r="F187" s="17" t="str">
        <f>IF(OR(E29&lt;=0,F29&lt;E29),"n/m",F29/E29-1)</f>
        <v>n/m</v>
      </c>
      <c r="G187" s="17">
        <f>IF(OR(F29&lt;=0,G29&lt;F29),"n/m",G29/F29-1)</f>
        <v>0.18156796338600034</v>
      </c>
      <c r="H187" s="17">
        <f>IF(OR(G29&lt;=0,H29&lt;G29),"n/m",H29/G29-1)</f>
        <v>0.24812855494399844</v>
      </c>
    </row>
    <row r="188" spans="1:8" x14ac:dyDescent="0.3">
      <c r="A188" s="36" t="s">
        <v>118</v>
      </c>
      <c r="B188" s="36"/>
      <c r="C188" s="17"/>
      <c r="D188" s="17" t="str">
        <f>IF(OR(I55&lt;=0,D55&lt;I55),"n/m",D55/I55-1)</f>
        <v>n/m</v>
      </c>
      <c r="E188" s="17">
        <f>IF(OR(D55&lt;=0,E55&lt;D55),"n/m",E55/D55-1)</f>
        <v>6.126767318941817E-2</v>
      </c>
      <c r="F188" s="17" t="str">
        <f>IF(OR(E55&lt;=0,F55&lt;E55),"n/m",F55/E55-1)</f>
        <v>n/m</v>
      </c>
      <c r="G188" s="17" t="str">
        <f>IF(OR(F55&lt;=0,G55&lt;F55),"n/m",G55/F55-1)</f>
        <v>n/m</v>
      </c>
      <c r="H188" s="17" t="str">
        <f>IF(OR(G55&lt;=0,H55&lt;G55),"n/m",H55/G55-1)</f>
        <v>n/m</v>
      </c>
    </row>
    <row r="189" spans="1:8" x14ac:dyDescent="0.3">
      <c r="A189" s="36" t="s">
        <v>258</v>
      </c>
      <c r="B189" s="36"/>
      <c r="C189" s="17"/>
      <c r="D189" s="17">
        <f>IF(OR(I54&lt;=0,D54&lt;I54),"n/m",D54/I54-1)</f>
        <v>0.23961207165285314</v>
      </c>
      <c r="E189" s="17">
        <f>IF(OR(D54&lt;=0,E54&lt;D54),"n/m",E54/D54-1)</f>
        <v>0.46050038515660341</v>
      </c>
      <c r="F189" s="17" t="str">
        <f>IF(OR(E54&lt;=0,F54&lt;E54),"n/m",F54/E54-1)</f>
        <v>n/m</v>
      </c>
      <c r="G189" s="17" t="str">
        <f>IF(OR(F54&lt;=0,G54&lt;F54),"n/m",G54/F54-1)</f>
        <v>n/m</v>
      </c>
      <c r="H189" s="17">
        <f>IF(OR(G54&lt;=0,H54&lt;G54),"n/m",H54/G54-1)</f>
        <v>1.1974418798824216E-2</v>
      </c>
    </row>
    <row r="190" spans="1:8" x14ac:dyDescent="0.3">
      <c r="A190" s="36" t="s">
        <v>83</v>
      </c>
      <c r="B190" s="36"/>
      <c r="C190" s="17"/>
      <c r="D190" s="17" t="str">
        <f>IF(OR(I20&lt;=0,D20&lt;I20),"n/m",D20/I20-1)</f>
        <v>n/m</v>
      </c>
      <c r="E190" s="17" t="str">
        <f>IF(OR(D20&lt;=0,E20&lt;D20),"n/m",E20/D20-1)</f>
        <v>n/m</v>
      </c>
      <c r="F190" s="17" t="str">
        <f>IF(OR(E20&lt;=0,F20&lt;E20),"n/m",F20/E20-1)</f>
        <v>n/m</v>
      </c>
      <c r="G190" s="17" t="str">
        <f>IF(OR(F20&lt;=0,G20&lt;F20),"n/m",G20/F20-1)</f>
        <v>n/m</v>
      </c>
      <c r="H190" s="17">
        <f>IF(OR(G20&lt;=0,H20&lt;G20),"n/m",H20/G20-1)</f>
        <v>0.74477821586412718</v>
      </c>
    </row>
    <row r="191" spans="1:8" x14ac:dyDescent="0.3">
      <c r="A191" s="36" t="s">
        <v>85</v>
      </c>
      <c r="B191" s="36"/>
      <c r="C191" s="17"/>
      <c r="D191" s="17">
        <f>IF(OR(I22&lt;=0,D22&lt;I22),"n/m",D22/I22-1)</f>
        <v>1.3182696343658185</v>
      </c>
      <c r="E191" s="17" t="str">
        <f>IF(OR(D22&lt;=0,E22&lt;D22),"n/m",E22/D22-1)</f>
        <v>n/m</v>
      </c>
      <c r="F191" s="17">
        <f>IF(OR(E22&lt;=0,F22&lt;E22),"n/m",F22/E22-1)</f>
        <v>0.64305518703612186</v>
      </c>
      <c r="G191" s="17">
        <f>IF(OR(F22&lt;=0,G22&lt;F22),"n/m",G22/F22-1)</f>
        <v>8.473832988627672E-2</v>
      </c>
      <c r="H191" s="17" t="str">
        <f>IF(OR(G22&lt;=0,H22&lt;G22),"n/m",H22/G22-1)</f>
        <v>n/m</v>
      </c>
    </row>
    <row r="192" spans="1:8" x14ac:dyDescent="0.3">
      <c r="A192" s="23"/>
      <c r="B192" s="23"/>
    </row>
    <row r="193" spans="1:9" x14ac:dyDescent="0.3">
      <c r="A193" s="25" t="s">
        <v>266</v>
      </c>
      <c r="B193" s="23"/>
    </row>
    <row r="194" spans="1:9" x14ac:dyDescent="0.3">
      <c r="A194" s="23"/>
      <c r="B194" s="23"/>
    </row>
    <row r="195" spans="1:9" x14ac:dyDescent="0.3">
      <c r="A195" s="23"/>
      <c r="B195" s="23"/>
    </row>
    <row r="196" spans="1:9" ht="22.05" customHeight="1" x14ac:dyDescent="0.3">
      <c r="A196" s="89" t="s">
        <v>267</v>
      </c>
      <c r="B196" s="89"/>
      <c r="C196" s="90"/>
      <c r="D196" s="90"/>
      <c r="E196" s="90"/>
      <c r="F196" s="90"/>
      <c r="G196" s="90"/>
      <c r="H196" s="90"/>
    </row>
    <row r="197" spans="1:9" x14ac:dyDescent="0.3">
      <c r="A197" s="23" t="s">
        <v>268</v>
      </c>
      <c r="B197" s="23"/>
      <c r="C197" s="20"/>
      <c r="D197" s="20">
        <v>0</v>
      </c>
      <c r="E197" s="20">
        <v>0</v>
      </c>
      <c r="F197" s="20">
        <v>0</v>
      </c>
      <c r="G197" s="20">
        <v>0</v>
      </c>
      <c r="H197" s="20">
        <v>0</v>
      </c>
      <c r="I197" s="20">
        <v>0</v>
      </c>
    </row>
    <row r="198" spans="1:9" x14ac:dyDescent="0.3">
      <c r="A198" s="23" t="s">
        <v>269</v>
      </c>
      <c r="B198" s="23"/>
      <c r="C198" s="20"/>
      <c r="D198" s="20">
        <v>0</v>
      </c>
      <c r="E198" s="20">
        <v>0</v>
      </c>
      <c r="F198" s="20">
        <v>0</v>
      </c>
      <c r="G198" s="20">
        <v>0</v>
      </c>
      <c r="H198" s="20">
        <v>0</v>
      </c>
      <c r="I198" s="20">
        <v>0</v>
      </c>
    </row>
    <row r="199" spans="1:9" x14ac:dyDescent="0.3">
      <c r="A199" s="23" t="s">
        <v>270</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271</v>
      </c>
      <c r="B203" s="37"/>
      <c r="C203" s="21"/>
      <c r="D203" s="21"/>
      <c r="E203" s="21"/>
      <c r="F203" s="21"/>
      <c r="G203" s="21"/>
      <c r="H203" s="21"/>
      <c r="I203" s="20"/>
    </row>
    <row r="204" spans="1:9" x14ac:dyDescent="0.3">
      <c r="A204" s="23"/>
      <c r="B204" s="23"/>
    </row>
    <row r="205" spans="1:9" ht="22.95" customHeight="1" x14ac:dyDescent="0.3">
      <c r="A205" s="87" t="s">
        <v>287</v>
      </c>
      <c r="B205" s="87"/>
      <c r="C205" s="88"/>
      <c r="D205" s="88"/>
      <c r="E205" s="88"/>
      <c r="F205" s="88"/>
      <c r="G205" s="88"/>
      <c r="H205" s="88"/>
    </row>
    <row r="206" spans="1:9" ht="22.95" customHeight="1" x14ac:dyDescent="0.3">
      <c r="A206" s="87"/>
      <c r="B206" s="87"/>
      <c r="C206" s="88"/>
      <c r="D206" s="88"/>
      <c r="E206" s="88"/>
      <c r="F206" s="88"/>
      <c r="G206" s="88"/>
      <c r="H206" s="88"/>
    </row>
    <row r="207" spans="1:9" x14ac:dyDescent="0.3">
      <c r="A207" s="23"/>
      <c r="B207" s="23"/>
    </row>
    <row r="208" spans="1:9" x14ac:dyDescent="0.3">
      <c r="A208" s="23"/>
      <c r="B208" s="23"/>
    </row>
    <row r="209" spans="1:8" ht="22.95" customHeight="1" x14ac:dyDescent="0.3">
      <c r="A209" s="86" t="s">
        <v>273</v>
      </c>
      <c r="B209" s="86"/>
      <c r="C209" s="86"/>
      <c r="D209" s="86"/>
      <c r="E209" s="86"/>
      <c r="F209" s="86"/>
      <c r="G209" s="86"/>
      <c r="H209" s="86"/>
    </row>
    <row r="210" spans="1:8" x14ac:dyDescent="0.3">
      <c r="D210" t="s">
        <v>65</v>
      </c>
      <c r="E210" t="s">
        <v>66</v>
      </c>
      <c r="F210" t="s">
        <v>67</v>
      </c>
      <c r="G210" t="s">
        <v>68</v>
      </c>
      <c r="H210" t="s">
        <v>69</v>
      </c>
    </row>
    <row r="211" spans="1:8" x14ac:dyDescent="0.3">
      <c r="A211" t="s">
        <v>274</v>
      </c>
      <c r="D211" s="51">
        <f>D22+D215-D216</f>
        <v>806.37300000000005</v>
      </c>
      <c r="E211" s="51">
        <f>E22+E215-E216</f>
        <v>410.803</v>
      </c>
      <c r="F211" s="51">
        <f>F22+F215-F216</f>
        <v>674.97199999999998</v>
      </c>
      <c r="G211" s="51">
        <f>G22+G215-G216</f>
        <v>732.16800000000001</v>
      </c>
      <c r="H211" s="51">
        <f>H22+H215-H216</f>
        <v>1222.3519999999999</v>
      </c>
    </row>
    <row r="212" spans="1:8" x14ac:dyDescent="0.3">
      <c r="A212" t="s">
        <v>275</v>
      </c>
      <c r="D212" s="51">
        <f>D40+D197+D198</f>
        <v>507.76900000000001</v>
      </c>
      <c r="E212" s="51">
        <f>E40+E197+E198</f>
        <v>883.22900000000004</v>
      </c>
      <c r="F212" s="51">
        <f>F40+F197+F198</f>
        <v>1739.547</v>
      </c>
      <c r="G212" s="51">
        <f>G40+G197+G198</f>
        <v>1280.4459999999999</v>
      </c>
      <c r="H212" s="51">
        <f>H40+H197+H198</f>
        <v>229.65199999999999</v>
      </c>
    </row>
    <row r="213" spans="1:8" x14ac:dyDescent="0.3">
      <c r="A213" t="s">
        <v>276</v>
      </c>
      <c r="D213" s="51">
        <f>D105*D103</f>
        <v>51663.004271999998</v>
      </c>
      <c r="E213" s="51">
        <f>E105*E103</f>
        <v>27382.443749999999</v>
      </c>
      <c r="F213" s="51">
        <f>F105*F103</f>
        <v>22475.509829999999</v>
      </c>
      <c r="G213" s="51">
        <f>G105*G103</f>
        <v>39549.011157000001</v>
      </c>
      <c r="H213" s="51">
        <f>H105*H103</f>
        <v>72534.998196</v>
      </c>
    </row>
    <row r="214" spans="1:8" x14ac:dyDescent="0.3">
      <c r="A214" t="s">
        <v>277</v>
      </c>
      <c r="D214" s="51">
        <f>D213+D55+D212-D211</f>
        <v>95157.217271999994</v>
      </c>
      <c r="E214" s="51">
        <f>E213+E55+E212-E211</f>
        <v>74330.770749999996</v>
      </c>
      <c r="F214" s="51">
        <f>F213+F55+F212-F211</f>
        <v>66068.36083000002</v>
      </c>
      <c r="G214" s="51">
        <f>G213+G55+G212-G211</f>
        <v>74419.095157000003</v>
      </c>
      <c r="H214" s="51">
        <f>H213+H55+H212-H211</f>
        <v>93449.398196000009</v>
      </c>
    </row>
    <row r="215" spans="1:8" x14ac:dyDescent="0.3">
      <c r="A215" t="s">
        <v>278</v>
      </c>
      <c r="D215" s="51">
        <v>0</v>
      </c>
      <c r="E215" s="51">
        <v>0</v>
      </c>
      <c r="F215" s="51">
        <v>0</v>
      </c>
      <c r="G215" s="51">
        <v>0</v>
      </c>
      <c r="H215" s="51">
        <v>653.52</v>
      </c>
    </row>
    <row r="216" spans="1:8" x14ac:dyDescent="0.3">
      <c r="A216" t="s">
        <v>279</v>
      </c>
      <c r="D216" s="51">
        <v>0</v>
      </c>
      <c r="E216" s="51">
        <v>0</v>
      </c>
      <c r="F216" s="51">
        <v>0</v>
      </c>
      <c r="G216" s="51">
        <v>0</v>
      </c>
      <c r="H216" s="51">
        <v>0</v>
      </c>
    </row>
    <row r="217" spans="1:8" x14ac:dyDescent="0.3">
      <c r="A217" s="50" t="s">
        <v>280</v>
      </c>
      <c r="B217" s="50"/>
      <c r="C217" s="50"/>
      <c r="D217" s="50"/>
      <c r="E217" s="50"/>
      <c r="F217" s="50"/>
      <c r="G217" s="50"/>
      <c r="H217" s="50"/>
    </row>
    <row r="218" spans="1:8" x14ac:dyDescent="0.3">
      <c r="A218" s="50" t="s">
        <v>281</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FA98A"/>
    <pageSetUpPr fitToPage="1"/>
  </sheetPr>
  <dimension ref="A1:I218"/>
  <sheetViews>
    <sheetView showGridLines="0" workbookViewId="0">
      <pane xSplit="3" ySplit="7" topLeftCell="D8" activePane="bottomRight" state="frozen"/>
      <selection pane="topRight"/>
      <selection pane="bottomLeft"/>
      <selection pane="bottomRight" activeCell="B204" sqref="B204"/>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288</v>
      </c>
      <c r="B1" s="23"/>
    </row>
    <row r="2" spans="1:9" x14ac:dyDescent="0.3">
      <c r="A2" s="24" t="s">
        <v>289</v>
      </c>
      <c r="B2" s="23"/>
    </row>
    <row r="3" spans="1:9" x14ac:dyDescent="0.3">
      <c r="A3" s="25" t="s">
        <v>62</v>
      </c>
      <c r="B3" s="23"/>
    </row>
    <row r="4" spans="1:9" x14ac:dyDescent="0.3">
      <c r="A4" s="23"/>
      <c r="B4" s="23"/>
    </row>
    <row r="5" spans="1:9" x14ac:dyDescent="0.3">
      <c r="A5" s="23"/>
      <c r="B5" s="23"/>
    </row>
    <row r="6" spans="1:9" ht="19.5" customHeight="1" x14ac:dyDescent="0.3">
      <c r="A6" s="26" t="s">
        <v>63</v>
      </c>
      <c r="B6" s="27"/>
      <c r="C6" s="3"/>
      <c r="D6" s="3"/>
      <c r="E6" s="3"/>
      <c r="F6" s="3"/>
      <c r="G6" s="3"/>
      <c r="H6" s="3"/>
      <c r="I6" s="3"/>
    </row>
    <row r="7" spans="1:9" ht="16.5" customHeight="1" x14ac:dyDescent="0.3">
      <c r="A7" s="28" t="s">
        <v>64</v>
      </c>
      <c r="B7" s="29"/>
      <c r="C7" s="9"/>
      <c r="D7" s="9" t="s">
        <v>65</v>
      </c>
      <c r="E7" s="9" t="s">
        <v>66</v>
      </c>
      <c r="F7" s="9" t="s">
        <v>67</v>
      </c>
      <c r="G7" s="9" t="s">
        <v>68</v>
      </c>
      <c r="H7" s="9" t="s">
        <v>69</v>
      </c>
      <c r="I7" s="9" t="s">
        <v>70</v>
      </c>
    </row>
    <row r="8" spans="1:9" x14ac:dyDescent="0.3">
      <c r="A8" s="30" t="s">
        <v>71</v>
      </c>
      <c r="B8" s="31"/>
      <c r="C8" s="10"/>
      <c r="D8" s="10"/>
      <c r="E8" s="10"/>
      <c r="F8" s="10"/>
      <c r="G8" s="10"/>
      <c r="H8" s="10"/>
      <c r="I8" s="10"/>
    </row>
    <row r="9" spans="1:9" x14ac:dyDescent="0.3">
      <c r="A9" s="32" t="s">
        <v>72</v>
      </c>
      <c r="B9" s="33"/>
      <c r="C9" s="11"/>
      <c r="D9" s="11">
        <v>44215.538999999997</v>
      </c>
      <c r="E9" s="11">
        <v>56784.84</v>
      </c>
      <c r="F9" s="11">
        <v>62354.608</v>
      </c>
      <c r="G9" s="11">
        <v>65995.597999999998</v>
      </c>
      <c r="H9" s="11">
        <v>62836.212</v>
      </c>
      <c r="I9" s="11">
        <v>44297.940999999999</v>
      </c>
    </row>
    <row r="10" spans="1:9" x14ac:dyDescent="0.3">
      <c r="A10" s="32" t="s">
        <v>73</v>
      </c>
      <c r="B10" s="33"/>
      <c r="C10" s="11"/>
      <c r="D10" s="11">
        <v>2854.2930000000001</v>
      </c>
      <c r="E10" s="11">
        <v>15352.8</v>
      </c>
      <c r="F10" s="11">
        <v>1676.796</v>
      </c>
      <c r="G10" s="11">
        <v>471.17399999999998</v>
      </c>
      <c r="H10" s="11">
        <v>125.70399999999999</v>
      </c>
      <c r="I10" s="11">
        <v>871.38599999999997</v>
      </c>
    </row>
    <row r="11" spans="1:9" x14ac:dyDescent="0.3">
      <c r="A11" s="32" t="s">
        <v>74</v>
      </c>
      <c r="B11" s="33"/>
      <c r="C11" s="11"/>
      <c r="D11" s="11">
        <v>0</v>
      </c>
      <c r="E11" s="11">
        <v>0</v>
      </c>
      <c r="F11" s="11">
        <v>0</v>
      </c>
      <c r="G11" s="11">
        <v>0</v>
      </c>
      <c r="H11" s="11">
        <v>0</v>
      </c>
      <c r="I11" s="11">
        <v>0</v>
      </c>
    </row>
    <row r="12" spans="1:9" x14ac:dyDescent="0.3">
      <c r="A12" s="32" t="s">
        <v>75</v>
      </c>
      <c r="B12" s="33"/>
      <c r="C12" s="11"/>
      <c r="D12" s="11">
        <v>6.0170000000000003</v>
      </c>
      <c r="E12" s="11">
        <v>10.414999999999999</v>
      </c>
      <c r="F12" s="11">
        <v>6.9459999999999997</v>
      </c>
      <c r="G12" s="11">
        <v>84.81</v>
      </c>
      <c r="H12" s="11">
        <v>62.426000000000002</v>
      </c>
      <c r="I12" s="11">
        <v>9.0229999999999997</v>
      </c>
    </row>
    <row r="13" spans="1:9" x14ac:dyDescent="0.3">
      <c r="A13" s="32" t="s">
        <v>76</v>
      </c>
      <c r="B13" s="33"/>
      <c r="C13" s="11"/>
      <c r="D13" s="11">
        <v>0</v>
      </c>
      <c r="E13" s="11">
        <v>0</v>
      </c>
      <c r="F13" s="11">
        <v>0</v>
      </c>
      <c r="G13" s="11">
        <v>0</v>
      </c>
      <c r="H13" s="11">
        <v>0</v>
      </c>
      <c r="I13" s="11">
        <v>0</v>
      </c>
    </row>
    <row r="14" spans="1:9" x14ac:dyDescent="0.3">
      <c r="A14" s="32" t="s">
        <v>77</v>
      </c>
      <c r="B14" s="33"/>
      <c r="C14" s="11"/>
      <c r="D14" s="11">
        <v>5020</v>
      </c>
      <c r="E14" s="11">
        <v>5020</v>
      </c>
      <c r="F14" s="11">
        <v>5030</v>
      </c>
      <c r="G14" s="11">
        <v>6322</v>
      </c>
      <c r="H14" s="11">
        <v>20371.11</v>
      </c>
      <c r="I14" s="11">
        <v>5020</v>
      </c>
    </row>
    <row r="15" spans="1:9" x14ac:dyDescent="0.3">
      <c r="A15" s="32" t="s">
        <v>78</v>
      </c>
      <c r="B15" s="33"/>
      <c r="C15" s="11"/>
      <c r="D15" s="11">
        <v>74.305999999999997</v>
      </c>
      <c r="E15" s="11">
        <v>76.965999999999994</v>
      </c>
      <c r="F15" s="11">
        <v>76.489999999999995</v>
      </c>
      <c r="G15" s="11">
        <v>95.436999999999998</v>
      </c>
      <c r="H15" s="11">
        <v>83.918999999999997</v>
      </c>
      <c r="I15" s="11">
        <v>75.616</v>
      </c>
    </row>
    <row r="16" spans="1:9" x14ac:dyDescent="0.3">
      <c r="A16" s="34" t="s">
        <v>79</v>
      </c>
      <c r="B16" s="35"/>
      <c r="C16" s="12"/>
      <c r="D16" s="12">
        <f t="shared" ref="D16:I16" si="0">D9+D11+D12+D13+D14+D15</f>
        <v>49315.861999999994</v>
      </c>
      <c r="E16" s="12">
        <f t="shared" si="0"/>
        <v>61892.220999999998</v>
      </c>
      <c r="F16" s="12">
        <f t="shared" si="0"/>
        <v>67468.044000000009</v>
      </c>
      <c r="G16" s="12">
        <f t="shared" si="0"/>
        <v>72497.845000000001</v>
      </c>
      <c r="H16" s="12">
        <f t="shared" si="0"/>
        <v>83353.666999999987</v>
      </c>
      <c r="I16" s="12">
        <f t="shared" si="0"/>
        <v>49402.58</v>
      </c>
    </row>
    <row r="17" spans="1:9" x14ac:dyDescent="0.3">
      <c r="A17" s="30" t="s">
        <v>80</v>
      </c>
      <c r="B17" s="31"/>
      <c r="C17" s="10"/>
      <c r="D17" s="10"/>
      <c r="E17" s="10"/>
      <c r="F17" s="10"/>
      <c r="G17" s="10"/>
      <c r="H17" s="10"/>
      <c r="I17" s="10"/>
    </row>
    <row r="18" spans="1:9" x14ac:dyDescent="0.3">
      <c r="A18" s="32" t="s">
        <v>81</v>
      </c>
      <c r="B18" s="33"/>
      <c r="C18" s="11"/>
      <c r="D18" s="11">
        <v>9738.7170000000006</v>
      </c>
      <c r="E18" s="11">
        <v>12853.605</v>
      </c>
      <c r="F18" s="11">
        <v>9925.8549999999996</v>
      </c>
      <c r="G18" s="11">
        <v>12277.288</v>
      </c>
      <c r="H18" s="11">
        <v>12461.312</v>
      </c>
      <c r="I18" s="11">
        <v>8395.61</v>
      </c>
    </row>
    <row r="19" spans="1:9" x14ac:dyDescent="0.3">
      <c r="A19" s="32" t="s">
        <v>82</v>
      </c>
      <c r="B19" s="33"/>
      <c r="C19" s="11"/>
      <c r="D19" s="11">
        <v>2150.183</v>
      </c>
      <c r="E19" s="11">
        <v>2695.6210000000001</v>
      </c>
      <c r="F19" s="11">
        <v>3874.605</v>
      </c>
      <c r="G19" s="11">
        <v>3256.5529999999999</v>
      </c>
      <c r="H19" s="11">
        <v>4442.9889999999996</v>
      </c>
      <c r="I19" s="11">
        <v>1779.404</v>
      </c>
    </row>
    <row r="20" spans="1:9" x14ac:dyDescent="0.3">
      <c r="A20" s="32" t="s">
        <v>83</v>
      </c>
      <c r="B20" s="33"/>
      <c r="C20" s="11"/>
      <c r="D20" s="11">
        <v>1679.704</v>
      </c>
      <c r="E20" s="11">
        <v>2066.212</v>
      </c>
      <c r="F20" s="11">
        <v>2600.9850000000001</v>
      </c>
      <c r="G20" s="11">
        <v>4188.7449999999999</v>
      </c>
      <c r="H20" s="11">
        <v>4610.1819999999998</v>
      </c>
      <c r="I20" s="11">
        <v>3052.13</v>
      </c>
    </row>
    <row r="21" spans="1:9" x14ac:dyDescent="0.3">
      <c r="A21" s="32" t="s">
        <v>84</v>
      </c>
      <c r="B21" s="33"/>
      <c r="C21" s="11"/>
      <c r="D21" s="11">
        <v>149.148</v>
      </c>
      <c r="E21" s="11">
        <v>198.346</v>
      </c>
      <c r="F21" s="11">
        <v>3689.556</v>
      </c>
      <c r="G21" s="11">
        <v>4220.2619999999997</v>
      </c>
      <c r="H21" s="11">
        <v>11102.413</v>
      </c>
      <c r="I21" s="11">
        <v>75.245000000000005</v>
      </c>
    </row>
    <row r="22" spans="1:9" x14ac:dyDescent="0.3">
      <c r="A22" s="32" t="s">
        <v>85</v>
      </c>
      <c r="B22" s="33"/>
      <c r="C22" s="11"/>
      <c r="D22" s="11">
        <v>490.32900000000001</v>
      </c>
      <c r="E22" s="11">
        <v>793.57600000000002</v>
      </c>
      <c r="F22" s="11">
        <v>740.70699999999999</v>
      </c>
      <c r="G22" s="11">
        <v>1133.412</v>
      </c>
      <c r="H22" s="11">
        <v>1615.481</v>
      </c>
      <c r="I22" s="11">
        <v>1046.2670000000001</v>
      </c>
    </row>
    <row r="23" spans="1:9" x14ac:dyDescent="0.3">
      <c r="A23" s="32" t="s">
        <v>86</v>
      </c>
      <c r="B23" s="33"/>
      <c r="C23" s="11"/>
      <c r="D23" s="11">
        <v>2715.335</v>
      </c>
      <c r="E23" s="11">
        <v>1714.6289999999999</v>
      </c>
      <c r="F23" s="11">
        <v>1407.9590000000001</v>
      </c>
      <c r="G23" s="11">
        <v>1791.577</v>
      </c>
      <c r="H23" s="11">
        <v>1520.2270000000001</v>
      </c>
      <c r="I23" s="11">
        <v>2258.5349999999999</v>
      </c>
    </row>
    <row r="24" spans="1:9" x14ac:dyDescent="0.3">
      <c r="A24" s="34" t="s">
        <v>87</v>
      </c>
      <c r="B24" s="35"/>
      <c r="C24" s="12"/>
      <c r="D24" s="12">
        <f t="shared" ref="D24:I24" si="1">D18+D19+D20+D21+D22+D23</f>
        <v>16923.416000000001</v>
      </c>
      <c r="E24" s="12">
        <f t="shared" si="1"/>
        <v>20321.989000000001</v>
      </c>
      <c r="F24" s="12">
        <f t="shared" si="1"/>
        <v>22239.666999999998</v>
      </c>
      <c r="G24" s="12">
        <f t="shared" si="1"/>
        <v>26867.837</v>
      </c>
      <c r="H24" s="12">
        <f t="shared" si="1"/>
        <v>35752.603999999999</v>
      </c>
      <c r="I24" s="12">
        <f t="shared" si="1"/>
        <v>16607.190999999999</v>
      </c>
    </row>
    <row r="25" spans="1:9" x14ac:dyDescent="0.3">
      <c r="A25" s="34" t="s">
        <v>88</v>
      </c>
      <c r="B25" s="35"/>
      <c r="C25" s="12"/>
      <c r="D25" s="12">
        <f t="shared" ref="D25:I25" si="2">D16+D24</f>
        <v>66239.277999999991</v>
      </c>
      <c r="E25" s="12">
        <f t="shared" si="2"/>
        <v>82214.209999999992</v>
      </c>
      <c r="F25" s="12">
        <f t="shared" si="2"/>
        <v>89707.71100000001</v>
      </c>
      <c r="G25" s="12">
        <f t="shared" si="2"/>
        <v>99365.682000000001</v>
      </c>
      <c r="H25" s="12">
        <f t="shared" si="2"/>
        <v>119106.27099999998</v>
      </c>
      <c r="I25" s="12">
        <f t="shared" si="2"/>
        <v>66009.771000000008</v>
      </c>
    </row>
    <row r="26" spans="1:9" x14ac:dyDescent="0.3">
      <c r="A26" s="30" t="s">
        <v>89</v>
      </c>
      <c r="B26" s="31"/>
      <c r="C26" s="10"/>
      <c r="D26" s="10"/>
      <c r="E26" s="10"/>
      <c r="F26" s="10"/>
      <c r="G26" s="10"/>
      <c r="H26" s="10"/>
      <c r="I26" s="10"/>
    </row>
    <row r="27" spans="1:9" x14ac:dyDescent="0.3">
      <c r="A27" s="32" t="s">
        <v>90</v>
      </c>
      <c r="B27" s="33"/>
      <c r="C27" s="11"/>
      <c r="D27" s="11">
        <v>10983.462</v>
      </c>
      <c r="E27" s="11">
        <v>10983.462</v>
      </c>
      <c r="F27" s="11">
        <v>10733.462</v>
      </c>
      <c r="G27" s="11">
        <v>10475.626</v>
      </c>
      <c r="H27" s="11">
        <v>10475.626</v>
      </c>
      <c r="I27" s="11">
        <v>10983.462</v>
      </c>
    </row>
    <row r="28" spans="1:9" x14ac:dyDescent="0.3">
      <c r="A28" s="32" t="s">
        <v>91</v>
      </c>
      <c r="B28" s="33"/>
      <c r="C28" s="11"/>
      <c r="D28" s="11">
        <v>26559.079000000002</v>
      </c>
      <c r="E28" s="11">
        <v>29575.553</v>
      </c>
      <c r="F28" s="11">
        <v>34179.652000000002</v>
      </c>
      <c r="G28" s="11">
        <v>42140.281999999999</v>
      </c>
      <c r="H28" s="11">
        <v>60985.966</v>
      </c>
      <c r="I28" s="11">
        <v>20337.368999999999</v>
      </c>
    </row>
    <row r="29" spans="1:9" x14ac:dyDescent="0.3">
      <c r="A29" s="34" t="s">
        <v>92</v>
      </c>
      <c r="B29" s="35"/>
      <c r="C29" s="12"/>
      <c r="D29" s="12">
        <f t="shared" ref="D29:I29" si="3">D27+D28</f>
        <v>37542.540999999997</v>
      </c>
      <c r="E29" s="12">
        <f t="shared" si="3"/>
        <v>40559.014999999999</v>
      </c>
      <c r="F29" s="12">
        <f t="shared" si="3"/>
        <v>44913.114000000001</v>
      </c>
      <c r="G29" s="12">
        <f t="shared" si="3"/>
        <v>52615.907999999996</v>
      </c>
      <c r="H29" s="12">
        <f t="shared" si="3"/>
        <v>71461.592000000004</v>
      </c>
      <c r="I29" s="12">
        <f t="shared" si="3"/>
        <v>31320.830999999998</v>
      </c>
    </row>
    <row r="30" spans="1:9" x14ac:dyDescent="0.3">
      <c r="A30" s="30" t="s">
        <v>93</v>
      </c>
      <c r="B30" s="31"/>
      <c r="C30" s="10"/>
      <c r="D30" s="10"/>
      <c r="E30" s="10"/>
      <c r="F30" s="10"/>
      <c r="G30" s="10"/>
      <c r="H30" s="10"/>
      <c r="I30" s="10"/>
    </row>
    <row r="31" spans="1:9" x14ac:dyDescent="0.3">
      <c r="A31" s="32" t="s">
        <v>94</v>
      </c>
      <c r="B31" s="33"/>
      <c r="C31" s="11"/>
      <c r="D31" s="11">
        <v>12636.749</v>
      </c>
      <c r="E31" s="11">
        <v>18747.867999999999</v>
      </c>
      <c r="F31" s="11">
        <v>17233.337</v>
      </c>
      <c r="G31" s="11">
        <v>14285.786</v>
      </c>
      <c r="H31" s="11">
        <v>9781.6389999999992</v>
      </c>
      <c r="I31" s="11">
        <v>15173.102000000001</v>
      </c>
    </row>
    <row r="32" spans="1:9" x14ac:dyDescent="0.3">
      <c r="A32" s="32" t="s">
        <v>95</v>
      </c>
      <c r="B32" s="33"/>
      <c r="C32" s="11"/>
      <c r="D32" s="11">
        <v>0</v>
      </c>
      <c r="E32" s="11">
        <v>27.135999999999999</v>
      </c>
      <c r="F32" s="11">
        <v>31.408000000000001</v>
      </c>
      <c r="G32" s="11">
        <v>34.67</v>
      </c>
      <c r="H32" s="11">
        <v>28.495000000000001</v>
      </c>
      <c r="I32" s="11">
        <v>0</v>
      </c>
    </row>
    <row r="33" spans="1:9" x14ac:dyDescent="0.3">
      <c r="A33" s="32" t="s">
        <v>96</v>
      </c>
      <c r="B33" s="33"/>
      <c r="C33" s="11"/>
      <c r="D33" s="11">
        <v>49.569000000000003</v>
      </c>
      <c r="E33" s="11">
        <v>786.75800000000004</v>
      </c>
      <c r="F33" s="11">
        <v>605.92600000000004</v>
      </c>
      <c r="G33" s="11">
        <v>450.48700000000002</v>
      </c>
      <c r="H33" s="11">
        <v>322.30399999999997</v>
      </c>
      <c r="I33" s="11">
        <v>0</v>
      </c>
    </row>
    <row r="34" spans="1:9" x14ac:dyDescent="0.3">
      <c r="A34" s="32" t="s">
        <v>97</v>
      </c>
      <c r="B34" s="33"/>
      <c r="C34" s="11"/>
      <c r="D34" s="11">
        <v>3889.9070000000002</v>
      </c>
      <c r="E34" s="11">
        <v>5656.4989999999998</v>
      </c>
      <c r="F34" s="11">
        <v>8669.2109999999993</v>
      </c>
      <c r="G34" s="11">
        <v>13044.29</v>
      </c>
      <c r="H34" s="11">
        <v>13822.897999999999</v>
      </c>
      <c r="I34" s="11">
        <v>3379.44</v>
      </c>
    </row>
    <row r="35" spans="1:9" x14ac:dyDescent="0.3">
      <c r="A35" s="32" t="s">
        <v>98</v>
      </c>
      <c r="B35" s="33"/>
      <c r="C35" s="11"/>
      <c r="D35" s="11">
        <v>671.06399999999996</v>
      </c>
      <c r="E35" s="11">
        <v>243.54300000000001</v>
      </c>
      <c r="F35" s="11">
        <v>2039.694</v>
      </c>
      <c r="G35" s="11">
        <v>336.74099999999999</v>
      </c>
      <c r="H35" s="11">
        <v>358.85199999999998</v>
      </c>
      <c r="I35" s="11">
        <v>822.62300000000005</v>
      </c>
    </row>
    <row r="36" spans="1:9" x14ac:dyDescent="0.3">
      <c r="A36" s="34" t="s">
        <v>99</v>
      </c>
      <c r="B36" s="35"/>
      <c r="C36" s="12"/>
      <c r="D36" s="12">
        <f t="shared" ref="D36:I36" si="4">D31+D32+D33+D34+D35</f>
        <v>17247.288999999997</v>
      </c>
      <c r="E36" s="12">
        <f t="shared" si="4"/>
        <v>25461.804</v>
      </c>
      <c r="F36" s="12">
        <f t="shared" si="4"/>
        <v>28579.575999999997</v>
      </c>
      <c r="G36" s="12">
        <f t="shared" si="4"/>
        <v>28151.974000000002</v>
      </c>
      <c r="H36" s="12">
        <f t="shared" si="4"/>
        <v>24314.187999999998</v>
      </c>
      <c r="I36" s="12">
        <f t="shared" si="4"/>
        <v>19375.165000000001</v>
      </c>
    </row>
    <row r="37" spans="1:9" x14ac:dyDescent="0.3">
      <c r="A37" s="30" t="s">
        <v>100</v>
      </c>
      <c r="B37" s="31"/>
      <c r="C37" s="10"/>
      <c r="D37" s="10"/>
      <c r="E37" s="10"/>
      <c r="F37" s="10"/>
      <c r="G37" s="10"/>
      <c r="H37" s="10"/>
      <c r="I37" s="10"/>
    </row>
    <row r="38" spans="1:9" x14ac:dyDescent="0.3">
      <c r="A38" s="32" t="s">
        <v>101</v>
      </c>
      <c r="B38" s="33"/>
      <c r="C38" s="11"/>
      <c r="D38" s="11">
        <v>7511.6369999999997</v>
      </c>
      <c r="E38" s="11">
        <v>9117.4140000000007</v>
      </c>
      <c r="F38" s="11">
        <v>12518.18</v>
      </c>
      <c r="G38" s="11">
        <v>12482.233</v>
      </c>
      <c r="H38" s="11">
        <v>17926.267</v>
      </c>
      <c r="I38" s="11">
        <v>7951.2209999999995</v>
      </c>
    </row>
    <row r="39" spans="1:9" x14ac:dyDescent="0.3">
      <c r="A39" s="32" t="s">
        <v>102</v>
      </c>
      <c r="B39" s="33"/>
      <c r="C39" s="11"/>
      <c r="D39" s="11">
        <v>0</v>
      </c>
      <c r="E39" s="11">
        <v>0</v>
      </c>
      <c r="F39" s="11">
        <v>0</v>
      </c>
      <c r="G39" s="11">
        <v>0</v>
      </c>
      <c r="H39" s="11">
        <v>0</v>
      </c>
      <c r="I39" s="11">
        <v>0</v>
      </c>
    </row>
    <row r="40" spans="1:9" x14ac:dyDescent="0.3">
      <c r="A40" s="32" t="s">
        <v>103</v>
      </c>
      <c r="B40" s="33"/>
      <c r="C40" s="11"/>
      <c r="D40" s="11">
        <v>260.95299999999997</v>
      </c>
      <c r="E40" s="11">
        <v>665.12199999999996</v>
      </c>
      <c r="F40" s="11">
        <v>880.03899999999999</v>
      </c>
      <c r="G40" s="11">
        <v>865.94500000000005</v>
      </c>
      <c r="H40" s="11">
        <v>320.43400000000003</v>
      </c>
      <c r="I40" s="11">
        <v>547.18899999999996</v>
      </c>
    </row>
    <row r="41" spans="1:9" x14ac:dyDescent="0.3">
      <c r="A41" s="32" t="s">
        <v>104</v>
      </c>
      <c r="B41" s="33"/>
      <c r="C41" s="11"/>
      <c r="D41" s="11">
        <v>1894.115</v>
      </c>
      <c r="E41" s="11">
        <v>3572.0729999999999</v>
      </c>
      <c r="F41" s="11">
        <v>0</v>
      </c>
      <c r="G41" s="11">
        <v>1645.316</v>
      </c>
      <c r="H41" s="11">
        <v>822.28499999999997</v>
      </c>
      <c r="I41" s="11">
        <v>6642.3119999999999</v>
      </c>
    </row>
    <row r="42" spans="1:9" x14ac:dyDescent="0.3">
      <c r="A42" s="32" t="s">
        <v>105</v>
      </c>
      <c r="B42" s="33"/>
      <c r="C42" s="11"/>
      <c r="D42" s="11">
        <v>1704.6120000000001</v>
      </c>
      <c r="E42" s="11">
        <v>2619.8000000000002</v>
      </c>
      <c r="F42" s="11">
        <v>2599.4009999999998</v>
      </c>
      <c r="G42" s="11">
        <v>3407.7020000000002</v>
      </c>
      <c r="H42" s="11">
        <v>3933.328</v>
      </c>
      <c r="I42" s="11">
        <v>125</v>
      </c>
    </row>
    <row r="43" spans="1:9" x14ac:dyDescent="0.3">
      <c r="A43" s="32" t="s">
        <v>106</v>
      </c>
      <c r="B43" s="33"/>
      <c r="C43" s="11"/>
      <c r="D43" s="11">
        <v>0</v>
      </c>
      <c r="E43" s="11">
        <v>6.8369999999999997</v>
      </c>
      <c r="F43" s="11">
        <v>10.257</v>
      </c>
      <c r="G43" s="11">
        <v>13.909000000000001</v>
      </c>
      <c r="H43" s="11">
        <v>14.323</v>
      </c>
      <c r="I43" s="11">
        <v>0</v>
      </c>
    </row>
    <row r="44" spans="1:9" x14ac:dyDescent="0.3">
      <c r="A44" s="32" t="s">
        <v>107</v>
      </c>
      <c r="B44" s="33"/>
      <c r="C44" s="11"/>
      <c r="D44" s="11">
        <v>49.997</v>
      </c>
      <c r="E44" s="11">
        <v>184.57599999999999</v>
      </c>
      <c r="F44" s="11">
        <v>179.76599999999999</v>
      </c>
      <c r="G44" s="11">
        <v>155.43899999999999</v>
      </c>
      <c r="H44" s="11">
        <v>128.18299999999999</v>
      </c>
      <c r="I44" s="11">
        <v>0</v>
      </c>
    </row>
    <row r="45" spans="1:9" x14ac:dyDescent="0.3">
      <c r="A45" s="32" t="s">
        <v>108</v>
      </c>
      <c r="B45" s="33"/>
      <c r="C45" s="11"/>
      <c r="D45" s="11">
        <v>28.134</v>
      </c>
      <c r="E45" s="11">
        <v>27.568999999999999</v>
      </c>
      <c r="F45" s="11">
        <v>27.378</v>
      </c>
      <c r="G45" s="11">
        <v>27.256</v>
      </c>
      <c r="H45" s="11">
        <v>26.876999999999999</v>
      </c>
      <c r="I45" s="11">
        <v>48.052999999999997</v>
      </c>
    </row>
    <row r="46" spans="1:9" x14ac:dyDescent="0.3">
      <c r="A46" s="32" t="s">
        <v>109</v>
      </c>
      <c r="B46" s="33"/>
      <c r="C46" s="11"/>
      <c r="D46" s="11">
        <v>0</v>
      </c>
      <c r="E46" s="11">
        <v>0</v>
      </c>
      <c r="F46" s="11">
        <v>0</v>
      </c>
      <c r="G46" s="11">
        <v>0</v>
      </c>
      <c r="H46" s="11">
        <v>158.79400000000001</v>
      </c>
      <c r="I46" s="11">
        <v>0</v>
      </c>
    </row>
    <row r="47" spans="1:9" x14ac:dyDescent="0.3">
      <c r="A47" s="32" t="s">
        <v>110</v>
      </c>
      <c r="B47" s="33"/>
      <c r="C47" s="11"/>
      <c r="D47" s="11">
        <v>0</v>
      </c>
      <c r="E47" s="11">
        <v>0</v>
      </c>
      <c r="F47" s="11">
        <v>0</v>
      </c>
      <c r="G47" s="11">
        <v>0</v>
      </c>
      <c r="H47" s="11">
        <v>0</v>
      </c>
      <c r="I47" s="11">
        <v>0</v>
      </c>
    </row>
    <row r="48" spans="1:9" x14ac:dyDescent="0.3">
      <c r="A48" s="34" t="s">
        <v>111</v>
      </c>
      <c r="B48" s="35"/>
      <c r="C48" s="12"/>
      <c r="D48" s="12">
        <f t="shared" ref="D48:I48" si="5">D38+D39+D40+D41+D42+D43+D44+D45+D46+D47</f>
        <v>11449.447999999999</v>
      </c>
      <c r="E48" s="12">
        <f t="shared" si="5"/>
        <v>16193.390999999998</v>
      </c>
      <c r="F48" s="12">
        <f t="shared" si="5"/>
        <v>16215.021000000001</v>
      </c>
      <c r="G48" s="12">
        <f t="shared" si="5"/>
        <v>18597.8</v>
      </c>
      <c r="H48" s="12">
        <f t="shared" si="5"/>
        <v>23330.491000000005</v>
      </c>
      <c r="I48" s="12">
        <f t="shared" si="5"/>
        <v>15313.775</v>
      </c>
    </row>
    <row r="49" spans="1:9" x14ac:dyDescent="0.3">
      <c r="A49" s="34" t="s">
        <v>112</v>
      </c>
      <c r="B49" s="35"/>
      <c r="C49" s="12"/>
      <c r="D49" s="12">
        <f t="shared" ref="D49:I49" si="6">D36+D48</f>
        <v>28696.736999999994</v>
      </c>
      <c r="E49" s="12">
        <f t="shared" si="6"/>
        <v>41655.195</v>
      </c>
      <c r="F49" s="12">
        <f t="shared" si="6"/>
        <v>44794.596999999994</v>
      </c>
      <c r="G49" s="12">
        <f t="shared" si="6"/>
        <v>46749.774000000005</v>
      </c>
      <c r="H49" s="12">
        <f t="shared" si="6"/>
        <v>47644.679000000004</v>
      </c>
      <c r="I49" s="12">
        <f t="shared" si="6"/>
        <v>34688.94</v>
      </c>
    </row>
    <row r="50" spans="1:9" x14ac:dyDescent="0.3">
      <c r="A50" s="34" t="s">
        <v>113</v>
      </c>
      <c r="B50" s="35"/>
      <c r="C50" s="12"/>
      <c r="D50" s="12">
        <f t="shared" ref="D50:I50" si="7">D29+D49</f>
        <v>66239.277999999991</v>
      </c>
      <c r="E50" s="12">
        <f t="shared" si="7"/>
        <v>82214.209999999992</v>
      </c>
      <c r="F50" s="12">
        <f t="shared" si="7"/>
        <v>89707.710999999996</v>
      </c>
      <c r="G50" s="12">
        <f t="shared" si="7"/>
        <v>99365.682000000001</v>
      </c>
      <c r="H50" s="12">
        <f t="shared" si="7"/>
        <v>119106.27100000001</v>
      </c>
      <c r="I50" s="12">
        <f t="shared" si="7"/>
        <v>66009.771000000008</v>
      </c>
    </row>
    <row r="51" spans="1:9" x14ac:dyDescent="0.3">
      <c r="A51" s="30" t="s">
        <v>114</v>
      </c>
      <c r="B51" s="31"/>
      <c r="C51" s="10"/>
      <c r="D51" s="10"/>
      <c r="E51" s="10"/>
      <c r="F51" s="10"/>
      <c r="G51" s="10"/>
      <c r="H51" s="10"/>
      <c r="I51" s="10"/>
    </row>
    <row r="52" spans="1:9" x14ac:dyDescent="0.3">
      <c r="A52" s="32" t="s">
        <v>115</v>
      </c>
      <c r="B52" s="33"/>
      <c r="C52" s="11"/>
      <c r="D52" s="11">
        <f>3515.408+D199</f>
        <v>3576.6320000000001</v>
      </c>
      <c r="E52" s="11">
        <f>3975.712+E199</f>
        <v>4108.3069999999998</v>
      </c>
      <c r="F52" s="11">
        <f>4804.356+F199</f>
        <v>6676.2209999999995</v>
      </c>
      <c r="G52" s="11">
        <f>4575.18+G199</f>
        <v>5396.6050000000005</v>
      </c>
      <c r="H52" s="11">
        <f>5869.802+H199</f>
        <v>7322.7829999999994</v>
      </c>
      <c r="I52" s="11">
        <f>3886.684+I199</f>
        <v>4173.9430000000002</v>
      </c>
    </row>
    <row r="53" spans="1:9" x14ac:dyDescent="0.3">
      <c r="A53" s="32" t="s">
        <v>116</v>
      </c>
      <c r="B53" s="33"/>
      <c r="C53" s="11"/>
      <c r="D53" s="11">
        <f t="shared" ref="D53:I53" si="8">D9-D10</f>
        <v>41361.245999999999</v>
      </c>
      <c r="E53" s="11">
        <f t="shared" si="8"/>
        <v>41432.039999999994</v>
      </c>
      <c r="F53" s="11">
        <f t="shared" si="8"/>
        <v>60677.811999999998</v>
      </c>
      <c r="G53" s="11">
        <f t="shared" si="8"/>
        <v>65524.423999999999</v>
      </c>
      <c r="H53" s="11">
        <f t="shared" si="8"/>
        <v>62710.508000000002</v>
      </c>
      <c r="I53" s="11">
        <f t="shared" si="8"/>
        <v>43426.555</v>
      </c>
    </row>
    <row r="54" spans="1:9" x14ac:dyDescent="0.3">
      <c r="A54" s="32" t="s">
        <v>117</v>
      </c>
      <c r="B54" s="33"/>
      <c r="C54" s="11"/>
      <c r="D54" s="11">
        <f t="shared" ref="D54:I54" si="9">D18+D19</f>
        <v>11888.900000000001</v>
      </c>
      <c r="E54" s="11">
        <f t="shared" si="9"/>
        <v>15549.225999999999</v>
      </c>
      <c r="F54" s="11">
        <f t="shared" si="9"/>
        <v>13800.46</v>
      </c>
      <c r="G54" s="11">
        <f t="shared" si="9"/>
        <v>15533.841</v>
      </c>
      <c r="H54" s="11">
        <f t="shared" si="9"/>
        <v>16904.300999999999</v>
      </c>
      <c r="I54" s="11">
        <f t="shared" si="9"/>
        <v>10175.014000000001</v>
      </c>
    </row>
    <row r="55" spans="1:9" x14ac:dyDescent="0.3">
      <c r="A55" s="32" t="s">
        <v>118</v>
      </c>
      <c r="B55" s="33"/>
      <c r="C55" s="11"/>
      <c r="D55" s="11">
        <f t="shared" ref="D55:I55" si="10">D31+D32+D41+D42+D43-D197-D198</f>
        <v>16235.475999999999</v>
      </c>
      <c r="E55" s="11">
        <f t="shared" si="10"/>
        <v>24973.713999999996</v>
      </c>
      <c r="F55" s="11">
        <f t="shared" si="10"/>
        <v>19874.403000000002</v>
      </c>
      <c r="G55" s="11">
        <f t="shared" si="10"/>
        <v>19387.383000000002</v>
      </c>
      <c r="H55" s="11">
        <f t="shared" si="10"/>
        <v>14580.07</v>
      </c>
      <c r="I55" s="11">
        <f t="shared" si="10"/>
        <v>21940.414000000001</v>
      </c>
    </row>
    <row r="56" spans="1:9" x14ac:dyDescent="0.3">
      <c r="A56" s="32" t="s">
        <v>119</v>
      </c>
      <c r="B56" s="33"/>
      <c r="C56" s="11"/>
      <c r="D56" s="11">
        <f t="shared" ref="D56:I56" si="11">D31+D32</f>
        <v>12636.749</v>
      </c>
      <c r="E56" s="11">
        <f t="shared" si="11"/>
        <v>18775.003999999997</v>
      </c>
      <c r="F56" s="11">
        <f t="shared" si="11"/>
        <v>17264.744999999999</v>
      </c>
      <c r="G56" s="11">
        <f t="shared" si="11"/>
        <v>14320.456</v>
      </c>
      <c r="H56" s="11">
        <f t="shared" si="11"/>
        <v>9810.134</v>
      </c>
      <c r="I56" s="11">
        <f t="shared" si="11"/>
        <v>15173.102000000001</v>
      </c>
    </row>
    <row r="57" spans="1:9" x14ac:dyDescent="0.3">
      <c r="A57" s="32"/>
      <c r="B57" s="33"/>
      <c r="C57" s="11"/>
      <c r="D57" s="11"/>
      <c r="E57" s="11"/>
      <c r="F57" s="11"/>
      <c r="G57" s="11"/>
      <c r="H57" s="11"/>
      <c r="I57" s="11"/>
    </row>
    <row r="58" spans="1:9" x14ac:dyDescent="0.3">
      <c r="A58" s="32" t="s">
        <v>120</v>
      </c>
      <c r="B58" s="33"/>
      <c r="C58" s="11"/>
      <c r="D58" s="11">
        <f t="shared" ref="D58:I58" si="12">D55+D29</f>
        <v>53778.016999999993</v>
      </c>
      <c r="E58" s="11">
        <f t="shared" si="12"/>
        <v>65532.728999999992</v>
      </c>
      <c r="F58" s="11">
        <f t="shared" si="12"/>
        <v>64787.517000000007</v>
      </c>
      <c r="G58" s="11">
        <f t="shared" si="12"/>
        <v>72003.290999999997</v>
      </c>
      <c r="H58" s="11">
        <f t="shared" si="12"/>
        <v>86041.662000000011</v>
      </c>
      <c r="I58" s="11">
        <f t="shared" si="12"/>
        <v>53261.244999999995</v>
      </c>
    </row>
    <row r="59" spans="1:9" x14ac:dyDescent="0.3">
      <c r="A59" s="32" t="s">
        <v>121</v>
      </c>
      <c r="B59" s="33"/>
      <c r="C59" s="11"/>
      <c r="D59" s="11">
        <f t="shared" ref="D59:I59" si="13">D24-D22-D21</f>
        <v>16283.939</v>
      </c>
      <c r="E59" s="11">
        <f t="shared" si="13"/>
        <v>19330.066999999999</v>
      </c>
      <c r="F59" s="11">
        <f t="shared" si="13"/>
        <v>17809.403999999999</v>
      </c>
      <c r="G59" s="11">
        <f t="shared" si="13"/>
        <v>21514.163</v>
      </c>
      <c r="H59" s="11">
        <f t="shared" si="13"/>
        <v>23034.71</v>
      </c>
      <c r="I59" s="11">
        <f t="shared" si="13"/>
        <v>15485.678999999998</v>
      </c>
    </row>
    <row r="60" spans="1:9" x14ac:dyDescent="0.3">
      <c r="A60" s="32" t="s">
        <v>122</v>
      </c>
      <c r="B60" s="33"/>
      <c r="C60" s="11"/>
      <c r="D60" s="11">
        <f t="shared" ref="D60:I60" si="14">D48-D41-D42-D43-D44-D40-D45</f>
        <v>7511.6369999999988</v>
      </c>
      <c r="E60" s="11">
        <f t="shared" si="14"/>
        <v>9117.4139999999989</v>
      </c>
      <c r="F60" s="11">
        <f t="shared" si="14"/>
        <v>12518.18</v>
      </c>
      <c r="G60" s="11">
        <f t="shared" si="14"/>
        <v>12482.233</v>
      </c>
      <c r="H60" s="11">
        <f t="shared" si="14"/>
        <v>18085.061000000002</v>
      </c>
      <c r="I60" s="11">
        <f t="shared" si="14"/>
        <v>7951.2209999999995</v>
      </c>
    </row>
    <row r="61" spans="1:9" x14ac:dyDescent="0.3">
      <c r="A61" s="23"/>
      <c r="B61" s="23"/>
    </row>
    <row r="62" spans="1:9" ht="19.5" customHeight="1" x14ac:dyDescent="0.3">
      <c r="A62" s="26" t="s">
        <v>123</v>
      </c>
      <c r="B62" s="27"/>
      <c r="C62" s="3"/>
      <c r="D62" s="3"/>
      <c r="E62" s="3"/>
      <c r="F62" s="3"/>
      <c r="G62" s="3"/>
      <c r="H62" s="3"/>
      <c r="I62" s="3"/>
    </row>
    <row r="63" spans="1:9" ht="16.5" customHeight="1" x14ac:dyDescent="0.3">
      <c r="A63" s="28" t="s">
        <v>64</v>
      </c>
      <c r="B63" s="29"/>
      <c r="C63" s="9"/>
      <c r="D63" s="9" t="s">
        <v>65</v>
      </c>
      <c r="E63" s="9" t="s">
        <v>66</v>
      </c>
      <c r="F63" s="9" t="s">
        <v>67</v>
      </c>
      <c r="G63" s="9" t="s">
        <v>68</v>
      </c>
      <c r="H63" s="9" t="s">
        <v>69</v>
      </c>
      <c r="I63" s="9" t="s">
        <v>70</v>
      </c>
    </row>
    <row r="64" spans="1:9" x14ac:dyDescent="0.3">
      <c r="A64" s="32" t="s">
        <v>124</v>
      </c>
      <c r="B64" s="33"/>
      <c r="C64" s="11"/>
      <c r="D64" s="11">
        <v>35538.300999999999</v>
      </c>
      <c r="E64" s="11">
        <v>48519.622000000003</v>
      </c>
      <c r="F64" s="11">
        <v>62075.258999999998</v>
      </c>
      <c r="G64" s="11">
        <v>66452.347999999998</v>
      </c>
      <c r="H64" s="11">
        <v>68942.445999999996</v>
      </c>
      <c r="I64" s="11">
        <v>29117.734</v>
      </c>
    </row>
    <row r="65" spans="1:9" x14ac:dyDescent="0.3">
      <c r="A65" s="32" t="s">
        <v>125</v>
      </c>
      <c r="B65" s="33"/>
      <c r="C65" s="11"/>
      <c r="D65" s="11">
        <v>-28135.419000000002</v>
      </c>
      <c r="E65" s="11">
        <v>-36244.156000000003</v>
      </c>
      <c r="F65" s="11">
        <v>-43901.906000000003</v>
      </c>
      <c r="G65" s="11">
        <v>-45488.063999999998</v>
      </c>
      <c r="H65" s="11">
        <v>-45195.63</v>
      </c>
      <c r="I65" s="11">
        <v>-29816.947</v>
      </c>
    </row>
    <row r="66" spans="1:9" x14ac:dyDescent="0.3">
      <c r="A66" s="34" t="s">
        <v>126</v>
      </c>
      <c r="B66" s="35"/>
      <c r="C66" s="12"/>
      <c r="D66" s="12">
        <f t="shared" ref="D66:I66" si="15">D64+D65</f>
        <v>7402.8819999999978</v>
      </c>
      <c r="E66" s="12">
        <f t="shared" si="15"/>
        <v>12275.466</v>
      </c>
      <c r="F66" s="12">
        <f t="shared" si="15"/>
        <v>18173.352999999996</v>
      </c>
      <c r="G66" s="12">
        <f t="shared" si="15"/>
        <v>20964.284</v>
      </c>
      <c r="H66" s="12">
        <f t="shared" si="15"/>
        <v>23746.815999999999</v>
      </c>
      <c r="I66" s="12">
        <f t="shared" si="15"/>
        <v>-699.21299999999974</v>
      </c>
    </row>
    <row r="67" spans="1:9" x14ac:dyDescent="0.3">
      <c r="A67" s="32" t="s">
        <v>127</v>
      </c>
      <c r="B67" s="33"/>
      <c r="C67" s="11"/>
      <c r="D67" s="11">
        <v>-1013.852</v>
      </c>
      <c r="E67" s="11">
        <v>-1483.876</v>
      </c>
      <c r="F67" s="11">
        <v>-3751.096</v>
      </c>
      <c r="G67" s="11">
        <v>-5471.808</v>
      </c>
      <c r="H67" s="11">
        <v>-4123.7539999999999</v>
      </c>
      <c r="I67" s="11">
        <v>-845.37900000000002</v>
      </c>
    </row>
    <row r="68" spans="1:9" x14ac:dyDescent="0.3">
      <c r="A68" s="32" t="s">
        <v>128</v>
      </c>
      <c r="B68" s="33"/>
      <c r="C68" s="11"/>
      <c r="D68" s="11">
        <v>-813.48900000000003</v>
      </c>
      <c r="E68" s="11">
        <v>-971.45299999999997</v>
      </c>
      <c r="F68" s="11">
        <v>-1380.607</v>
      </c>
      <c r="G68" s="11">
        <v>-1852.1479999999999</v>
      </c>
      <c r="H68" s="11">
        <v>-2176.3200000000002</v>
      </c>
      <c r="I68" s="11">
        <v>-784.70600000000002</v>
      </c>
    </row>
    <row r="69" spans="1:9" x14ac:dyDescent="0.3">
      <c r="A69" s="32" t="s">
        <v>129</v>
      </c>
      <c r="B69" s="33"/>
      <c r="C69" s="11"/>
      <c r="D69" s="11">
        <v>0</v>
      </c>
      <c r="E69" s="11">
        <v>-209.92</v>
      </c>
      <c r="F69" s="11">
        <v>-191.42099999999999</v>
      </c>
      <c r="G69" s="11">
        <v>-357.19099999999997</v>
      </c>
      <c r="H69" s="11">
        <v>-514.42999999999995</v>
      </c>
      <c r="I69" s="11">
        <v>0</v>
      </c>
    </row>
    <row r="70" spans="1:9" x14ac:dyDescent="0.3">
      <c r="A70" s="32" t="s">
        <v>130</v>
      </c>
      <c r="B70" s="33"/>
      <c r="C70" s="11"/>
      <c r="D70" s="11">
        <v>-524.14200000000005</v>
      </c>
      <c r="E70" s="11">
        <v>-742.28</v>
      </c>
      <c r="F70" s="11">
        <v>-995.46</v>
      </c>
      <c r="G70" s="11">
        <v>-569.54499999999996</v>
      </c>
      <c r="H70" s="11">
        <v>-1207.018</v>
      </c>
      <c r="I70" s="11">
        <v>-89.998999999999995</v>
      </c>
    </row>
    <row r="71" spans="1:9" x14ac:dyDescent="0.3">
      <c r="A71" s="34" t="s">
        <v>131</v>
      </c>
      <c r="B71" s="35"/>
      <c r="C71" s="12"/>
      <c r="D71" s="12">
        <f t="shared" ref="D71:I71" si="16">D66+D67+D68+D69+D70</f>
        <v>5051.3989999999976</v>
      </c>
      <c r="E71" s="12">
        <f t="shared" si="16"/>
        <v>8867.9369999999999</v>
      </c>
      <c r="F71" s="12">
        <f t="shared" si="16"/>
        <v>11854.768999999997</v>
      </c>
      <c r="G71" s="12">
        <f t="shared" si="16"/>
        <v>12713.591999999999</v>
      </c>
      <c r="H71" s="12">
        <f t="shared" si="16"/>
        <v>15725.293999999998</v>
      </c>
      <c r="I71" s="12">
        <f t="shared" si="16"/>
        <v>-2419.2969999999996</v>
      </c>
    </row>
    <row r="72" spans="1:9" x14ac:dyDescent="0.3">
      <c r="A72" s="32" t="s">
        <v>132</v>
      </c>
      <c r="B72" s="33"/>
      <c r="C72" s="11"/>
      <c r="D72" s="11">
        <v>3732.1320000000001</v>
      </c>
      <c r="E72" s="11">
        <v>56.600999999999999</v>
      </c>
      <c r="F72" s="11">
        <v>146.64599999999999</v>
      </c>
      <c r="G72" s="11">
        <v>238.45099999999999</v>
      </c>
      <c r="H72" s="11">
        <v>8462.6560000000009</v>
      </c>
      <c r="I72" s="11">
        <v>131.97800000000001</v>
      </c>
    </row>
    <row r="73" spans="1:9" x14ac:dyDescent="0.3">
      <c r="A73" s="32" t="s">
        <v>133</v>
      </c>
      <c r="B73" s="33"/>
      <c r="C73" s="11"/>
      <c r="D73" s="11">
        <v>0</v>
      </c>
      <c r="E73" s="11">
        <v>0</v>
      </c>
      <c r="F73" s="11">
        <v>0</v>
      </c>
      <c r="G73" s="11">
        <v>117.691</v>
      </c>
      <c r="H73" s="11">
        <v>1031.075</v>
      </c>
      <c r="I73" s="11">
        <v>0</v>
      </c>
    </row>
    <row r="74" spans="1:9" x14ac:dyDescent="0.3">
      <c r="A74" s="32" t="s">
        <v>134</v>
      </c>
      <c r="B74" s="33"/>
      <c r="C74" s="11"/>
      <c r="D74" s="11">
        <v>0</v>
      </c>
      <c r="E74" s="11">
        <v>0</v>
      </c>
      <c r="F74" s="11">
        <v>0</v>
      </c>
      <c r="G74" s="11">
        <v>0</v>
      </c>
      <c r="H74" s="11">
        <v>0</v>
      </c>
      <c r="I74" s="11">
        <v>0</v>
      </c>
    </row>
    <row r="75" spans="1:9" x14ac:dyDescent="0.3">
      <c r="A75" s="32" t="s">
        <v>135</v>
      </c>
      <c r="B75" s="33"/>
      <c r="C75" s="11"/>
      <c r="D75" s="11">
        <v>-1493.93</v>
      </c>
      <c r="E75" s="11">
        <v>-1741.0260000000001</v>
      </c>
      <c r="F75" s="11">
        <v>-2750.748</v>
      </c>
      <c r="G75" s="11">
        <v>-4138.2860000000001</v>
      </c>
      <c r="H75" s="11">
        <v>-3554.788</v>
      </c>
      <c r="I75" s="11">
        <v>-2981.7220000000002</v>
      </c>
    </row>
    <row r="76" spans="1:9" x14ac:dyDescent="0.3">
      <c r="A76" s="34" t="s">
        <v>136</v>
      </c>
      <c r="B76" s="35"/>
      <c r="C76" s="12"/>
      <c r="D76" s="12">
        <f t="shared" ref="D76:I76" si="17">D71+D72+D73+D74+D75</f>
        <v>7289.6009999999969</v>
      </c>
      <c r="E76" s="12">
        <f t="shared" si="17"/>
        <v>7183.5120000000006</v>
      </c>
      <c r="F76" s="12">
        <f t="shared" si="17"/>
        <v>9250.6669999999976</v>
      </c>
      <c r="G76" s="12">
        <f t="shared" si="17"/>
        <v>8931.4479999999985</v>
      </c>
      <c r="H76" s="12">
        <f t="shared" si="17"/>
        <v>21664.236999999997</v>
      </c>
      <c r="I76" s="12">
        <f t="shared" si="17"/>
        <v>-5269.0409999999993</v>
      </c>
    </row>
    <row r="77" spans="1:9" x14ac:dyDescent="0.3">
      <c r="A77" s="32" t="s">
        <v>137</v>
      </c>
      <c r="B77" s="33"/>
      <c r="C77" s="11"/>
      <c r="D77" s="11">
        <v>0</v>
      </c>
      <c r="E77" s="11">
        <v>0</v>
      </c>
      <c r="F77" s="11">
        <v>-12.192</v>
      </c>
      <c r="G77" s="11">
        <v>-45.804000000000002</v>
      </c>
      <c r="H77" s="11">
        <v>-38.972000000000001</v>
      </c>
      <c r="I77" s="11">
        <v>0</v>
      </c>
    </row>
    <row r="78" spans="1:9" x14ac:dyDescent="0.3">
      <c r="A78" s="32" t="s">
        <v>138</v>
      </c>
      <c r="B78" s="33"/>
      <c r="C78" s="11"/>
      <c r="D78" s="11">
        <v>-1035.492</v>
      </c>
      <c r="E78" s="11">
        <v>-3557.172</v>
      </c>
      <c r="F78" s="11">
        <v>-4746.8059999999996</v>
      </c>
      <c r="G78" s="11">
        <v>-3613.1170000000002</v>
      </c>
      <c r="H78" s="11">
        <v>-4588.8909999999996</v>
      </c>
      <c r="I78" s="11">
        <v>425.77600000000001</v>
      </c>
    </row>
    <row r="79" spans="1:9" x14ac:dyDescent="0.3">
      <c r="A79" s="34" t="s">
        <v>139</v>
      </c>
      <c r="B79" s="35"/>
      <c r="C79" s="12"/>
      <c r="D79" s="12">
        <f t="shared" ref="D79:I79" si="18">D76+D77+D78</f>
        <v>6254.1089999999967</v>
      </c>
      <c r="E79" s="12">
        <f t="shared" si="18"/>
        <v>3626.3400000000006</v>
      </c>
      <c r="F79" s="12">
        <f t="shared" si="18"/>
        <v>4491.668999999999</v>
      </c>
      <c r="G79" s="12">
        <f t="shared" si="18"/>
        <v>5272.5269999999982</v>
      </c>
      <c r="H79" s="12">
        <f t="shared" si="18"/>
        <v>17036.373999999996</v>
      </c>
      <c r="I79" s="12">
        <f t="shared" si="18"/>
        <v>-4843.2649999999994</v>
      </c>
    </row>
    <row r="80" spans="1:9" x14ac:dyDescent="0.3">
      <c r="A80" s="30" t="s">
        <v>140</v>
      </c>
      <c r="B80" s="31"/>
      <c r="C80" s="10"/>
      <c r="D80" s="10"/>
      <c r="E80" s="10"/>
      <c r="F80" s="10"/>
      <c r="G80" s="10"/>
      <c r="H80" s="10"/>
      <c r="I80" s="10"/>
    </row>
    <row r="81" spans="1:9" x14ac:dyDescent="0.3">
      <c r="A81" s="32" t="s">
        <v>141</v>
      </c>
      <c r="B81" s="33"/>
      <c r="C81" s="11"/>
      <c r="D81" s="11">
        <v>3287.7019999999998</v>
      </c>
      <c r="E81" s="11">
        <v>3233.9769999999999</v>
      </c>
      <c r="F81" s="11">
        <v>3475.3490000000002</v>
      </c>
      <c r="G81" s="11">
        <v>4520.3469999999998</v>
      </c>
      <c r="H81" s="11">
        <v>4413.3</v>
      </c>
      <c r="I81" s="11"/>
    </row>
    <row r="82" spans="1:9" x14ac:dyDescent="0.3">
      <c r="A82" s="32" t="s">
        <v>142</v>
      </c>
      <c r="B82" s="33"/>
      <c r="C82" s="11"/>
      <c r="D82" s="11">
        <f>D76+D85</f>
        <v>8736.8789999999972</v>
      </c>
      <c r="E82" s="11">
        <f>E76+E85</f>
        <v>8873.5370000000003</v>
      </c>
      <c r="F82" s="11">
        <f>F76+F85</f>
        <v>11933.841999999997</v>
      </c>
      <c r="G82" s="11">
        <f>G76+G85</f>
        <v>12986.867999999999</v>
      </c>
      <c r="H82" s="11">
        <f>H76+H85</f>
        <v>25078.190999999999</v>
      </c>
      <c r="I82" s="11">
        <f>I76-I75</f>
        <v>-2287.3189999999991</v>
      </c>
    </row>
    <row r="83" spans="1:9" x14ac:dyDescent="0.3">
      <c r="A83" s="32" t="s">
        <v>143</v>
      </c>
      <c r="B83" s="33"/>
      <c r="C83" s="11"/>
      <c r="D83" s="11">
        <f>D82+D81</f>
        <v>12024.580999999996</v>
      </c>
      <c r="E83" s="11">
        <f>E82+E81</f>
        <v>12107.513999999999</v>
      </c>
      <c r="F83" s="11">
        <f>F82+F81</f>
        <v>15409.190999999997</v>
      </c>
      <c r="G83" s="11">
        <f>G82+G81</f>
        <v>17507.214999999997</v>
      </c>
      <c r="H83" s="11">
        <f>H82+H81</f>
        <v>29491.490999999998</v>
      </c>
      <c r="I83" s="11"/>
    </row>
    <row r="84" spans="1:9" x14ac:dyDescent="0.3">
      <c r="A84" s="32" t="s">
        <v>144</v>
      </c>
      <c r="B84" s="33"/>
      <c r="C84" s="11"/>
      <c r="D84" s="11">
        <v>46.652000000000001</v>
      </c>
      <c r="E84" s="11">
        <v>51.000999999999998</v>
      </c>
      <c r="F84" s="11">
        <v>67.572999999999993</v>
      </c>
      <c r="G84" s="11">
        <v>82.866</v>
      </c>
      <c r="H84" s="11">
        <v>140.834</v>
      </c>
      <c r="I84" s="13"/>
    </row>
    <row r="85" spans="1:9" x14ac:dyDescent="0.3">
      <c r="A85" s="32" t="s">
        <v>145</v>
      </c>
      <c r="B85" s="33"/>
      <c r="C85" s="11"/>
      <c r="D85" s="11">
        <f>-D75-D84</f>
        <v>1447.278</v>
      </c>
      <c r="E85" s="11">
        <f>-E75-E84</f>
        <v>1690.0250000000001</v>
      </c>
      <c r="F85" s="11">
        <f>-F75-F84</f>
        <v>2683.1750000000002</v>
      </c>
      <c r="G85" s="11">
        <f>-G75-G84</f>
        <v>4055.42</v>
      </c>
      <c r="H85" s="11">
        <f>-H75-H84</f>
        <v>3413.9540000000002</v>
      </c>
      <c r="I85" s="13"/>
    </row>
    <row r="86" spans="1:9" x14ac:dyDescent="0.3">
      <c r="A86" s="32" t="s">
        <v>146</v>
      </c>
      <c r="B86" s="33"/>
      <c r="C86" s="14"/>
      <c r="D86" s="14">
        <f>IF(D76&lt;=0,"n/m",-(D77+D78)/D76)</f>
        <v>0.14205057313836525</v>
      </c>
      <c r="E86" s="14">
        <f>IF(E76&lt;=0,"n/m",-(E77+E78)/E76)</f>
        <v>0.49518564178635738</v>
      </c>
      <c r="F86" s="14">
        <f>IF(F76&lt;=0,"n/m",-(F77+F78)/F76)</f>
        <v>0.51444917431359283</v>
      </c>
      <c r="G86" s="14">
        <f>IF(G76&lt;=0,"n/m",-(G77+G78)/G76)</f>
        <v>0.40966716707078188</v>
      </c>
      <c r="H86" s="14">
        <f>IF(H76&lt;=0,"n/m",-(H77+H78)/H76)</f>
        <v>0.21361763167565051</v>
      </c>
      <c r="I86" s="13"/>
    </row>
    <row r="87" spans="1:9" x14ac:dyDescent="0.3">
      <c r="A87" s="32" t="s">
        <v>147</v>
      </c>
      <c r="B87" s="33"/>
      <c r="C87" s="14"/>
      <c r="D87" s="14">
        <f>D86</f>
        <v>0.14205057313836525</v>
      </c>
      <c r="E87" s="14">
        <f>E86</f>
        <v>0.49518564178635738</v>
      </c>
      <c r="F87" s="14">
        <f>F86</f>
        <v>0.51444917431359283</v>
      </c>
      <c r="G87" s="14">
        <f>G86</f>
        <v>0.40966716707078188</v>
      </c>
      <c r="H87" s="14">
        <f>H86</f>
        <v>0.21361763167565051</v>
      </c>
      <c r="I87" s="13"/>
    </row>
    <row r="88" spans="1:9" x14ac:dyDescent="0.3">
      <c r="A88" s="32" t="s">
        <v>148</v>
      </c>
      <c r="B88" s="33"/>
      <c r="C88" s="11"/>
      <c r="D88" s="11">
        <f>IF(ISNUMBER(D87),D82*(1-D87),"n/m")</f>
        <v>7495.8003306094506</v>
      </c>
      <c r="E88" s="11">
        <f>IF(ISNUMBER(E87),E82*(1-E87),"n/m")</f>
        <v>4479.4888857400119</v>
      </c>
      <c r="F88" s="11">
        <f>IF(ISNUMBER(F87),F82*(1-F87),"n/m")</f>
        <v>5794.486836711123</v>
      </c>
      <c r="G88" s="11">
        <f>IF(ISNUMBER(G87),G82*(1-G87),"n/m")</f>
        <v>7666.5745773178087</v>
      </c>
      <c r="H88" s="11">
        <f>IF(ISNUMBER(H87),H82*(1-H87),"n/m")</f>
        <v>19721.047231870387</v>
      </c>
      <c r="I88" s="13"/>
    </row>
    <row r="89" spans="1:9" x14ac:dyDescent="0.3">
      <c r="A89" s="23"/>
      <c r="B89" s="23"/>
    </row>
    <row r="90" spans="1:9" ht="19.5" customHeight="1" x14ac:dyDescent="0.3">
      <c r="A90" s="26" t="s">
        <v>149</v>
      </c>
      <c r="B90" s="27"/>
      <c r="C90" s="3"/>
      <c r="D90" s="3"/>
      <c r="E90" s="3"/>
      <c r="F90" s="3"/>
      <c r="G90" s="3"/>
      <c r="H90" s="3"/>
      <c r="I90" s="3"/>
    </row>
    <row r="91" spans="1:9" ht="16.5" customHeight="1" x14ac:dyDescent="0.3">
      <c r="A91" s="28" t="s">
        <v>64</v>
      </c>
      <c r="B91" s="29"/>
      <c r="C91" s="9"/>
      <c r="D91" s="9" t="s">
        <v>65</v>
      </c>
      <c r="E91" s="9" t="s">
        <v>66</v>
      </c>
      <c r="F91" s="9" t="s">
        <v>67</v>
      </c>
      <c r="G91" s="9" t="s">
        <v>68</v>
      </c>
      <c r="H91" s="9" t="s">
        <v>69</v>
      </c>
      <c r="I91" s="9" t="s">
        <v>70</v>
      </c>
    </row>
    <row r="92" spans="1:9" x14ac:dyDescent="0.3">
      <c r="A92" s="32" t="s">
        <v>150</v>
      </c>
      <c r="B92" s="33"/>
      <c r="C92" s="11"/>
      <c r="D92" s="11">
        <v>9013.1689999999999</v>
      </c>
      <c r="E92" s="11">
        <v>12905.198</v>
      </c>
      <c r="F92" s="11">
        <v>19906.827000000001</v>
      </c>
      <c r="G92" s="11">
        <v>12810.291999999999</v>
      </c>
      <c r="H92" s="11">
        <v>23320.309000000001</v>
      </c>
      <c r="I92" s="11">
        <v>1047.1959999999999</v>
      </c>
    </row>
    <row r="93" spans="1:9" x14ac:dyDescent="0.3">
      <c r="A93" s="32" t="s">
        <v>151</v>
      </c>
      <c r="B93" s="33"/>
      <c r="C93" s="11"/>
      <c r="D93" s="11">
        <v>6551.9669999999996</v>
      </c>
      <c r="E93" s="11">
        <v>8330.107</v>
      </c>
      <c r="F93" s="11">
        <v>20143.665000000001</v>
      </c>
      <c r="G93" s="11">
        <v>9496.2430000000004</v>
      </c>
      <c r="H93" s="11">
        <v>19316.636999999999</v>
      </c>
      <c r="I93" s="11">
        <v>-937.72400000000005</v>
      </c>
    </row>
    <row r="94" spans="1:9" x14ac:dyDescent="0.3">
      <c r="A94" s="32" t="s">
        <v>152</v>
      </c>
      <c r="B94" s="33"/>
      <c r="C94" s="11"/>
      <c r="D94" s="11">
        <v>251.00700000000001</v>
      </c>
      <c r="E94" s="11">
        <v>-15819.32</v>
      </c>
      <c r="F94" s="11">
        <v>-12174.483</v>
      </c>
      <c r="G94" s="11">
        <v>-3030.8850000000002</v>
      </c>
      <c r="H94" s="11">
        <v>-9999.0400000000009</v>
      </c>
      <c r="I94" s="11">
        <v>-823.58699999999999</v>
      </c>
    </row>
    <row r="95" spans="1:9" x14ac:dyDescent="0.3">
      <c r="A95" s="32" t="s">
        <v>153</v>
      </c>
      <c r="B95" s="33"/>
      <c r="C95" s="11"/>
      <c r="D95" s="11">
        <v>-6732.6880000000001</v>
      </c>
      <c r="E95" s="11">
        <v>6601.5159999999996</v>
      </c>
      <c r="F95" s="11">
        <v>-6632.4030000000002</v>
      </c>
      <c r="G95" s="11">
        <v>-7482.3620000000001</v>
      </c>
      <c r="H95" s="11">
        <v>-7569.1610000000001</v>
      </c>
      <c r="I95" s="11">
        <v>2786.3919999999998</v>
      </c>
    </row>
    <row r="96" spans="1:9" x14ac:dyDescent="0.3">
      <c r="A96" s="32" t="s">
        <v>154</v>
      </c>
      <c r="B96" s="33"/>
      <c r="C96" s="11"/>
      <c r="D96" s="11">
        <v>-3285.3</v>
      </c>
      <c r="E96" s="11">
        <v>-15790.494000000001</v>
      </c>
      <c r="F96" s="11">
        <v>-9071.1260000000002</v>
      </c>
      <c r="G96" s="11">
        <v>-3099.319</v>
      </c>
      <c r="H96" s="11">
        <v>-423.78100000000001</v>
      </c>
      <c r="I96" s="11">
        <v>-855.476</v>
      </c>
    </row>
    <row r="97" spans="1:9" x14ac:dyDescent="0.3">
      <c r="A97" s="32" t="s">
        <v>155</v>
      </c>
      <c r="B97" s="33"/>
      <c r="C97" s="11"/>
      <c r="D97" s="11">
        <v>-1733.6210000000001</v>
      </c>
      <c r="E97" s="11">
        <v>-1296.7809999999999</v>
      </c>
      <c r="F97" s="11">
        <v>-2527.7860000000001</v>
      </c>
      <c r="G97" s="11">
        <v>-4145.5379999999996</v>
      </c>
      <c r="H97" s="11">
        <v>-4093.0120000000002</v>
      </c>
      <c r="I97" s="11">
        <v>-3011.9920000000002</v>
      </c>
    </row>
    <row r="98" spans="1:9" x14ac:dyDescent="0.3">
      <c r="A98" s="32" t="s">
        <v>156</v>
      </c>
      <c r="B98" s="33"/>
      <c r="C98" s="11"/>
      <c r="D98" s="11">
        <v>-19.919</v>
      </c>
      <c r="E98" s="11">
        <v>-0.56499999999999995</v>
      </c>
      <c r="F98" s="11">
        <v>-0.191</v>
      </c>
      <c r="G98" s="11">
        <v>-0.122</v>
      </c>
      <c r="H98" s="11">
        <v>-0.379</v>
      </c>
      <c r="I98" s="11">
        <v>-289.36099999999999</v>
      </c>
    </row>
    <row r="99" spans="1:9" x14ac:dyDescent="0.3">
      <c r="A99" s="23"/>
      <c r="B99" s="23"/>
    </row>
    <row r="100" spans="1:9" ht="19.5" customHeight="1" x14ac:dyDescent="0.3">
      <c r="A100" s="26" t="s">
        <v>157</v>
      </c>
      <c r="B100" s="27"/>
      <c r="C100" s="3"/>
      <c r="D100" s="3"/>
      <c r="E100" s="3"/>
      <c r="F100" s="3"/>
      <c r="G100" s="3"/>
      <c r="H100" s="3"/>
      <c r="I100" s="3"/>
    </row>
    <row r="101" spans="1:9" ht="16.5" customHeight="1" x14ac:dyDescent="0.3">
      <c r="A101" s="28" t="s">
        <v>64</v>
      </c>
      <c r="B101" s="29"/>
      <c r="C101" s="9"/>
      <c r="D101" s="9" t="s">
        <v>65</v>
      </c>
      <c r="E101" s="9" t="s">
        <v>66</v>
      </c>
      <c r="F101" s="9" t="s">
        <v>67</v>
      </c>
      <c r="G101" s="9" t="s">
        <v>68</v>
      </c>
      <c r="H101" s="9" t="s">
        <v>69</v>
      </c>
    </row>
    <row r="102" spans="1:9" x14ac:dyDescent="0.3">
      <c r="A102" s="32" t="s">
        <v>158</v>
      </c>
      <c r="B102" s="33"/>
      <c r="C102" s="15"/>
      <c r="D102" s="15">
        <v>10</v>
      </c>
      <c r="E102" s="15">
        <v>10</v>
      </c>
      <c r="F102" s="15">
        <v>10</v>
      </c>
      <c r="G102" s="15">
        <v>10</v>
      </c>
      <c r="H102" s="15">
        <v>10</v>
      </c>
    </row>
    <row r="103" spans="1:9" x14ac:dyDescent="0.3">
      <c r="A103" s="32" t="s">
        <v>159</v>
      </c>
      <c r="B103" s="33"/>
      <c r="C103" s="16"/>
      <c r="D103" s="16">
        <f>D27/D102-D107</f>
        <v>1098.3462</v>
      </c>
      <c r="E103" s="16">
        <f>E27/E102-E107</f>
        <v>1079.8011999999999</v>
      </c>
      <c r="F103" s="16">
        <f>F27/F102-F107</f>
        <v>1073.3462</v>
      </c>
      <c r="G103" s="16">
        <f>G27/G102-G107</f>
        <v>1047.5626</v>
      </c>
      <c r="H103" s="16">
        <f>H27/H102-H107</f>
        <v>1047.5626</v>
      </c>
    </row>
    <row r="104" spans="1:9" x14ac:dyDescent="0.3">
      <c r="A104" s="32" t="s">
        <v>160</v>
      </c>
      <c r="B104" s="33"/>
      <c r="C104" s="16"/>
      <c r="D104" s="16">
        <v>1098.346</v>
      </c>
      <c r="E104" s="16">
        <v>1097.5239999999999</v>
      </c>
      <c r="F104" s="16">
        <v>1073.405</v>
      </c>
      <c r="G104" s="16">
        <v>1058.9110000000001</v>
      </c>
      <c r="H104" s="16">
        <v>1047.5630000000001</v>
      </c>
    </row>
    <row r="105" spans="1:9" x14ac:dyDescent="0.3">
      <c r="A105" s="32" t="s">
        <v>161</v>
      </c>
      <c r="B105" s="33"/>
      <c r="C105" s="15"/>
      <c r="D105" s="15">
        <v>46.98</v>
      </c>
      <c r="E105" s="15">
        <v>27.35</v>
      </c>
      <c r="F105" s="15">
        <v>28.33</v>
      </c>
      <c r="G105" s="15">
        <v>38</v>
      </c>
      <c r="H105" s="15">
        <v>84.28</v>
      </c>
    </row>
    <row r="106" spans="1:9" x14ac:dyDescent="0.3">
      <c r="A106" s="32" t="s">
        <v>162</v>
      </c>
      <c r="B106" s="33"/>
      <c r="C106" s="15"/>
      <c r="D106" s="74">
        <v>0</v>
      </c>
      <c r="E106" s="74">
        <v>0</v>
      </c>
      <c r="F106" s="74">
        <v>0</v>
      </c>
      <c r="G106" s="74">
        <v>0</v>
      </c>
      <c r="H106" s="74">
        <v>0</v>
      </c>
    </row>
    <row r="107" spans="1:9" x14ac:dyDescent="0.3">
      <c r="A107" s="32" t="s">
        <v>163</v>
      </c>
      <c r="B107" s="33"/>
      <c r="C107" s="15"/>
      <c r="D107" s="15">
        <v>0</v>
      </c>
      <c r="E107" s="15">
        <v>18.545000000000002</v>
      </c>
      <c r="F107" s="15">
        <v>0</v>
      </c>
      <c r="G107" s="15">
        <v>0</v>
      </c>
      <c r="H107" s="15">
        <v>0</v>
      </c>
    </row>
    <row r="108" spans="1:9" ht="19.5" customHeight="1" x14ac:dyDescent="0.3">
      <c r="A108" s="26" t="s">
        <v>164</v>
      </c>
      <c r="B108" s="27"/>
      <c r="C108" s="3"/>
      <c r="D108" s="3"/>
      <c r="E108" s="3"/>
      <c r="F108" s="3"/>
      <c r="G108" s="3"/>
      <c r="H108" s="3"/>
      <c r="I108" s="3"/>
    </row>
    <row r="109" spans="1:9" ht="30" customHeight="1" x14ac:dyDescent="0.3">
      <c r="A109" s="41" t="s">
        <v>165</v>
      </c>
      <c r="B109" s="41" t="s">
        <v>166</v>
      </c>
      <c r="C109" s="41" t="s">
        <v>167</v>
      </c>
      <c r="D109" s="41" t="s">
        <v>65</v>
      </c>
      <c r="E109" s="41" t="s">
        <v>66</v>
      </c>
      <c r="F109" s="41" t="s">
        <v>67</v>
      </c>
      <c r="G109" s="41" t="s">
        <v>68</v>
      </c>
      <c r="H109" s="41" t="s">
        <v>69</v>
      </c>
    </row>
    <row r="110" spans="1:9" ht="22.95" customHeight="1" x14ac:dyDescent="0.3">
      <c r="A110" s="91" t="s">
        <v>168</v>
      </c>
      <c r="B110" s="91"/>
      <c r="C110" s="91"/>
      <c r="D110" s="91"/>
      <c r="E110" s="91"/>
      <c r="F110" s="91"/>
      <c r="G110" s="91"/>
      <c r="H110" s="91"/>
    </row>
    <row r="111" spans="1:9" ht="34.049999999999997" customHeight="1" x14ac:dyDescent="0.3">
      <c r="A111" s="42" t="s">
        <v>169</v>
      </c>
      <c r="B111" s="43" t="s">
        <v>170</v>
      </c>
      <c r="C111" s="43" t="s">
        <v>171</v>
      </c>
      <c r="D111" s="45">
        <f>IF(OR(NOT(ISNUMBER(D24)),NOT(ISNUMBER(D48))),"n/m",IF(OR((D48)&lt;=0,(D24)&lt;0),"n/m",(D24)/(D48)))</f>
        <v>1.4780988568182505</v>
      </c>
      <c r="E111" s="45">
        <f>IF(OR(NOT(ISNUMBER(E24)),NOT(ISNUMBER(E48))),"n/m",IF(OR((E48)&lt;=0,(E24)&lt;0),"n/m",(E24)/(E48)))</f>
        <v>1.2549557408945418</v>
      </c>
      <c r="F111" s="45">
        <f>IF(OR(NOT(ISNUMBER(F24)),NOT(ISNUMBER(F48))),"n/m",IF(OR((F48)&lt;=0,(F24)&lt;0),"n/m",(F24)/(F48)))</f>
        <v>1.3715472215546312</v>
      </c>
      <c r="G111" s="45">
        <f>IF(OR(NOT(ISNUMBER(G24)),NOT(ISNUMBER(G48))),"n/m",IF(OR((G48)&lt;=0,(G24)&lt;0),"n/m",(G24)/(G48)))</f>
        <v>1.4446782415124371</v>
      </c>
      <c r="H111" s="45">
        <f>IF(OR(NOT(ISNUMBER(H24)),NOT(ISNUMBER(H48))),"n/m",IF(OR((H48)&lt;=0,(H24)&lt;0),"n/m",(H24)/(H48)))</f>
        <v>1.5324411303645513</v>
      </c>
    </row>
    <row r="112" spans="1:9" ht="34.049999999999997" customHeight="1" x14ac:dyDescent="0.3">
      <c r="A112" s="42" t="s">
        <v>172</v>
      </c>
      <c r="B112" s="43" t="s">
        <v>173</v>
      </c>
      <c r="C112" s="43" t="s">
        <v>174</v>
      </c>
      <c r="D112" s="45">
        <f>IF(OR(NOT(ISNUMBER(D24-D54)),NOT(ISNUMBER(D48))),"n/m",IF(OR((D48)&lt;=0,(D24-D54)&lt;0),"n/m",(D24-D54)/(D48)))</f>
        <v>0.43971691910387301</v>
      </c>
      <c r="E112" s="45">
        <f>IF(OR(NOT(ISNUMBER(E24-E54)),NOT(ISNUMBER(E48))),"n/m",IF(OR((E48)&lt;=0,(E24-E54)&lt;0),"n/m",(E24-E54)/(E48)))</f>
        <v>0.29473524106223353</v>
      </c>
      <c r="F112" s="45">
        <f>IF(OR(NOT(ISNUMBER(F24-F54)),NOT(ISNUMBER(F48))),"n/m",IF(OR((F48)&lt;=0,(F24-F54)&lt;0),"n/m",(F24-F54)/(F48)))</f>
        <v>0.5204561252187091</v>
      </c>
      <c r="G112" s="45">
        <f>IF(OR(NOT(ISNUMBER(G24-G54)),NOT(ISNUMBER(G48))),"n/m",IF(OR((G48)&lt;=0,(G24-G54)&lt;0),"n/m",(G24-G54)/(G48)))</f>
        <v>0.60942670638462615</v>
      </c>
      <c r="H112" s="45">
        <f>IF(OR(NOT(ISNUMBER(H24-H54)),NOT(ISNUMBER(H48))),"n/m",IF(OR((H48)&lt;=0,(H24-H54)&lt;0),"n/m",(H24-H54)/(H48)))</f>
        <v>0.80788282595509864</v>
      </c>
    </row>
    <row r="113" spans="1:8" ht="34.049999999999997" customHeight="1" x14ac:dyDescent="0.3">
      <c r="A113" s="42" t="s">
        <v>175</v>
      </c>
      <c r="B113" s="43" t="s">
        <v>176</v>
      </c>
      <c r="C113" s="43" t="s">
        <v>177</v>
      </c>
      <c r="D113" s="45">
        <f>IF(OR(NOT(ISNUMBER(D211)),NOT(ISNUMBER(D48))),"n/m",IF(OR((D48)&lt;=0,(D211)&lt;0),"n/m",(D211)/(D48)))</f>
        <v>4.2825558053104403E-2</v>
      </c>
      <c r="E113" s="45">
        <f>IF(OR(NOT(ISNUMBER(E211)),NOT(ISNUMBER(E48))),"n/m",IF(OR((E48)&lt;=0,(E211)&lt;0),"n/m",(E211)/(E48)))</f>
        <v>4.9006165540003331E-2</v>
      </c>
      <c r="F113" s="45">
        <f>IF(OR(NOT(ISNUMBER(F211)),NOT(ISNUMBER(F48))),"n/m",IF(OR((F48)&lt;=0,(F211)&lt;0),"n/m",(F211)/(F48)))</f>
        <v>4.5680298533070048E-2</v>
      </c>
      <c r="G113" s="45">
        <f>IF(OR(NOT(ISNUMBER(G211)),NOT(ISNUMBER(G48))),"n/m",IF(OR((G48)&lt;=0,(G211)&lt;0),"n/m",(G211)/(G48)))</f>
        <v>7.3767434857886421E-2</v>
      </c>
      <c r="H113" s="45">
        <f>IF(OR(NOT(ISNUMBER(H211)),NOT(ISNUMBER(H48))),"n/m",IF(OR((H48)&lt;=0,(H211)&lt;0),"n/m",(H211)/(H48)))</f>
        <v>6.9243334827372452E-2</v>
      </c>
    </row>
    <row r="114" spans="1:8" ht="34.049999999999997" customHeight="1" x14ac:dyDescent="0.3">
      <c r="A114" s="42" t="s">
        <v>178</v>
      </c>
      <c r="B114" s="43" t="s">
        <v>179</v>
      </c>
      <c r="C114" s="43" t="s">
        <v>180</v>
      </c>
      <c r="D114" s="46">
        <f>IF(OR(NOT(ISNUMBER(D24-D48)),NOT(ISNUMBER(1))),"n/m",IF(OR((1)&lt;=0,(D24-D48)&lt;0),"n/m",(D24-D48)/(1)))</f>
        <v>5473.9680000000026</v>
      </c>
      <c r="E114" s="46">
        <f>IF(OR(NOT(ISNUMBER(E24-E48)),NOT(ISNUMBER(1))),"n/m",IF(OR((1)&lt;=0,(E24-E48)&lt;0),"n/m",(E24-E48)/(1)))</f>
        <v>4128.5980000000036</v>
      </c>
      <c r="F114" s="46">
        <f>IF(OR(NOT(ISNUMBER(F24-F48)),NOT(ISNUMBER(1))),"n/m",IF(OR((1)&lt;=0,(F24-F48)&lt;0),"n/m",(F24-F48)/(1)))</f>
        <v>6024.645999999997</v>
      </c>
      <c r="G114" s="46">
        <f>IF(OR(NOT(ISNUMBER(G24-G48)),NOT(ISNUMBER(1))),"n/m",IF(OR((1)&lt;=0,(G24-G48)&lt;0),"n/m",(G24-G48)/(1)))</f>
        <v>8270.0370000000003</v>
      </c>
      <c r="H114" s="46">
        <f>IF(OR(NOT(ISNUMBER(H24-H48)),NOT(ISNUMBER(1))),"n/m",IF(OR((1)&lt;=0,(H24-H48)&lt;0),"n/m",(H24-H48)/(1)))</f>
        <v>12422.112999999994</v>
      </c>
    </row>
    <row r="115" spans="1:8" ht="22.95" customHeight="1" x14ac:dyDescent="0.3">
      <c r="A115" s="91" t="s">
        <v>181</v>
      </c>
      <c r="B115" s="91"/>
      <c r="C115" s="91"/>
      <c r="D115" s="92"/>
      <c r="E115" s="92"/>
      <c r="F115" s="92"/>
      <c r="G115" s="92"/>
      <c r="H115" s="92"/>
    </row>
    <row r="116" spans="1:8" ht="34.049999999999997" customHeight="1" x14ac:dyDescent="0.3">
      <c r="A116" s="42" t="s">
        <v>182</v>
      </c>
      <c r="B116" s="43" t="s">
        <v>183</v>
      </c>
      <c r="C116" s="43" t="s">
        <v>184</v>
      </c>
      <c r="D116" s="45">
        <f>IF(OR(NOT(ISNUMBER(-D65)),NOT(ISNUMBER(AVERAGE(I54,D54)))),"n/m",IF(OR((AVERAGE(I54,D54))&lt;=0,(-D65)&lt;0),"n/m",(-D65)/(AVERAGE(I54,D54))))</f>
        <v>2.5503561154199565</v>
      </c>
      <c r="E116" s="45">
        <f>IF(OR(NOT(ISNUMBER(-E65)),NOT(ISNUMBER(AVERAGE(D54,E54)))),"n/m",IF(OR((AVERAGE(D54,E54))&lt;=0,(-E65)&lt;0),"n/m",(-E65)/(AVERAGE(D54,E54))))</f>
        <v>2.6418827583195736</v>
      </c>
      <c r="F116" s="45">
        <f>IF(OR(NOT(ISNUMBER(-F65)),NOT(ISNUMBER(AVERAGE(E54,F54)))),"n/m",IF(OR((AVERAGE(E54,F54))&lt;=0,(-F65)&lt;0),"n/m",(-F65)/(AVERAGE(E54,F54))))</f>
        <v>2.991643999189634</v>
      </c>
      <c r="G116" s="45">
        <f>IF(OR(NOT(ISNUMBER(-G65)),NOT(ISNUMBER(AVERAGE(F54,G54)))),"n/m",IF(OR((AVERAGE(F54,G54))&lt;=0,(-G65)&lt;0),"n/m",(-G65)/(AVERAGE(F54,G54))))</f>
        <v>3.1013565995658121</v>
      </c>
      <c r="H116" s="45">
        <f>IF(OR(NOT(ISNUMBER(-H65)),NOT(ISNUMBER(AVERAGE(G54,H54)))),"n/m",IF(OR((AVERAGE(G54,H54))&lt;=0,(-H65)&lt;0),"n/m",(-H65)/(AVERAGE(G54,H54))))</f>
        <v>2.7865732877055658</v>
      </c>
    </row>
    <row r="117" spans="1:8" ht="34.049999999999997" customHeight="1" x14ac:dyDescent="0.3">
      <c r="A117" s="42" t="s">
        <v>185</v>
      </c>
      <c r="B117" s="43" t="s">
        <v>186</v>
      </c>
      <c r="C117" s="43" t="s">
        <v>187</v>
      </c>
      <c r="D117" s="45">
        <f>IF(OR(NOT(ISNUMBER(D64)),NOT(ISNUMBER(AVERAGE(I20,D20)))),"n/m",IF(OR((AVERAGE(I20,D20))&lt;=0,(D64)&lt;0),"n/m",(D64)/(AVERAGE(I20,D20))))</f>
        <v>15.020941563038772</v>
      </c>
      <c r="E117" s="45">
        <f>IF(OR(NOT(ISNUMBER(E64)),NOT(ISNUMBER(AVERAGE(D20,E20)))),"n/m",IF(OR((AVERAGE(D20,E20))&lt;=0,(E64)&lt;0),"n/m",(E64)/(AVERAGE(D20,E20))))</f>
        <v>25.905344380386534</v>
      </c>
      <c r="F117" s="45">
        <f>IF(OR(NOT(ISNUMBER(F64)),NOT(ISNUMBER(AVERAGE(E20,F20)))),"n/m",IF(OR((AVERAGE(E20,F20))&lt;=0,(F64)&lt;0),"n/m",(F64)/(AVERAGE(E20,F20))))</f>
        <v>26.600659453629234</v>
      </c>
      <c r="G117" s="45">
        <f>IF(OR(NOT(ISNUMBER(G64)),NOT(ISNUMBER(AVERAGE(F20,G20)))),"n/m",IF(OR((AVERAGE(F20,G20))&lt;=0,(G64)&lt;0),"n/m",(G64)/(AVERAGE(F20,G20))))</f>
        <v>19.574371293114748</v>
      </c>
      <c r="H117" s="45">
        <f>IF(OR(NOT(ISNUMBER(H64)),NOT(ISNUMBER(AVERAGE(G20,H20)))),"n/m",IF(OR((AVERAGE(G20,H20))&lt;=0,(H64)&lt;0),"n/m",(H64)/(AVERAGE(G20,H20))))</f>
        <v>15.67064847793373</v>
      </c>
    </row>
    <row r="118" spans="1:8" ht="34.049999999999997" customHeight="1" x14ac:dyDescent="0.3">
      <c r="A118" s="42" t="s">
        <v>188</v>
      </c>
      <c r="B118" s="43" t="s">
        <v>189</v>
      </c>
      <c r="C118" s="43" t="s">
        <v>190</v>
      </c>
      <c r="D118" s="47">
        <f>IF(OR(NOT(ISNUMBER(365*AVERAGE(I54,D54))),NOT(ISNUMBER(-D65))),"n/m",IF(OR((-D65)&lt;=0,(365*AVERAGE(I54,D54))&lt;0),"n/m",(365*AVERAGE(I54,D54))/(-D65)))</f>
        <v>143.11726813096334</v>
      </c>
      <c r="E118" s="47">
        <f>IF(OR(NOT(ISNUMBER(365*AVERAGE(D54,E54))),NOT(ISNUMBER(-E65))),"n/m",IF(OR((-E65)&lt;=0,(365*AVERAGE(D54,E54))&lt;0),"n/m",(365*AVERAGE(D54,E54))/(-E65)))</f>
        <v>138.1590454196257</v>
      </c>
      <c r="F118" s="47">
        <f>IF(OR(NOT(ISNUMBER(365*AVERAGE(E54,F54))),NOT(ISNUMBER(-F65))),"n/m",IF(OR((-F65)&lt;=0,(365*AVERAGE(E54,F54))&lt;0),"n/m",(365*AVERAGE(E54,F54))/(-F65)))</f>
        <v>122.0064954583065</v>
      </c>
      <c r="G118" s="47">
        <f>IF(OR(NOT(ISNUMBER(365*AVERAGE(F54,G54))),NOT(ISNUMBER(-G65))),"n/m",IF(OR((-G65)&lt;=0,(365*AVERAGE(F54,G54))&lt;0),"n/m",(365*AVERAGE(F54,G54))/(-G65)))</f>
        <v>117.69043264844159</v>
      </c>
      <c r="H118" s="47">
        <f>IF(OR(NOT(ISNUMBER(365*AVERAGE(G54,H54))),NOT(ISNUMBER(-H65))),"n/m",IF(OR((-H65)&lt;=0,(365*AVERAGE(G54,H54))&lt;0),"n/m",(365*AVERAGE(G54,H54))/(-H65)))</f>
        <v>130.98525045452405</v>
      </c>
    </row>
    <row r="119" spans="1:8" ht="34.049999999999997" customHeight="1" x14ac:dyDescent="0.3">
      <c r="A119" s="42" t="s">
        <v>191</v>
      </c>
      <c r="B119" s="43" t="s">
        <v>192</v>
      </c>
      <c r="C119" s="43" t="s">
        <v>193</v>
      </c>
      <c r="D119" s="47">
        <f>IF(OR(NOT(ISNUMBER(365*AVERAGE(I20,D20))),NOT(ISNUMBER(D64))),"n/m",IF(OR((D64)&lt;=0,(365*AVERAGE(I20,D20))&lt;0),"n/m",(365*AVERAGE(I20,D20))/(D64)))</f>
        <v>24.299408826550263</v>
      </c>
      <c r="E119" s="47">
        <f>IF(OR(NOT(ISNUMBER(365*AVERAGE(D20,E20))),NOT(ISNUMBER(E64))),"n/m",IF(OR((E64)&lt;=0,(365*AVERAGE(D20,E20))&lt;0),"n/m",(365*AVERAGE(D20,E20))/(E64)))</f>
        <v>14.089756717395696</v>
      </c>
      <c r="F119" s="47">
        <f>IF(OR(NOT(ISNUMBER(365*AVERAGE(E20,F20))),NOT(ISNUMBER(F64))),"n/m",IF(OR((F64)&lt;=0,(365*AVERAGE(E20,F20))&lt;0),"n/m",(365*AVERAGE(E20,F20))/(F64)))</f>
        <v>13.72146433573479</v>
      </c>
      <c r="G119" s="47">
        <f>IF(OR(NOT(ISNUMBER(365*AVERAGE(F20,G20))),NOT(ISNUMBER(G64))),"n/m",IF(OR((G64)&lt;=0,(365*AVERAGE(F20,G20))&lt;0),"n/m",(365*AVERAGE(F20,G20))/(G64)))</f>
        <v>18.646831335440545</v>
      </c>
      <c r="H119" s="47">
        <f>IF(OR(NOT(ISNUMBER(365*AVERAGE(G20,H20))),NOT(ISNUMBER(H64))),"n/m",IF(OR((H64)&lt;=0,(365*AVERAGE(G20,H20))&lt;0),"n/m",(365*AVERAGE(G20,H20))/(H64)))</f>
        <v>23.291952500495849</v>
      </c>
    </row>
    <row r="120" spans="1:8" ht="34.049999999999997" customHeight="1" x14ac:dyDescent="0.3">
      <c r="A120" s="42" t="s">
        <v>194</v>
      </c>
      <c r="B120" s="43" t="s">
        <v>195</v>
      </c>
      <c r="C120" s="43" t="s">
        <v>196</v>
      </c>
      <c r="D120" s="45">
        <f>IF(OR(NOT(ISNUMBER(D64)),NOT(ISNUMBER(D9))),"n/m",IF(OR((D9)&lt;=0,(D64)&lt;0),"n/m",(D64)/(D9)))</f>
        <v>0.8037513915639477</v>
      </c>
      <c r="E120" s="45">
        <f>IF(OR(NOT(ISNUMBER(E64)),NOT(ISNUMBER(E9))),"n/m",IF(OR((E9)&lt;=0,(E64)&lt;0),"n/m",(E64)/(E9)))</f>
        <v>0.85444675022417971</v>
      </c>
      <c r="F120" s="45">
        <f>IF(OR(NOT(ISNUMBER(F64)),NOT(ISNUMBER(F9))),"n/m",IF(OR((F9)&lt;=0,(F64)&lt;0),"n/m",(F64)/(F9)))</f>
        <v>0.99551999428815263</v>
      </c>
      <c r="G120" s="45">
        <f>IF(OR(NOT(ISNUMBER(G64)),NOT(ISNUMBER(G9))),"n/m",IF(OR((G9)&lt;=0,(G64)&lt;0),"n/m",(G64)/(G9)))</f>
        <v>1.0069209161495893</v>
      </c>
      <c r="H120" s="45">
        <f>IF(OR(NOT(ISNUMBER(H64)),NOT(ISNUMBER(H9))),"n/m",IF(OR((H9)&lt;=0,(H64)&lt;0),"n/m",(H64)/(H9)))</f>
        <v>1.0971769908727151</v>
      </c>
    </row>
    <row r="121" spans="1:8" ht="34.049999999999997" customHeight="1" x14ac:dyDescent="0.3">
      <c r="A121" s="42" t="s">
        <v>197</v>
      </c>
      <c r="B121" s="43" t="s">
        <v>198</v>
      </c>
      <c r="C121" s="43" t="s">
        <v>199</v>
      </c>
      <c r="D121" s="45">
        <f>IF(OR(NOT(ISNUMBER(D64)),NOT(ISNUMBER(D25))),"n/m",IF(OR((D25)&lt;=0,(D64)&lt;0),"n/m",(D64)/(D25)))</f>
        <v>0.53651401514370378</v>
      </c>
      <c r="E121" s="45">
        <f>IF(OR(NOT(ISNUMBER(E64)),NOT(ISNUMBER(E25))),"n/m",IF(OR((E25)&lt;=0,(E64)&lt;0),"n/m",(E64)/(E25)))</f>
        <v>0.59016101960962719</v>
      </c>
      <c r="F121" s="45">
        <f>IF(OR(NOT(ISNUMBER(F64)),NOT(ISNUMBER(F25))),"n/m",IF(OR((F25)&lt;=0,(F64)&lt;0),"n/m",(F64)/(F25)))</f>
        <v>0.69197238797008198</v>
      </c>
      <c r="G121" s="45">
        <f>IF(OR(NOT(ISNUMBER(G64)),NOT(ISNUMBER(G25))),"n/m",IF(OR((G25)&lt;=0,(G64)&lt;0),"n/m",(G64)/(G25)))</f>
        <v>0.66876558045462819</v>
      </c>
      <c r="H121" s="45">
        <f>IF(OR(NOT(ISNUMBER(H64)),NOT(ISNUMBER(H25))),"n/m",IF(OR((H25)&lt;=0,(H64)&lt;0),"n/m",(H64)/(H25)))</f>
        <v>0.57883136984449801</v>
      </c>
    </row>
    <row r="122" spans="1:8" ht="22.95" customHeight="1" x14ac:dyDescent="0.3">
      <c r="A122" s="91" t="s">
        <v>200</v>
      </c>
      <c r="B122" s="91"/>
      <c r="C122" s="91"/>
      <c r="D122" s="92"/>
      <c r="E122" s="92"/>
      <c r="F122" s="92"/>
      <c r="G122" s="92"/>
      <c r="H122" s="92"/>
    </row>
    <row r="123" spans="1:8" ht="34.049999999999997" customHeight="1" x14ac:dyDescent="0.3">
      <c r="A123" s="42" t="s">
        <v>201</v>
      </c>
      <c r="B123" s="43" t="s">
        <v>202</v>
      </c>
      <c r="C123" s="43" t="s">
        <v>203</v>
      </c>
      <c r="D123" s="48">
        <f>IF(OR(NOT(ISNUMBER(D49)),NOT(ISNUMBER(D25))),"n/m",IF(OR((D25)&lt;=0,(D49)&lt;0),"n/m",(D49)/(D25)))</f>
        <v>0.43322840867921292</v>
      </c>
      <c r="E123" s="48">
        <f>IF(OR(NOT(ISNUMBER(E49)),NOT(ISNUMBER(E25))),"n/m",IF(OR((E25)&lt;=0,(E49)&lt;0),"n/m",(E49)/(E25)))</f>
        <v>0.50666660909348882</v>
      </c>
      <c r="F123" s="48">
        <f>IF(OR(NOT(ISNUMBER(F49)),NOT(ISNUMBER(F25))),"n/m",IF(OR((F25)&lt;=0,(F49)&lt;0),"n/m",(F49)/(F25)))</f>
        <v>0.49933942690835115</v>
      </c>
      <c r="G123" s="48">
        <f>IF(OR(NOT(ISNUMBER(G49)),NOT(ISNUMBER(G25))),"n/m",IF(OR((G25)&lt;=0,(G49)&lt;0),"n/m",(G49)/(G25)))</f>
        <v>0.4704820926001394</v>
      </c>
      <c r="H123" s="48">
        <f>IF(OR(NOT(ISNUMBER(H49)),NOT(ISNUMBER(H25))),"n/m",IF(OR((H25)&lt;=0,(H49)&lt;0),"n/m",(H49)/(H25)))</f>
        <v>0.40001822406143511</v>
      </c>
    </row>
    <row r="124" spans="1:8" ht="34.049999999999997" customHeight="1" x14ac:dyDescent="0.3">
      <c r="A124" s="42" t="s">
        <v>204</v>
      </c>
      <c r="B124" s="43" t="s">
        <v>205</v>
      </c>
      <c r="C124" s="43" t="s">
        <v>206</v>
      </c>
      <c r="D124" s="45">
        <f>IF(OR(NOT(ISNUMBER(D55)),NOT(ISNUMBER(D29))),"n/m",IF(OR((D29)&lt;=0,(D55)&lt;0),"n/m",(D55)/(D29)))</f>
        <v>0.43245543768601064</v>
      </c>
      <c r="E124" s="45">
        <f>IF(OR(NOT(ISNUMBER(E55)),NOT(ISNUMBER(E29))),"n/m",IF(OR((E29)&lt;=0,(E55)&lt;0),"n/m",(E55)/(E29)))</f>
        <v>0.61573768495117542</v>
      </c>
      <c r="F124" s="45">
        <f>IF(OR(NOT(ISNUMBER(F55)),NOT(ISNUMBER(F29))),"n/m",IF(OR((F29)&lt;=0,(F55)&lt;0),"n/m",(F55)/(F29)))</f>
        <v>0.44250779404874935</v>
      </c>
      <c r="G124" s="45">
        <f>IF(OR(NOT(ISNUMBER(G55)),NOT(ISNUMBER(G29))),"n/m",IF(OR((G29)&lt;=0,(G55)&lt;0),"n/m",(G55)/(G29)))</f>
        <v>0.36846998820204724</v>
      </c>
      <c r="H124" s="45">
        <f>IF(OR(NOT(ISNUMBER(H55)),NOT(ISNUMBER(H29))),"n/m",IF(OR((H29)&lt;=0,(H55)&lt;0),"n/m",(H55)/(H29)))</f>
        <v>0.20402666092297522</v>
      </c>
    </row>
    <row r="125" spans="1:8" ht="34.049999999999997" customHeight="1" x14ac:dyDescent="0.3">
      <c r="A125" s="42" t="s">
        <v>207</v>
      </c>
      <c r="B125" s="43" t="s">
        <v>208</v>
      </c>
      <c r="C125" s="43" t="s">
        <v>209</v>
      </c>
      <c r="D125" s="48">
        <f>IF(OR(NOT(ISNUMBER(D55)),NOT(ISNUMBER(D55+D29))),"n/m",IF(OR((D55+D29)&lt;=0,(D55)&lt;0),"n/m",(D55)/(D55+D29)))</f>
        <v>0.30189800416032447</v>
      </c>
      <c r="E125" s="48">
        <f>IF(OR(NOT(ISNUMBER(E55)),NOT(ISNUMBER(E55+E29))),"n/m",IF(OR((E55+E29)&lt;=0,(E55)&lt;0),"n/m",(E55)/(E55+E29)))</f>
        <v>0.381087654689308</v>
      </c>
      <c r="F125" s="48">
        <f>IF(OR(NOT(ISNUMBER(F55)),NOT(ISNUMBER(F55+F29))),"n/m",IF(OR((F55+F29)&lt;=0,(F55)&lt;0),"n/m",(F55)/(F55+F29)))</f>
        <v>0.30676284445350793</v>
      </c>
      <c r="G125" s="48">
        <f>IF(OR(NOT(ISNUMBER(G55)),NOT(ISNUMBER(G55+G29))),"n/m",IF(OR((G55+G29)&lt;=0,(G55)&lt;0),"n/m",(G55)/(G55+G29)))</f>
        <v>0.2692569010491479</v>
      </c>
      <c r="H125" s="48">
        <f>IF(OR(NOT(ISNUMBER(H55)),NOT(ISNUMBER(H55+H29))),"n/m",IF(OR((H55+H29)&lt;=0,(H55)&lt;0),"n/m",(H55)/(H55+H29)))</f>
        <v>0.1694536072536581</v>
      </c>
    </row>
    <row r="126" spans="1:8" ht="34.049999999999997" customHeight="1" x14ac:dyDescent="0.3">
      <c r="A126" s="42" t="s">
        <v>210</v>
      </c>
      <c r="B126" s="43" t="s">
        <v>211</v>
      </c>
      <c r="C126" s="43" t="s">
        <v>212</v>
      </c>
      <c r="D126" s="45">
        <f>IF(OR(NOT(ISNUMBER(D82)),NOT(ISNUMBER(D85))),"n/m",IF(OR((D85)&lt;=0,(D82)&lt;0),"n/m",(D82)/(D85)))</f>
        <v>6.0367662605249279</v>
      </c>
      <c r="E126" s="45">
        <f>IF(OR(NOT(ISNUMBER(E82)),NOT(ISNUMBER(E85))),"n/m",IF(OR((E85)&lt;=0,(E82)&lt;0),"n/m",(E82)/(E85)))</f>
        <v>5.2505359388174728</v>
      </c>
      <c r="F126" s="45">
        <f>IF(OR(NOT(ISNUMBER(F82)),NOT(ISNUMBER(F85))),"n/m",IF(OR((F85)&lt;=0,(F82)&lt;0),"n/m",(F82)/(F85)))</f>
        <v>4.4476569735481268</v>
      </c>
      <c r="G126" s="45">
        <f>IF(OR(NOT(ISNUMBER(G82)),NOT(ISNUMBER(G85))),"n/m",IF(OR((G85)&lt;=0,(G82)&lt;0),"n/m",(G82)/(G85)))</f>
        <v>3.2023484620581835</v>
      </c>
      <c r="H126" s="45">
        <f>IF(OR(NOT(ISNUMBER(H82)),NOT(ISNUMBER(H85))),"n/m",IF(OR((H85)&lt;=0,(H82)&lt;0),"n/m",(H82)/(H85)))</f>
        <v>7.3457905408215804</v>
      </c>
    </row>
    <row r="127" spans="1:8" ht="22.95" customHeight="1" x14ac:dyDescent="0.3">
      <c r="A127" s="91" t="s">
        <v>213</v>
      </c>
      <c r="B127" s="91"/>
      <c r="C127" s="91"/>
      <c r="D127" s="92"/>
      <c r="E127" s="92"/>
      <c r="F127" s="92"/>
      <c r="G127" s="92"/>
      <c r="H127" s="92"/>
    </row>
    <row r="128" spans="1:8" ht="34.049999999999997" customHeight="1" x14ac:dyDescent="0.3">
      <c r="A128" s="42" t="s">
        <v>214</v>
      </c>
      <c r="B128" s="43" t="s">
        <v>215</v>
      </c>
      <c r="C128" s="43" t="s">
        <v>216</v>
      </c>
      <c r="D128" s="48">
        <f>IF(OR(NOT(ISNUMBER(D66)),NOT(ISNUMBER(D64))),"n/m",IF(OR((D64)&lt;=0,(D66)&lt;0),"n/m",(D66)/(D64)))</f>
        <v>0.20830714445240356</v>
      </c>
      <c r="E128" s="48">
        <f>IF(OR(NOT(ISNUMBER(E66)),NOT(ISNUMBER(E64))),"n/m",IF(OR((E64)&lt;=0,(E66)&lt;0),"n/m",(E66)/(E64)))</f>
        <v>0.25300003367709667</v>
      </c>
      <c r="F128" s="48">
        <f>IF(OR(NOT(ISNUMBER(F66)),NOT(ISNUMBER(F64))),"n/m",IF(OR((F64)&lt;=0,(F66)&lt;0),"n/m",(F66)/(F64)))</f>
        <v>0.29276322471727417</v>
      </c>
      <c r="G128" s="48">
        <f>IF(OR(NOT(ISNUMBER(G66)),NOT(ISNUMBER(G64))),"n/m",IF(OR((G64)&lt;=0,(G66)&lt;0),"n/m",(G66)/(G64)))</f>
        <v>0.31547845382378364</v>
      </c>
      <c r="H128" s="48">
        <f>IF(OR(NOT(ISNUMBER(H66)),NOT(ISNUMBER(H64))),"n/m",IF(OR((H64)&lt;=0,(H66)&lt;0),"n/m",(H66)/(H64)))</f>
        <v>0.34444405990469212</v>
      </c>
    </row>
    <row r="129" spans="1:8" ht="34.049999999999997" customHeight="1" x14ac:dyDescent="0.3">
      <c r="A129" s="42" t="s">
        <v>217</v>
      </c>
      <c r="B129" s="43" t="s">
        <v>218</v>
      </c>
      <c r="C129" s="43" t="s">
        <v>219</v>
      </c>
      <c r="D129" s="48">
        <f>IF(OR(NOT(ISNUMBER(D82)),NOT(ISNUMBER(D64))),"n/m",IF(OR((D64)&lt;=0,(D82)&lt;0),"n/m",(D82)/(D64)))</f>
        <v>0.24584402613957254</v>
      </c>
      <c r="E129" s="48">
        <f>IF(OR(NOT(ISNUMBER(E82)),NOT(ISNUMBER(E64))),"n/m",IF(OR((E64)&lt;=0,(E82)&lt;0),"n/m",(E82)/(E64)))</f>
        <v>0.18288553443388325</v>
      </c>
      <c r="F129" s="48">
        <f>IF(OR(NOT(ISNUMBER(F82)),NOT(ISNUMBER(F64))),"n/m",IF(OR((F64)&lt;=0,(F82)&lt;0),"n/m",(F82)/(F64)))</f>
        <v>0.19224796146239193</v>
      </c>
      <c r="G129" s="48">
        <f>IF(OR(NOT(ISNUMBER(G82)),NOT(ISNUMBER(G64))),"n/m",IF(OR((G64)&lt;=0,(G82)&lt;0),"n/m",(G82)/(G64)))</f>
        <v>0.19543128859795894</v>
      </c>
      <c r="H129" s="48">
        <f>IF(OR(NOT(ISNUMBER(H82)),NOT(ISNUMBER(H64))),"n/m",IF(OR((H64)&lt;=0,(H82)&lt;0),"n/m",(H82)/(H64)))</f>
        <v>0.36375545770453227</v>
      </c>
    </row>
    <row r="130" spans="1:8" ht="34.049999999999997" customHeight="1" x14ac:dyDescent="0.3">
      <c r="A130" s="42" t="s">
        <v>220</v>
      </c>
      <c r="B130" s="43" t="s">
        <v>221</v>
      </c>
      <c r="C130" s="43" t="s">
        <v>222</v>
      </c>
      <c r="D130" s="48">
        <f>IF(OR(NOT(ISNUMBER(D79)),NOT(ISNUMBER(D64))),"n/m",IF(OR((D64)&lt;=0,(D79)&lt;0),"n/m",(D79)/(D64)))</f>
        <v>0.1759822170452098</v>
      </c>
      <c r="E130" s="48">
        <f>IF(OR(NOT(ISNUMBER(E79)),NOT(ISNUMBER(E64))),"n/m",IF(OR((E64)&lt;=0,(E79)&lt;0),"n/m",(E79)/(E64)))</f>
        <v>7.4739658936337147E-2</v>
      </c>
      <c r="F130" s="48">
        <f>IF(OR(NOT(ISNUMBER(F79)),NOT(ISNUMBER(F64))),"n/m",IF(OR((F64)&lt;=0,(F79)&lt;0),"n/m",(F79)/(F64)))</f>
        <v>7.2358441549152441E-2</v>
      </c>
      <c r="G130" s="48">
        <f>IF(OR(NOT(ISNUMBER(G79)),NOT(ISNUMBER(G64))),"n/m",IF(OR((G64)&lt;=0,(G79)&lt;0),"n/m",(G79)/(G64)))</f>
        <v>7.9342975209845082E-2</v>
      </c>
      <c r="H130" s="48">
        <f>IF(OR(NOT(ISNUMBER(H79)),NOT(ISNUMBER(H64))),"n/m",IF(OR((H64)&lt;=0,(H79)&lt;0),"n/m",(H79)/(H64)))</f>
        <v>0.24711008947956384</v>
      </c>
    </row>
    <row r="131" spans="1:8" ht="34.049999999999997" customHeight="1" x14ac:dyDescent="0.3">
      <c r="A131" s="42" t="s">
        <v>223</v>
      </c>
      <c r="B131" s="43" t="s">
        <v>224</v>
      </c>
      <c r="C131" s="43" t="s">
        <v>225</v>
      </c>
      <c r="D131" s="48">
        <f>IF(OR(NOT(ISNUMBER(D79)),NOT(ISNUMBER(D25))),"n/m",IF(OR((D25)&lt;=0,(D79)&lt;0),"n/m",(D79)/(D25)))</f>
        <v>9.4416925860816264E-2</v>
      </c>
      <c r="E131" s="48">
        <f>IF(OR(NOT(ISNUMBER(E79)),NOT(ISNUMBER(E25))),"n/m",IF(OR((E25)&lt;=0,(E79)&lt;0),"n/m",(E79)/(E25)))</f>
        <v>4.4108433323144514E-2</v>
      </c>
      <c r="F131" s="48">
        <f>IF(OR(NOT(ISNUMBER(F79)),NOT(ISNUMBER(F25))),"n/m",IF(OR((F25)&lt;=0,(F79)&lt;0),"n/m",(F79)/(F25)))</f>
        <v>5.0070043588560612E-2</v>
      </c>
      <c r="G131" s="48">
        <f>IF(OR(NOT(ISNUMBER(G79)),NOT(ISNUMBER(G25))),"n/m",IF(OR((G25)&lt;=0,(G79)&lt;0),"n/m",(G79)/(G25)))</f>
        <v>5.3061850871209217E-2</v>
      </c>
      <c r="H131" s="48">
        <f>IF(OR(NOT(ISNUMBER(H79)),NOT(ISNUMBER(H25))),"n/m",IF(OR((H25)&lt;=0,(H79)&lt;0),"n/m",(H79)/(H25)))</f>
        <v>0.14303507159585241</v>
      </c>
    </row>
    <row r="132" spans="1:8" ht="34.049999999999997" customHeight="1" x14ac:dyDescent="0.3">
      <c r="A132" s="42" t="s">
        <v>226</v>
      </c>
      <c r="B132" s="43" t="s">
        <v>227</v>
      </c>
      <c r="C132" s="43" t="s">
        <v>228</v>
      </c>
      <c r="D132" s="48">
        <f>IF(OR(NOT(ISNUMBER(D79)),NOT(ISNUMBER(D29))),"n/m",IF(OR((D29)&lt;=0,(D79)&lt;0),"n/m",(D79)/(D29)))</f>
        <v>0.16658725897109622</v>
      </c>
      <c r="E132" s="48">
        <f>IF(OR(NOT(ISNUMBER(E79)),NOT(ISNUMBER(E29))),"n/m",IF(OR((E29)&lt;=0,(E79)&lt;0),"n/m",(E79)/(E29)))</f>
        <v>8.9408976031592494E-2</v>
      </c>
      <c r="F132" s="48">
        <f>IF(OR(NOT(ISNUMBER(F79)),NOT(ISNUMBER(F29))),"n/m",IF(OR((F29)&lt;=0,(F79)&lt;0),"n/m",(F79)/(F29)))</f>
        <v>0.10000796203977304</v>
      </c>
      <c r="G132" s="48">
        <f>IF(OR(NOT(ISNUMBER(G79)),NOT(ISNUMBER(G29))),"n/m",IF(OR((G29)&lt;=0,(G79)&lt;0),"n/m",(G79)/(G29)))</f>
        <v>0.10020784968682853</v>
      </c>
      <c r="H132" s="48">
        <f>IF(OR(NOT(ISNUMBER(H79)),NOT(ISNUMBER(H29))),"n/m",IF(OR((H29)&lt;=0,(H79)&lt;0),"n/m",(H79)/(H29)))</f>
        <v>0.2383990269906105</v>
      </c>
    </row>
    <row r="133" spans="1:8" ht="34.049999999999997" customHeight="1" x14ac:dyDescent="0.3">
      <c r="A133" s="42" t="s">
        <v>229</v>
      </c>
      <c r="B133" s="43" t="s">
        <v>230</v>
      </c>
      <c r="C133" s="43" t="s">
        <v>231</v>
      </c>
      <c r="D133" s="48">
        <f>IF(OR(NOT(ISNUMBER(D88)),NOT(ISNUMBER(D58))),"n/m",IF(OR((D58)&lt;=0,(D88)&lt;0),"n/m",(D88)/(D58)))</f>
        <v>0.13938409686265396</v>
      </c>
      <c r="E133" s="48">
        <f>IF(OR(NOT(ISNUMBER(E88)),NOT(ISNUMBER(E58))),"n/m",IF(OR((E58)&lt;=0,(E88)&lt;0),"n/m",(E88)/(E58)))</f>
        <v>6.8354987715222609E-2</v>
      </c>
      <c r="F133" s="48">
        <f>IF(OR(NOT(ISNUMBER(F88)),NOT(ISNUMBER(F58))),"n/m",IF(OR((F58)&lt;=0,(F88)&lt;0),"n/m",(F88)/(F58)))</f>
        <v>8.9438322458184685E-2</v>
      </c>
      <c r="G133" s="48">
        <f>IF(OR(NOT(ISNUMBER(G88)),NOT(ISNUMBER(G58))),"n/m",IF(OR((G58)&lt;=0,(G88)&lt;0),"n/m",(G88)/(G58)))</f>
        <v>0.10647533565261356</v>
      </c>
      <c r="H133" s="48">
        <f>IF(OR(NOT(ISNUMBER(H88)),NOT(ISNUMBER(H58))),"n/m",IF(OR((H58)&lt;=0,(H88)&lt;0),"n/m",(H88)/(H58)))</f>
        <v>0.22920346694221672</v>
      </c>
    </row>
    <row r="134" spans="1:8" ht="34.049999999999997" customHeight="1" x14ac:dyDescent="0.3">
      <c r="A134" s="42" t="s">
        <v>232</v>
      </c>
      <c r="B134" s="43" t="s">
        <v>233</v>
      </c>
      <c r="C134" s="43" t="s">
        <v>234</v>
      </c>
      <c r="D134" s="48">
        <f>IF(OR(NOT(ISNUMBER(D82)),NOT(ISNUMBER(D25))),"n/m",IF(OR((D25)&lt;=0,(D82)&lt;0),"n/m",(D82)/(D25)))</f>
        <v>0.13189876556323574</v>
      </c>
      <c r="E134" s="48">
        <f>IF(OR(NOT(ISNUMBER(E82)),NOT(ISNUMBER(E25))),"n/m",IF(OR((E25)&lt;=0,(E82)&lt;0),"n/m",(E82)/(E25)))</f>
        <v>0.10793191347335213</v>
      </c>
      <c r="F134" s="48">
        <f>IF(OR(NOT(ISNUMBER(F82)),NOT(ISNUMBER(F25))),"n/m",IF(OR((F25)&lt;=0,(F82)&lt;0),"n/m",(F82)/(F25)))</f>
        <v>0.13303028097551164</v>
      </c>
      <c r="G134" s="48">
        <f>IF(OR(NOT(ISNUMBER(G82)),NOT(ISNUMBER(G25))),"n/m",IF(OR((G25)&lt;=0,(G82)&lt;0),"n/m",(G82)/(G25)))</f>
        <v>0.13069771915820996</v>
      </c>
      <c r="H134" s="48">
        <f>IF(OR(NOT(ISNUMBER(H82)),NOT(ISNUMBER(H25))),"n/m",IF(OR((H25)&lt;=0,(H82)&lt;0),"n/m",(H82)/(H25)))</f>
        <v>0.21055306987152678</v>
      </c>
    </row>
    <row r="135" spans="1:8" ht="22.95" customHeight="1" x14ac:dyDescent="0.3">
      <c r="A135" s="91" t="s">
        <v>235</v>
      </c>
      <c r="B135" s="91"/>
      <c r="C135" s="91"/>
      <c r="D135" s="92"/>
      <c r="E135" s="92"/>
      <c r="F135" s="92"/>
      <c r="G135" s="92"/>
      <c r="H135" s="92"/>
    </row>
    <row r="136" spans="1:8" ht="34.049999999999997" customHeight="1" x14ac:dyDescent="0.3">
      <c r="A136" s="42" t="s">
        <v>236</v>
      </c>
      <c r="B136" s="43" t="s">
        <v>237</v>
      </c>
      <c r="C136" s="43" t="s">
        <v>238</v>
      </c>
      <c r="D136" s="49">
        <f>IF(OR(NOT(ISNUMBER(D79)),NOT(ISNUMBER(D104))),"n/m",IF(OR((D104)&lt;=0,(D79)&lt;0),"n/m",(D79)/(D104)))</f>
        <v>5.6941155155115029</v>
      </c>
      <c r="E136" s="49">
        <f>IF(OR(NOT(ISNUMBER(E79)),NOT(ISNUMBER(E104))),"n/m",IF(OR((E104)&lt;=0,(E79)&lt;0),"n/m",(E79)/(E104)))</f>
        <v>3.3041099784606085</v>
      </c>
      <c r="F136" s="49">
        <f>IF(OR(NOT(ISNUMBER(F79)),NOT(ISNUMBER(F104))),"n/m",IF(OR((F104)&lt;=0,(F79)&lt;0),"n/m",(F79)/(F104)))</f>
        <v>4.1845053824045904</v>
      </c>
      <c r="G136" s="49">
        <f>IF(OR(NOT(ISNUMBER(G79)),NOT(ISNUMBER(G104))),"n/m",IF(OR((G104)&lt;=0,(G79)&lt;0),"n/m",(G79)/(G104)))</f>
        <v>4.9791974962957211</v>
      </c>
      <c r="H136" s="49">
        <f>IF(OR(NOT(ISNUMBER(H79)),NOT(ISNUMBER(H104))),"n/m",IF(OR((H104)&lt;=0,(H79)&lt;0),"n/m",(H79)/(H104)))</f>
        <v>16.262863426829693</v>
      </c>
    </row>
    <row r="137" spans="1:8" ht="34.049999999999997" customHeight="1" x14ac:dyDescent="0.3">
      <c r="A137" s="42" t="s">
        <v>239</v>
      </c>
      <c r="B137" s="43" t="s">
        <v>240</v>
      </c>
      <c r="C137" s="43" t="s">
        <v>241</v>
      </c>
      <c r="D137" s="49">
        <f>IF(OR(NOT(ISNUMBER(D29)),NOT(ISNUMBER(D103))),"n/m",IF(OR((D103)&lt;=0,(D29)&lt;0),"n/m",(D29)/(D103)))</f>
        <v>34.180972265393187</v>
      </c>
      <c r="E137" s="49">
        <f>IF(OR(NOT(ISNUMBER(E29)),NOT(ISNUMBER(E103))),"n/m",IF(OR((E103)&lt;=0,(E29)&lt;0),"n/m",(E29)/(E103)))</f>
        <v>37.561557627459578</v>
      </c>
      <c r="F137" s="49">
        <f>IF(OR(NOT(ISNUMBER(F29)),NOT(ISNUMBER(F103))),"n/m",IF(OR((F103)&lt;=0,(F29)&lt;0),"n/m",(F29)/(F103)))</f>
        <v>41.844014540695262</v>
      </c>
      <c r="G137" s="49">
        <f>IF(OR(NOT(ISNUMBER(G29)),NOT(ISNUMBER(G103))),"n/m",IF(OR((G103)&lt;=0,(G29)&lt;0),"n/m",(G29)/(G103)))</f>
        <v>50.226982139301263</v>
      </c>
      <c r="H137" s="49">
        <f>IF(OR(NOT(ISNUMBER(H29)),NOT(ISNUMBER(H103))),"n/m",IF(OR((H103)&lt;=0,(H29)&lt;0),"n/m",(H29)/(H103)))</f>
        <v>68.217013474898792</v>
      </c>
    </row>
    <row r="138" spans="1:8" ht="34.049999999999997" customHeight="1" x14ac:dyDescent="0.3">
      <c r="A138" s="42" t="s">
        <v>242</v>
      </c>
      <c r="B138" s="43" t="s">
        <v>243</v>
      </c>
      <c r="C138" s="43" t="s">
        <v>244</v>
      </c>
      <c r="D138" s="45">
        <f>IF(OR(NOT(ISNUMBER(D105)),NOT(ISNUMBER(D79/D104))),"n/m",IF(OR((D79/D104)&lt;=0,(D105)&lt;0),"n/m",(D105)/(D79/D104)))</f>
        <v>8.2506229232653325</v>
      </c>
      <c r="E138" s="45">
        <f>IF(OR(NOT(ISNUMBER(E105)),NOT(ISNUMBER(E79/E104))),"n/m",IF(OR((E79/E104)&lt;=0,(E105)&lt;0),"n/m",(E105)/(E79/E104)))</f>
        <v>8.2775695053414715</v>
      </c>
      <c r="F138" s="45">
        <f>IF(OR(NOT(ISNUMBER(F105)),NOT(ISNUMBER(F79/F104))),"n/m",IF(OR((F79/F104)&lt;=0,(F105)&lt;0),"n/m",(F105)/(F79/F104)))</f>
        <v>6.7702147353244424</v>
      </c>
      <c r="G138" s="45">
        <f>IF(OR(NOT(ISNUMBER(G105)),NOT(ISNUMBER(G79/G104))),"n/m",IF(OR((G79/G104)&lt;=0,(G105)&lt;0),"n/m",(G105)/(G79/G104)))</f>
        <v>7.6317519094733912</v>
      </c>
      <c r="H138" s="45">
        <f>IF(OR(NOT(ISNUMBER(H105)),NOT(ISNUMBER(H79/H104))),"n/m",IF(OR((H79/H104)&lt;=0,(H105)&lt;0),"n/m",(H105)/(H79/H104)))</f>
        <v>5.1823592062489379</v>
      </c>
    </row>
    <row r="139" spans="1:8" ht="34.049999999999997" customHeight="1" x14ac:dyDescent="0.3">
      <c r="A139" s="42" t="s">
        <v>245</v>
      </c>
      <c r="B139" s="43" t="s">
        <v>246</v>
      </c>
      <c r="C139" s="43" t="s">
        <v>247</v>
      </c>
      <c r="D139" s="45">
        <f>IF(OR(NOT(ISNUMBER(D105)),NOT(ISNUMBER(D29/D103))),"n/m",IF(OR((D29/D103)&lt;=0,(D105)&lt;0),"n/m",(D105)/(D29/D103)))</f>
        <v>1.3744489078669448</v>
      </c>
      <c r="E139" s="45">
        <f>IF(OR(NOT(ISNUMBER(E105)),NOT(ISNUMBER(E29/E103))),"n/m",IF(OR((E29/E103)&lt;=0,(E105)&lt;0),"n/m",(E105)/(E29/E103)))</f>
        <v>0.72813806794864222</v>
      </c>
      <c r="F139" s="45">
        <f>IF(OR(NOT(ISNUMBER(F105)),NOT(ISNUMBER(F29/F103))),"n/m",IF(OR((F29/F103)&lt;=0,(F105)&lt;0),"n/m",(F105)/(F29/F103)))</f>
        <v>0.67703828877240613</v>
      </c>
      <c r="G139" s="45">
        <f>IF(OR(NOT(ISNUMBER(G105)),NOT(ISNUMBER(G29/G103))),"n/m",IF(OR((G29/G103)&lt;=0,(G105)&lt;0),"n/m",(G105)/(G29/G103)))</f>
        <v>0.75656546305349337</v>
      </c>
      <c r="H139" s="45">
        <f>IF(OR(NOT(ISNUMBER(H105)),NOT(ISNUMBER(H29/H103))),"n/m",IF(OR((H29/H103)&lt;=0,(H105)&lt;0),"n/m",(H105)/(H29/H103)))</f>
        <v>1.2354689205356633</v>
      </c>
    </row>
    <row r="140" spans="1:8" ht="34.049999999999997" customHeight="1" x14ac:dyDescent="0.3">
      <c r="A140" s="42" t="s">
        <v>248</v>
      </c>
      <c r="B140" s="43" t="s">
        <v>249</v>
      </c>
      <c r="C140" s="43" t="s">
        <v>308</v>
      </c>
      <c r="D140" s="73">
        <f>IF(OR(NOT(ISNUMBER(D106)),NOT(ISNUMBER(D105))),"n/m",IF(OR((D105)&lt;=0,(D106)&lt;0),"n/m",(D106)/(D105)))</f>
        <v>0</v>
      </c>
      <c r="E140" s="73">
        <f>IF(OR(NOT(ISNUMBER(E106)),NOT(ISNUMBER(E105))),"n/m",IF(OR((E105)&lt;=0,(E106)&lt;0),"n/m",(E106)/(E105)))</f>
        <v>0</v>
      </c>
      <c r="F140" s="73">
        <f>IF(OR(NOT(ISNUMBER(F106)),NOT(ISNUMBER(F105))),"n/m",IF(OR((F105)&lt;=0,(F106)&lt;0),"n/m",(F106)/(F105)))</f>
        <v>0</v>
      </c>
      <c r="G140" s="73">
        <f>IF(OR(NOT(ISNUMBER(G106)),NOT(ISNUMBER(G105))),"n/m",IF(OR((G105)&lt;=0,(G106)&lt;0),"n/m",(G106)/(G105)))</f>
        <v>0</v>
      </c>
      <c r="H140" s="73">
        <f>IF(OR(NOT(ISNUMBER(H106)),NOT(ISNUMBER(H105))),"n/m",IF(OR((H105)&lt;=0,(H106)&lt;0),"n/m",(H106)/(H105)))</f>
        <v>0</v>
      </c>
    </row>
    <row r="141" spans="1:8" ht="34.049999999999997" customHeight="1" x14ac:dyDescent="0.3">
      <c r="A141" s="42" t="s">
        <v>250</v>
      </c>
      <c r="B141" s="43" t="s">
        <v>251</v>
      </c>
      <c r="C141" s="43" t="s">
        <v>252</v>
      </c>
      <c r="D141" s="45">
        <f>IF(OR(NOT(ISNUMBER(D214)),NOT(ISNUMBER(D83))),"n/m",IF(OR((D83)&lt;=0,(D214)&lt;0),"n/m",(D214)/(D83)))</f>
        <v>5.6223501239668989</v>
      </c>
      <c r="E141" s="45">
        <f>IF(OR(NOT(ISNUMBER(E214)),NOT(ISNUMBER(E83))),"n/m",IF(OR((E83)&lt;=0,(E214)&lt;0),"n/m",(E214)/(E83)))</f>
        <v>4.4912459172048038</v>
      </c>
      <c r="F141" s="45">
        <f>IF(OR(NOT(ISNUMBER(F214)),NOT(ISNUMBER(F83))),"n/m",IF(OR((F83)&lt;=0,(F214)&lt;0),"n/m",(F214)/(F83)))</f>
        <v>3.2721791070017887</v>
      </c>
      <c r="G141" s="45">
        <f>IF(OR(NOT(ISNUMBER(G214)),NOT(ISNUMBER(G83))),"n/m",IF(OR((G83)&lt;=0,(G214)&lt;0),"n/m",(G214)/(G83)))</f>
        <v>3.3522633268626687</v>
      </c>
      <c r="H141" s="45">
        <f>IF(OR(NOT(ISNUMBER(H214)),NOT(ISNUMBER(H83))),"n/m",IF(OR((H83)&lt;=0,(H214)&lt;0),"n/m",(H214)/(H83)))</f>
        <v>3.4441662826745523</v>
      </c>
    </row>
    <row r="142" spans="1:8" ht="34.049999999999997" customHeight="1" x14ac:dyDescent="0.3">
      <c r="A142" s="40"/>
      <c r="B142" s="40"/>
      <c r="C142" s="40"/>
      <c r="D142" s="40"/>
      <c r="E142" s="40"/>
      <c r="F142" s="40"/>
      <c r="G142" s="40"/>
      <c r="H142" s="40"/>
    </row>
    <row r="143" spans="1:8" ht="21" customHeight="1" x14ac:dyDescent="0.3">
      <c r="A143" s="44" t="s">
        <v>253</v>
      </c>
      <c r="B143" s="44"/>
      <c r="C143" s="44"/>
      <c r="D143" s="44"/>
      <c r="E143" s="44"/>
      <c r="F143" s="44"/>
      <c r="G143" s="44"/>
      <c r="H143" s="44"/>
    </row>
    <row r="144" spans="1:8" ht="21" customHeight="1" x14ac:dyDescent="0.3">
      <c r="A144" s="44" t="s">
        <v>254</v>
      </c>
      <c r="B144" s="44"/>
      <c r="C144" s="44"/>
      <c r="D144" s="44"/>
      <c r="E144" s="44"/>
      <c r="F144" s="44"/>
      <c r="G144" s="44"/>
      <c r="H144" s="44"/>
    </row>
    <row r="145" spans="1:8" ht="21" customHeight="1" x14ac:dyDescent="0.3">
      <c r="A145" s="44" t="s">
        <v>255</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256</v>
      </c>
      <c r="B153" s="27"/>
      <c r="C153" s="3"/>
      <c r="D153" s="3"/>
      <c r="E153" s="3"/>
      <c r="F153" s="3"/>
      <c r="G153" s="3"/>
      <c r="H153" s="3"/>
    </row>
    <row r="154" spans="1:8" x14ac:dyDescent="0.3">
      <c r="A154" s="38" t="s">
        <v>257</v>
      </c>
      <c r="B154" s="38"/>
      <c r="C154" s="18"/>
      <c r="D154" s="18" t="s">
        <v>65</v>
      </c>
      <c r="E154" s="18" t="s">
        <v>66</v>
      </c>
      <c r="F154" s="18" t="s">
        <v>67</v>
      </c>
      <c r="G154" s="18" t="s">
        <v>68</v>
      </c>
      <c r="H154" s="18" t="s">
        <v>69</v>
      </c>
    </row>
    <row r="155" spans="1:8" x14ac:dyDescent="0.3">
      <c r="A155" s="36" t="s">
        <v>72</v>
      </c>
      <c r="B155" s="36"/>
      <c r="C155" s="19"/>
      <c r="D155" s="19">
        <f>D9/D25</f>
        <v>0.66751239347747726</v>
      </c>
      <c r="E155" s="19">
        <f>E9/E25</f>
        <v>0.69069373773706522</v>
      </c>
      <c r="F155" s="19">
        <f>F9/F25</f>
        <v>0.69508637891786129</v>
      </c>
      <c r="G155" s="19">
        <f>G9/G25</f>
        <v>0.66416892302918018</v>
      </c>
      <c r="H155" s="19">
        <f>H9/H25</f>
        <v>0.52756426233846254</v>
      </c>
    </row>
    <row r="156" spans="1:8" x14ac:dyDescent="0.3">
      <c r="A156" s="36" t="s">
        <v>79</v>
      </c>
      <c r="B156" s="36"/>
      <c r="C156" s="19"/>
      <c r="D156" s="19">
        <f>D16/D25</f>
        <v>0.74451086257310961</v>
      </c>
      <c r="E156" s="19">
        <f>E16/E25</f>
        <v>0.75281658730285195</v>
      </c>
      <c r="F156" s="19">
        <f>F16/F25</f>
        <v>0.75208745433266044</v>
      </c>
      <c r="G156" s="19">
        <f>G16/G25</f>
        <v>0.72960647520136779</v>
      </c>
      <c r="H156" s="19">
        <f>H16/H25</f>
        <v>0.69982601503828457</v>
      </c>
    </row>
    <row r="157" spans="1:8" x14ac:dyDescent="0.3">
      <c r="A157" s="36" t="s">
        <v>258</v>
      </c>
      <c r="B157" s="36"/>
      <c r="C157" s="19"/>
      <c r="D157" s="19">
        <f>D54/D25</f>
        <v>0.1794841423241359</v>
      </c>
      <c r="E157" s="19">
        <f>E54/E25</f>
        <v>0.18913063812204728</v>
      </c>
      <c r="F157" s="19">
        <f>F54/F25</f>
        <v>0.15383805746643114</v>
      </c>
      <c r="G157" s="19">
        <f>G54/G25</f>
        <v>0.15633003958046601</v>
      </c>
      <c r="H157" s="19">
        <f>H54/H25</f>
        <v>0.14192620470839862</v>
      </c>
    </row>
    <row r="158" spans="1:8" x14ac:dyDescent="0.3">
      <c r="A158" s="36" t="s">
        <v>83</v>
      </c>
      <c r="B158" s="36"/>
      <c r="C158" s="19"/>
      <c r="D158" s="19">
        <f>D20/D25</f>
        <v>2.5358126639001111E-2</v>
      </c>
      <c r="E158" s="19">
        <f>E20/E25</f>
        <v>2.5132054422222147E-2</v>
      </c>
      <c r="F158" s="19">
        <f>F20/F25</f>
        <v>2.8993995845017155E-2</v>
      </c>
      <c r="G158" s="19">
        <f>G20/G25</f>
        <v>4.2154845774620656E-2</v>
      </c>
      <c r="H158" s="19">
        <f>H20/H25</f>
        <v>3.8706459041102891E-2</v>
      </c>
    </row>
    <row r="159" spans="1:8" x14ac:dyDescent="0.3">
      <c r="A159" s="36" t="s">
        <v>84</v>
      </c>
      <c r="B159" s="36"/>
      <c r="C159" s="19"/>
      <c r="D159" s="19">
        <f>D21/D25</f>
        <v>2.2516549772779834E-3</v>
      </c>
      <c r="E159" s="19">
        <f>E21/E25</f>
        <v>2.4125513095607197E-3</v>
      </c>
      <c r="F159" s="19">
        <f>F21/F25</f>
        <v>4.1128638317390574E-2</v>
      </c>
      <c r="G159" s="19">
        <f>G21/G25</f>
        <v>4.247202771677247E-2</v>
      </c>
      <c r="H159" s="19">
        <f>H21/H25</f>
        <v>9.3214344692228696E-2</v>
      </c>
    </row>
    <row r="160" spans="1:8" x14ac:dyDescent="0.3">
      <c r="A160" s="36" t="s">
        <v>85</v>
      </c>
      <c r="B160" s="36"/>
      <c r="C160" s="19"/>
      <c r="D160" s="19">
        <f>D22/D25</f>
        <v>7.402390466876769E-3</v>
      </c>
      <c r="E160" s="19">
        <f>E22/E25</f>
        <v>9.6525406009496419E-3</v>
      </c>
      <c r="F160" s="19">
        <f>F22/F25</f>
        <v>8.2568933232506619E-3</v>
      </c>
      <c r="G160" s="19">
        <f>G22/G25</f>
        <v>1.1406473313392042E-2</v>
      </c>
      <c r="H160" s="19">
        <f>H22/H25</f>
        <v>1.3563358053582253E-2</v>
      </c>
    </row>
    <row r="161" spans="1:8" x14ac:dyDescent="0.3">
      <c r="A161" s="36" t="s">
        <v>87</v>
      </c>
      <c r="B161" s="36"/>
      <c r="C161" s="19"/>
      <c r="D161" s="19">
        <f>D24/D25</f>
        <v>0.2554891374268905</v>
      </c>
      <c r="E161" s="19">
        <f>E24/E25</f>
        <v>0.24718341269714814</v>
      </c>
      <c r="F161" s="19">
        <f>F24/F25</f>
        <v>0.2479125456673395</v>
      </c>
      <c r="G161" s="19">
        <f>G24/G25</f>
        <v>0.27039352479863216</v>
      </c>
      <c r="H161" s="19">
        <f>H24/H25</f>
        <v>0.30017398496171543</v>
      </c>
    </row>
    <row r="162" spans="1:8" x14ac:dyDescent="0.3">
      <c r="A162" s="36" t="s">
        <v>92</v>
      </c>
      <c r="B162" s="36"/>
      <c r="C162" s="19"/>
      <c r="D162" s="19">
        <f>D29/D25</f>
        <v>0.56677159132078703</v>
      </c>
      <c r="E162" s="19">
        <f>E29/E25</f>
        <v>0.49333339090651124</v>
      </c>
      <c r="F162" s="19">
        <f>F29/F25</f>
        <v>0.50066057309164869</v>
      </c>
      <c r="G162" s="19">
        <f>G29/G25</f>
        <v>0.5295179073998606</v>
      </c>
      <c r="H162" s="19">
        <f>H29/H25</f>
        <v>0.59998177593856516</v>
      </c>
    </row>
    <row r="163" spans="1:8" x14ac:dyDescent="0.3">
      <c r="A163" s="36" t="s">
        <v>99</v>
      </c>
      <c r="B163" s="36"/>
      <c r="C163" s="19"/>
      <c r="D163" s="19">
        <f>D36/D25</f>
        <v>0.26037857779790413</v>
      </c>
      <c r="E163" s="19">
        <f>E36/E25</f>
        <v>0.30970076827351384</v>
      </c>
      <c r="F163" s="19">
        <f>F36/F25</f>
        <v>0.31858550041478589</v>
      </c>
      <c r="G163" s="19">
        <f>G36/G25</f>
        <v>0.28331686990283023</v>
      </c>
      <c r="H163" s="19">
        <f>H36/H25</f>
        <v>0.20413860492702354</v>
      </c>
    </row>
    <row r="164" spans="1:8" x14ac:dyDescent="0.3">
      <c r="A164" s="36" t="s">
        <v>111</v>
      </c>
      <c r="B164" s="36"/>
      <c r="C164" s="19"/>
      <c r="D164" s="19">
        <f>D48/D25</f>
        <v>0.17284983088130881</v>
      </c>
      <c r="E164" s="19">
        <f>E48/E25</f>
        <v>0.19696584081997504</v>
      </c>
      <c r="F164" s="19">
        <f>F48/F25</f>
        <v>0.18075392649356528</v>
      </c>
      <c r="G164" s="19">
        <f>G48/G25</f>
        <v>0.18716522269730912</v>
      </c>
      <c r="H164" s="19">
        <f>H48/H25</f>
        <v>0.19587961913441157</v>
      </c>
    </row>
    <row r="165" spans="1:8" x14ac:dyDescent="0.3">
      <c r="A165" s="36" t="s">
        <v>118</v>
      </c>
      <c r="B165" s="36"/>
      <c r="C165" s="19"/>
      <c r="D165" s="19">
        <f>D55/D25</f>
        <v>0.24510345659262772</v>
      </c>
      <c r="E165" s="19">
        <f>E55/E25</f>
        <v>0.30376396002588846</v>
      </c>
      <c r="F165" s="19">
        <f>F55/F25</f>
        <v>0.22154620576596809</v>
      </c>
      <c r="G165" s="19">
        <f>G55/G25</f>
        <v>0.19511145709239938</v>
      </c>
      <c r="H165" s="19">
        <f>H55/H25</f>
        <v>0.12241227835938212</v>
      </c>
    </row>
    <row r="166" spans="1:8" x14ac:dyDescent="0.3">
      <c r="A166" s="38" t="s">
        <v>259</v>
      </c>
      <c r="B166" s="38"/>
      <c r="C166" s="18"/>
      <c r="D166" s="18" t="s">
        <v>65</v>
      </c>
      <c r="E166" s="18" t="s">
        <v>66</v>
      </c>
      <c r="F166" s="18" t="s">
        <v>67</v>
      </c>
      <c r="G166" s="18" t="s">
        <v>68</v>
      </c>
      <c r="H166" s="18" t="s">
        <v>69</v>
      </c>
    </row>
    <row r="167" spans="1:8" x14ac:dyDescent="0.3">
      <c r="A167" s="36" t="s">
        <v>125</v>
      </c>
      <c r="B167" s="36"/>
      <c r="C167" s="19"/>
      <c r="D167" s="19">
        <f>D65/D64</f>
        <v>-0.79169285554759639</v>
      </c>
      <c r="E167" s="19">
        <f>E65/E64</f>
        <v>-0.74699996632290333</v>
      </c>
      <c r="F167" s="19">
        <f>F65/F64</f>
        <v>-0.70723677528272588</v>
      </c>
      <c r="G167" s="19">
        <f>G65/G64</f>
        <v>-0.68452154617621641</v>
      </c>
      <c r="H167" s="19">
        <f>H65/H64</f>
        <v>-0.65555594009530793</v>
      </c>
    </row>
    <row r="168" spans="1:8" x14ac:dyDescent="0.3">
      <c r="A168" s="36" t="s">
        <v>126</v>
      </c>
      <c r="B168" s="36"/>
      <c r="C168" s="19"/>
      <c r="D168" s="19">
        <f>D66/D64</f>
        <v>0.20830714445240356</v>
      </c>
      <c r="E168" s="19">
        <f>E66/E64</f>
        <v>0.25300003367709667</v>
      </c>
      <c r="F168" s="19">
        <f>F66/F64</f>
        <v>0.29276322471727417</v>
      </c>
      <c r="G168" s="19">
        <f>G66/G64</f>
        <v>0.31547845382378364</v>
      </c>
      <c r="H168" s="19">
        <f>H66/H64</f>
        <v>0.34444405990469212</v>
      </c>
    </row>
    <row r="169" spans="1:8" x14ac:dyDescent="0.3">
      <c r="A169" s="36" t="s">
        <v>260</v>
      </c>
      <c r="B169" s="36"/>
      <c r="C169" s="19"/>
      <c r="D169" s="19">
        <f>(D67+D68+D69+D70)/D64</f>
        <v>-6.6167569462591933E-2</v>
      </c>
      <c r="E169" s="19">
        <f>(E67+E68+E69+E70)/E64</f>
        <v>-7.0229916465548714E-2</v>
      </c>
      <c r="F169" s="19">
        <f>(F67+F68+F69+F70)/F64</f>
        <v>-0.10178908798431271</v>
      </c>
      <c r="G169" s="19">
        <f>(G67+G68+G69+G70)/G64</f>
        <v>-0.12415952555957842</v>
      </c>
      <c r="H169" s="19">
        <f>(H67+H68+H69+H70)/H64</f>
        <v>-0.11635099224648922</v>
      </c>
    </row>
    <row r="170" spans="1:8" x14ac:dyDescent="0.3">
      <c r="A170" s="36" t="s">
        <v>261</v>
      </c>
      <c r="B170" s="36"/>
      <c r="C170" s="19"/>
      <c r="D170" s="19">
        <f>D71/D64</f>
        <v>0.14213957498981164</v>
      </c>
      <c r="E170" s="19">
        <f>E71/E64</f>
        <v>0.18277011721154793</v>
      </c>
      <c r="F170" s="19">
        <f>F71/F64</f>
        <v>0.19097413673296146</v>
      </c>
      <c r="G170" s="19">
        <f>G71/G64</f>
        <v>0.19131892826420518</v>
      </c>
      <c r="H170" s="19">
        <f>H71/H64</f>
        <v>0.22809306765820289</v>
      </c>
    </row>
    <row r="171" spans="1:8" x14ac:dyDescent="0.3">
      <c r="A171" s="36" t="s">
        <v>132</v>
      </c>
      <c r="B171" s="36"/>
      <c r="C171" s="19"/>
      <c r="D171" s="19">
        <f>(D72+D73+D74)/D64</f>
        <v>0.10501717569447117</v>
      </c>
      <c r="E171" s="19">
        <f>(E72+E73+E74)/E64</f>
        <v>1.1665589645360385E-3</v>
      </c>
      <c r="F171" s="19">
        <f>(F72+F73+F74)/F64</f>
        <v>2.3623904654187589E-3</v>
      </c>
      <c r="G171" s="19">
        <f>(G72+G73+G74)/G64</f>
        <v>5.35935916064245E-3</v>
      </c>
      <c r="H171" s="19">
        <f>(H72+H73+H74)/H64</f>
        <v>0.13770516642243882</v>
      </c>
    </row>
    <row r="172" spans="1:8" x14ac:dyDescent="0.3">
      <c r="A172" s="36" t="s">
        <v>135</v>
      </c>
      <c r="B172" s="36"/>
      <c r="C172" s="19"/>
      <c r="D172" s="19">
        <f>D75/D64</f>
        <v>-4.203718123722347E-2</v>
      </c>
      <c r="E172" s="19">
        <f>E75/E64</f>
        <v>-3.5882925880997174E-2</v>
      </c>
      <c r="F172" s="19">
        <f>F75/F64</f>
        <v>-4.4313113538519432E-2</v>
      </c>
      <c r="G172" s="19">
        <f>G75/G64</f>
        <v>-6.2274488781043524E-2</v>
      </c>
      <c r="H172" s="19">
        <f>H75/H64</f>
        <v>-5.156167508185016E-2</v>
      </c>
    </row>
    <row r="173" spans="1:8" x14ac:dyDescent="0.3">
      <c r="A173" s="36" t="s">
        <v>136</v>
      </c>
      <c r="B173" s="36"/>
      <c r="C173" s="19"/>
      <c r="D173" s="19">
        <f>D76/D64</f>
        <v>0.20511956944705931</v>
      </c>
      <c r="E173" s="19">
        <f>E76/E64</f>
        <v>0.1480537502950868</v>
      </c>
      <c r="F173" s="19">
        <f>F76/F64</f>
        <v>0.14902341365986083</v>
      </c>
      <c r="G173" s="19">
        <f>G76/G64</f>
        <v>0.13440379864380411</v>
      </c>
      <c r="H173" s="19">
        <f>H76/H64</f>
        <v>0.31423655899879155</v>
      </c>
    </row>
    <row r="174" spans="1:8" x14ac:dyDescent="0.3">
      <c r="A174" s="36" t="s">
        <v>262</v>
      </c>
      <c r="B174" s="36"/>
      <c r="C174" s="19"/>
      <c r="D174" s="19">
        <f>(D77+D78)/D64</f>
        <v>-2.9137352401849486E-2</v>
      </c>
      <c r="E174" s="19">
        <f>(E77+E78)/E64</f>
        <v>-7.3314091358749653E-2</v>
      </c>
      <c r="F174" s="19">
        <f>(F77+F78)/F64</f>
        <v>-7.6664972110708385E-2</v>
      </c>
      <c r="G174" s="19">
        <f>(G77+G78)/G64</f>
        <v>-5.506082343395903E-2</v>
      </c>
      <c r="H174" s="19">
        <f>(H77+H78)/H64</f>
        <v>-6.7126469519227669E-2</v>
      </c>
    </row>
    <row r="175" spans="1:8" x14ac:dyDescent="0.3">
      <c r="A175" s="36" t="s">
        <v>139</v>
      </c>
      <c r="B175" s="36"/>
      <c r="C175" s="19"/>
      <c r="D175" s="19">
        <f>D79/D64</f>
        <v>0.1759822170452098</v>
      </c>
      <c r="E175" s="19">
        <f>E79/E64</f>
        <v>7.4739658936337147E-2</v>
      </c>
      <c r="F175" s="19">
        <f>F79/F64</f>
        <v>7.2358441549152441E-2</v>
      </c>
      <c r="G175" s="19">
        <f>G79/G64</f>
        <v>7.9342975209845082E-2</v>
      </c>
      <c r="H175" s="19">
        <f>H79/H64</f>
        <v>0.24711008947956384</v>
      </c>
    </row>
    <row r="176" spans="1:8" x14ac:dyDescent="0.3">
      <c r="A176" s="36"/>
      <c r="B176" s="36"/>
      <c r="C176" s="19"/>
      <c r="D176" s="19"/>
      <c r="E176" s="19"/>
      <c r="F176" s="19"/>
      <c r="G176" s="19"/>
      <c r="H176" s="19"/>
    </row>
    <row r="177" spans="1:8" x14ac:dyDescent="0.3">
      <c r="A177" s="23"/>
      <c r="B177" s="23"/>
    </row>
    <row r="178" spans="1:8" ht="19.5" customHeight="1" x14ac:dyDescent="0.3">
      <c r="A178" s="26" t="s">
        <v>263</v>
      </c>
      <c r="B178" s="27"/>
      <c r="C178" s="3"/>
      <c r="D178" s="3"/>
      <c r="E178" s="3"/>
      <c r="F178" s="3"/>
      <c r="G178" s="3"/>
      <c r="H178" s="3"/>
    </row>
    <row r="179" spans="1:8" x14ac:dyDescent="0.3">
      <c r="A179" s="38" t="s">
        <v>264</v>
      </c>
      <c r="B179" s="38"/>
      <c r="C179" s="18"/>
      <c r="D179" s="18" t="s">
        <v>65</v>
      </c>
      <c r="E179" s="18" t="s">
        <v>66</v>
      </c>
      <c r="F179" s="18" t="s">
        <v>67</v>
      </c>
      <c r="G179" s="18" t="s">
        <v>68</v>
      </c>
      <c r="H179" s="18" t="s">
        <v>69</v>
      </c>
    </row>
    <row r="180" spans="1:8" x14ac:dyDescent="0.3">
      <c r="A180" s="36" t="s">
        <v>124</v>
      </c>
      <c r="B180" s="36"/>
      <c r="C180" s="17"/>
      <c r="D180" s="17">
        <f>IF(OR(I64&lt;=0,D64&lt;I64),"n/m",D64/I64-1)</f>
        <v>0.2205036628193664</v>
      </c>
      <c r="E180" s="17">
        <f>IF(OR(D64&lt;=0,E64&lt;D64),"n/m",E64/D64-1)</f>
        <v>0.36527691630503112</v>
      </c>
      <c r="F180" s="17">
        <f>IF(OR(E64&lt;=0,F64&lt;E64),"n/m",F64/E64-1)</f>
        <v>0.27938463741535324</v>
      </c>
      <c r="G180" s="17">
        <f>IF(OR(F64&lt;=0,G64&lt;F64),"n/m",G64/F64-1)</f>
        <v>7.0512617595361204E-2</v>
      </c>
      <c r="H180" s="17">
        <f>IF(OR(G64&lt;=0,H64&lt;G64),"n/m",H64/G64-1)</f>
        <v>3.7471934024061904E-2</v>
      </c>
    </row>
    <row r="181" spans="1:8" x14ac:dyDescent="0.3">
      <c r="A181" s="36" t="s">
        <v>126</v>
      </c>
      <c r="B181" s="36"/>
      <c r="C181" s="17"/>
      <c r="D181" s="17" t="str">
        <f>IF(OR(I66&lt;=0,D66&lt;I66),"n/m",D66/I66-1)</f>
        <v>n/m</v>
      </c>
      <c r="E181" s="17">
        <f>IF(OR(D66&lt;=0,E66&lt;D66),"n/m",E66/D66-1)</f>
        <v>0.6582009547092611</v>
      </c>
      <c r="F181" s="17">
        <f>IF(OR(E66&lt;=0,F66&lt;E66),"n/m",F66/E66-1)</f>
        <v>0.48046135275027391</v>
      </c>
      <c r="G181" s="17">
        <f>IF(OR(F66&lt;=0,G66&lt;F66),"n/m",G66/F66-1)</f>
        <v>0.15357270614839247</v>
      </c>
      <c r="H181" s="17">
        <f>IF(OR(G66&lt;=0,H66&lt;G66),"n/m",H66/G66-1)</f>
        <v>0.13272726127923096</v>
      </c>
    </row>
    <row r="182" spans="1:8" x14ac:dyDescent="0.3">
      <c r="A182" s="36" t="s">
        <v>261</v>
      </c>
      <c r="B182" s="36"/>
      <c r="C182" s="17"/>
      <c r="D182" s="17" t="str">
        <f>IF(OR(I71&lt;=0,D71&lt;I71),"n/m",D71/I71-1)</f>
        <v>n/m</v>
      </c>
      <c r="E182" s="17">
        <f>IF(OR(D71&lt;=0,E71&lt;D71),"n/m",E71/D71-1)</f>
        <v>0.7555407917687762</v>
      </c>
      <c r="F182" s="17">
        <f>IF(OR(E71&lt;=0,F71&lt;E71),"n/m",F71/E71-1)</f>
        <v>0.33681249652540335</v>
      </c>
      <c r="G182" s="17">
        <f>IF(OR(F71&lt;=0,G71&lt;F71),"n/m",G71/F71-1)</f>
        <v>7.2445359331759329E-2</v>
      </c>
      <c r="H182" s="17">
        <f>IF(OR(G71&lt;=0,H71&lt;G71),"n/m",H71/G71-1)</f>
        <v>0.23688836325721319</v>
      </c>
    </row>
    <row r="183" spans="1:8" x14ac:dyDescent="0.3">
      <c r="A183" s="36"/>
      <c r="B183" s="36"/>
      <c r="C183" s="17"/>
      <c r="D183" s="17"/>
      <c r="E183" s="17"/>
      <c r="F183" s="17"/>
      <c r="G183" s="17"/>
      <c r="H183" s="17"/>
    </row>
    <row r="184" spans="1:8" x14ac:dyDescent="0.3">
      <c r="A184" s="36" t="s">
        <v>139</v>
      </c>
      <c r="B184" s="36"/>
      <c r="C184" s="17"/>
      <c r="D184" s="17" t="str">
        <f>IF(OR(I79&lt;=0,D79&lt;I79),"n/m",D79/I79-1)</f>
        <v>n/m</v>
      </c>
      <c r="E184" s="17" t="str">
        <f>IF(OR(D79&lt;=0,E79&lt;D79),"n/m",E79/D79-1)</f>
        <v>n/m</v>
      </c>
      <c r="F184" s="17">
        <f>IF(OR(E79&lt;=0,F79&lt;E79),"n/m",F79/E79-1)</f>
        <v>0.23862323996095181</v>
      </c>
      <c r="G184" s="17">
        <f>IF(OR(F79&lt;=0,G79&lt;F79),"n/m",G79/F79-1)</f>
        <v>0.1738458466106918</v>
      </c>
      <c r="H184" s="17">
        <f>IF(OR(G79&lt;=0,H79&lt;G79),"n/m",H79/G79-1)</f>
        <v>2.2311591766149328</v>
      </c>
    </row>
    <row r="185" spans="1:8" x14ac:dyDescent="0.3">
      <c r="A185" s="36" t="s">
        <v>151</v>
      </c>
      <c r="B185" s="36"/>
      <c r="C185" s="17"/>
      <c r="D185" s="17" t="str">
        <f>IF(OR(I93&lt;=0,D93&lt;I93),"n/m",D93/I93-1)</f>
        <v>n/m</v>
      </c>
      <c r="E185" s="17">
        <f>IF(OR(D93&lt;=0,E93&lt;D93),"n/m",E93/D93-1)</f>
        <v>0.2713902557812029</v>
      </c>
      <c r="F185" s="17">
        <f>IF(OR(E93&lt;=0,F93&lt;E93),"n/m",F93/E93-1)</f>
        <v>1.4181760210283016</v>
      </c>
      <c r="G185" s="17" t="str">
        <f>IF(OR(F93&lt;=0,G93&lt;F93),"n/m",G93/F93-1)</f>
        <v>n/m</v>
      </c>
      <c r="H185" s="17">
        <f>IF(OR(G93&lt;=0,H93&lt;G93),"n/m",H93/G93-1)</f>
        <v>1.0341346572534</v>
      </c>
    </row>
    <row r="186" spans="1:8" x14ac:dyDescent="0.3">
      <c r="A186" s="36" t="s">
        <v>265</v>
      </c>
      <c r="B186" s="36"/>
      <c r="C186" s="17"/>
      <c r="D186" s="17">
        <f>IF(OR(I25&lt;=0,D25&lt;I25),"n/m",D25/I25-1)</f>
        <v>3.4768640539593054E-3</v>
      </c>
      <c r="E186" s="17">
        <f>IF(OR(D25&lt;=0,E25&lt;D25),"n/m",E25/D25-1)</f>
        <v>0.24117008038644383</v>
      </c>
      <c r="F186" s="17">
        <f>IF(OR(E25&lt;=0,F25&lt;E25),"n/m",F25/E25-1)</f>
        <v>9.114605613798421E-2</v>
      </c>
      <c r="G186" s="17">
        <f>IF(OR(F25&lt;=0,G25&lt;F25),"n/m",G25/F25-1)</f>
        <v>0.10766043289188354</v>
      </c>
      <c r="H186" s="17">
        <f>IF(OR(G25&lt;=0,H25&lt;G25),"n/m",H25/G25-1)</f>
        <v>0.19866606460769809</v>
      </c>
    </row>
    <row r="187" spans="1:8" x14ac:dyDescent="0.3">
      <c r="A187" s="36" t="s">
        <v>92</v>
      </c>
      <c r="B187" s="36"/>
      <c r="C187" s="17"/>
      <c r="D187" s="17">
        <f>IF(OR(I29&lt;=0,D29&lt;I29),"n/m",D29/I29-1)</f>
        <v>0.19864447402433227</v>
      </c>
      <c r="E187" s="17">
        <f>IF(OR(D29&lt;=0,E29&lt;D29),"n/m",E29/D29-1)</f>
        <v>8.034815757409719E-2</v>
      </c>
      <c r="F187" s="17">
        <f>IF(OR(E29&lt;=0,F29&lt;E29),"n/m",F29/E29-1)</f>
        <v>0.10735218791679246</v>
      </c>
      <c r="G187" s="17">
        <f>IF(OR(F29&lt;=0,G29&lt;F29),"n/m",G29/F29-1)</f>
        <v>0.17150434058079322</v>
      </c>
      <c r="H187" s="17">
        <f>IF(OR(G29&lt;=0,H29&lt;G29),"n/m",H29/G29-1)</f>
        <v>0.35817464178324188</v>
      </c>
    </row>
    <row r="188" spans="1:8" x14ac:dyDescent="0.3">
      <c r="A188" s="36" t="s">
        <v>118</v>
      </c>
      <c r="B188" s="36"/>
      <c r="C188" s="17"/>
      <c r="D188" s="17" t="str">
        <f>IF(OR(I55&lt;=0,D55&lt;I55),"n/m",D55/I55-1)</f>
        <v>n/m</v>
      </c>
      <c r="E188" s="17">
        <f>IF(OR(D55&lt;=0,E55&lt;D55),"n/m",E55/D55-1)</f>
        <v>0.53821877473749447</v>
      </c>
      <c r="F188" s="17" t="str">
        <f>IF(OR(E55&lt;=0,F55&lt;E55),"n/m",F55/E55-1)</f>
        <v>n/m</v>
      </c>
      <c r="G188" s="17" t="str">
        <f>IF(OR(F55&lt;=0,G55&lt;F55),"n/m",G55/F55-1)</f>
        <v>n/m</v>
      </c>
      <c r="H188" s="17" t="str">
        <f>IF(OR(G55&lt;=0,H55&lt;G55),"n/m",H55/G55-1)</f>
        <v>n/m</v>
      </c>
    </row>
    <row r="189" spans="1:8" x14ac:dyDescent="0.3">
      <c r="A189" s="36" t="s">
        <v>258</v>
      </c>
      <c r="B189" s="36"/>
      <c r="C189" s="17"/>
      <c r="D189" s="17">
        <f>IF(OR(I54&lt;=0,D54&lt;I54),"n/m",D54/I54-1)</f>
        <v>0.16844065275978992</v>
      </c>
      <c r="E189" s="17">
        <f>IF(OR(D54&lt;=0,E54&lt;D54),"n/m",E54/D54-1)</f>
        <v>0.30787760011439214</v>
      </c>
      <c r="F189" s="17" t="str">
        <f>IF(OR(E54&lt;=0,F54&lt;E54),"n/m",F54/E54-1)</f>
        <v>n/m</v>
      </c>
      <c r="G189" s="17">
        <f>IF(OR(F54&lt;=0,G54&lt;F54),"n/m",G54/F54-1)</f>
        <v>0.12560313206951079</v>
      </c>
      <c r="H189" s="17">
        <f>IF(OR(G54&lt;=0,H54&lt;G54),"n/m",H54/G54-1)</f>
        <v>8.8224155249174929E-2</v>
      </c>
    </row>
    <row r="190" spans="1:8" x14ac:dyDescent="0.3">
      <c r="A190" s="36" t="s">
        <v>83</v>
      </c>
      <c r="B190" s="36"/>
      <c r="C190" s="17"/>
      <c r="D190" s="17" t="str">
        <f>IF(OR(I20&lt;=0,D20&lt;I20),"n/m",D20/I20-1)</f>
        <v>n/m</v>
      </c>
      <c r="E190" s="17">
        <f>IF(OR(D20&lt;=0,E20&lt;D20),"n/m",E20/D20-1)</f>
        <v>0.23010482799350362</v>
      </c>
      <c r="F190" s="17">
        <f>IF(OR(E20&lt;=0,F20&lt;E20),"n/m",F20/E20-1)</f>
        <v>0.25881806900743975</v>
      </c>
      <c r="G190" s="17">
        <f>IF(OR(F20&lt;=0,G20&lt;F20),"n/m",G20/F20-1)</f>
        <v>0.61044565808722462</v>
      </c>
      <c r="H190" s="17">
        <f>IF(OR(G20&lt;=0,H20&lt;G20),"n/m",H20/G20-1)</f>
        <v>0.1006117584145132</v>
      </c>
    </row>
    <row r="191" spans="1:8" x14ac:dyDescent="0.3">
      <c r="A191" s="36" t="s">
        <v>85</v>
      </c>
      <c r="B191" s="36"/>
      <c r="C191" s="17"/>
      <c r="D191" s="17" t="str">
        <f>IF(OR(I22&lt;=0,D22&lt;I22),"n/m",D22/I22-1)</f>
        <v>n/m</v>
      </c>
      <c r="E191" s="17">
        <f>IF(OR(D22&lt;=0,E22&lt;D22),"n/m",E22/D22-1)</f>
        <v>0.61845617942238795</v>
      </c>
      <c r="F191" s="17" t="str">
        <f>IF(OR(E22&lt;=0,F22&lt;E22),"n/m",F22/E22-1)</f>
        <v>n/m</v>
      </c>
      <c r="G191" s="17">
        <f>IF(OR(F22&lt;=0,G22&lt;F22),"n/m",G22/F22-1)</f>
        <v>0.53017589951222277</v>
      </c>
      <c r="H191" s="17">
        <f>IF(OR(G22&lt;=0,H22&lt;G22),"n/m",H22/G22-1)</f>
        <v>0.42532547740803861</v>
      </c>
    </row>
    <row r="192" spans="1:8" x14ac:dyDescent="0.3">
      <c r="A192" s="23"/>
      <c r="B192" s="23"/>
    </row>
    <row r="193" spans="1:9" x14ac:dyDescent="0.3">
      <c r="A193" s="25" t="s">
        <v>266</v>
      </c>
      <c r="B193" s="23"/>
    </row>
    <row r="194" spans="1:9" x14ac:dyDescent="0.3">
      <c r="A194" s="23"/>
      <c r="B194" s="23"/>
    </row>
    <row r="195" spans="1:9" x14ac:dyDescent="0.3">
      <c r="A195" s="23"/>
      <c r="B195" s="23"/>
    </row>
    <row r="196" spans="1:9" ht="22.05" customHeight="1" x14ac:dyDescent="0.3">
      <c r="A196" s="89" t="s">
        <v>267</v>
      </c>
      <c r="B196" s="89"/>
      <c r="C196" s="90"/>
      <c r="D196" s="90"/>
      <c r="E196" s="90"/>
      <c r="F196" s="90"/>
      <c r="G196" s="90"/>
      <c r="H196" s="90"/>
    </row>
    <row r="197" spans="1:9" x14ac:dyDescent="0.3">
      <c r="A197" s="23" t="s">
        <v>268</v>
      </c>
      <c r="B197" s="23"/>
      <c r="C197" s="20"/>
      <c r="D197" s="20">
        <v>0</v>
      </c>
      <c r="E197" s="20">
        <v>0</v>
      </c>
      <c r="F197" s="20">
        <v>0</v>
      </c>
      <c r="G197" s="20">
        <v>0</v>
      </c>
      <c r="H197" s="20">
        <v>0</v>
      </c>
      <c r="I197" s="20">
        <v>0</v>
      </c>
    </row>
    <row r="198" spans="1:9" x14ac:dyDescent="0.3">
      <c r="A198" s="23" t="s">
        <v>269</v>
      </c>
      <c r="B198" s="23"/>
      <c r="C198" s="20"/>
      <c r="D198" s="20">
        <v>0</v>
      </c>
      <c r="E198" s="20">
        <v>0</v>
      </c>
      <c r="F198" s="20">
        <v>0</v>
      </c>
      <c r="G198" s="20">
        <v>0</v>
      </c>
      <c r="H198" s="20">
        <v>0</v>
      </c>
      <c r="I198" s="20">
        <v>0</v>
      </c>
    </row>
    <row r="199" spans="1:9" x14ac:dyDescent="0.3">
      <c r="A199" s="23" t="s">
        <v>270</v>
      </c>
      <c r="B199" s="23"/>
      <c r="C199" s="20"/>
      <c r="D199" s="20">
        <v>61.223999999999997</v>
      </c>
      <c r="E199" s="20">
        <v>132.595</v>
      </c>
      <c r="F199" s="20">
        <v>1871.865</v>
      </c>
      <c r="G199" s="20">
        <v>821.42499999999995</v>
      </c>
      <c r="H199" s="20">
        <v>1452.981</v>
      </c>
      <c r="I199" s="20">
        <v>287.25900000000001</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c r="B203" s="37"/>
      <c r="C203" s="21"/>
      <c r="D203" s="21"/>
      <c r="E203" s="21"/>
      <c r="F203" s="21"/>
      <c r="G203" s="21"/>
      <c r="H203" s="21"/>
      <c r="I203" s="20"/>
    </row>
    <row r="204" spans="1:9" x14ac:dyDescent="0.3">
      <c r="A204" s="23"/>
      <c r="B204" s="23"/>
    </row>
    <row r="205" spans="1:9" x14ac:dyDescent="0.3">
      <c r="A205" s="23"/>
      <c r="B205" s="23"/>
    </row>
    <row r="206" spans="1:9" x14ac:dyDescent="0.3">
      <c r="A206" s="23"/>
      <c r="B206" s="23"/>
    </row>
    <row r="207" spans="1:9" x14ac:dyDescent="0.3">
      <c r="A207" s="23"/>
      <c r="B207" s="23"/>
    </row>
    <row r="208" spans="1:9" x14ac:dyDescent="0.3">
      <c r="A208" s="23"/>
      <c r="B208" s="23"/>
    </row>
    <row r="209" spans="1:8" ht="22.95" customHeight="1" x14ac:dyDescent="0.3">
      <c r="A209" s="86" t="s">
        <v>273</v>
      </c>
      <c r="B209" s="86"/>
      <c r="C209" s="86"/>
      <c r="D209" s="86"/>
      <c r="E209" s="86"/>
      <c r="F209" s="86"/>
      <c r="G209" s="86"/>
      <c r="H209" s="86"/>
    </row>
    <row r="210" spans="1:8" x14ac:dyDescent="0.3">
      <c r="D210" t="s">
        <v>65</v>
      </c>
      <c r="E210" t="s">
        <v>66</v>
      </c>
      <c r="F210" t="s">
        <v>67</v>
      </c>
      <c r="G210" t="s">
        <v>68</v>
      </c>
      <c r="H210" t="s">
        <v>69</v>
      </c>
    </row>
    <row r="211" spans="1:8" x14ac:dyDescent="0.3">
      <c r="A211" t="s">
        <v>274</v>
      </c>
      <c r="D211" s="51">
        <f>D22+D215-D216</f>
        <v>490.32900000000001</v>
      </c>
      <c r="E211" s="51">
        <f>E22+E215-E216</f>
        <v>793.57600000000002</v>
      </c>
      <c r="F211" s="51">
        <f>F22+F215-F216</f>
        <v>740.70699999999999</v>
      </c>
      <c r="G211" s="51">
        <f>G22+G215-G216</f>
        <v>1371.912</v>
      </c>
      <c r="H211" s="51">
        <f>H22+H215-H216</f>
        <v>1615.481</v>
      </c>
    </row>
    <row r="212" spans="1:8" x14ac:dyDescent="0.3">
      <c r="A212" t="s">
        <v>275</v>
      </c>
      <c r="D212" s="51">
        <f>D40+D197+D198</f>
        <v>260.95299999999997</v>
      </c>
      <c r="E212" s="51">
        <f>E40+E197+E198</f>
        <v>665.12199999999996</v>
      </c>
      <c r="F212" s="51">
        <f>F40+F197+F198</f>
        <v>880.03899999999999</v>
      </c>
      <c r="G212" s="51">
        <f>G40+G197+G198</f>
        <v>865.94500000000005</v>
      </c>
      <c r="H212" s="51">
        <f>H40+H197+H198</f>
        <v>320.43400000000003</v>
      </c>
    </row>
    <row r="213" spans="1:8" x14ac:dyDescent="0.3">
      <c r="A213" t="s">
        <v>276</v>
      </c>
      <c r="D213" s="51">
        <f>D105*D103</f>
        <v>51600.304475999998</v>
      </c>
      <c r="E213" s="51">
        <f>E105*E103</f>
        <v>29532.562819999999</v>
      </c>
      <c r="F213" s="51">
        <f>F105*F103</f>
        <v>30407.897845999996</v>
      </c>
      <c r="G213" s="51">
        <f>G105*G103</f>
        <v>39807.378799999999</v>
      </c>
      <c r="H213" s="51">
        <f>H105*H103</f>
        <v>88288.575928000006</v>
      </c>
    </row>
    <row r="214" spans="1:8" x14ac:dyDescent="0.3">
      <c r="A214" t="s">
        <v>277</v>
      </c>
      <c r="D214" s="51">
        <f>D213+D55+D212-D211</f>
        <v>67606.404475999996</v>
      </c>
      <c r="E214" s="51">
        <f>E213+E55+E212-E211</f>
        <v>54377.822820000001</v>
      </c>
      <c r="F214" s="51">
        <f>F213+F55+F212-F211</f>
        <v>50421.632845999993</v>
      </c>
      <c r="G214" s="51">
        <f>G213+G55+G212-G211</f>
        <v>58688.794800000003</v>
      </c>
      <c r="H214" s="51">
        <f>H213+H55+H212-H211</f>
        <v>101573.59892800001</v>
      </c>
    </row>
    <row r="215" spans="1:8" x14ac:dyDescent="0.3">
      <c r="A215" t="s">
        <v>278</v>
      </c>
      <c r="D215" s="51">
        <v>0</v>
      </c>
      <c r="E215" s="51">
        <v>0</v>
      </c>
      <c r="F215" s="51">
        <v>0</v>
      </c>
      <c r="G215" s="51">
        <v>238.5</v>
      </c>
      <c r="H215" s="51">
        <v>0</v>
      </c>
    </row>
    <row r="216" spans="1:8" x14ac:dyDescent="0.3">
      <c r="A216" t="s">
        <v>279</v>
      </c>
      <c r="D216" s="51">
        <v>0</v>
      </c>
      <c r="E216" s="51">
        <v>0</v>
      </c>
      <c r="F216" s="51">
        <v>0</v>
      </c>
      <c r="G216" s="51">
        <v>0</v>
      </c>
      <c r="H216" s="51">
        <v>0</v>
      </c>
    </row>
    <row r="217" spans="1:8" x14ac:dyDescent="0.3">
      <c r="A217" s="50" t="s">
        <v>280</v>
      </c>
      <c r="B217" s="50"/>
      <c r="C217" s="50"/>
      <c r="D217" s="50"/>
      <c r="E217" s="50"/>
      <c r="F217" s="50"/>
      <c r="G217" s="50"/>
      <c r="H217" s="50"/>
    </row>
    <row r="218" spans="1:8" x14ac:dyDescent="0.3">
      <c r="A218" s="50" t="s">
        <v>281</v>
      </c>
      <c r="B218" s="50"/>
      <c r="C218" s="50"/>
      <c r="D218" s="50"/>
      <c r="E218" s="50"/>
      <c r="F218" s="50"/>
      <c r="G218" s="50"/>
      <c r="H218" s="50"/>
    </row>
  </sheetData>
  <mergeCells count="7">
    <mergeCell ref="A209:H209"/>
    <mergeCell ref="A196:H196"/>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98A"/>
    <pageSetUpPr fitToPage="1"/>
  </sheetPr>
  <dimension ref="A1:I218"/>
  <sheetViews>
    <sheetView showGridLines="0" workbookViewId="0">
      <pane xSplit="3" ySplit="7" topLeftCell="D139" activePane="bottomRight" state="frozen"/>
      <selection pane="topRight"/>
      <selection pane="bottomLeft"/>
      <selection pane="bottomRight" activeCell="D161" sqref="D161"/>
    </sheetView>
  </sheetViews>
  <sheetFormatPr defaultColWidth="8.6640625" defaultRowHeight="14.4" x14ac:dyDescent="0.3"/>
  <cols>
    <col min="1" max="1" width="44" customWidth="1"/>
    <col min="2" max="2" width="37" customWidth="1"/>
    <col min="3" max="3" width="28" customWidth="1"/>
    <col min="4" max="8" width="14" customWidth="1"/>
    <col min="9" max="9" width="14" hidden="1" customWidth="1"/>
  </cols>
  <sheetData>
    <row r="1" spans="1:9" ht="20.399999999999999" x14ac:dyDescent="0.35">
      <c r="A1" s="22" t="s">
        <v>290</v>
      </c>
      <c r="B1" s="23"/>
    </row>
    <row r="2" spans="1:9" x14ac:dyDescent="0.3">
      <c r="A2" s="24" t="s">
        <v>291</v>
      </c>
      <c r="B2" s="23"/>
    </row>
    <row r="3" spans="1:9" x14ac:dyDescent="0.3">
      <c r="A3" s="25" t="s">
        <v>62</v>
      </c>
      <c r="B3" s="23"/>
    </row>
    <row r="4" spans="1:9" x14ac:dyDescent="0.3">
      <c r="A4" s="23"/>
      <c r="B4" s="23"/>
    </row>
    <row r="5" spans="1:9" x14ac:dyDescent="0.3">
      <c r="A5" s="23"/>
      <c r="B5" s="23"/>
    </row>
    <row r="6" spans="1:9" ht="19.5" customHeight="1" x14ac:dyDescent="0.3">
      <c r="A6" s="26" t="s">
        <v>63</v>
      </c>
      <c r="B6" s="27"/>
      <c r="C6" s="3"/>
      <c r="D6" s="3"/>
      <c r="E6" s="3"/>
      <c r="F6" s="3"/>
      <c r="G6" s="3"/>
      <c r="H6" s="3"/>
      <c r="I6" s="3"/>
    </row>
    <row r="7" spans="1:9" ht="16.5" customHeight="1" x14ac:dyDescent="0.3">
      <c r="A7" s="28" t="s">
        <v>64</v>
      </c>
      <c r="B7" s="29"/>
      <c r="C7" s="9"/>
      <c r="D7" s="9" t="s">
        <v>65</v>
      </c>
      <c r="E7" s="9" t="s">
        <v>66</v>
      </c>
      <c r="F7" s="9" t="s">
        <v>67</v>
      </c>
      <c r="G7" s="9" t="s">
        <v>68</v>
      </c>
      <c r="H7" s="9" t="s">
        <v>69</v>
      </c>
      <c r="I7" s="9" t="s">
        <v>70</v>
      </c>
    </row>
    <row r="8" spans="1:9" x14ac:dyDescent="0.3">
      <c r="A8" s="30" t="s">
        <v>71</v>
      </c>
      <c r="B8" s="31"/>
      <c r="C8" s="10"/>
      <c r="D8" s="10"/>
      <c r="E8" s="10"/>
      <c r="F8" s="10"/>
      <c r="G8" s="10"/>
      <c r="H8" s="10"/>
      <c r="I8" s="10"/>
    </row>
    <row r="9" spans="1:9" x14ac:dyDescent="0.3">
      <c r="A9" s="32" t="s">
        <v>72</v>
      </c>
      <c r="B9" s="33"/>
      <c r="C9" s="11"/>
      <c r="D9" s="11">
        <v>21422.215</v>
      </c>
      <c r="E9" s="11">
        <v>74126.315000000002</v>
      </c>
      <c r="F9" s="11">
        <v>104425.181</v>
      </c>
      <c r="G9" s="11">
        <v>110845.663</v>
      </c>
      <c r="H9" s="11">
        <v>109579.08900000001</v>
      </c>
      <c r="I9" s="11">
        <v>22065.171999999999</v>
      </c>
    </row>
    <row r="10" spans="1:9" x14ac:dyDescent="0.3">
      <c r="A10" s="32" t="s">
        <v>73</v>
      </c>
      <c r="B10" s="33"/>
      <c r="C10" s="11"/>
      <c r="D10" s="11">
        <v>202.08699999999999</v>
      </c>
      <c r="E10" s="11">
        <v>29802.17</v>
      </c>
      <c r="F10" s="11">
        <v>34531.171999999999</v>
      </c>
      <c r="G10" s="11">
        <v>700.15300000000002</v>
      </c>
      <c r="H10" s="11">
        <v>296.57400000000001</v>
      </c>
      <c r="I10" s="11">
        <v>2.8079999999999998</v>
      </c>
    </row>
    <row r="11" spans="1:9" x14ac:dyDescent="0.3">
      <c r="A11" s="32" t="s">
        <v>74</v>
      </c>
      <c r="B11" s="33"/>
      <c r="C11" s="11"/>
      <c r="D11" s="11">
        <v>89.334000000000003</v>
      </c>
      <c r="E11" s="11">
        <v>132.26300000000001</v>
      </c>
      <c r="F11" s="11">
        <v>181.38</v>
      </c>
      <c r="G11" s="11">
        <v>131.16499999999999</v>
      </c>
      <c r="H11" s="11">
        <v>126.44499999999999</v>
      </c>
      <c r="I11" s="11">
        <v>60.322000000000003</v>
      </c>
    </row>
    <row r="12" spans="1:9" x14ac:dyDescent="0.3">
      <c r="A12" s="32" t="s">
        <v>75</v>
      </c>
      <c r="B12" s="33"/>
      <c r="C12" s="11"/>
      <c r="D12" s="11">
        <v>0</v>
      </c>
      <c r="E12" s="11">
        <v>11029.755999999999</v>
      </c>
      <c r="F12" s="11">
        <v>10957.736999999999</v>
      </c>
      <c r="G12" s="11">
        <v>10745.7</v>
      </c>
      <c r="H12" s="11">
        <v>10533.666999999999</v>
      </c>
      <c r="I12" s="11">
        <v>0</v>
      </c>
    </row>
    <row r="13" spans="1:9" x14ac:dyDescent="0.3">
      <c r="A13" s="32" t="s">
        <v>76</v>
      </c>
      <c r="B13" s="33"/>
      <c r="C13" s="11"/>
      <c r="D13" s="11">
        <v>0</v>
      </c>
      <c r="E13" s="11">
        <v>0</v>
      </c>
      <c r="F13" s="11">
        <v>0</v>
      </c>
      <c r="G13" s="11">
        <v>0</v>
      </c>
      <c r="H13" s="11">
        <v>0</v>
      </c>
      <c r="I13" s="11">
        <v>0</v>
      </c>
    </row>
    <row r="14" spans="1:9" x14ac:dyDescent="0.3">
      <c r="A14" s="32" t="s">
        <v>77</v>
      </c>
      <c r="B14" s="33"/>
      <c r="C14" s="11"/>
      <c r="D14" s="11">
        <v>15.349</v>
      </c>
      <c r="E14" s="11">
        <v>66.656999999999996</v>
      </c>
      <c r="F14" s="11">
        <v>0</v>
      </c>
      <c r="G14" s="11">
        <v>0</v>
      </c>
      <c r="H14" s="11">
        <v>0</v>
      </c>
      <c r="I14" s="11">
        <v>0</v>
      </c>
    </row>
    <row r="15" spans="1:9" x14ac:dyDescent="0.3">
      <c r="A15" s="32" t="s">
        <v>78</v>
      </c>
      <c r="B15" s="33"/>
      <c r="C15" s="11"/>
      <c r="D15" s="11">
        <v>86.600999999999999</v>
      </c>
      <c r="E15" s="11">
        <v>126.274</v>
      </c>
      <c r="F15" s="11">
        <v>129.69999999999999</v>
      </c>
      <c r="G15" s="11">
        <v>129.69999999999999</v>
      </c>
      <c r="H15" s="11">
        <v>133.42500000000001</v>
      </c>
      <c r="I15" s="11">
        <v>99.100999999999999</v>
      </c>
    </row>
    <row r="16" spans="1:9" x14ac:dyDescent="0.3">
      <c r="A16" s="34" t="s">
        <v>79</v>
      </c>
      <c r="B16" s="35"/>
      <c r="C16" s="12"/>
      <c r="D16" s="12">
        <f t="shared" ref="D16:I16" si="0">D9+D11+D12+D13+D14+D15</f>
        <v>21613.498999999996</v>
      </c>
      <c r="E16" s="12">
        <f t="shared" si="0"/>
        <v>85481.265000000014</v>
      </c>
      <c r="F16" s="12">
        <f t="shared" si="0"/>
        <v>115693.99799999999</v>
      </c>
      <c r="G16" s="12">
        <f t="shared" si="0"/>
        <v>121852.22799999999</v>
      </c>
      <c r="H16" s="12">
        <f t="shared" si="0"/>
        <v>120372.62600000002</v>
      </c>
      <c r="I16" s="12">
        <f t="shared" si="0"/>
        <v>22224.594999999998</v>
      </c>
    </row>
    <row r="17" spans="1:9" x14ac:dyDescent="0.3">
      <c r="A17" s="30" t="s">
        <v>80</v>
      </c>
      <c r="B17" s="31"/>
      <c r="C17" s="10"/>
      <c r="D17" s="10"/>
      <c r="E17" s="10"/>
      <c r="F17" s="10"/>
      <c r="G17" s="10"/>
      <c r="H17" s="10"/>
      <c r="I17" s="10"/>
    </row>
    <row r="18" spans="1:9" x14ac:dyDescent="0.3">
      <c r="A18" s="32" t="s">
        <v>81</v>
      </c>
      <c r="B18" s="33"/>
      <c r="C18" s="11"/>
      <c r="D18" s="11">
        <v>4250.7539999999999</v>
      </c>
      <c r="E18" s="11">
        <v>11939.147000000001</v>
      </c>
      <c r="F18" s="11">
        <v>8011.1809999999996</v>
      </c>
      <c r="G18" s="11">
        <v>9099.1299999999992</v>
      </c>
      <c r="H18" s="11">
        <v>10377.008</v>
      </c>
      <c r="I18" s="11">
        <v>3505.8090000000002</v>
      </c>
    </row>
    <row r="19" spans="1:9" x14ac:dyDescent="0.3">
      <c r="A19" s="32" t="s">
        <v>82</v>
      </c>
      <c r="B19" s="33"/>
      <c r="C19" s="11"/>
      <c r="D19" s="11">
        <v>1189.1980000000001</v>
      </c>
      <c r="E19" s="11">
        <v>3697.721</v>
      </c>
      <c r="F19" s="11">
        <v>7112.3270000000002</v>
      </c>
      <c r="G19" s="11">
        <v>7495.7049999999999</v>
      </c>
      <c r="H19" s="11">
        <v>9337.6170000000002</v>
      </c>
      <c r="I19" s="11">
        <v>1187.752</v>
      </c>
    </row>
    <row r="20" spans="1:9" x14ac:dyDescent="0.3">
      <c r="A20" s="32" t="s">
        <v>83</v>
      </c>
      <c r="B20" s="33"/>
      <c r="C20" s="11"/>
      <c r="D20" s="11">
        <v>1449.6</v>
      </c>
      <c r="E20" s="11">
        <v>2412.7579999999998</v>
      </c>
      <c r="F20" s="11">
        <v>3572.4450000000002</v>
      </c>
      <c r="G20" s="11">
        <v>5545.241</v>
      </c>
      <c r="H20" s="11">
        <v>6911.3220000000001</v>
      </c>
      <c r="I20" s="11">
        <v>1050.6400000000001</v>
      </c>
    </row>
    <row r="21" spans="1:9" x14ac:dyDescent="0.3">
      <c r="A21" s="32" t="s">
        <v>84</v>
      </c>
      <c r="B21" s="33"/>
      <c r="C21" s="11"/>
      <c r="D21" s="11">
        <v>4397.6989999999996</v>
      </c>
      <c r="E21" s="11">
        <v>3843.01</v>
      </c>
      <c r="F21" s="11">
        <v>250</v>
      </c>
      <c r="G21" s="11">
        <v>250</v>
      </c>
      <c r="H21" s="11">
        <v>9210.1</v>
      </c>
      <c r="I21" s="11">
        <v>0</v>
      </c>
    </row>
    <row r="22" spans="1:9" x14ac:dyDescent="0.3">
      <c r="A22" s="32" t="s">
        <v>85</v>
      </c>
      <c r="B22" s="33"/>
      <c r="C22" s="11"/>
      <c r="D22" s="11">
        <v>900.77800000000002</v>
      </c>
      <c r="E22" s="11">
        <v>2306.6329999999998</v>
      </c>
      <c r="F22" s="11">
        <v>970.45699999999999</v>
      </c>
      <c r="G22" s="11">
        <v>2932.9839999999999</v>
      </c>
      <c r="H22" s="11">
        <v>2665.3380000000002</v>
      </c>
      <c r="I22" s="11">
        <v>561.17399999999998</v>
      </c>
    </row>
    <row r="23" spans="1:9" x14ac:dyDescent="0.3">
      <c r="A23" s="32" t="s">
        <v>86</v>
      </c>
      <c r="B23" s="33"/>
      <c r="C23" s="11"/>
      <c r="D23" s="11">
        <v>250.703</v>
      </c>
      <c r="E23" s="11">
        <v>4017.5430000000001</v>
      </c>
      <c r="F23" s="11">
        <v>3218.0889999999999</v>
      </c>
      <c r="G23" s="11">
        <v>461.01100000000002</v>
      </c>
      <c r="H23" s="11">
        <v>1971.18</v>
      </c>
      <c r="I23" s="11">
        <v>677.94600000000003</v>
      </c>
    </row>
    <row r="24" spans="1:9" x14ac:dyDescent="0.3">
      <c r="A24" s="34" t="s">
        <v>87</v>
      </c>
      <c r="B24" s="35"/>
      <c r="C24" s="12"/>
      <c r="D24" s="12">
        <f t="shared" ref="D24:I24" si="1">D18+D19+D20+D21+D22+D23</f>
        <v>12438.732</v>
      </c>
      <c r="E24" s="12">
        <f t="shared" si="1"/>
        <v>28216.812000000002</v>
      </c>
      <c r="F24" s="12">
        <f t="shared" si="1"/>
        <v>23134.499</v>
      </c>
      <c r="G24" s="12">
        <f t="shared" si="1"/>
        <v>25784.071</v>
      </c>
      <c r="H24" s="12">
        <f t="shared" si="1"/>
        <v>40472.565000000002</v>
      </c>
      <c r="I24" s="12">
        <f t="shared" si="1"/>
        <v>6983.3209999999999</v>
      </c>
    </row>
    <row r="25" spans="1:9" x14ac:dyDescent="0.3">
      <c r="A25" s="34" t="s">
        <v>88</v>
      </c>
      <c r="B25" s="35"/>
      <c r="C25" s="12"/>
      <c r="D25" s="12">
        <f t="shared" ref="D25:I25" si="2">D16+D24</f>
        <v>34052.231</v>
      </c>
      <c r="E25" s="12">
        <f t="shared" si="2"/>
        <v>113698.07700000002</v>
      </c>
      <c r="F25" s="12">
        <f t="shared" si="2"/>
        <v>138828.497</v>
      </c>
      <c r="G25" s="12">
        <f t="shared" si="2"/>
        <v>147636.299</v>
      </c>
      <c r="H25" s="12">
        <f t="shared" si="2"/>
        <v>160845.19100000002</v>
      </c>
      <c r="I25" s="12">
        <f t="shared" si="2"/>
        <v>29207.915999999997</v>
      </c>
    </row>
    <row r="26" spans="1:9" x14ac:dyDescent="0.3">
      <c r="A26" s="30" t="s">
        <v>89</v>
      </c>
      <c r="B26" s="31"/>
      <c r="C26" s="10"/>
      <c r="D26" s="10"/>
      <c r="E26" s="10"/>
      <c r="F26" s="10"/>
      <c r="G26" s="10"/>
      <c r="H26" s="10"/>
      <c r="I26" s="10"/>
    </row>
    <row r="27" spans="1:9" x14ac:dyDescent="0.3">
      <c r="A27" s="32" t="s">
        <v>90</v>
      </c>
      <c r="B27" s="33"/>
      <c r="C27" s="11"/>
      <c r="D27" s="11">
        <v>13798.15</v>
      </c>
      <c r="E27" s="11">
        <v>21803.09</v>
      </c>
      <c r="F27" s="11">
        <v>24528.475999999999</v>
      </c>
      <c r="G27" s="11">
        <v>24528.475999999999</v>
      </c>
      <c r="H27" s="11">
        <v>24528.475999999999</v>
      </c>
      <c r="I27" s="11">
        <v>13798.15</v>
      </c>
    </row>
    <row r="28" spans="1:9" x14ac:dyDescent="0.3">
      <c r="A28" s="32" t="s">
        <v>91</v>
      </c>
      <c r="B28" s="33"/>
      <c r="C28" s="11"/>
      <c r="D28" s="11">
        <v>9477.5210000000006</v>
      </c>
      <c r="E28" s="11">
        <v>35932.966</v>
      </c>
      <c r="F28" s="11">
        <v>40647.260999999999</v>
      </c>
      <c r="G28" s="11">
        <v>48870.377</v>
      </c>
      <c r="H28" s="11">
        <v>59743.732000000004</v>
      </c>
      <c r="I28" s="11">
        <v>6006.17</v>
      </c>
    </row>
    <row r="29" spans="1:9" x14ac:dyDescent="0.3">
      <c r="A29" s="34" t="s">
        <v>92</v>
      </c>
      <c r="B29" s="35"/>
      <c r="C29" s="12"/>
      <c r="D29" s="12">
        <f t="shared" ref="D29:I29" si="3">D27+D28</f>
        <v>23275.671000000002</v>
      </c>
      <c r="E29" s="12">
        <f t="shared" si="3"/>
        <v>57736.055999999997</v>
      </c>
      <c r="F29" s="12">
        <f t="shared" si="3"/>
        <v>65175.736999999994</v>
      </c>
      <c r="G29" s="12">
        <f t="shared" si="3"/>
        <v>73398.853000000003</v>
      </c>
      <c r="H29" s="12">
        <f t="shared" si="3"/>
        <v>84272.207999999999</v>
      </c>
      <c r="I29" s="12">
        <f t="shared" si="3"/>
        <v>19804.32</v>
      </c>
    </row>
    <row r="30" spans="1:9" x14ac:dyDescent="0.3">
      <c r="A30" s="30" t="s">
        <v>93</v>
      </c>
      <c r="B30" s="31"/>
      <c r="C30" s="10"/>
      <c r="D30" s="10"/>
      <c r="E30" s="10"/>
      <c r="F30" s="10"/>
      <c r="G30" s="10"/>
      <c r="H30" s="10"/>
      <c r="I30" s="10"/>
    </row>
    <row r="31" spans="1:9" x14ac:dyDescent="0.3">
      <c r="A31" s="32" t="s">
        <v>94</v>
      </c>
      <c r="B31" s="33"/>
      <c r="C31" s="11"/>
      <c r="D31" s="11">
        <v>491.50200000000001</v>
      </c>
      <c r="E31" s="11">
        <v>19555.996999999999</v>
      </c>
      <c r="F31" s="11">
        <v>31777.087</v>
      </c>
      <c r="G31" s="11">
        <v>29908.287</v>
      </c>
      <c r="H31" s="11">
        <v>24208.633000000002</v>
      </c>
      <c r="I31" s="11">
        <v>447.327</v>
      </c>
    </row>
    <row r="32" spans="1:9" x14ac:dyDescent="0.3">
      <c r="A32" s="32" t="s">
        <v>95</v>
      </c>
      <c r="B32" s="33"/>
      <c r="C32" s="11"/>
      <c r="D32" s="11">
        <v>73.593000000000004</v>
      </c>
      <c r="E32" s="11">
        <v>89.965000000000003</v>
      </c>
      <c r="F32" s="11">
        <v>118.97199999999999</v>
      </c>
      <c r="G32" s="11">
        <v>117.45399999999999</v>
      </c>
      <c r="H32" s="11">
        <v>101.211</v>
      </c>
      <c r="I32" s="11">
        <v>57.655999999999999</v>
      </c>
    </row>
    <row r="33" spans="1:9" x14ac:dyDescent="0.3">
      <c r="A33" s="32" t="s">
        <v>96</v>
      </c>
      <c r="B33" s="33"/>
      <c r="C33" s="11"/>
      <c r="D33" s="11">
        <v>6.6070000000000002</v>
      </c>
      <c r="E33" s="11">
        <v>1982.3009999999999</v>
      </c>
      <c r="F33" s="11">
        <v>2745.8490000000002</v>
      </c>
      <c r="G33" s="11">
        <v>2164.9589999999998</v>
      </c>
      <c r="H33" s="11">
        <v>1647.63</v>
      </c>
      <c r="I33" s="11">
        <v>0</v>
      </c>
    </row>
    <row r="34" spans="1:9" x14ac:dyDescent="0.3">
      <c r="A34" s="32" t="s">
        <v>97</v>
      </c>
      <c r="B34" s="33"/>
      <c r="C34" s="11"/>
      <c r="D34" s="11">
        <v>3960.489</v>
      </c>
      <c r="E34" s="11">
        <v>7433.2139999999999</v>
      </c>
      <c r="F34" s="11">
        <v>10312.402</v>
      </c>
      <c r="G34" s="11">
        <v>14931.049000000001</v>
      </c>
      <c r="H34" s="11">
        <v>19694.421999999999</v>
      </c>
      <c r="I34" s="11">
        <v>3643.6080000000002</v>
      </c>
    </row>
    <row r="35" spans="1:9" x14ac:dyDescent="0.3">
      <c r="A35" s="32" t="s">
        <v>98</v>
      </c>
      <c r="B35" s="33"/>
      <c r="C35" s="11"/>
      <c r="D35" s="11">
        <v>82.38</v>
      </c>
      <c r="E35" s="11">
        <v>179.291</v>
      </c>
      <c r="F35" s="11">
        <v>211.595</v>
      </c>
      <c r="G35" s="11">
        <v>250.23</v>
      </c>
      <c r="H35" s="11">
        <v>283.58999999999997</v>
      </c>
      <c r="I35" s="11">
        <v>72.546999999999997</v>
      </c>
    </row>
    <row r="36" spans="1:9" x14ac:dyDescent="0.3">
      <c r="A36" s="34" t="s">
        <v>99</v>
      </c>
      <c r="B36" s="35"/>
      <c r="C36" s="12"/>
      <c r="D36" s="12">
        <f t="shared" ref="D36:I36" si="4">D31+D32+D33+D34+D35</f>
        <v>4614.5709999999999</v>
      </c>
      <c r="E36" s="12">
        <f t="shared" si="4"/>
        <v>29240.768</v>
      </c>
      <c r="F36" s="12">
        <f t="shared" si="4"/>
        <v>45165.905000000006</v>
      </c>
      <c r="G36" s="12">
        <f t="shared" si="4"/>
        <v>47371.979000000007</v>
      </c>
      <c r="H36" s="12">
        <f t="shared" si="4"/>
        <v>45935.485999999997</v>
      </c>
      <c r="I36" s="12">
        <f t="shared" si="4"/>
        <v>4221.1379999999999</v>
      </c>
    </row>
    <row r="37" spans="1:9" x14ac:dyDescent="0.3">
      <c r="A37" s="30" t="s">
        <v>100</v>
      </c>
      <c r="B37" s="31"/>
      <c r="C37" s="10"/>
      <c r="D37" s="10"/>
      <c r="E37" s="10"/>
      <c r="F37" s="10"/>
      <c r="G37" s="10"/>
      <c r="H37" s="10"/>
      <c r="I37" s="10"/>
    </row>
    <row r="38" spans="1:9" x14ac:dyDescent="0.3">
      <c r="A38" s="32" t="s">
        <v>101</v>
      </c>
      <c r="B38" s="33"/>
      <c r="C38" s="11"/>
      <c r="D38" s="11">
        <v>1822.6420000000001</v>
      </c>
      <c r="E38" s="11">
        <v>6917.1490000000003</v>
      </c>
      <c r="F38" s="11">
        <v>6516.4620000000004</v>
      </c>
      <c r="G38" s="11">
        <v>6108.79</v>
      </c>
      <c r="H38" s="11">
        <v>3934.5079999999998</v>
      </c>
      <c r="I38" s="11">
        <v>1163.2460000000001</v>
      </c>
    </row>
    <row r="39" spans="1:9" x14ac:dyDescent="0.3">
      <c r="A39" s="32" t="s">
        <v>102</v>
      </c>
      <c r="B39" s="33"/>
      <c r="C39" s="11"/>
      <c r="D39" s="11">
        <v>435.09699999999998</v>
      </c>
      <c r="E39" s="11">
        <v>862.30899999999997</v>
      </c>
      <c r="F39" s="11">
        <v>584.80899999999997</v>
      </c>
      <c r="G39" s="11">
        <v>432.70400000000001</v>
      </c>
      <c r="H39" s="11">
        <v>588.07600000000002</v>
      </c>
      <c r="I39" s="11">
        <v>367.952</v>
      </c>
    </row>
    <row r="40" spans="1:9" x14ac:dyDescent="0.3">
      <c r="A40" s="32" t="s">
        <v>103</v>
      </c>
      <c r="B40" s="33"/>
      <c r="C40" s="11"/>
      <c r="D40" s="11">
        <v>0</v>
      </c>
      <c r="E40" s="11">
        <v>0</v>
      </c>
      <c r="F40" s="11">
        <v>0</v>
      </c>
      <c r="G40" s="11">
        <v>0</v>
      </c>
      <c r="H40" s="11">
        <v>0</v>
      </c>
      <c r="I40" s="11">
        <v>0</v>
      </c>
    </row>
    <row r="41" spans="1:9" x14ac:dyDescent="0.3">
      <c r="A41" s="32" t="s">
        <v>104</v>
      </c>
      <c r="B41" s="33"/>
      <c r="C41" s="11"/>
      <c r="D41" s="11">
        <v>1616.787</v>
      </c>
      <c r="E41" s="11">
        <v>10605.249</v>
      </c>
      <c r="F41" s="11">
        <v>11917.981</v>
      </c>
      <c r="G41" s="11">
        <v>8837.9339999999993</v>
      </c>
      <c r="H41" s="11">
        <v>9764.6479999999992</v>
      </c>
      <c r="I41" s="11">
        <v>1869.1669999999999</v>
      </c>
    </row>
    <row r="42" spans="1:9" x14ac:dyDescent="0.3">
      <c r="A42" s="32" t="s">
        <v>105</v>
      </c>
      <c r="B42" s="33"/>
      <c r="C42" s="11"/>
      <c r="D42" s="11">
        <v>361.52100000000002</v>
      </c>
      <c r="E42" s="11">
        <v>2985.087</v>
      </c>
      <c r="F42" s="11">
        <v>4176.4930000000004</v>
      </c>
      <c r="G42" s="11">
        <v>5066.8680000000004</v>
      </c>
      <c r="H42" s="11">
        <v>6104.0649999999996</v>
      </c>
      <c r="I42" s="11">
        <v>303.91199999999998</v>
      </c>
    </row>
    <row r="43" spans="1:9" x14ac:dyDescent="0.3">
      <c r="A43" s="32" t="s">
        <v>106</v>
      </c>
      <c r="B43" s="33"/>
      <c r="C43" s="11"/>
      <c r="D43" s="11">
        <v>24.686</v>
      </c>
      <c r="E43" s="11">
        <v>68.331999999999994</v>
      </c>
      <c r="F43" s="11">
        <v>50.463000000000001</v>
      </c>
      <c r="G43" s="11">
        <v>46.206000000000003</v>
      </c>
      <c r="H43" s="11">
        <v>43.098999999999997</v>
      </c>
      <c r="I43" s="11">
        <v>23.736999999999998</v>
      </c>
    </row>
    <row r="44" spans="1:9" x14ac:dyDescent="0.3">
      <c r="A44" s="32" t="s">
        <v>107</v>
      </c>
      <c r="B44" s="33"/>
      <c r="C44" s="11"/>
      <c r="D44" s="11">
        <v>15.654</v>
      </c>
      <c r="E44" s="11">
        <v>366.464</v>
      </c>
      <c r="F44" s="11">
        <v>604.29200000000003</v>
      </c>
      <c r="G44" s="11">
        <v>580.89099999999996</v>
      </c>
      <c r="H44" s="11">
        <v>515.17499999999995</v>
      </c>
      <c r="I44" s="11">
        <v>0</v>
      </c>
    </row>
    <row r="45" spans="1:9" x14ac:dyDescent="0.3">
      <c r="A45" s="32" t="s">
        <v>108</v>
      </c>
      <c r="B45" s="33"/>
      <c r="C45" s="11"/>
      <c r="D45" s="11">
        <v>38.478999999999999</v>
      </c>
      <c r="E45" s="11">
        <v>37.156999999999996</v>
      </c>
      <c r="F45" s="11">
        <v>36.000999999999998</v>
      </c>
      <c r="G45" s="11">
        <v>35.646000000000001</v>
      </c>
      <c r="H45" s="11">
        <v>41.182000000000002</v>
      </c>
      <c r="I45" s="11">
        <v>40.051000000000002</v>
      </c>
    </row>
    <row r="46" spans="1:9" x14ac:dyDescent="0.3">
      <c r="A46" s="32" t="s">
        <v>109</v>
      </c>
      <c r="B46" s="33"/>
      <c r="C46" s="11"/>
      <c r="D46" s="11">
        <v>0</v>
      </c>
      <c r="E46" s="11">
        <v>0</v>
      </c>
      <c r="F46" s="11">
        <v>0</v>
      </c>
      <c r="G46" s="11">
        <v>56.81</v>
      </c>
      <c r="H46" s="11">
        <v>0</v>
      </c>
      <c r="I46" s="11">
        <v>0</v>
      </c>
    </row>
    <row r="47" spans="1:9" x14ac:dyDescent="0.3">
      <c r="A47" s="32" t="s">
        <v>110</v>
      </c>
      <c r="B47" s="33"/>
      <c r="C47" s="11"/>
      <c r="D47" s="11">
        <v>1847.123</v>
      </c>
      <c r="E47" s="11">
        <v>4879.5060000000003</v>
      </c>
      <c r="F47" s="11">
        <v>4600.3540000000003</v>
      </c>
      <c r="G47" s="11">
        <v>5699.6180000000004</v>
      </c>
      <c r="H47" s="11">
        <v>9646.7440000000006</v>
      </c>
      <c r="I47" s="11">
        <v>1414.393</v>
      </c>
    </row>
    <row r="48" spans="1:9" x14ac:dyDescent="0.3">
      <c r="A48" s="34" t="s">
        <v>111</v>
      </c>
      <c r="B48" s="35"/>
      <c r="C48" s="12"/>
      <c r="D48" s="12">
        <f t="shared" ref="D48:I48" si="5">D38+D39+D40+D41+D42+D43+D44+D45+D46+D47</f>
        <v>6161.9889999999996</v>
      </c>
      <c r="E48" s="12">
        <f t="shared" si="5"/>
        <v>26721.253000000001</v>
      </c>
      <c r="F48" s="12">
        <f t="shared" si="5"/>
        <v>28486.855000000003</v>
      </c>
      <c r="G48" s="12">
        <f t="shared" si="5"/>
        <v>26865.467000000004</v>
      </c>
      <c r="H48" s="12">
        <f t="shared" si="5"/>
        <v>30637.496999999996</v>
      </c>
      <c r="I48" s="12">
        <f t="shared" si="5"/>
        <v>5182.4579999999996</v>
      </c>
    </row>
    <row r="49" spans="1:9" x14ac:dyDescent="0.3">
      <c r="A49" s="34" t="s">
        <v>112</v>
      </c>
      <c r="B49" s="35"/>
      <c r="C49" s="12"/>
      <c r="D49" s="12">
        <f t="shared" ref="D49:I49" si="6">D36+D48</f>
        <v>10776.56</v>
      </c>
      <c r="E49" s="12">
        <f t="shared" si="6"/>
        <v>55962.021000000001</v>
      </c>
      <c r="F49" s="12">
        <f t="shared" si="6"/>
        <v>73652.760000000009</v>
      </c>
      <c r="G49" s="12">
        <f t="shared" si="6"/>
        <v>74237.446000000011</v>
      </c>
      <c r="H49" s="12">
        <f t="shared" si="6"/>
        <v>76572.982999999993</v>
      </c>
      <c r="I49" s="12">
        <f t="shared" si="6"/>
        <v>9403.5959999999995</v>
      </c>
    </row>
    <row r="50" spans="1:9" x14ac:dyDescent="0.3">
      <c r="A50" s="34" t="s">
        <v>113</v>
      </c>
      <c r="B50" s="35"/>
      <c r="C50" s="12"/>
      <c r="D50" s="12">
        <f t="shared" ref="D50:I50" si="7">D29+D49</f>
        <v>34052.231</v>
      </c>
      <c r="E50" s="12">
        <f t="shared" si="7"/>
        <v>113698.07699999999</v>
      </c>
      <c r="F50" s="12">
        <f t="shared" si="7"/>
        <v>138828.497</v>
      </c>
      <c r="G50" s="12">
        <f t="shared" si="7"/>
        <v>147636.299</v>
      </c>
      <c r="H50" s="12">
        <f t="shared" si="7"/>
        <v>160845.19099999999</v>
      </c>
      <c r="I50" s="12">
        <f t="shared" si="7"/>
        <v>29207.915999999997</v>
      </c>
    </row>
    <row r="51" spans="1:9" x14ac:dyDescent="0.3">
      <c r="A51" s="30" t="s">
        <v>114</v>
      </c>
      <c r="B51" s="31"/>
      <c r="C51" s="10"/>
      <c r="D51" s="10"/>
      <c r="E51" s="10"/>
      <c r="F51" s="10"/>
      <c r="G51" s="10"/>
      <c r="H51" s="10"/>
      <c r="I51" s="10"/>
    </row>
    <row r="52" spans="1:9" x14ac:dyDescent="0.3">
      <c r="A52" s="32" t="s">
        <v>115</v>
      </c>
      <c r="B52" s="33"/>
      <c r="C52" s="11"/>
      <c r="D52" s="11">
        <v>863.03800000000001</v>
      </c>
      <c r="E52" s="11">
        <v>2683.21</v>
      </c>
      <c r="F52" s="11">
        <v>2623.3420000000001</v>
      </c>
      <c r="G52" s="11">
        <v>2726.6640000000002</v>
      </c>
      <c r="H52" s="11">
        <v>2034.1410000000001</v>
      </c>
      <c r="I52" s="11">
        <v>354.58600000000001</v>
      </c>
    </row>
    <row r="53" spans="1:9" x14ac:dyDescent="0.3">
      <c r="A53" s="32" t="s">
        <v>116</v>
      </c>
      <c r="B53" s="33"/>
      <c r="C53" s="11"/>
      <c r="D53" s="11">
        <f t="shared" ref="D53:I53" si="8">D9-D10</f>
        <v>21220.128000000001</v>
      </c>
      <c r="E53" s="11">
        <f t="shared" si="8"/>
        <v>44324.145000000004</v>
      </c>
      <c r="F53" s="11">
        <f t="shared" si="8"/>
        <v>69894.008999999991</v>
      </c>
      <c r="G53" s="11">
        <f t="shared" si="8"/>
        <v>110145.51</v>
      </c>
      <c r="H53" s="11">
        <f t="shared" si="8"/>
        <v>109282.51500000001</v>
      </c>
      <c r="I53" s="11">
        <f t="shared" si="8"/>
        <v>22062.363999999998</v>
      </c>
    </row>
    <row r="54" spans="1:9" x14ac:dyDescent="0.3">
      <c r="A54" s="32" t="s">
        <v>117</v>
      </c>
      <c r="B54" s="33"/>
      <c r="C54" s="11"/>
      <c r="D54" s="11">
        <f t="shared" ref="D54:I54" si="9">D18+D19</f>
        <v>5439.9520000000002</v>
      </c>
      <c r="E54" s="11">
        <f t="shared" si="9"/>
        <v>15636.868</v>
      </c>
      <c r="F54" s="11">
        <f t="shared" si="9"/>
        <v>15123.508</v>
      </c>
      <c r="G54" s="11">
        <f t="shared" si="9"/>
        <v>16594.834999999999</v>
      </c>
      <c r="H54" s="11">
        <f t="shared" si="9"/>
        <v>19714.625</v>
      </c>
      <c r="I54" s="11">
        <f t="shared" si="9"/>
        <v>4693.5609999999997</v>
      </c>
    </row>
    <row r="55" spans="1:9" x14ac:dyDescent="0.3">
      <c r="A55" s="32" t="s">
        <v>118</v>
      </c>
      <c r="B55" s="33"/>
      <c r="C55" s="11"/>
      <c r="D55" s="11">
        <f t="shared" ref="D55:I55" si="10">D31+D32+D41+D42+D43-D197-D198</f>
        <v>2568.0890000000004</v>
      </c>
      <c r="E55" s="11">
        <f t="shared" si="10"/>
        <v>25917.630000000005</v>
      </c>
      <c r="F55" s="11">
        <f t="shared" si="10"/>
        <v>40653.996000000006</v>
      </c>
      <c r="G55" s="11">
        <f t="shared" si="10"/>
        <v>36589.749000000003</v>
      </c>
      <c r="H55" s="11">
        <f t="shared" si="10"/>
        <v>40036.47</v>
      </c>
      <c r="I55" s="11">
        <f t="shared" si="10"/>
        <v>2701.799</v>
      </c>
    </row>
    <row r="56" spans="1:9" x14ac:dyDescent="0.3">
      <c r="A56" s="32" t="s">
        <v>119</v>
      </c>
      <c r="B56" s="33"/>
      <c r="C56" s="11"/>
      <c r="D56" s="11">
        <f t="shared" ref="D56:I56" si="11">D31+D32</f>
        <v>565.09500000000003</v>
      </c>
      <c r="E56" s="11">
        <f t="shared" si="11"/>
        <v>19645.962</v>
      </c>
      <c r="F56" s="11">
        <f t="shared" si="11"/>
        <v>31896.059000000001</v>
      </c>
      <c r="G56" s="11">
        <f t="shared" si="11"/>
        <v>30025.741000000002</v>
      </c>
      <c r="H56" s="11">
        <f t="shared" si="11"/>
        <v>24309.844000000001</v>
      </c>
      <c r="I56" s="11">
        <f t="shared" si="11"/>
        <v>504.983</v>
      </c>
    </row>
    <row r="57" spans="1:9" x14ac:dyDescent="0.3">
      <c r="A57" s="32"/>
      <c r="B57" s="33"/>
      <c r="C57" s="11"/>
      <c r="D57" s="11"/>
      <c r="E57" s="11"/>
      <c r="F57" s="11"/>
      <c r="G57" s="11"/>
      <c r="H57" s="11"/>
      <c r="I57" s="11"/>
    </row>
    <row r="58" spans="1:9" x14ac:dyDescent="0.3">
      <c r="A58" s="32" t="s">
        <v>120</v>
      </c>
      <c r="B58" s="33"/>
      <c r="C58" s="11"/>
      <c r="D58" s="11">
        <f t="shared" ref="D58:I58" si="12">D55+D29</f>
        <v>25843.760000000002</v>
      </c>
      <c r="E58" s="11">
        <f t="shared" si="12"/>
        <v>83653.686000000002</v>
      </c>
      <c r="F58" s="11">
        <f t="shared" si="12"/>
        <v>105829.73300000001</v>
      </c>
      <c r="G58" s="11">
        <f t="shared" si="12"/>
        <v>109988.60200000001</v>
      </c>
      <c r="H58" s="11">
        <f t="shared" si="12"/>
        <v>124308.678</v>
      </c>
      <c r="I58" s="11">
        <f t="shared" si="12"/>
        <v>22506.118999999999</v>
      </c>
    </row>
    <row r="59" spans="1:9" x14ac:dyDescent="0.3">
      <c r="A59" s="32" t="s">
        <v>121</v>
      </c>
      <c r="B59" s="33"/>
      <c r="C59" s="11"/>
      <c r="D59" s="11">
        <f t="shared" ref="D59:I59" si="13">D24-D22-D21</f>
        <v>7140.2550000000001</v>
      </c>
      <c r="E59" s="11">
        <f t="shared" si="13"/>
        <v>22067.169000000002</v>
      </c>
      <c r="F59" s="11">
        <f t="shared" si="13"/>
        <v>21914.042000000001</v>
      </c>
      <c r="G59" s="11">
        <f t="shared" si="13"/>
        <v>22601.087</v>
      </c>
      <c r="H59" s="11">
        <f t="shared" si="13"/>
        <v>28597.127</v>
      </c>
      <c r="I59" s="11">
        <f t="shared" si="13"/>
        <v>6422.1469999999999</v>
      </c>
    </row>
    <row r="60" spans="1:9" x14ac:dyDescent="0.3">
      <c r="A60" s="32" t="s">
        <v>122</v>
      </c>
      <c r="B60" s="33"/>
      <c r="C60" s="11"/>
      <c r="D60" s="11">
        <f t="shared" ref="D60:I60" si="14">D48-D41-D42-D43-D44-D40-D45</f>
        <v>4104.8619999999992</v>
      </c>
      <c r="E60" s="11">
        <f t="shared" si="14"/>
        <v>12658.964000000002</v>
      </c>
      <c r="F60" s="11">
        <f t="shared" si="14"/>
        <v>11701.625000000004</v>
      </c>
      <c r="G60" s="11">
        <f t="shared" si="14"/>
        <v>12297.922000000002</v>
      </c>
      <c r="H60" s="11">
        <f t="shared" si="14"/>
        <v>14169.327999999996</v>
      </c>
      <c r="I60" s="11">
        <f t="shared" si="14"/>
        <v>2945.5909999999999</v>
      </c>
    </row>
    <row r="61" spans="1:9" x14ac:dyDescent="0.3">
      <c r="A61" s="23"/>
      <c r="B61" s="23"/>
    </row>
    <row r="62" spans="1:9" ht="19.5" customHeight="1" x14ac:dyDescent="0.3">
      <c r="A62" s="26" t="s">
        <v>123</v>
      </c>
      <c r="B62" s="27"/>
      <c r="C62" s="3"/>
      <c r="D62" s="3"/>
      <c r="E62" s="3"/>
      <c r="F62" s="3"/>
      <c r="G62" s="3"/>
      <c r="H62" s="3"/>
      <c r="I62" s="3"/>
    </row>
    <row r="63" spans="1:9" ht="16.5" customHeight="1" x14ac:dyDescent="0.3">
      <c r="A63" s="28" t="s">
        <v>64</v>
      </c>
      <c r="B63" s="29"/>
      <c r="C63" s="9"/>
      <c r="D63" s="9" t="s">
        <v>65</v>
      </c>
      <c r="E63" s="9" t="s">
        <v>66</v>
      </c>
      <c r="F63" s="9" t="s">
        <v>67</v>
      </c>
      <c r="G63" s="9" t="s">
        <v>68</v>
      </c>
      <c r="H63" s="9" t="s">
        <v>69</v>
      </c>
      <c r="I63" s="9" t="s">
        <v>70</v>
      </c>
    </row>
    <row r="64" spans="1:9" x14ac:dyDescent="0.3">
      <c r="A64" s="32" t="s">
        <v>124</v>
      </c>
      <c r="B64" s="33"/>
      <c r="C64" s="11"/>
      <c r="D64" s="11">
        <v>24271.285</v>
      </c>
      <c r="E64" s="11">
        <v>54243.118000000002</v>
      </c>
      <c r="F64" s="11">
        <v>68069.282000000007</v>
      </c>
      <c r="G64" s="11">
        <v>80026.225999999995</v>
      </c>
      <c r="H64" s="11">
        <v>88956.327999999994</v>
      </c>
      <c r="I64" s="11">
        <v>17231.708999999999</v>
      </c>
    </row>
    <row r="65" spans="1:9" x14ac:dyDescent="0.3">
      <c r="A65" s="32" t="s">
        <v>125</v>
      </c>
      <c r="B65" s="33"/>
      <c r="C65" s="11"/>
      <c r="D65" s="11">
        <v>-18206.88</v>
      </c>
      <c r="E65" s="11">
        <v>-38779.542000000001</v>
      </c>
      <c r="F65" s="11">
        <v>-47650.809000000001</v>
      </c>
      <c r="G65" s="11">
        <v>-54345.821000000004</v>
      </c>
      <c r="H65" s="11">
        <v>-57384.978000000003</v>
      </c>
      <c r="I65" s="11">
        <v>-16582.605</v>
      </c>
    </row>
    <row r="66" spans="1:9" x14ac:dyDescent="0.3">
      <c r="A66" s="34" t="s">
        <v>126</v>
      </c>
      <c r="B66" s="35"/>
      <c r="C66" s="12"/>
      <c r="D66" s="12">
        <f t="shared" ref="D66:I66" si="15">D64+D65</f>
        <v>6064.4049999999988</v>
      </c>
      <c r="E66" s="12">
        <f t="shared" si="15"/>
        <v>15463.576000000001</v>
      </c>
      <c r="F66" s="12">
        <f t="shared" si="15"/>
        <v>20418.473000000005</v>
      </c>
      <c r="G66" s="12">
        <f t="shared" si="15"/>
        <v>25680.404999999992</v>
      </c>
      <c r="H66" s="12">
        <f t="shared" si="15"/>
        <v>31571.349999999991</v>
      </c>
      <c r="I66" s="12">
        <f t="shared" si="15"/>
        <v>649.10399999999936</v>
      </c>
    </row>
    <row r="67" spans="1:9" x14ac:dyDescent="0.3">
      <c r="A67" s="32" t="s">
        <v>127</v>
      </c>
      <c r="B67" s="33"/>
      <c r="C67" s="11"/>
      <c r="D67" s="11">
        <v>-189.53700000000001</v>
      </c>
      <c r="E67" s="11">
        <v>-1603.3230000000001</v>
      </c>
      <c r="F67" s="11">
        <v>-2705.2629999999999</v>
      </c>
      <c r="G67" s="11">
        <v>-3285.9229999999998</v>
      </c>
      <c r="H67" s="11">
        <v>-2935.1390000000001</v>
      </c>
      <c r="I67" s="11">
        <v>-204.34399999999999</v>
      </c>
    </row>
    <row r="68" spans="1:9" x14ac:dyDescent="0.3">
      <c r="A68" s="32" t="s">
        <v>128</v>
      </c>
      <c r="B68" s="33"/>
      <c r="C68" s="11"/>
      <c r="D68" s="11">
        <v>-524.70899999999995</v>
      </c>
      <c r="E68" s="11">
        <v>-1299.4390000000001</v>
      </c>
      <c r="F68" s="11">
        <v>-1381.633</v>
      </c>
      <c r="G68" s="11">
        <v>-1516.046</v>
      </c>
      <c r="H68" s="11">
        <v>-1688.886</v>
      </c>
      <c r="I68" s="11">
        <v>-468.65100000000001</v>
      </c>
    </row>
    <row r="69" spans="1:9" x14ac:dyDescent="0.3">
      <c r="A69" s="32" t="s">
        <v>129</v>
      </c>
      <c r="B69" s="33"/>
      <c r="C69" s="11"/>
      <c r="D69" s="11">
        <v>0</v>
      </c>
      <c r="E69" s="11">
        <v>0</v>
      </c>
      <c r="F69" s="11">
        <v>0</v>
      </c>
      <c r="G69" s="11">
        <v>0</v>
      </c>
      <c r="H69" s="11">
        <v>0</v>
      </c>
      <c r="I69" s="11">
        <v>0</v>
      </c>
    </row>
    <row r="70" spans="1:9" x14ac:dyDescent="0.3">
      <c r="A70" s="32" t="s">
        <v>130</v>
      </c>
      <c r="B70" s="33"/>
      <c r="C70" s="11"/>
      <c r="D70" s="11">
        <v>-377.94600000000003</v>
      </c>
      <c r="E70" s="11">
        <v>-808.96400000000006</v>
      </c>
      <c r="F70" s="11">
        <v>-750.07799999999997</v>
      </c>
      <c r="G70" s="11">
        <v>-826.875</v>
      </c>
      <c r="H70" s="11">
        <v>-1479.2760000000001</v>
      </c>
      <c r="I70" s="11">
        <v>-0.56699999999999995</v>
      </c>
    </row>
    <row r="71" spans="1:9" x14ac:dyDescent="0.3">
      <c r="A71" s="34" t="s">
        <v>131</v>
      </c>
      <c r="B71" s="35"/>
      <c r="C71" s="12"/>
      <c r="D71" s="12">
        <f t="shared" ref="D71:I71" si="16">D66+D67+D68+D69+D70</f>
        <v>4972.2129999999988</v>
      </c>
      <c r="E71" s="12">
        <f t="shared" si="16"/>
        <v>11751.85</v>
      </c>
      <c r="F71" s="12">
        <f t="shared" si="16"/>
        <v>15581.499000000007</v>
      </c>
      <c r="G71" s="12">
        <f t="shared" si="16"/>
        <v>20051.560999999994</v>
      </c>
      <c r="H71" s="12">
        <f t="shared" si="16"/>
        <v>25468.048999999992</v>
      </c>
      <c r="I71" s="12">
        <f t="shared" si="16"/>
        <v>-24.458000000000645</v>
      </c>
    </row>
    <row r="72" spans="1:9" x14ac:dyDescent="0.3">
      <c r="A72" s="32" t="s">
        <v>132</v>
      </c>
      <c r="B72" s="33"/>
      <c r="C72" s="11"/>
      <c r="D72" s="11">
        <v>81.709999999999994</v>
      </c>
      <c r="E72" s="11">
        <v>230.69499999999999</v>
      </c>
      <c r="F72" s="11">
        <v>436.173</v>
      </c>
      <c r="G72" s="11">
        <v>540.37300000000005</v>
      </c>
      <c r="H72" s="11">
        <v>760.77200000000005</v>
      </c>
      <c r="I72" s="11">
        <v>36.134</v>
      </c>
    </row>
    <row r="73" spans="1:9" x14ac:dyDescent="0.3">
      <c r="A73" s="32" t="s">
        <v>133</v>
      </c>
      <c r="B73" s="33"/>
      <c r="C73" s="11"/>
      <c r="D73" s="11">
        <v>160.54300000000001</v>
      </c>
      <c r="E73" s="11">
        <v>745.85199999999998</v>
      </c>
      <c r="F73" s="11">
        <v>527.702</v>
      </c>
      <c r="G73" s="11">
        <v>299.31799999999998</v>
      </c>
      <c r="H73" s="11">
        <v>1068.8309999999999</v>
      </c>
      <c r="I73" s="11">
        <v>48.856999999999999</v>
      </c>
    </row>
    <row r="74" spans="1:9" x14ac:dyDescent="0.3">
      <c r="A74" s="32" t="s">
        <v>134</v>
      </c>
      <c r="B74" s="33"/>
      <c r="C74" s="11"/>
      <c r="D74" s="11">
        <v>2.8490000000000002</v>
      </c>
      <c r="E74" s="11">
        <v>1.3080000000000001</v>
      </c>
      <c r="F74" s="11">
        <v>0</v>
      </c>
      <c r="G74" s="11">
        <v>0</v>
      </c>
      <c r="H74" s="11">
        <v>0</v>
      </c>
      <c r="I74" s="11">
        <v>0</v>
      </c>
    </row>
    <row r="75" spans="1:9" x14ac:dyDescent="0.3">
      <c r="A75" s="32" t="s">
        <v>135</v>
      </c>
      <c r="B75" s="33"/>
      <c r="C75" s="11"/>
      <c r="D75" s="11">
        <v>-109.623</v>
      </c>
      <c r="E75" s="11">
        <v>-1201.6120000000001</v>
      </c>
      <c r="F75" s="11">
        <v>-3645.2649999999999</v>
      </c>
      <c r="G75" s="11">
        <v>-5536.2979999999998</v>
      </c>
      <c r="H75" s="11">
        <v>-5772.1319999999996</v>
      </c>
      <c r="I75" s="11">
        <v>-233.8</v>
      </c>
    </row>
    <row r="76" spans="1:9" x14ac:dyDescent="0.3">
      <c r="A76" s="34" t="s">
        <v>136</v>
      </c>
      <c r="B76" s="35"/>
      <c r="C76" s="12"/>
      <c r="D76" s="12">
        <f t="shared" ref="D76:I76" si="17">D71+D72+D73+D74+D75</f>
        <v>5107.6919999999991</v>
      </c>
      <c r="E76" s="12">
        <f t="shared" si="17"/>
        <v>11528.093000000001</v>
      </c>
      <c r="F76" s="12">
        <f t="shared" si="17"/>
        <v>12900.109000000008</v>
      </c>
      <c r="G76" s="12">
        <f t="shared" si="17"/>
        <v>15354.953999999994</v>
      </c>
      <c r="H76" s="12">
        <f t="shared" si="17"/>
        <v>21525.51999999999</v>
      </c>
      <c r="I76" s="12">
        <f t="shared" si="17"/>
        <v>-173.26700000000065</v>
      </c>
    </row>
    <row r="77" spans="1:9" x14ac:dyDescent="0.3">
      <c r="A77" s="32" t="s">
        <v>137</v>
      </c>
      <c r="B77" s="33"/>
      <c r="C77" s="11"/>
      <c r="D77" s="11">
        <v>0</v>
      </c>
      <c r="E77" s="11">
        <v>0</v>
      </c>
      <c r="F77" s="11">
        <v>-45.66</v>
      </c>
      <c r="G77" s="11">
        <v>-55.222999999999999</v>
      </c>
      <c r="H77" s="11">
        <v>0</v>
      </c>
      <c r="I77" s="11">
        <v>0</v>
      </c>
    </row>
    <row r="78" spans="1:9" x14ac:dyDescent="0.3">
      <c r="A78" s="32" t="s">
        <v>138</v>
      </c>
      <c r="B78" s="33"/>
      <c r="C78" s="11"/>
      <c r="D78" s="11">
        <v>-1636.3409999999999</v>
      </c>
      <c r="E78" s="11">
        <v>-4415.5529999999999</v>
      </c>
      <c r="F78" s="11">
        <v>-5414.768</v>
      </c>
      <c r="G78" s="11">
        <v>-7076.6149999999998</v>
      </c>
      <c r="H78" s="11">
        <v>-8199.3179999999993</v>
      </c>
      <c r="I78" s="11">
        <v>113.886</v>
      </c>
    </row>
    <row r="79" spans="1:9" x14ac:dyDescent="0.3">
      <c r="A79" s="34" t="s">
        <v>139</v>
      </c>
      <c r="B79" s="35"/>
      <c r="C79" s="12"/>
      <c r="D79" s="12">
        <f t="shared" ref="D79:I79" si="18">D76+D77+D78</f>
        <v>3471.3509999999992</v>
      </c>
      <c r="E79" s="12">
        <f t="shared" si="18"/>
        <v>7112.5400000000009</v>
      </c>
      <c r="F79" s="12">
        <f t="shared" si="18"/>
        <v>7439.6810000000078</v>
      </c>
      <c r="G79" s="12">
        <f t="shared" si="18"/>
        <v>8223.1159999999945</v>
      </c>
      <c r="H79" s="12">
        <f t="shared" si="18"/>
        <v>13326.20199999999</v>
      </c>
      <c r="I79" s="12">
        <f t="shared" si="18"/>
        <v>-59.381000000000654</v>
      </c>
    </row>
    <row r="80" spans="1:9" x14ac:dyDescent="0.3">
      <c r="A80" s="30" t="s">
        <v>140</v>
      </c>
      <c r="B80" s="31"/>
      <c r="C80" s="10"/>
      <c r="D80" s="10"/>
      <c r="E80" s="10"/>
      <c r="F80" s="10"/>
      <c r="G80" s="10"/>
      <c r="H80" s="10"/>
      <c r="I80" s="10"/>
    </row>
    <row r="81" spans="1:9" x14ac:dyDescent="0.3">
      <c r="A81" s="32" t="s">
        <v>141</v>
      </c>
      <c r="B81" s="33"/>
      <c r="C81" s="11"/>
      <c r="D81" s="11">
        <v>1599.5509999999999</v>
      </c>
      <c r="E81" s="11">
        <v>2950.143</v>
      </c>
      <c r="F81" s="11">
        <v>3649.886</v>
      </c>
      <c r="G81" s="11">
        <v>4058.0509999999999</v>
      </c>
      <c r="H81" s="11">
        <v>4969.7390000000005</v>
      </c>
      <c r="I81" s="11"/>
    </row>
    <row r="82" spans="1:9" x14ac:dyDescent="0.3">
      <c r="A82" s="32" t="s">
        <v>142</v>
      </c>
      <c r="B82" s="33"/>
      <c r="C82" s="11"/>
      <c r="D82" s="11">
        <f>D76+D85</f>
        <v>5199.8039999999992</v>
      </c>
      <c r="E82" s="11">
        <f>E76+E85</f>
        <v>12523.317000000001</v>
      </c>
      <c r="F82" s="11">
        <f>F76+F85</f>
        <v>15524.919000000007</v>
      </c>
      <c r="G82" s="11">
        <f>G76+G85</f>
        <v>20878.690999999995</v>
      </c>
      <c r="H82" s="11">
        <f>H76+H85</f>
        <v>27199.797999999988</v>
      </c>
      <c r="I82" s="11">
        <f>I76-I75</f>
        <v>60.532999999999362</v>
      </c>
    </row>
    <row r="83" spans="1:9" x14ac:dyDescent="0.3">
      <c r="A83" s="32" t="s">
        <v>143</v>
      </c>
      <c r="B83" s="33"/>
      <c r="C83" s="11"/>
      <c r="D83" s="11">
        <f>D82+D81</f>
        <v>6799.3549999999996</v>
      </c>
      <c r="E83" s="11">
        <f>E82+E81</f>
        <v>15473.460000000001</v>
      </c>
      <c r="F83" s="11">
        <f>F82+F81</f>
        <v>19174.805000000008</v>
      </c>
      <c r="G83" s="11">
        <f>G82+G81</f>
        <v>24936.741999999995</v>
      </c>
      <c r="H83" s="11">
        <f>H82+H81</f>
        <v>32169.536999999989</v>
      </c>
      <c r="I83" s="11"/>
    </row>
    <row r="84" spans="1:9" x14ac:dyDescent="0.3">
      <c r="A84" s="32" t="s">
        <v>144</v>
      </c>
      <c r="B84" s="33"/>
      <c r="C84" s="11"/>
      <c r="D84" s="11">
        <v>17.510999999999999</v>
      </c>
      <c r="E84" s="11">
        <v>206.38800000000001</v>
      </c>
      <c r="F84" s="11">
        <v>1020.455</v>
      </c>
      <c r="G84" s="11">
        <v>12.561</v>
      </c>
      <c r="H84" s="11">
        <v>97.853999999999999</v>
      </c>
      <c r="I84" s="13"/>
    </row>
    <row r="85" spans="1:9" x14ac:dyDescent="0.3">
      <c r="A85" s="32" t="s">
        <v>145</v>
      </c>
      <c r="B85" s="33"/>
      <c r="C85" s="11"/>
      <c r="D85" s="11">
        <f>-D75-D84</f>
        <v>92.112000000000009</v>
      </c>
      <c r="E85" s="11">
        <f>-E75-E84</f>
        <v>995.22400000000005</v>
      </c>
      <c r="F85" s="11">
        <f>-F75-F84</f>
        <v>2624.81</v>
      </c>
      <c r="G85" s="11">
        <f>-G75-G84</f>
        <v>5523.7370000000001</v>
      </c>
      <c r="H85" s="11">
        <f>-H75-H84</f>
        <v>5674.2779999999993</v>
      </c>
      <c r="I85" s="13"/>
    </row>
    <row r="86" spans="1:9" x14ac:dyDescent="0.3">
      <c r="A86" s="32" t="s">
        <v>146</v>
      </c>
      <c r="B86" s="33"/>
      <c r="C86" s="14"/>
      <c r="D86" s="14">
        <f>IF(D76&lt;=0,"n/m",-(D77+D78)/D76)</f>
        <v>0.32036798616674617</v>
      </c>
      <c r="E86" s="14">
        <f>IF(E76&lt;=0,"n/m",-(E77+E78)/E76)</f>
        <v>0.38302544922217402</v>
      </c>
      <c r="F86" s="14">
        <f>IF(F76&lt;=0,"n/m",-(F77+F78)/F76)</f>
        <v>0.42328541565036365</v>
      </c>
      <c r="G86" s="14">
        <f>IF(G76&lt;=0,"n/m",-(G77+G78)/G76)</f>
        <v>0.46446495378625052</v>
      </c>
      <c r="H86" s="14">
        <f>IF(H76&lt;=0,"n/m",-(H77+H78)/H76)</f>
        <v>0.3809114948210312</v>
      </c>
      <c r="I86" s="13"/>
    </row>
    <row r="87" spans="1:9" x14ac:dyDescent="0.3">
      <c r="A87" s="32" t="s">
        <v>147</v>
      </c>
      <c r="B87" s="33"/>
      <c r="C87" s="14"/>
      <c r="D87" s="14">
        <f>D86</f>
        <v>0.32036798616674617</v>
      </c>
      <c r="E87" s="14">
        <f>E86</f>
        <v>0.38302544922217402</v>
      </c>
      <c r="F87" s="14">
        <f>F86</f>
        <v>0.42328541565036365</v>
      </c>
      <c r="G87" s="14">
        <f>G86</f>
        <v>0.46446495378625052</v>
      </c>
      <c r="H87" s="14">
        <f>H86</f>
        <v>0.3809114948210312</v>
      </c>
      <c r="I87" s="13"/>
    </row>
    <row r="88" spans="1:9" x14ac:dyDescent="0.3">
      <c r="A88" s="32" t="s">
        <v>148</v>
      </c>
      <c r="B88" s="33"/>
      <c r="C88" s="11"/>
      <c r="D88" s="11">
        <f>IF(ISNUMBER(D87),D82*(1-D87),"n/m")</f>
        <v>3533.9532640582083</v>
      </c>
      <c r="E88" s="11">
        <f>IF(ISNUMBER(E87),E82*(1-E87),"n/m")</f>
        <v>7726.5678803233113</v>
      </c>
      <c r="F88" s="11">
        <f>IF(ISNUMBER(F87),F82*(1-F87),"n/m")</f>
        <v>8953.4472081467775</v>
      </c>
      <c r="G88" s="11">
        <f>IF(ISNUMBER(G87),G82*(1-G87),"n/m")</f>
        <v>11181.270749567593</v>
      </c>
      <c r="H88" s="11">
        <f>IF(ISNUMBER(H87),H82*(1-H87),"n/m")</f>
        <v>16839.082284989898</v>
      </c>
      <c r="I88" s="13"/>
    </row>
    <row r="89" spans="1:9" x14ac:dyDescent="0.3">
      <c r="A89" s="23"/>
      <c r="B89" s="23"/>
    </row>
    <row r="90" spans="1:9" ht="19.5" customHeight="1" x14ac:dyDescent="0.3">
      <c r="A90" s="26" t="s">
        <v>149</v>
      </c>
      <c r="B90" s="27"/>
      <c r="C90" s="3"/>
      <c r="D90" s="3"/>
      <c r="E90" s="3"/>
      <c r="F90" s="3"/>
      <c r="G90" s="3"/>
      <c r="H90" s="3"/>
      <c r="I90" s="3"/>
    </row>
    <row r="91" spans="1:9" ht="16.5" customHeight="1" x14ac:dyDescent="0.3">
      <c r="A91" s="28" t="s">
        <v>64</v>
      </c>
      <c r="B91" s="29"/>
      <c r="C91" s="9"/>
      <c r="D91" s="9" t="s">
        <v>65</v>
      </c>
      <c r="E91" s="9" t="s">
        <v>66</v>
      </c>
      <c r="F91" s="9" t="s">
        <v>67</v>
      </c>
      <c r="G91" s="9" t="s">
        <v>68</v>
      </c>
      <c r="H91" s="9" t="s">
        <v>69</v>
      </c>
      <c r="I91" s="9" t="s">
        <v>70</v>
      </c>
    </row>
    <row r="92" spans="1:9" x14ac:dyDescent="0.3">
      <c r="A92" s="32" t="s">
        <v>150</v>
      </c>
      <c r="B92" s="33"/>
      <c r="C92" s="11"/>
      <c r="D92" s="11">
        <v>0</v>
      </c>
      <c r="E92" s="11">
        <v>0</v>
      </c>
      <c r="F92" s="11">
        <v>0</v>
      </c>
      <c r="G92" s="11">
        <v>0</v>
      </c>
      <c r="H92" s="11">
        <v>0</v>
      </c>
      <c r="I92" s="11">
        <v>0</v>
      </c>
    </row>
    <row r="93" spans="1:9" x14ac:dyDescent="0.3">
      <c r="A93" s="32" t="s">
        <v>151</v>
      </c>
      <c r="B93" s="33"/>
      <c r="C93" s="11"/>
      <c r="D93" s="11">
        <v>5739.0969999999998</v>
      </c>
      <c r="E93" s="11">
        <v>7567.5640000000003</v>
      </c>
      <c r="F93" s="11">
        <v>16030.998</v>
      </c>
      <c r="G93" s="11">
        <v>22284.607</v>
      </c>
      <c r="H93" s="11">
        <v>24313.207999999999</v>
      </c>
      <c r="I93" s="11">
        <v>1013.426</v>
      </c>
    </row>
    <row r="94" spans="1:9" x14ac:dyDescent="0.3">
      <c r="A94" s="32" t="s">
        <v>152</v>
      </c>
      <c r="B94" s="33"/>
      <c r="C94" s="11"/>
      <c r="D94" s="11">
        <v>-5141.6580000000004</v>
      </c>
      <c r="E94" s="11">
        <v>-26064.704000000002</v>
      </c>
      <c r="F94" s="11">
        <v>-29667.172999999999</v>
      </c>
      <c r="G94" s="11">
        <v>-8158.0360000000001</v>
      </c>
      <c r="H94" s="11">
        <v>-11259.19</v>
      </c>
      <c r="I94" s="11">
        <v>-545.10900000000004</v>
      </c>
    </row>
    <row r="95" spans="1:9" x14ac:dyDescent="0.3">
      <c r="A95" s="32" t="s">
        <v>153</v>
      </c>
      <c r="B95" s="33"/>
      <c r="C95" s="11"/>
      <c r="D95" s="11">
        <v>-5.4550000000000001</v>
      </c>
      <c r="E95" s="11">
        <v>19345.922999999999</v>
      </c>
      <c r="F95" s="11">
        <v>10897.767</v>
      </c>
      <c r="G95" s="11">
        <v>-8479.9959999999992</v>
      </c>
      <c r="H95" s="11">
        <v>-12739.191999999999</v>
      </c>
      <c r="I95" s="11">
        <v>-1181.854</v>
      </c>
    </row>
    <row r="96" spans="1:9" x14ac:dyDescent="0.3">
      <c r="A96" s="32" t="s">
        <v>154</v>
      </c>
      <c r="B96" s="33"/>
      <c r="C96" s="11"/>
      <c r="D96" s="11">
        <v>-1007.205</v>
      </c>
      <c r="E96" s="11">
        <v>-28425.596000000001</v>
      </c>
      <c r="F96" s="11">
        <v>-33903.442000000003</v>
      </c>
      <c r="G96" s="11">
        <v>-8478.8760000000002</v>
      </c>
      <c r="H96" s="11">
        <v>-3477.6469999999999</v>
      </c>
      <c r="I96" s="11">
        <v>-586.40899999999999</v>
      </c>
    </row>
    <row r="97" spans="1:9" x14ac:dyDescent="0.3">
      <c r="A97" s="32" t="s">
        <v>155</v>
      </c>
      <c r="B97" s="33"/>
      <c r="C97" s="11"/>
      <c r="D97" s="11">
        <v>-94.843000000000004</v>
      </c>
      <c r="E97" s="11">
        <v>-985.17200000000003</v>
      </c>
      <c r="F97" s="11">
        <v>-2483.1010000000001</v>
      </c>
      <c r="G97" s="11">
        <v>-6993.06</v>
      </c>
      <c r="H97" s="11">
        <v>-5559.451</v>
      </c>
      <c r="I97" s="11">
        <v>-232.70599999999999</v>
      </c>
    </row>
    <row r="98" spans="1:9" x14ac:dyDescent="0.3">
      <c r="A98" s="32" t="s">
        <v>156</v>
      </c>
      <c r="B98" s="33"/>
      <c r="C98" s="11"/>
      <c r="D98" s="11">
        <v>-1.5720000000000001</v>
      </c>
      <c r="E98" s="11">
        <v>-1.3220000000000001</v>
      </c>
      <c r="F98" s="11">
        <v>-1.1559999999999999</v>
      </c>
      <c r="G98" s="11">
        <v>-0.35499999999999998</v>
      </c>
      <c r="H98" s="11">
        <v>-2447.3110000000001</v>
      </c>
      <c r="I98" s="11">
        <v>-1038.557</v>
      </c>
    </row>
    <row r="99" spans="1:9" x14ac:dyDescent="0.3">
      <c r="A99" s="23"/>
      <c r="B99" s="23"/>
    </row>
    <row r="100" spans="1:9" ht="19.5" customHeight="1" x14ac:dyDescent="0.3">
      <c r="A100" s="26" t="s">
        <v>157</v>
      </c>
      <c r="B100" s="27"/>
      <c r="C100" s="3"/>
      <c r="D100" s="3"/>
      <c r="E100" s="3"/>
      <c r="F100" s="3"/>
      <c r="G100" s="3"/>
      <c r="H100" s="3"/>
      <c r="I100" s="3"/>
    </row>
    <row r="101" spans="1:9" ht="16.5" customHeight="1" x14ac:dyDescent="0.3">
      <c r="A101" s="28" t="s">
        <v>64</v>
      </c>
      <c r="B101" s="29"/>
      <c r="C101" s="9"/>
      <c r="D101" s="9" t="s">
        <v>65</v>
      </c>
      <c r="E101" s="9" t="s">
        <v>66</v>
      </c>
      <c r="F101" s="9" t="s">
        <v>67</v>
      </c>
      <c r="G101" s="9" t="s">
        <v>68</v>
      </c>
      <c r="H101" s="9" t="s">
        <v>69</v>
      </c>
    </row>
    <row r="102" spans="1:9" x14ac:dyDescent="0.3">
      <c r="A102" s="32" t="s">
        <v>158</v>
      </c>
      <c r="B102" s="33"/>
      <c r="C102" s="15"/>
      <c r="D102" s="15">
        <v>10</v>
      </c>
      <c r="E102" s="15">
        <v>10</v>
      </c>
      <c r="F102" s="15">
        <v>10</v>
      </c>
      <c r="G102" s="15">
        <v>10</v>
      </c>
      <c r="H102" s="15">
        <v>10</v>
      </c>
    </row>
    <row r="103" spans="1:9" x14ac:dyDescent="0.3">
      <c r="A103" s="32" t="s">
        <v>159</v>
      </c>
      <c r="B103" s="33"/>
      <c r="C103" s="16"/>
      <c r="D103" s="16">
        <f>D27/D102-D107</f>
        <v>1379.8150000000001</v>
      </c>
      <c r="E103" s="16">
        <f>E27/E102-E107</f>
        <v>2180.3090000000002</v>
      </c>
      <c r="F103" s="16">
        <f>F27/F102-F107</f>
        <v>2452.8476000000001</v>
      </c>
      <c r="G103" s="16">
        <f>G27/G102-G107</f>
        <v>2452.8476000000001</v>
      </c>
      <c r="H103" s="16">
        <f>H27/H102-H107</f>
        <v>2452.8476000000001</v>
      </c>
    </row>
    <row r="104" spans="1:9" x14ac:dyDescent="0.3">
      <c r="A104" s="32" t="s">
        <v>160</v>
      </c>
      <c r="B104" s="33"/>
      <c r="C104" s="16"/>
      <c r="D104" s="16">
        <v>1379.8150000000001</v>
      </c>
      <c r="E104" s="16">
        <v>2180.3090000000002</v>
      </c>
      <c r="F104" s="16">
        <f>F103</f>
        <v>2452.8476000000001</v>
      </c>
      <c r="G104" s="16">
        <v>2452.8470000000002</v>
      </c>
      <c r="H104" s="16">
        <v>2452.8470000000002</v>
      </c>
    </row>
    <row r="105" spans="1:9" x14ac:dyDescent="0.3">
      <c r="A105" s="32" t="s">
        <v>161</v>
      </c>
      <c r="B105" s="33"/>
      <c r="C105" s="15"/>
      <c r="D105" s="15">
        <v>23</v>
      </c>
      <c r="E105" s="15">
        <v>14.17</v>
      </c>
      <c r="F105" s="15">
        <v>11.76</v>
      </c>
      <c r="G105" s="15">
        <v>22.91</v>
      </c>
      <c r="H105" s="15">
        <v>44.67</v>
      </c>
    </row>
    <row r="106" spans="1:9" x14ac:dyDescent="0.3">
      <c r="A106" s="32" t="s">
        <v>162</v>
      </c>
      <c r="B106" s="33"/>
      <c r="C106" s="15"/>
      <c r="D106" s="74">
        <v>0</v>
      </c>
      <c r="E106" s="74">
        <v>0</v>
      </c>
      <c r="F106" s="74">
        <v>0</v>
      </c>
      <c r="G106" s="15">
        <v>1</v>
      </c>
      <c r="H106" s="15">
        <v>1.25</v>
      </c>
    </row>
    <row r="107" spans="1:9" x14ac:dyDescent="0.3">
      <c r="A107" s="32" t="s">
        <v>163</v>
      </c>
      <c r="B107" s="33"/>
      <c r="C107" s="15"/>
      <c r="D107" s="15">
        <v>0</v>
      </c>
      <c r="E107" s="15">
        <v>0</v>
      </c>
      <c r="F107" s="15">
        <v>0</v>
      </c>
      <c r="G107" s="15">
        <v>0</v>
      </c>
      <c r="H107" s="15">
        <v>0</v>
      </c>
    </row>
    <row r="108" spans="1:9" ht="19.5" customHeight="1" x14ac:dyDescent="0.3">
      <c r="A108" s="26" t="s">
        <v>164</v>
      </c>
      <c r="B108" s="27"/>
      <c r="C108" s="3"/>
      <c r="D108" s="3"/>
      <c r="E108" s="3"/>
      <c r="F108" s="3"/>
      <c r="G108" s="3"/>
      <c r="H108" s="3"/>
      <c r="I108" s="3"/>
    </row>
    <row r="109" spans="1:9" ht="30" customHeight="1" x14ac:dyDescent="0.3">
      <c r="A109" s="41" t="s">
        <v>165</v>
      </c>
      <c r="B109" s="41" t="s">
        <v>166</v>
      </c>
      <c r="C109" s="41" t="s">
        <v>167</v>
      </c>
      <c r="D109" s="41" t="s">
        <v>65</v>
      </c>
      <c r="E109" s="41" t="s">
        <v>66</v>
      </c>
      <c r="F109" s="41" t="s">
        <v>67</v>
      </c>
      <c r="G109" s="41" t="s">
        <v>68</v>
      </c>
      <c r="H109" s="41" t="s">
        <v>69</v>
      </c>
    </row>
    <row r="110" spans="1:9" ht="22.95" customHeight="1" x14ac:dyDescent="0.3">
      <c r="A110" s="91" t="s">
        <v>168</v>
      </c>
      <c r="B110" s="91"/>
      <c r="C110" s="91"/>
      <c r="D110" s="91"/>
      <c r="E110" s="91"/>
      <c r="F110" s="91"/>
      <c r="G110" s="91"/>
      <c r="H110" s="91"/>
    </row>
    <row r="111" spans="1:9" ht="34.049999999999997" customHeight="1" x14ac:dyDescent="0.3">
      <c r="A111" s="42" t="s">
        <v>169</v>
      </c>
      <c r="B111" s="43" t="s">
        <v>170</v>
      </c>
      <c r="C111" s="43" t="s">
        <v>171</v>
      </c>
      <c r="D111" s="45">
        <f>IF(OR(NOT(ISNUMBER(D24)),NOT(ISNUMBER(D48))),"n/m",IF(OR((D48)&lt;=0,(D24)&lt;0),"n/m",(D24)/(D48)))</f>
        <v>2.01862288296847</v>
      </c>
      <c r="E111" s="45">
        <f>IF(OR(NOT(ISNUMBER(E24)),NOT(ISNUMBER(E48))),"n/m",IF(OR((E48)&lt;=0,(E24)&lt;0),"n/m",(E24)/(E48)))</f>
        <v>1.0559688948718087</v>
      </c>
      <c r="F111" s="45">
        <f>IF(OR(NOT(ISNUMBER(F24)),NOT(ISNUMBER(F48))),"n/m",IF(OR((F48)&lt;=0,(F24)&lt;0),"n/m",(F24)/(F48)))</f>
        <v>0.81211137558007007</v>
      </c>
      <c r="G111" s="45">
        <f>IF(OR(NOT(ISNUMBER(G24)),NOT(ISNUMBER(G48))),"n/m",IF(OR((G48)&lt;=0,(G24)&lt;0),"n/m",(G24)/(G48)))</f>
        <v>0.95974773116730094</v>
      </c>
      <c r="H111" s="45">
        <f>IF(OR(NOT(ISNUMBER(H24)),NOT(ISNUMBER(H48))),"n/m",IF(OR((H48)&lt;=0,(H24)&lt;0),"n/m",(H24)/(H48)))</f>
        <v>1.3210140828410366</v>
      </c>
    </row>
    <row r="112" spans="1:9" ht="34.049999999999997" customHeight="1" x14ac:dyDescent="0.3">
      <c r="A112" s="42" t="s">
        <v>172</v>
      </c>
      <c r="B112" s="43" t="s">
        <v>173</v>
      </c>
      <c r="C112" s="43" t="s">
        <v>174</v>
      </c>
      <c r="D112" s="45">
        <f>IF(OR(NOT(ISNUMBER(D24-D54)),NOT(ISNUMBER(D48))),"n/m",IF(OR((D48)&lt;=0,(D24-D54)&lt;0),"n/m",(D24-D54)/(D48)))</f>
        <v>1.1357988467684703</v>
      </c>
      <c r="E112" s="45">
        <f>IF(OR(NOT(ISNUMBER(E24-E54)),NOT(ISNUMBER(E48))),"n/m",IF(OR((E48)&lt;=0,(E24-E54)&lt;0),"n/m",(E24-E54)/(E48)))</f>
        <v>0.47078421060569281</v>
      </c>
      <c r="F112" s="45">
        <f>IF(OR(NOT(ISNUMBER(F24-F54)),NOT(ISNUMBER(F48))),"n/m",IF(OR((F48)&lt;=0,(F24-F54)&lt;0),"n/m",(F24-F54)/(F48)))</f>
        <v>0.28121710873313321</v>
      </c>
      <c r="G112" s="45">
        <f>IF(OR(NOT(ISNUMBER(G24-G54)),NOT(ISNUMBER(G48))),"n/m",IF(OR((G48)&lt;=0,(G24-G54)&lt;0),"n/m",(G24-G54)/(G48)))</f>
        <v>0.3420463898878065</v>
      </c>
      <c r="H112" s="45">
        <f>IF(OR(NOT(ISNUMBER(H24-H54)),NOT(ISNUMBER(H48))),"n/m",IF(OR((H48)&lt;=0,(H24-H54)&lt;0),"n/m",(H24-H54)/(H48)))</f>
        <v>0.67753380767364924</v>
      </c>
    </row>
    <row r="113" spans="1:8" ht="34.049999999999997" customHeight="1" x14ac:dyDescent="0.3">
      <c r="A113" s="42" t="s">
        <v>175</v>
      </c>
      <c r="B113" s="43" t="s">
        <v>176</v>
      </c>
      <c r="C113" s="43" t="s">
        <v>177</v>
      </c>
      <c r="D113" s="45">
        <f>IF(OR(NOT(ISNUMBER(D211)),NOT(ISNUMBER(D48))),"n/m",IF(OR((D48)&lt;=0,(D211)&lt;0),"n/m",(D211)/(D48)))</f>
        <v>0.14618299383526975</v>
      </c>
      <c r="E113" s="45">
        <f>IF(OR(NOT(ISNUMBER(E211)),NOT(ISNUMBER(E48))),"n/m",IF(OR((E48)&lt;=0,(E211)&lt;0),"n/m",(E211)/(E48)))</f>
        <v>8.632203736853207E-2</v>
      </c>
      <c r="F113" s="45">
        <f>IF(OR(NOT(ISNUMBER(F211)),NOT(ISNUMBER(F48))),"n/m",IF(OR((F48)&lt;=0,(F211)&lt;0),"n/m",(F211)/(F48)))</f>
        <v>3.0925035424233385E-2</v>
      </c>
      <c r="G113" s="45">
        <f>IF(OR(NOT(ISNUMBER(G211)),NOT(ISNUMBER(G48))),"n/m",IF(OR((G48)&lt;=0,(G211)&lt;0),"n/m",(G211)/(G48)))</f>
        <v>0.10599048957533475</v>
      </c>
      <c r="H113" s="45">
        <f>IF(OR(NOT(ISNUMBER(H211)),NOT(ISNUMBER(H48))),"n/m",IF(OR((H48)&lt;=0,(H211)&lt;0),"n/m",(H211)/(H48)))</f>
        <v>8.4205246923402408E-2</v>
      </c>
    </row>
    <row r="114" spans="1:8" ht="34.049999999999997" customHeight="1" x14ac:dyDescent="0.3">
      <c r="A114" s="42" t="s">
        <v>178</v>
      </c>
      <c r="B114" s="43" t="s">
        <v>179</v>
      </c>
      <c r="C114" s="43" t="s">
        <v>180</v>
      </c>
      <c r="D114" s="46">
        <f>IF(OR(NOT(ISNUMBER(D24-D48)),NOT(ISNUMBER(1))),"n/m",IF(OR((1)&lt;=0,(D24-D48)&lt;0),"n/m",(D24-D48)/(1)))</f>
        <v>6276.7430000000004</v>
      </c>
      <c r="E114" s="46">
        <f>IF(OR(NOT(ISNUMBER(E24-E48)),NOT(ISNUMBER(1))),"n/m",IF(OR((1)&lt;=0,(E24-E48)&lt;0),"n/m",(E24-E48)/(1)))</f>
        <v>1495.5590000000011</v>
      </c>
      <c r="F114" s="46" t="str">
        <f>IF(OR(NOT(ISNUMBER(F24-F48)),NOT(ISNUMBER(1))),"n/m",IF(OR((1)&lt;=0,(F24-F48)&lt;0),"n/m",(F24-F48)/(1)))</f>
        <v>n/m</v>
      </c>
      <c r="G114" s="46" t="str">
        <f>IF(OR(NOT(ISNUMBER(G24-G48)),NOT(ISNUMBER(1))),"n/m",IF(OR((1)&lt;=0,(G24-G48)&lt;0),"n/m",(G24-G48)/(1)))</f>
        <v>n/m</v>
      </c>
      <c r="H114" s="46">
        <f>IF(OR(NOT(ISNUMBER(H24-H48)),NOT(ISNUMBER(1))),"n/m",IF(OR((1)&lt;=0,(H24-H48)&lt;0),"n/m",(H24-H48)/(1)))</f>
        <v>9835.0680000000066</v>
      </c>
    </row>
    <row r="115" spans="1:8" ht="22.95" customHeight="1" x14ac:dyDescent="0.3">
      <c r="A115" s="91" t="s">
        <v>181</v>
      </c>
      <c r="B115" s="91"/>
      <c r="C115" s="91"/>
      <c r="D115" s="92"/>
      <c r="E115" s="92"/>
      <c r="F115" s="92"/>
      <c r="G115" s="92"/>
      <c r="H115" s="92"/>
    </row>
    <row r="116" spans="1:8" ht="34.049999999999997" customHeight="1" x14ac:dyDescent="0.3">
      <c r="A116" s="42" t="s">
        <v>182</v>
      </c>
      <c r="B116" s="43" t="s">
        <v>183</v>
      </c>
      <c r="C116" s="43" t="s">
        <v>184</v>
      </c>
      <c r="D116" s="45">
        <f>IF(OR(NOT(ISNUMBER(-D65)),NOT(ISNUMBER(AVERAGE(I54,D54)))),"n/m",IF(OR((AVERAGE(I54,D54))&lt;=0,(-D65)&lt;0),"n/m",(-D65)/(AVERAGE(I54,D54))))</f>
        <v>3.593399445976929</v>
      </c>
      <c r="E116" s="45">
        <f>IF(OR(NOT(ISNUMBER(-E65)),NOT(ISNUMBER(AVERAGE(D54,E54)))),"n/m",IF(OR((AVERAGE(D54,E54))&lt;=0,(-E65)&lt;0),"n/m",(-E65)/(AVERAGE(D54,E54))))</f>
        <v>3.6798285509863442</v>
      </c>
      <c r="F116" s="45">
        <f>IF(OR(NOT(ISNUMBER(-F65)),NOT(ISNUMBER(AVERAGE(E54,F54)))),"n/m",IF(OR((AVERAGE(E54,F54))&lt;=0,(-F65)&lt;0),"n/m",(-F65)/(AVERAGE(E54,F54))))</f>
        <v>3.0981941833220765</v>
      </c>
      <c r="G116" s="45">
        <f>IF(OR(NOT(ISNUMBER(-G65)),NOT(ISNUMBER(AVERAGE(F54,G54)))),"n/m",IF(OR((AVERAGE(F54,G54))&lt;=0,(-G65)&lt;0),"n/m",(-G65)/(AVERAGE(F54,G54))))</f>
        <v>3.4267755412065504</v>
      </c>
      <c r="H116" s="45">
        <f>IF(OR(NOT(ISNUMBER(-H65)),NOT(ISNUMBER(AVERAGE(G54,H54)))),"n/m",IF(OR((AVERAGE(G54,H54))&lt;=0,(-H65)&lt;0),"n/m",(-H65)/(AVERAGE(G54,H54))))</f>
        <v>3.1608830315846066</v>
      </c>
    </row>
    <row r="117" spans="1:8" ht="34.049999999999997" customHeight="1" x14ac:dyDescent="0.3">
      <c r="A117" s="42" t="s">
        <v>185</v>
      </c>
      <c r="B117" s="43" t="s">
        <v>186</v>
      </c>
      <c r="C117" s="43" t="s">
        <v>187</v>
      </c>
      <c r="D117" s="45">
        <f>IF(OR(NOT(ISNUMBER(D64)),NOT(ISNUMBER(AVERAGE(I20,D20)))),"n/m",IF(OR((AVERAGE(I20,D20))&lt;=0,(D64)&lt;0),"n/m",(D64)/(AVERAGE(I20,D20))))</f>
        <v>19.415164144242155</v>
      </c>
      <c r="E117" s="45">
        <f>IF(OR(NOT(ISNUMBER(E64)),NOT(ISNUMBER(AVERAGE(D20,E20)))),"n/m",IF(OR((AVERAGE(D20,E20))&lt;=0,(E64)&lt;0),"n/m",(E64)/(AVERAGE(D20,E20))))</f>
        <v>28.088084014998095</v>
      </c>
      <c r="F117" s="45">
        <f>IF(OR(NOT(ISNUMBER(F64)),NOT(ISNUMBER(AVERAGE(E20,F20)))),"n/m",IF(OR((AVERAGE(E20,F20))&lt;=0,(F64)&lt;0),"n/m",(F64)/(AVERAGE(E20,F20))))</f>
        <v>22.745855737892271</v>
      </c>
      <c r="G117" s="45">
        <f>IF(OR(NOT(ISNUMBER(G64)),NOT(ISNUMBER(AVERAGE(F20,G20)))),"n/m",IF(OR((AVERAGE(F20,G20))&lt;=0,(G64)&lt;0),"n/m",(G64)/(AVERAGE(F20,G20))))</f>
        <v>17.554064923929165</v>
      </c>
      <c r="H117" s="45">
        <f>IF(OR(NOT(ISNUMBER(H64)),NOT(ISNUMBER(AVERAGE(G20,H20)))),"n/m",IF(OR((AVERAGE(G20,H20))&lt;=0,(H64)&lt;0),"n/m",(H64)/(AVERAGE(G20,H20))))</f>
        <v>14.282644096931071</v>
      </c>
    </row>
    <row r="118" spans="1:8" ht="34.049999999999997" customHeight="1" x14ac:dyDescent="0.3">
      <c r="A118" s="42" t="s">
        <v>188</v>
      </c>
      <c r="B118" s="43" t="s">
        <v>189</v>
      </c>
      <c r="C118" s="43" t="s">
        <v>190</v>
      </c>
      <c r="D118" s="47">
        <f>IF(OR(NOT(ISNUMBER(365*AVERAGE(I54,D54))),NOT(ISNUMBER(-D65))),"n/m",IF(OR((-D65)&lt;=0,(365*AVERAGE(I54,D54))&lt;0),"n/m",(365*AVERAGE(I54,D54))/(-D65)))</f>
        <v>101.57512558439446</v>
      </c>
      <c r="E118" s="47">
        <f>IF(OR(NOT(ISNUMBER(365*AVERAGE(D54,E54))),NOT(ISNUMBER(-E65))),"n/m",IF(OR((-E65)&lt;=0,(365*AVERAGE(D54,E54))&lt;0),"n/m",(365*AVERAGE(D54,E54))/(-E65)))</f>
        <v>99.189403784088</v>
      </c>
      <c r="F118" s="47">
        <f>IF(OR(NOT(ISNUMBER(365*AVERAGE(E54,F54))),NOT(ISNUMBER(-F65))),"n/m",IF(OR((-F65)&lt;=0,(365*AVERAGE(E54,F54))&lt;0),"n/m",(365*AVERAGE(E54,F54))/(-F65)))</f>
        <v>117.81056267061489</v>
      </c>
      <c r="G118" s="47">
        <f>IF(OR(NOT(ISNUMBER(365*AVERAGE(F54,G54))),NOT(ISNUMBER(-G65))),"n/m",IF(OR((-G65)&lt;=0,(365*AVERAGE(F54,G54))&lt;0),"n/m",(365*AVERAGE(F54,G54))/(-G65)))</f>
        <v>106.51412548353994</v>
      </c>
      <c r="H118" s="47">
        <f>IF(OR(NOT(ISNUMBER(365*AVERAGE(G54,H54))),NOT(ISNUMBER(-H65))),"n/m",IF(OR((-H65)&lt;=0,(365*AVERAGE(G54,H54))&lt;0),"n/m",(365*AVERAGE(G54,H54))/(-H65)))</f>
        <v>115.47406099903009</v>
      </c>
    </row>
    <row r="119" spans="1:8" ht="34.049999999999997" customHeight="1" x14ac:dyDescent="0.3">
      <c r="A119" s="42" t="s">
        <v>191</v>
      </c>
      <c r="B119" s="43" t="s">
        <v>192</v>
      </c>
      <c r="C119" s="43" t="s">
        <v>193</v>
      </c>
      <c r="D119" s="47">
        <f>IF(OR(NOT(ISNUMBER(365*AVERAGE(I20,D20))),NOT(ISNUMBER(D64))),"n/m",IF(OR((D64)&lt;=0,(365*AVERAGE(I20,D20))&lt;0),"n/m",(365*AVERAGE(I20,D20))/(D64)))</f>
        <v>18.799738044359827</v>
      </c>
      <c r="E119" s="47">
        <f>IF(OR(NOT(ISNUMBER(365*AVERAGE(D20,E20))),NOT(ISNUMBER(E64))),"n/m",IF(OR((E64)&lt;=0,(365*AVERAGE(D20,E20))&lt;0),"n/m",(365*AVERAGE(D20,E20))/(E64)))</f>
        <v>12.994834386179642</v>
      </c>
      <c r="F119" s="47">
        <f>IF(OR(NOT(ISNUMBER(365*AVERAGE(E20,F20))),NOT(ISNUMBER(F64))),"n/m",IF(OR((F64)&lt;=0,(365*AVERAGE(E20,F20))&lt;0),"n/m",(365*AVERAGE(E20,F20))/(F64)))</f>
        <v>16.046879229606091</v>
      </c>
      <c r="G119" s="47">
        <f>IF(OR(NOT(ISNUMBER(365*AVERAGE(F20,G20))),NOT(ISNUMBER(G64))),"n/m",IF(OR((G64)&lt;=0,(365*AVERAGE(F20,G20))&lt;0),"n/m",(365*AVERAGE(F20,G20))/(G64)))</f>
        <v>20.792904753499183</v>
      </c>
      <c r="H119" s="47">
        <f>IF(OR(NOT(ISNUMBER(365*AVERAGE(G20,H20))),NOT(ISNUMBER(H64))),"n/m",IF(OR((H64)&lt;=0,(365*AVERAGE(G20,H20))&lt;0),"n/m",(365*AVERAGE(G20,H20))/(H64)))</f>
        <v>25.555492212987932</v>
      </c>
    </row>
    <row r="120" spans="1:8" ht="34.049999999999997" customHeight="1" x14ac:dyDescent="0.3">
      <c r="A120" s="42" t="s">
        <v>194</v>
      </c>
      <c r="B120" s="43" t="s">
        <v>195</v>
      </c>
      <c r="C120" s="43" t="s">
        <v>196</v>
      </c>
      <c r="D120" s="45">
        <f>IF(OR(NOT(ISNUMBER(D64)),NOT(ISNUMBER(D9))),"n/m",IF(OR((D9)&lt;=0,(D64)&lt;0),"n/m",(D64)/(D9)))</f>
        <v>1.1329960510619466</v>
      </c>
      <c r="E120" s="45">
        <f>IF(OR(NOT(ISNUMBER(E64)),NOT(ISNUMBER(E9))),"n/m",IF(OR((E9)&lt;=0,(E64)&lt;0),"n/m",(E64)/(E9)))</f>
        <v>0.73176601318978285</v>
      </c>
      <c r="F120" s="45">
        <f>IF(OR(NOT(ISNUMBER(F64)),NOT(ISNUMBER(F9))),"n/m",IF(OR((F9)&lt;=0,(F64)&lt;0),"n/m",(F64)/(F9)))</f>
        <v>0.65184739301529204</v>
      </c>
      <c r="G120" s="45">
        <f>IF(OR(NOT(ISNUMBER(G64)),NOT(ISNUMBER(G9))),"n/m",IF(OR((G9)&lt;=0,(G64)&lt;0),"n/m",(G64)/(G9)))</f>
        <v>0.72196082222901214</v>
      </c>
      <c r="H120" s="45">
        <f>IF(OR(NOT(ISNUMBER(H64)),NOT(ISNUMBER(H9))),"n/m",IF(OR((H9)&lt;=0,(H64)&lt;0),"n/m",(H64)/(H9)))</f>
        <v>0.81180021491144161</v>
      </c>
    </row>
    <row r="121" spans="1:8" ht="34.049999999999997" customHeight="1" x14ac:dyDescent="0.3">
      <c r="A121" s="42" t="s">
        <v>197</v>
      </c>
      <c r="B121" s="43" t="s">
        <v>198</v>
      </c>
      <c r="C121" s="43" t="s">
        <v>199</v>
      </c>
      <c r="D121" s="45">
        <f>IF(OR(NOT(ISNUMBER(D64)),NOT(ISNUMBER(D25))),"n/m",IF(OR((D25)&lt;=0,(D64)&lt;0),"n/m",(D64)/(D25)))</f>
        <v>0.71276636764269574</v>
      </c>
      <c r="E121" s="45">
        <f>IF(OR(NOT(ISNUMBER(E64)),NOT(ISNUMBER(E25))),"n/m",IF(OR((E25)&lt;=0,(E64)&lt;0),"n/m",(E64)/(E25)))</f>
        <v>0.4770803467502796</v>
      </c>
      <c r="F121" s="45">
        <f>IF(OR(NOT(ISNUMBER(F64)),NOT(ISNUMBER(F25))),"n/m",IF(OR((F25)&lt;=0,(F64)&lt;0),"n/m",(F64)/(F25)))</f>
        <v>0.49031202866080159</v>
      </c>
      <c r="G121" s="45">
        <f>IF(OR(NOT(ISNUMBER(G64)),NOT(ISNUMBER(G25))),"n/m",IF(OR((G25)&lt;=0,(G64)&lt;0),"n/m",(G64)/(G25)))</f>
        <v>0.54204979765850125</v>
      </c>
      <c r="H121" s="45">
        <f>IF(OR(NOT(ISNUMBER(H64)),NOT(ISNUMBER(H25))),"n/m",IF(OR((H25)&lt;=0,(H64)&lt;0),"n/m",(H64)/(H25)))</f>
        <v>0.55305556508680442</v>
      </c>
    </row>
    <row r="122" spans="1:8" ht="22.95" customHeight="1" x14ac:dyDescent="0.3">
      <c r="A122" s="91" t="s">
        <v>200</v>
      </c>
      <c r="B122" s="91"/>
      <c r="C122" s="91"/>
      <c r="D122" s="92"/>
      <c r="E122" s="92"/>
      <c r="F122" s="92"/>
      <c r="G122" s="92"/>
      <c r="H122" s="92"/>
    </row>
    <row r="123" spans="1:8" ht="34.049999999999997" customHeight="1" x14ac:dyDescent="0.3">
      <c r="A123" s="42" t="s">
        <v>201</v>
      </c>
      <c r="B123" s="43" t="s">
        <v>202</v>
      </c>
      <c r="C123" s="43" t="s">
        <v>203</v>
      </c>
      <c r="D123" s="48">
        <f>IF(OR(NOT(ISNUMBER(D49)),NOT(ISNUMBER(D25))),"n/m",IF(OR((D25)&lt;=0,(D49)&lt;0),"n/m",(D49)/(D25)))</f>
        <v>0.31647148170702821</v>
      </c>
      <c r="E123" s="48">
        <f>IF(OR(NOT(ISNUMBER(E49)),NOT(ISNUMBER(E25))),"n/m",IF(OR((E25)&lt;=0,(E49)&lt;0),"n/m",(E49)/(E25)))</f>
        <v>0.49219848282922141</v>
      </c>
      <c r="F123" s="48">
        <f>IF(OR(NOT(ISNUMBER(F49)),NOT(ISNUMBER(F25))),"n/m",IF(OR((F25)&lt;=0,(F49)&lt;0),"n/m",(F49)/(F25)))</f>
        <v>0.53053055814614203</v>
      </c>
      <c r="G123" s="48">
        <f>IF(OR(NOT(ISNUMBER(G49)),NOT(ISNUMBER(G25))),"n/m",IF(OR((G25)&lt;=0,(G49)&lt;0),"n/m",(G49)/(G25)))</f>
        <v>0.5028400637434024</v>
      </c>
      <c r="H123" s="48">
        <f>IF(OR(NOT(ISNUMBER(H49)),NOT(ISNUMBER(H25))),"n/m",IF(OR((H25)&lt;=0,(H49)&lt;0),"n/m",(H49)/(H25)))</f>
        <v>0.4760663500346739</v>
      </c>
    </row>
    <row r="124" spans="1:8" ht="34.049999999999997" customHeight="1" x14ac:dyDescent="0.3">
      <c r="A124" s="42" t="s">
        <v>204</v>
      </c>
      <c r="B124" s="43" t="s">
        <v>205</v>
      </c>
      <c r="C124" s="43" t="s">
        <v>206</v>
      </c>
      <c r="D124" s="45">
        <f>IF(OR(NOT(ISNUMBER(D55)),NOT(ISNUMBER(D29))),"n/m",IF(OR((D29)&lt;=0,(D55)&lt;0),"n/m",(D55)/(D29)))</f>
        <v>0.11033361830900601</v>
      </c>
      <c r="E124" s="45">
        <f>IF(OR(NOT(ISNUMBER(E55)),NOT(ISNUMBER(E29))),"n/m",IF(OR((E29)&lt;=0,(E55)&lt;0),"n/m",(E55)/(E29)))</f>
        <v>0.44889851845785944</v>
      </c>
      <c r="F124" s="45">
        <f>IF(OR(NOT(ISNUMBER(F55)),NOT(ISNUMBER(F29))),"n/m",IF(OR((F29)&lt;=0,(F55)&lt;0),"n/m",(F55)/(F29)))</f>
        <v>0.62375966688339879</v>
      </c>
      <c r="G124" s="45">
        <f>IF(OR(NOT(ISNUMBER(G55)),NOT(ISNUMBER(G29))),"n/m",IF(OR((G29)&lt;=0,(G55)&lt;0),"n/m",(G55)/(G29)))</f>
        <v>0.49850573278032018</v>
      </c>
      <c r="H124" s="45">
        <f>IF(OR(NOT(ISNUMBER(H55)),NOT(ISNUMBER(H29))),"n/m",IF(OR((H29)&lt;=0,(H55)&lt;0),"n/m",(H55)/(H29)))</f>
        <v>0.47508509566997464</v>
      </c>
    </row>
    <row r="125" spans="1:8" ht="34.049999999999997" customHeight="1" x14ac:dyDescent="0.3">
      <c r="A125" s="42" t="s">
        <v>207</v>
      </c>
      <c r="B125" s="43" t="s">
        <v>208</v>
      </c>
      <c r="C125" s="43" t="s">
        <v>209</v>
      </c>
      <c r="D125" s="48">
        <f>IF(OR(NOT(ISNUMBER(D55)),NOT(ISNUMBER(D55+D29))),"n/m",IF(OR((D55+D29)&lt;=0,(D55)&lt;0),"n/m",(D55)/(D55+D29)))</f>
        <v>9.9369789844821352E-2</v>
      </c>
      <c r="E125" s="48">
        <f>IF(OR(NOT(ISNUMBER(E55)),NOT(ISNUMBER(E55+E29))),"n/m",IF(OR((E55+E29)&lt;=0,(E55)&lt;0),"n/m",(E55)/(E55+E29)))</f>
        <v>0.30982053797366449</v>
      </c>
      <c r="F125" s="48">
        <f>IF(OR(NOT(ISNUMBER(F55)),NOT(ISNUMBER(F55+F29))),"n/m",IF(OR((F55+F29)&lt;=0,(F55)&lt;0),"n/m",(F55)/(F55+F29)))</f>
        <v>0.38414531386940193</v>
      </c>
      <c r="G125" s="48">
        <f>IF(OR(NOT(ISNUMBER(G55)),NOT(ISNUMBER(G55+G29))),"n/m",IF(OR((G55+G29)&lt;=0,(G55)&lt;0),"n/m",(G55)/(G55+G29)))</f>
        <v>0.33266855232872222</v>
      </c>
      <c r="H125" s="48">
        <f>IF(OR(NOT(ISNUMBER(H55)),NOT(ISNUMBER(H55+H29))),"n/m",IF(OR((H55+H29)&lt;=0,(H55)&lt;0),"n/m",(H55)/(H55+H29)))</f>
        <v>0.3220730092552348</v>
      </c>
    </row>
    <row r="126" spans="1:8" ht="34.049999999999997" customHeight="1" x14ac:dyDescent="0.3">
      <c r="A126" s="42" t="s">
        <v>210</v>
      </c>
      <c r="B126" s="43" t="s">
        <v>211</v>
      </c>
      <c r="C126" s="43" t="s">
        <v>212</v>
      </c>
      <c r="D126" s="45">
        <f>IF(OR(NOT(ISNUMBER(D82)),NOT(ISNUMBER(D85))),"n/m",IF(OR((D85)&lt;=0,(D82)&lt;0),"n/m",(D82)/(D85)))</f>
        <v>56.450885878061477</v>
      </c>
      <c r="E126" s="45">
        <f>IF(OR(NOT(ISNUMBER(E82)),NOT(ISNUMBER(E85))),"n/m",IF(OR((E85)&lt;=0,(E82)&lt;0),"n/m",(E82)/(E85)))</f>
        <v>12.583415391911771</v>
      </c>
      <c r="F126" s="45">
        <f>IF(OR(NOT(ISNUMBER(F82)),NOT(ISNUMBER(F85))),"n/m",IF(OR((F85)&lt;=0,(F82)&lt;0),"n/m",(F82)/(F85)))</f>
        <v>5.9146829675290808</v>
      </c>
      <c r="G126" s="45">
        <f>IF(OR(NOT(ISNUMBER(G82)),NOT(ISNUMBER(G85))),"n/m",IF(OR((G85)&lt;=0,(G82)&lt;0),"n/m",(G82)/(G85)))</f>
        <v>3.7798126521954241</v>
      </c>
      <c r="H126" s="45">
        <f>IF(OR(NOT(ISNUMBER(H82)),NOT(ISNUMBER(H85))),"n/m",IF(OR((H85)&lt;=0,(H82)&lt;0),"n/m",(H82)/(H85)))</f>
        <v>4.7935258018729412</v>
      </c>
    </row>
    <row r="127" spans="1:8" ht="22.95" customHeight="1" x14ac:dyDescent="0.3">
      <c r="A127" s="91" t="s">
        <v>213</v>
      </c>
      <c r="B127" s="91"/>
      <c r="C127" s="91"/>
      <c r="D127" s="92"/>
      <c r="E127" s="92"/>
      <c r="F127" s="92"/>
      <c r="G127" s="92"/>
      <c r="H127" s="92"/>
    </row>
    <row r="128" spans="1:8" ht="34.049999999999997" customHeight="1" x14ac:dyDescent="0.3">
      <c r="A128" s="42" t="s">
        <v>214</v>
      </c>
      <c r="B128" s="43" t="s">
        <v>215</v>
      </c>
      <c r="C128" s="43" t="s">
        <v>216</v>
      </c>
      <c r="D128" s="48">
        <f>IF(OR(NOT(ISNUMBER(D66)),NOT(ISNUMBER(D64))),"n/m",IF(OR((D64)&lt;=0,(D66)&lt;0),"n/m",(D66)/(D64)))</f>
        <v>0.24985924725452316</v>
      </c>
      <c r="E128" s="48">
        <f>IF(OR(NOT(ISNUMBER(E66)),NOT(ISNUMBER(E64))),"n/m",IF(OR((E64)&lt;=0,(E66)&lt;0),"n/m",(E66)/(E64)))</f>
        <v>0.28507903988852556</v>
      </c>
      <c r="F128" s="48">
        <f>IF(OR(NOT(ISNUMBER(F66)),NOT(ISNUMBER(F64))),"n/m",IF(OR((F64)&lt;=0,(F66)&lt;0),"n/m",(F66)/(F64)))</f>
        <v>0.29996604048210768</v>
      </c>
      <c r="G128" s="48">
        <f>IF(OR(NOT(ISNUMBER(G66)),NOT(ISNUMBER(G64))),"n/m",IF(OR((G64)&lt;=0,(G66)&lt;0),"n/m",(G66)/(G64)))</f>
        <v>0.32089986350224731</v>
      </c>
      <c r="H128" s="48">
        <f>IF(OR(NOT(ISNUMBER(H66)),NOT(ISNUMBER(H64))),"n/m",IF(OR((H64)&lt;=0,(H66)&lt;0),"n/m",(H66)/(H64)))</f>
        <v>0.35490842202929052</v>
      </c>
    </row>
    <row r="129" spans="1:8" ht="34.049999999999997" customHeight="1" x14ac:dyDescent="0.3">
      <c r="A129" s="42" t="s">
        <v>217</v>
      </c>
      <c r="B129" s="43" t="s">
        <v>218</v>
      </c>
      <c r="C129" s="43" t="s">
        <v>219</v>
      </c>
      <c r="D129" s="48">
        <f>IF(OR(NOT(ISNUMBER(D82)),NOT(ISNUMBER(D64))),"n/m",IF(OR((D64)&lt;=0,(D82)&lt;0),"n/m",(D82)/(D64)))</f>
        <v>0.2142368646736256</v>
      </c>
      <c r="E129" s="48">
        <f>IF(OR(NOT(ISNUMBER(E82)),NOT(ISNUMBER(E64))),"n/m",IF(OR((E64)&lt;=0,(E82)&lt;0),"n/m",(E82)/(E64)))</f>
        <v>0.23087384099122032</v>
      </c>
      <c r="F129" s="48">
        <f>IF(OR(NOT(ISNUMBER(F82)),NOT(ISNUMBER(F64))),"n/m",IF(OR((F64)&lt;=0,(F82)&lt;0),"n/m",(F82)/(F64)))</f>
        <v>0.22807525720632701</v>
      </c>
      <c r="G129" s="48">
        <f>IF(OR(NOT(ISNUMBER(G82)),NOT(ISNUMBER(G64))),"n/m",IF(OR((G64)&lt;=0,(G82)&lt;0),"n/m",(G82)/(G64)))</f>
        <v>0.26089810857755552</v>
      </c>
      <c r="H129" s="48">
        <f>IF(OR(NOT(ISNUMBER(H82)),NOT(ISNUMBER(H64))),"n/m",IF(OR((H64)&lt;=0,(H82)&lt;0),"n/m",(H82)/(H64)))</f>
        <v>0.3057657460861018</v>
      </c>
    </row>
    <row r="130" spans="1:8" ht="34.049999999999997" customHeight="1" x14ac:dyDescent="0.3">
      <c r="A130" s="42" t="s">
        <v>220</v>
      </c>
      <c r="B130" s="43" t="s">
        <v>221</v>
      </c>
      <c r="C130" s="43" t="s">
        <v>222</v>
      </c>
      <c r="D130" s="48">
        <f>IF(OR(NOT(ISNUMBER(D79)),NOT(ISNUMBER(D64))),"n/m",IF(OR((D64)&lt;=0,(D79)&lt;0),"n/m",(D79)/(D64)))</f>
        <v>0.14302295902338913</v>
      </c>
      <c r="E130" s="48">
        <f>IF(OR(NOT(ISNUMBER(E79)),NOT(ISNUMBER(E64))),"n/m",IF(OR((E64)&lt;=0,(E79)&lt;0),"n/m",(E79)/(E64)))</f>
        <v>0.13112336204567002</v>
      </c>
      <c r="F130" s="48">
        <f>IF(OR(NOT(ISNUMBER(F79)),NOT(ISNUMBER(F64))),"n/m",IF(OR((F64)&lt;=0,(F79)&lt;0),"n/m",(F79)/(F64)))</f>
        <v>0.10929571726641699</v>
      </c>
      <c r="G130" s="48">
        <f>IF(OR(NOT(ISNUMBER(G79)),NOT(ISNUMBER(G64))),"n/m",IF(OR((G64)&lt;=0,(G79)&lt;0),"n/m",(G79)/(G64)))</f>
        <v>0.10275526425549537</v>
      </c>
      <c r="H130" s="48">
        <f>IF(OR(NOT(ISNUMBER(H79)),NOT(ISNUMBER(H64))),"n/m",IF(OR((H64)&lt;=0,(H79)&lt;0),"n/m",(H79)/(H64)))</f>
        <v>0.14980611609777766</v>
      </c>
    </row>
    <row r="131" spans="1:8" ht="34.049999999999997" customHeight="1" x14ac:dyDescent="0.3">
      <c r="A131" s="42" t="s">
        <v>223</v>
      </c>
      <c r="B131" s="43" t="s">
        <v>224</v>
      </c>
      <c r="C131" s="43" t="s">
        <v>225</v>
      </c>
      <c r="D131" s="48">
        <f>IF(OR(NOT(ISNUMBER(D79)),NOT(ISNUMBER(D25))),"n/m",IF(OR((D25)&lt;=0,(D79)&lt;0),"n/m",(D79)/(D25)))</f>
        <v>0.10194195499261118</v>
      </c>
      <c r="E131" s="48">
        <f>IF(OR(NOT(ISNUMBER(E79)),NOT(ISNUMBER(E25))),"n/m",IF(OR((E25)&lt;=0,(E79)&lt;0),"n/m",(E79)/(E25)))</f>
        <v>6.2556379031810716E-2</v>
      </c>
      <c r="F131" s="48">
        <f>IF(OR(NOT(ISNUMBER(F79)),NOT(ISNUMBER(F25))),"n/m",IF(OR((F25)&lt;=0,(F79)&lt;0),"n/m",(F79)/(F25)))</f>
        <v>5.3589004856834314E-2</v>
      </c>
      <c r="G131" s="48">
        <f>IF(OR(NOT(ISNUMBER(G79)),NOT(ISNUMBER(G25))),"n/m",IF(OR((G25)&lt;=0,(G79)&lt;0),"n/m",(G79)/(G25)))</f>
        <v>5.5698470198037101E-2</v>
      </c>
      <c r="H131" s="48">
        <f>IF(OR(NOT(ISNUMBER(H79)),NOT(ISNUMBER(H25))),"n/m",IF(OR((H25)&lt;=0,(H79)&lt;0),"n/m",(H79)/(H25)))</f>
        <v>8.2851106191915852E-2</v>
      </c>
    </row>
    <row r="132" spans="1:8" ht="34.049999999999997" customHeight="1" x14ac:dyDescent="0.3">
      <c r="A132" s="42" t="s">
        <v>226</v>
      </c>
      <c r="B132" s="43" t="s">
        <v>227</v>
      </c>
      <c r="C132" s="43" t="s">
        <v>228</v>
      </c>
      <c r="D132" s="48">
        <f>IF(OR(NOT(ISNUMBER(D79)),NOT(ISNUMBER(D29))),"n/m",IF(OR((D29)&lt;=0,(D79)&lt;0),"n/m",(D79)/(D29)))</f>
        <v>0.14914074872427949</v>
      </c>
      <c r="E132" s="48">
        <f>IF(OR(NOT(ISNUMBER(E79)),NOT(ISNUMBER(E29))),"n/m",IF(OR((E29)&lt;=0,(E79)&lt;0),"n/m",(E79)/(E29)))</f>
        <v>0.12319061073378482</v>
      </c>
      <c r="F132" s="48">
        <f>IF(OR(NOT(ISNUMBER(F79)),NOT(ISNUMBER(F29))),"n/m",IF(OR((F29)&lt;=0,(F79)&lt;0),"n/m",(F79)/(F29)))</f>
        <v>0.11414801492770245</v>
      </c>
      <c r="G132" s="48">
        <f>IF(OR(NOT(ISNUMBER(G79)),NOT(ISNUMBER(G29))),"n/m",IF(OR((G29)&lt;=0,(G79)&lt;0),"n/m",(G79)/(G29)))</f>
        <v>0.1120333038446799</v>
      </c>
      <c r="H132" s="48">
        <f>IF(OR(NOT(ISNUMBER(H79)),NOT(ISNUMBER(H29))),"n/m",IF(OR((H29)&lt;=0,(H79)&lt;0),"n/m",(H79)/(H29)))</f>
        <v>0.15813282120245373</v>
      </c>
    </row>
    <row r="133" spans="1:8" ht="34.049999999999997" customHeight="1" x14ac:dyDescent="0.3">
      <c r="A133" s="42" t="s">
        <v>229</v>
      </c>
      <c r="B133" s="43" t="s">
        <v>230</v>
      </c>
      <c r="C133" s="43" t="s">
        <v>231</v>
      </c>
      <c r="D133" s="48">
        <f>IF(OR(NOT(ISNUMBER(D88)),NOT(ISNUMBER(D58))),"n/m",IF(OR((D58)&lt;=0,(D88)&lt;0),"n/m",(D88)/(D58)))</f>
        <v>0.13674299962769382</v>
      </c>
      <c r="E133" s="48">
        <f>IF(OR(NOT(ISNUMBER(E88)),NOT(ISNUMBER(E58))),"n/m",IF(OR((E58)&lt;=0,(E88)&lt;0),"n/m",(E88)/(E58)))</f>
        <v>9.2363746892435927E-2</v>
      </c>
      <c r="F133" s="48">
        <f>IF(OR(NOT(ISNUMBER(F88)),NOT(ISNUMBER(F58))),"n/m",IF(OR((F58)&lt;=0,(F88)&lt;0),"n/m",(F88)/(F58)))</f>
        <v>8.4602379259019547E-2</v>
      </c>
      <c r="G133" s="48">
        <f>IF(OR(NOT(ISNUMBER(G88)),NOT(ISNUMBER(G58))),"n/m",IF(OR((G58)&lt;=0,(G88)&lt;0),"n/m",(G88)/(G58)))</f>
        <v>0.10165844956887071</v>
      </c>
      <c r="H133" s="48">
        <f>IF(OR(NOT(ISNUMBER(H88)),NOT(ISNUMBER(H58))),"n/m",IF(OR((H58)&lt;=0,(H88)&lt;0),"n/m",(H88)/(H58)))</f>
        <v>0.13546184028270253</v>
      </c>
    </row>
    <row r="134" spans="1:8" ht="34.049999999999997" customHeight="1" x14ac:dyDescent="0.3">
      <c r="A134" s="42" t="s">
        <v>232</v>
      </c>
      <c r="B134" s="43" t="s">
        <v>233</v>
      </c>
      <c r="C134" s="43" t="s">
        <v>234</v>
      </c>
      <c r="D134" s="48">
        <f>IF(OR(NOT(ISNUMBER(D82)),NOT(ISNUMBER(D25))),"n/m",IF(OR((D25)&lt;=0,(D82)&lt;0),"n/m",(D82)/(D25)))</f>
        <v>0.15270083184857988</v>
      </c>
      <c r="E134" s="48">
        <f>IF(OR(NOT(ISNUMBER(E82)),NOT(ISNUMBER(E25))),"n/m",IF(OR((E25)&lt;=0,(E82)&lt;0),"n/m",(E82)/(E25)))</f>
        <v>0.11014537211566031</v>
      </c>
      <c r="F134" s="48">
        <f>IF(OR(NOT(ISNUMBER(F82)),NOT(ISNUMBER(F25))),"n/m",IF(OR((F25)&lt;=0,(F82)&lt;0),"n/m",(F82)/(F25)))</f>
        <v>0.11182804204816831</v>
      </c>
      <c r="G134" s="48">
        <f>IF(OR(NOT(ISNUMBER(G82)),NOT(ISNUMBER(G25))),"n/m",IF(OR((G25)&lt;=0,(G82)&lt;0),"n/m",(G82)/(G25)))</f>
        <v>0.14141976696394967</v>
      </c>
      <c r="H134" s="48">
        <f>IF(OR(NOT(ISNUMBER(H82)),NOT(ISNUMBER(H25))),"n/m",IF(OR((H25)&lt;=0,(H82)&lt;0),"n/m",(H82)/(H25)))</f>
        <v>0.16910544748583739</v>
      </c>
    </row>
    <row r="135" spans="1:8" ht="22.95" customHeight="1" x14ac:dyDescent="0.3">
      <c r="A135" s="91" t="s">
        <v>235</v>
      </c>
      <c r="B135" s="91"/>
      <c r="C135" s="91"/>
      <c r="D135" s="92"/>
      <c r="E135" s="92"/>
      <c r="F135" s="92"/>
      <c r="G135" s="92"/>
      <c r="H135" s="92"/>
    </row>
    <row r="136" spans="1:8" ht="34.049999999999997" customHeight="1" x14ac:dyDescent="0.3">
      <c r="A136" s="42" t="s">
        <v>236</v>
      </c>
      <c r="B136" s="43" t="s">
        <v>237</v>
      </c>
      <c r="C136" s="43" t="s">
        <v>238</v>
      </c>
      <c r="D136" s="49">
        <f>IF(OR(NOT(ISNUMBER(D79)),NOT(ISNUMBER(D104))),"n/m",IF(OR((D104)&lt;=0,(D79)&lt;0),"n/m",(D79)/(D104)))</f>
        <v>2.5158090033808875</v>
      </c>
      <c r="E136" s="49">
        <f>IF(OR(NOT(ISNUMBER(E79)),NOT(ISNUMBER(E104))),"n/m",IF(OR((E104)&lt;=0,(E79)&lt;0),"n/m",(E79)/(E104)))</f>
        <v>3.2621706372812294</v>
      </c>
      <c r="F136" s="49">
        <f>IF(OR(NOT(ISNUMBER(F79)),NOT(ISNUMBER(F104))),"n/m",IF(OR((F104)&lt;=0,(F79)&lt;0),"n/m",(F79)/(F104)))</f>
        <v>3.0330791851886794</v>
      </c>
      <c r="G136" s="49">
        <f>IF(OR(NOT(ISNUMBER(G79)),NOT(ISNUMBER(G104))),"n/m",IF(OR((G104)&lt;=0,(G79)&lt;0),"n/m",(G79)/(G104)))</f>
        <v>3.3524781610919856</v>
      </c>
      <c r="H136" s="49">
        <f>IF(OR(NOT(ISNUMBER(H79)),NOT(ISNUMBER(H104))),"n/m",IF(OR((H104)&lt;=0,(H79)&lt;0),"n/m",(H79)/(H104)))</f>
        <v>5.4329528095311241</v>
      </c>
    </row>
    <row r="137" spans="1:8" ht="34.049999999999997" customHeight="1" x14ac:dyDescent="0.3">
      <c r="A137" s="42" t="s">
        <v>239</v>
      </c>
      <c r="B137" s="43" t="s">
        <v>240</v>
      </c>
      <c r="C137" s="43" t="s">
        <v>241</v>
      </c>
      <c r="D137" s="49">
        <f>IF(OR(NOT(ISNUMBER(D29)),NOT(ISNUMBER(D103))),"n/m",IF(OR((D103)&lt;=0,(D29)&lt;0),"n/m",(D29)/(D103)))</f>
        <v>16.868689643176804</v>
      </c>
      <c r="E137" s="49">
        <f>IF(OR(NOT(ISNUMBER(E29)),NOT(ISNUMBER(E103))),"n/m",IF(OR((E103)&lt;=0,(E29)&lt;0),"n/m",(E29)/(E103)))</f>
        <v>26.480675904195227</v>
      </c>
      <c r="F137" s="49">
        <f>IF(OR(NOT(ISNUMBER(F29)),NOT(ISNUMBER(F103))),"n/m",IF(OR((F103)&lt;=0,(F29)&lt;0),"n/m",(F29)/(F103)))</f>
        <v>26.571458006604239</v>
      </c>
      <c r="G137" s="49">
        <f>IF(OR(NOT(ISNUMBER(G29)),NOT(ISNUMBER(G103))),"n/m",IF(OR((G103)&lt;=0,(G29)&lt;0),"n/m",(G29)/(G103)))</f>
        <v>29.923935347634316</v>
      </c>
      <c r="H137" s="49">
        <f>IF(OR(NOT(ISNUMBER(H29)),NOT(ISNUMBER(H103))),"n/m",IF(OR((H103)&lt;=0,(H29)&lt;0),"n/m",(H29)/(H103)))</f>
        <v>34.356887072804682</v>
      </c>
    </row>
    <row r="138" spans="1:8" ht="34.049999999999997" customHeight="1" x14ac:dyDescent="0.3">
      <c r="A138" s="42" t="s">
        <v>242</v>
      </c>
      <c r="B138" s="43" t="s">
        <v>243</v>
      </c>
      <c r="C138" s="43" t="s">
        <v>244</v>
      </c>
      <c r="D138" s="45">
        <f>IF(OR(NOT(ISNUMBER(D105)),NOT(ISNUMBER(D79/D104))),"n/m",IF(OR((D79/D104)&lt;=0,(D105)&lt;0),"n/m",(D105)/(D79/D104)))</f>
        <v>9.1421884447870596</v>
      </c>
      <c r="E138" s="45">
        <f>IF(OR(NOT(ISNUMBER(E105)),NOT(ISNUMBER(E79/E104))),"n/m",IF(OR((E79/E104)&lt;=0,(E105)&lt;0),"n/m",(E105)/(E79/E104)))</f>
        <v>4.3437335368236942</v>
      </c>
      <c r="F138" s="45">
        <f>IF(OR(NOT(ISNUMBER(F105)),NOT(ISNUMBER(F79/F104))),"n/m",IF(OR((F79/F104)&lt;=0,(F105)&lt;0),"n/m",(F105)/(F79/F104)))</f>
        <v>3.877247932539039</v>
      </c>
      <c r="G138" s="45">
        <f>IF(OR(NOT(ISNUMBER(G105)),NOT(ISNUMBER(G79/G104))),"n/m",IF(OR((G79/G104)&lt;=0,(G105)&lt;0),"n/m",(G105)/(G79/G104)))</f>
        <v>6.8337507059367812</v>
      </c>
      <c r="H138" s="45">
        <f>IF(OR(NOT(ISNUMBER(H105)),NOT(ISNUMBER(H79/H104))),"n/m",IF(OR((H79/H104)&lt;=0,(H105)&lt;0),"n/m",(H105)/(H79/H104)))</f>
        <v>8.2220482242427426</v>
      </c>
    </row>
    <row r="139" spans="1:8" ht="34.049999999999997" customHeight="1" x14ac:dyDescent="0.3">
      <c r="A139" s="42" t="s">
        <v>245</v>
      </c>
      <c r="B139" s="43" t="s">
        <v>246</v>
      </c>
      <c r="C139" s="43" t="s">
        <v>247</v>
      </c>
      <c r="D139" s="45">
        <f>IF(OR(NOT(ISNUMBER(D105)),NOT(ISNUMBER(D29/D103))),"n/m",IF(OR((D29/D103)&lt;=0,(D105)&lt;0),"n/m",(D105)/(D29/D103)))</f>
        <v>1.3634728296339984</v>
      </c>
      <c r="E139" s="45">
        <f>IF(OR(NOT(ISNUMBER(E105)),NOT(ISNUMBER(E29/E103))),"n/m",IF(OR((E29/E103)&lt;=0,(E105)&lt;0),"n/m",(E105)/(E29/E103)))</f>
        <v>0.53510718726613404</v>
      </c>
      <c r="F139" s="45">
        <f>IF(OR(NOT(ISNUMBER(F105)),NOT(ISNUMBER(F29/F103))),"n/m",IF(OR((F29/F103)&lt;=0,(F105)&lt;0),"n/m",(F105)/(F29/F103)))</f>
        <v>0.44258015488186969</v>
      </c>
      <c r="G139" s="45">
        <f>IF(OR(NOT(ISNUMBER(G105)),NOT(ISNUMBER(G29/G103))),"n/m",IF(OR((G29/G103)&lt;=0,(G105)&lt;0),"n/m",(G105)/(G29/G103)))</f>
        <v>0.76560785651514207</v>
      </c>
      <c r="H139" s="45">
        <f>IF(OR(NOT(ISNUMBER(H105)),NOT(ISNUMBER(H29/H103))),"n/m",IF(OR((H29/H103)&lt;=0,(H105)&lt;0),"n/m",(H105)/(H29/H103)))</f>
        <v>1.3001759998029245</v>
      </c>
    </row>
    <row r="140" spans="1:8" ht="34.049999999999997" customHeight="1" x14ac:dyDescent="0.3">
      <c r="A140" s="42" t="s">
        <v>248</v>
      </c>
      <c r="B140" s="43" t="s">
        <v>249</v>
      </c>
      <c r="C140" s="43" t="s">
        <v>311</v>
      </c>
      <c r="D140" s="73">
        <f>IF(OR(NOT(ISNUMBER(D106)),NOT(ISNUMBER(D105))),"n/m",IF(OR((D105)&lt;=0,(D106)&lt;0),"n/m",(D106)/(D105)))</f>
        <v>0</v>
      </c>
      <c r="E140" s="73">
        <f>IF(OR(NOT(ISNUMBER(E106)),NOT(ISNUMBER(E105))),"n/m",IF(OR((E105)&lt;=0,(E106)&lt;0),"n/m",(E106)/(E105)))</f>
        <v>0</v>
      </c>
      <c r="F140" s="73">
        <f>IF(OR(NOT(ISNUMBER(F106)),NOT(ISNUMBER(F105))),"n/m",IF(OR((F105)&lt;=0,(F106)&lt;0),"n/m",(F106)/(F105)))</f>
        <v>0</v>
      </c>
      <c r="G140" s="48">
        <f>IF(OR(NOT(ISNUMBER(G106)),NOT(ISNUMBER(G105))),"n/m",IF(OR((G105)&lt;=0,(G106)&lt;0),"n/m",(G106)/(G105)))</f>
        <v>4.3649061545176782E-2</v>
      </c>
      <c r="H140" s="48">
        <f>IF(OR(NOT(ISNUMBER(H106)),NOT(ISNUMBER(H105))),"n/m",IF(OR((H105)&lt;=0,(H106)&lt;0),"n/m",(H106)/(H105)))</f>
        <v>2.7982986344302664E-2</v>
      </c>
    </row>
    <row r="141" spans="1:8" ht="34.049999999999997" customHeight="1" x14ac:dyDescent="0.3">
      <c r="A141" s="42" t="s">
        <v>250</v>
      </c>
      <c r="B141" s="43" t="s">
        <v>251</v>
      </c>
      <c r="C141" s="43" t="s">
        <v>252</v>
      </c>
      <c r="D141" s="45">
        <f>IF(OR(NOT(ISNUMBER(D214)),NOT(ISNUMBER(D83))),"n/m",IF(OR((D83)&lt;=0,(D214)&lt;0),"n/m",(D214)/(D83)))</f>
        <v>4.9126800998035849</v>
      </c>
      <c r="E141" s="45">
        <f>IF(OR(NOT(ISNUMBER(E214)),NOT(ISNUMBER(E83))),"n/m",IF(OR((E83)&lt;=0,(E214)&lt;0),"n/m",(E214)/(E83)))</f>
        <v>3.9999441320816422</v>
      </c>
      <c r="F141" s="45">
        <f>IF(OR(NOT(ISNUMBER(F214)),NOT(ISNUMBER(F83))),"n/m",IF(OR((F83)&lt;=0,(F214)&lt;0),"n/m",(F214)/(F83)))</f>
        <v>3.9638226712605413</v>
      </c>
      <c r="G141" s="45">
        <f>IF(OR(NOT(ISNUMBER(G214)),NOT(ISNUMBER(G83))),"n/m",IF(OR((G83)&lt;=0,(G214)&lt;0),"n/m",(G214)/(G83)))</f>
        <v>3.9028355635230949</v>
      </c>
      <c r="H141" s="45">
        <f>IF(OR(NOT(ISNUMBER(H214)),NOT(ISNUMBER(H83))),"n/m",IF(OR((H83)&lt;=0,(H214)&lt;0),"n/m",(H214)/(H83)))</f>
        <v>4.5760845203336329</v>
      </c>
    </row>
    <row r="142" spans="1:8" ht="34.049999999999997" customHeight="1" x14ac:dyDescent="0.3">
      <c r="A142" s="40"/>
      <c r="B142" s="40"/>
      <c r="C142" s="40"/>
      <c r="D142" s="40"/>
      <c r="E142" s="40"/>
      <c r="F142" s="40"/>
      <c r="G142" s="40"/>
      <c r="H142" s="40"/>
    </row>
    <row r="143" spans="1:8" ht="21" customHeight="1" x14ac:dyDescent="0.3">
      <c r="A143" s="44" t="s">
        <v>253</v>
      </c>
      <c r="B143" s="44"/>
      <c r="C143" s="44"/>
      <c r="D143" s="44"/>
      <c r="E143" s="44"/>
      <c r="F143" s="44"/>
      <c r="G143" s="44"/>
      <c r="H143" s="44"/>
    </row>
    <row r="144" spans="1:8" ht="21" customHeight="1" x14ac:dyDescent="0.3">
      <c r="A144" s="44" t="s">
        <v>254</v>
      </c>
      <c r="B144" s="44"/>
      <c r="C144" s="44"/>
      <c r="D144" s="44"/>
      <c r="E144" s="44"/>
      <c r="F144" s="44"/>
      <c r="G144" s="44"/>
      <c r="H144" s="44"/>
    </row>
    <row r="145" spans="1:8" ht="21" customHeight="1" x14ac:dyDescent="0.3">
      <c r="A145" s="44" t="s">
        <v>255</v>
      </c>
      <c r="B145" s="44"/>
      <c r="C145" s="44"/>
      <c r="D145" s="44"/>
      <c r="E145" s="44"/>
      <c r="F145" s="44"/>
      <c r="G145" s="44"/>
      <c r="H145" s="44"/>
    </row>
    <row r="146" spans="1:8" ht="34.049999999999997" customHeight="1" x14ac:dyDescent="0.3">
      <c r="A146" s="40"/>
      <c r="B146" s="40"/>
      <c r="C146" s="40"/>
      <c r="D146" s="40"/>
      <c r="E146" s="40"/>
      <c r="F146" s="40"/>
      <c r="G146" s="40"/>
      <c r="H146" s="40"/>
    </row>
    <row r="147" spans="1:8" ht="34.049999999999997" customHeight="1" x14ac:dyDescent="0.3">
      <c r="A147" s="40"/>
      <c r="B147" s="40"/>
      <c r="C147" s="40"/>
      <c r="D147" s="40"/>
      <c r="E147" s="40"/>
      <c r="F147" s="40"/>
      <c r="G147" s="40"/>
      <c r="H147" s="40"/>
    </row>
    <row r="148" spans="1:8" ht="34.049999999999997" customHeight="1" x14ac:dyDescent="0.3">
      <c r="A148" s="40"/>
      <c r="B148" s="40"/>
      <c r="C148" s="40"/>
      <c r="D148" s="40"/>
      <c r="E148" s="40"/>
      <c r="F148" s="40"/>
      <c r="G148" s="40"/>
      <c r="H148" s="40"/>
    </row>
    <row r="149" spans="1:8" ht="34.049999999999997" customHeight="1" x14ac:dyDescent="0.3">
      <c r="A149" s="40"/>
      <c r="B149" s="40"/>
      <c r="C149" s="40"/>
      <c r="D149" s="40"/>
      <c r="E149" s="40"/>
      <c r="F149" s="40"/>
      <c r="G149" s="40"/>
      <c r="H149" s="40"/>
    </row>
    <row r="150" spans="1:8" ht="34.049999999999997" customHeight="1" x14ac:dyDescent="0.3">
      <c r="A150" s="40"/>
      <c r="B150" s="40"/>
      <c r="C150" s="40"/>
      <c r="D150" s="40"/>
      <c r="E150" s="40"/>
      <c r="F150" s="40"/>
      <c r="G150" s="40"/>
      <c r="H150" s="40"/>
    </row>
    <row r="151" spans="1:8" ht="34.049999999999997" customHeight="1" x14ac:dyDescent="0.3">
      <c r="A151" s="40"/>
      <c r="B151" s="40"/>
      <c r="C151" s="40"/>
      <c r="D151" s="40"/>
      <c r="E151" s="40"/>
      <c r="F151" s="40"/>
      <c r="G151" s="40"/>
      <c r="H151" s="40"/>
    </row>
    <row r="152" spans="1:8" ht="34.049999999999997" customHeight="1" x14ac:dyDescent="0.3">
      <c r="A152" s="40"/>
      <c r="B152" s="40"/>
      <c r="C152" s="40"/>
      <c r="D152" s="40"/>
      <c r="E152" s="40"/>
      <c r="F152" s="40"/>
      <c r="G152" s="40"/>
      <c r="H152" s="40"/>
    </row>
    <row r="153" spans="1:8" ht="19.5" customHeight="1" x14ac:dyDescent="0.3">
      <c r="A153" s="26" t="s">
        <v>256</v>
      </c>
      <c r="B153" s="27"/>
      <c r="C153" s="3"/>
      <c r="D153" s="3"/>
      <c r="E153" s="3"/>
      <c r="F153" s="3"/>
      <c r="G153" s="3"/>
      <c r="H153" s="3"/>
    </row>
    <row r="154" spans="1:8" x14ac:dyDescent="0.3">
      <c r="A154" s="38" t="s">
        <v>257</v>
      </c>
      <c r="B154" s="38"/>
      <c r="C154" s="18"/>
      <c r="D154" s="18" t="s">
        <v>65</v>
      </c>
      <c r="E154" s="18" t="s">
        <v>66</v>
      </c>
      <c r="F154" s="18" t="s">
        <v>67</v>
      </c>
      <c r="G154" s="18" t="s">
        <v>68</v>
      </c>
      <c r="H154" s="18" t="s">
        <v>69</v>
      </c>
    </row>
    <row r="155" spans="1:8" x14ac:dyDescent="0.3">
      <c r="A155" s="36" t="s">
        <v>72</v>
      </c>
      <c r="B155" s="36"/>
      <c r="C155" s="19"/>
      <c r="D155" s="19">
        <f>D9/D25</f>
        <v>0.6290987219016575</v>
      </c>
      <c r="E155" s="19">
        <f>E9/E25</f>
        <v>0.6519575084809921</v>
      </c>
      <c r="F155" s="19">
        <f>F9/F25</f>
        <v>0.75218837095095825</v>
      </c>
      <c r="G155" s="19">
        <f>G9/G25</f>
        <v>0.75080223326378559</v>
      </c>
      <c r="H155" s="19">
        <f>H9/H25</f>
        <v>0.68127053298099538</v>
      </c>
    </row>
    <row r="156" spans="1:8" x14ac:dyDescent="0.3">
      <c r="A156" s="36" t="s">
        <v>79</v>
      </c>
      <c r="B156" s="36"/>
      <c r="C156" s="19"/>
      <c r="D156" s="19">
        <f>D16/D25</f>
        <v>0.63471609246395622</v>
      </c>
      <c r="E156" s="19">
        <f>E16/E25</f>
        <v>0.75182683168863096</v>
      </c>
      <c r="F156" s="19">
        <f>F16/F25</f>
        <v>0.83335914815817669</v>
      </c>
      <c r="G156" s="19">
        <f>G16/G25</f>
        <v>0.82535412243028383</v>
      </c>
      <c r="H156" s="19">
        <f>H16/H25</f>
        <v>0.7483756601712761</v>
      </c>
    </row>
    <row r="157" spans="1:8" x14ac:dyDescent="0.3">
      <c r="A157" s="36" t="s">
        <v>258</v>
      </c>
      <c r="B157" s="36"/>
      <c r="C157" s="19"/>
      <c r="D157" s="19">
        <f>D54/D25</f>
        <v>0.15975317446895038</v>
      </c>
      <c r="E157" s="19">
        <f>E54/E25</f>
        <v>0.1375297490739443</v>
      </c>
      <c r="F157" s="19">
        <f>F54/F25</f>
        <v>0.10893662559784105</v>
      </c>
      <c r="G157" s="19">
        <f>G54/G25</f>
        <v>0.11240348825054196</v>
      </c>
      <c r="H157" s="19">
        <f>H54/H25</f>
        <v>0.12256894270466562</v>
      </c>
    </row>
    <row r="158" spans="1:8" x14ac:dyDescent="0.3">
      <c r="A158" s="36" t="s">
        <v>83</v>
      </c>
      <c r="B158" s="36"/>
      <c r="C158" s="19"/>
      <c r="D158" s="19">
        <f>D20/D25</f>
        <v>4.256989798994374E-2</v>
      </c>
      <c r="E158" s="19">
        <f>E20/E25</f>
        <v>2.1220745888252793E-2</v>
      </c>
      <c r="F158" s="19">
        <f>F20/F25</f>
        <v>2.5732793174300519E-2</v>
      </c>
      <c r="G158" s="19">
        <f>G20/G25</f>
        <v>3.7560146370236497E-2</v>
      </c>
      <c r="H158" s="19">
        <f>H20/H25</f>
        <v>4.2968782324365538E-2</v>
      </c>
    </row>
    <row r="159" spans="1:8" x14ac:dyDescent="0.3">
      <c r="A159" s="36" t="s">
        <v>84</v>
      </c>
      <c r="B159" s="36"/>
      <c r="C159" s="19"/>
      <c r="D159" s="19">
        <f>D21/D25</f>
        <v>0.12914569386070474</v>
      </c>
      <c r="E159" s="19">
        <f>E21/E25</f>
        <v>3.380013190548508E-2</v>
      </c>
      <c r="F159" s="19">
        <f>F21/F25</f>
        <v>1.8007830193537283E-3</v>
      </c>
      <c r="G159" s="19">
        <f>G21/G25</f>
        <v>1.6933504950567746E-3</v>
      </c>
      <c r="H159" s="19">
        <f>H21/H25</f>
        <v>5.7260648843396253E-2</v>
      </c>
    </row>
    <row r="160" spans="1:8" x14ac:dyDescent="0.3">
      <c r="A160" s="36" t="s">
        <v>85</v>
      </c>
      <c r="B160" s="36"/>
      <c r="C160" s="19"/>
      <c r="D160" s="19">
        <f>D22/D25</f>
        <v>2.645283358966994E-2</v>
      </c>
      <c r="E160" s="19">
        <f>E22/E25</f>
        <v>2.0287352793134747E-2</v>
      </c>
      <c r="F160" s="19">
        <f>F22/F25</f>
        <v>6.990329946451844E-3</v>
      </c>
      <c r="G160" s="19">
        <f>G22/G25</f>
        <v>1.9866279633574395E-2</v>
      </c>
      <c r="H160" s="19">
        <f>H22/H25</f>
        <v>1.6570828033024624E-2</v>
      </c>
    </row>
    <row r="161" spans="1:8" x14ac:dyDescent="0.3">
      <c r="A161" s="36" t="s">
        <v>87</v>
      </c>
      <c r="B161" s="36"/>
      <c r="C161" s="19"/>
      <c r="D161" s="19">
        <f>D24/D25</f>
        <v>0.36528390753604367</v>
      </c>
      <c r="E161" s="19">
        <f>E24/E25</f>
        <v>0.24817316831136904</v>
      </c>
      <c r="F161" s="19">
        <f>F24/F25</f>
        <v>0.16664085184182323</v>
      </c>
      <c r="G161" s="19">
        <f>G24/G25</f>
        <v>0.17464587756971611</v>
      </c>
      <c r="H161" s="19">
        <f>H24/H25</f>
        <v>0.25162433982872384</v>
      </c>
    </row>
    <row r="162" spans="1:8" x14ac:dyDescent="0.3">
      <c r="A162" s="36" t="s">
        <v>92</v>
      </c>
      <c r="B162" s="36"/>
      <c r="C162" s="19"/>
      <c r="D162" s="19">
        <f>D29/D25</f>
        <v>0.68352851829297179</v>
      </c>
      <c r="E162" s="19">
        <f>E29/E25</f>
        <v>0.50780151717077837</v>
      </c>
      <c r="F162" s="19">
        <f>F29/F25</f>
        <v>0.46946944185385797</v>
      </c>
      <c r="G162" s="19">
        <f>G29/G25</f>
        <v>0.49715993625659771</v>
      </c>
      <c r="H162" s="19">
        <f>H29/H25</f>
        <v>0.52393364996532588</v>
      </c>
    </row>
    <row r="163" spans="1:8" x14ac:dyDescent="0.3">
      <c r="A163" s="36" t="s">
        <v>99</v>
      </c>
      <c r="B163" s="36"/>
      <c r="C163" s="19"/>
      <c r="D163" s="19">
        <f>D36/D25</f>
        <v>0.13551449830115389</v>
      </c>
      <c r="E163" s="19">
        <f>E36/E25</f>
        <v>0.25717909019692564</v>
      </c>
      <c r="F163" s="19">
        <f>F36/F25</f>
        <v>0.32533597911097462</v>
      </c>
      <c r="G163" s="19">
        <f>G36/G25</f>
        <v>0.32086945636587655</v>
      </c>
      <c r="H163" s="19">
        <f>H36/H25</f>
        <v>0.28558818398244801</v>
      </c>
    </row>
    <row r="164" spans="1:8" x14ac:dyDescent="0.3">
      <c r="A164" s="36" t="s">
        <v>111</v>
      </c>
      <c r="B164" s="36"/>
      <c r="C164" s="19"/>
      <c r="D164" s="19">
        <f>D48/D25</f>
        <v>0.18095698340587432</v>
      </c>
      <c r="E164" s="19">
        <f>E48/E25</f>
        <v>0.23501939263229576</v>
      </c>
      <c r="F164" s="19">
        <f>F48/F25</f>
        <v>0.20519457903516741</v>
      </c>
      <c r="G164" s="19">
        <f>G48/G25</f>
        <v>0.18197060737752579</v>
      </c>
      <c r="H164" s="19">
        <f>H48/H25</f>
        <v>0.19047816605222589</v>
      </c>
    </row>
    <row r="165" spans="1:8" x14ac:dyDescent="0.3">
      <c r="A165" s="36" t="s">
        <v>118</v>
      </c>
      <c r="B165" s="36"/>
      <c r="C165" s="19"/>
      <c r="D165" s="19">
        <f>D55/D25</f>
        <v>7.5416174640657183E-2</v>
      </c>
      <c r="E165" s="19">
        <f>E55/E25</f>
        <v>0.22795134872861569</v>
      </c>
      <c r="F165" s="19">
        <f>F55/F25</f>
        <v>0.29283610266269761</v>
      </c>
      <c r="G165" s="19">
        <f>G55/G25</f>
        <v>0.24783707833261251</v>
      </c>
      <c r="H165" s="19">
        <f>H55/H25</f>
        <v>0.24891306821849585</v>
      </c>
    </row>
    <row r="166" spans="1:8" x14ac:dyDescent="0.3">
      <c r="A166" s="38" t="s">
        <v>259</v>
      </c>
      <c r="B166" s="38"/>
      <c r="C166" s="18"/>
      <c r="D166" s="18" t="s">
        <v>65</v>
      </c>
      <c r="E166" s="18" t="s">
        <v>66</v>
      </c>
      <c r="F166" s="18" t="s">
        <v>67</v>
      </c>
      <c r="G166" s="18" t="s">
        <v>68</v>
      </c>
      <c r="H166" s="18" t="s">
        <v>69</v>
      </c>
    </row>
    <row r="167" spans="1:8" x14ac:dyDescent="0.3">
      <c r="A167" s="36" t="s">
        <v>125</v>
      </c>
      <c r="B167" s="36"/>
      <c r="C167" s="19"/>
      <c r="D167" s="19">
        <f>D65/D64</f>
        <v>-0.75014075274547687</v>
      </c>
      <c r="E167" s="19">
        <f>E65/E64</f>
        <v>-0.71492096011147444</v>
      </c>
      <c r="F167" s="19">
        <f>F65/F64</f>
        <v>-0.70003395951789227</v>
      </c>
      <c r="G167" s="19">
        <f>G65/G64</f>
        <v>-0.67910013649775269</v>
      </c>
      <c r="H167" s="19">
        <f>H65/H64</f>
        <v>-0.64509157797070948</v>
      </c>
    </row>
    <row r="168" spans="1:8" x14ac:dyDescent="0.3">
      <c r="A168" s="36" t="s">
        <v>126</v>
      </c>
      <c r="B168" s="36"/>
      <c r="C168" s="19"/>
      <c r="D168" s="19">
        <f>D66/D64</f>
        <v>0.24985924725452316</v>
      </c>
      <c r="E168" s="19">
        <f>E66/E64</f>
        <v>0.28507903988852556</v>
      </c>
      <c r="F168" s="19">
        <f>F66/F64</f>
        <v>0.29996604048210768</v>
      </c>
      <c r="G168" s="19">
        <f>G66/G64</f>
        <v>0.32089986350224731</v>
      </c>
      <c r="H168" s="19">
        <f>H66/H64</f>
        <v>0.35490842202929052</v>
      </c>
    </row>
    <row r="169" spans="1:8" x14ac:dyDescent="0.3">
      <c r="A169" s="36" t="s">
        <v>260</v>
      </c>
      <c r="B169" s="36"/>
      <c r="C169" s="19"/>
      <c r="D169" s="19">
        <f>(D67+D68+D69+D70)/D64</f>
        <v>-4.499934799496607E-2</v>
      </c>
      <c r="E169" s="19">
        <f>(E67+E68+E69+E70)/E64</f>
        <v>-6.8427592971333245E-2</v>
      </c>
      <c r="F169" s="19">
        <f>(F67+F68+F69+F70)/F64</f>
        <v>-7.1059571334981905E-2</v>
      </c>
      <c r="G169" s="19">
        <f>(G67+G68+G69+G70)/G64</f>
        <v>-7.0337491611812367E-2</v>
      </c>
      <c r="H169" s="19">
        <f>(H67+H68+H69+H70)/H64</f>
        <v>-6.8610082466533467E-2</v>
      </c>
    </row>
    <row r="170" spans="1:8" x14ac:dyDescent="0.3">
      <c r="A170" s="36" t="s">
        <v>261</v>
      </c>
      <c r="B170" s="36"/>
      <c r="C170" s="19"/>
      <c r="D170" s="19">
        <f>D71/D64</f>
        <v>0.20485989925955708</v>
      </c>
      <c r="E170" s="19">
        <f>E71/E64</f>
        <v>0.21665144691719232</v>
      </c>
      <c r="F170" s="19">
        <f>F71/F64</f>
        <v>0.22890646914712581</v>
      </c>
      <c r="G170" s="19">
        <f>G71/G64</f>
        <v>0.25056237189043495</v>
      </c>
      <c r="H170" s="19">
        <f>H71/H64</f>
        <v>0.28629833956275708</v>
      </c>
    </row>
    <row r="171" spans="1:8" x14ac:dyDescent="0.3">
      <c r="A171" s="36" t="s">
        <v>132</v>
      </c>
      <c r="B171" s="36"/>
      <c r="C171" s="19"/>
      <c r="D171" s="19">
        <f>(D72+D73+D74)/D64</f>
        <v>1.0098435249719987E-2</v>
      </c>
      <c r="E171" s="19">
        <f>(E72+E73+E74)/E64</f>
        <v>1.8027263845710344E-2</v>
      </c>
      <c r="F171" s="19">
        <f>(F72+F73+F74)/F64</f>
        <v>1.4160205186239512E-2</v>
      </c>
      <c r="G171" s="19">
        <f>(G72+G73+G74)/G64</f>
        <v>1.0492697731366216E-2</v>
      </c>
      <c r="H171" s="19">
        <f>(H72+H73+H74)/H64</f>
        <v>2.0567429446952893E-2</v>
      </c>
    </row>
    <row r="172" spans="1:8" x14ac:dyDescent="0.3">
      <c r="A172" s="36" t="s">
        <v>135</v>
      </c>
      <c r="B172" s="36"/>
      <c r="C172" s="19"/>
      <c r="D172" s="19">
        <f>D75/D64</f>
        <v>-4.5165717431112527E-3</v>
      </c>
      <c r="E172" s="19">
        <f>E75/E64</f>
        <v>-2.2152340136494367E-2</v>
      </c>
      <c r="F172" s="19">
        <f>F75/F64</f>
        <v>-5.3552276341037347E-2</v>
      </c>
      <c r="G172" s="19">
        <f>G75/G64</f>
        <v>-6.9181045723685636E-2</v>
      </c>
      <c r="H172" s="19">
        <f>H75/H64</f>
        <v>-6.4887255687982079E-2</v>
      </c>
    </row>
    <row r="173" spans="1:8" x14ac:dyDescent="0.3">
      <c r="A173" s="36" t="s">
        <v>136</v>
      </c>
      <c r="B173" s="36"/>
      <c r="C173" s="19"/>
      <c r="D173" s="19">
        <f>D76/D64</f>
        <v>0.21044176276616583</v>
      </c>
      <c r="E173" s="19">
        <f>E76/E64</f>
        <v>0.21252637062640831</v>
      </c>
      <c r="F173" s="19">
        <f>F76/F64</f>
        <v>0.18951439799232797</v>
      </c>
      <c r="G173" s="19">
        <f>G76/G64</f>
        <v>0.19187402389811553</v>
      </c>
      <c r="H173" s="19">
        <f>H76/H64</f>
        <v>0.24197851332172784</v>
      </c>
    </row>
    <row r="174" spans="1:8" x14ac:dyDescent="0.3">
      <c r="A174" s="36" t="s">
        <v>262</v>
      </c>
      <c r="B174" s="36"/>
      <c r="C174" s="19"/>
      <c r="D174" s="19">
        <f>(D77+D78)/D64</f>
        <v>-6.7418803742776701E-2</v>
      </c>
      <c r="E174" s="19">
        <f>(E77+E78)/E64</f>
        <v>-8.140300858073829E-2</v>
      </c>
      <c r="F174" s="19">
        <f>(F77+F78)/F64</f>
        <v>-8.0218680725910985E-2</v>
      </c>
      <c r="G174" s="19">
        <f>(G77+G78)/G64</f>
        <v>-8.9118759642620157E-2</v>
      </c>
      <c r="H174" s="19">
        <f>(H77+H78)/H64</f>
        <v>-9.2172397223950153E-2</v>
      </c>
    </row>
    <row r="175" spans="1:8" x14ac:dyDescent="0.3">
      <c r="A175" s="36" t="s">
        <v>139</v>
      </c>
      <c r="B175" s="36"/>
      <c r="C175" s="19"/>
      <c r="D175" s="19">
        <f>D79/D64</f>
        <v>0.14302295902338913</v>
      </c>
      <c r="E175" s="19">
        <f>E79/E64</f>
        <v>0.13112336204567002</v>
      </c>
      <c r="F175" s="19">
        <f>F79/F64</f>
        <v>0.10929571726641699</v>
      </c>
      <c r="G175" s="19">
        <f>G79/G64</f>
        <v>0.10275526425549537</v>
      </c>
      <c r="H175" s="19">
        <f>H79/H64</f>
        <v>0.14980611609777766</v>
      </c>
    </row>
    <row r="176" spans="1:8" x14ac:dyDescent="0.3">
      <c r="A176" s="36"/>
      <c r="B176" s="36"/>
      <c r="C176" s="19"/>
      <c r="D176" s="19"/>
      <c r="E176" s="19"/>
      <c r="F176" s="19"/>
      <c r="G176" s="19"/>
      <c r="H176" s="19"/>
    </row>
    <row r="177" spans="1:8" x14ac:dyDescent="0.3">
      <c r="A177" s="23"/>
      <c r="B177" s="23"/>
    </row>
    <row r="178" spans="1:8" ht="19.5" customHeight="1" x14ac:dyDescent="0.3">
      <c r="A178" s="26" t="s">
        <v>263</v>
      </c>
      <c r="B178" s="27"/>
      <c r="C178" s="3"/>
      <c r="D178" s="3"/>
      <c r="E178" s="3"/>
      <c r="F178" s="3"/>
      <c r="G178" s="3"/>
      <c r="H178" s="3"/>
    </row>
    <row r="179" spans="1:8" x14ac:dyDescent="0.3">
      <c r="A179" s="38" t="s">
        <v>264</v>
      </c>
      <c r="B179" s="38"/>
      <c r="C179" s="18"/>
      <c r="D179" s="18" t="s">
        <v>65</v>
      </c>
      <c r="E179" s="18" t="s">
        <v>66</v>
      </c>
      <c r="F179" s="18" t="s">
        <v>67</v>
      </c>
      <c r="G179" s="18" t="s">
        <v>68</v>
      </c>
      <c r="H179" s="18" t="s">
        <v>69</v>
      </c>
    </row>
    <row r="180" spans="1:8" x14ac:dyDescent="0.3">
      <c r="A180" s="36" t="s">
        <v>124</v>
      </c>
      <c r="B180" s="36"/>
      <c r="C180" s="17"/>
      <c r="D180" s="17">
        <f>IF(OR(I64&lt;=0,D64&lt;I64),"n/m",D64/I64-1)</f>
        <v>0.40852454042718578</v>
      </c>
      <c r="E180" s="17">
        <f>IF(OR(D64&lt;=0,E64&lt;D64),"n/m",E64/D64-1)</f>
        <v>1.234867993186187</v>
      </c>
      <c r="F180" s="17">
        <f>IF(OR(E64&lt;=0,F64&lt;E64),"n/m",F64/E64-1)</f>
        <v>0.25489250083300896</v>
      </c>
      <c r="G180" s="17">
        <f>IF(OR(F64&lt;=0,G64&lt;F64),"n/m",G64/F64-1)</f>
        <v>0.17565844164479349</v>
      </c>
      <c r="H180" s="17">
        <f>IF(OR(G64&lt;=0,H64&lt;G64),"n/m",H64/G64-1)</f>
        <v>0.11158969310885669</v>
      </c>
    </row>
    <row r="181" spans="1:8" x14ac:dyDescent="0.3">
      <c r="A181" s="36" t="s">
        <v>126</v>
      </c>
      <c r="B181" s="36"/>
      <c r="C181" s="17"/>
      <c r="D181" s="17">
        <f>IF(OR(I66&lt;=0,D66&lt;I66),"n/m",D66/I66-1)</f>
        <v>8.342732443491343</v>
      </c>
      <c r="E181" s="17">
        <f>IF(OR(D66&lt;=0,E66&lt;D66),"n/m",E66/D66-1)</f>
        <v>1.5498917041325577</v>
      </c>
      <c r="F181" s="17">
        <f>IF(OR(E66&lt;=0,F66&lt;E66),"n/m",F66/E66-1)</f>
        <v>0.32042374933197881</v>
      </c>
      <c r="G181" s="17">
        <f>IF(OR(F66&lt;=0,G66&lt;F66),"n/m",G66/F66-1)</f>
        <v>0.25770448162308646</v>
      </c>
      <c r="H181" s="17">
        <f>IF(OR(G66&lt;=0,H66&lt;G66),"n/m",H66/G66-1)</f>
        <v>0.22939455199402037</v>
      </c>
    </row>
    <row r="182" spans="1:8" x14ac:dyDescent="0.3">
      <c r="A182" s="36" t="s">
        <v>261</v>
      </c>
      <c r="B182" s="36"/>
      <c r="C182" s="17"/>
      <c r="D182" s="17" t="str">
        <f>IF(OR(I71&lt;=0,D71&lt;I71),"n/m",D71/I71-1)</f>
        <v>n/m</v>
      </c>
      <c r="E182" s="17">
        <f>IF(OR(D71&lt;=0,E71&lt;D71),"n/m",E71/D71-1)</f>
        <v>1.3635049423667094</v>
      </c>
      <c r="F182" s="17">
        <f>IF(OR(E71&lt;=0,F71&lt;E71),"n/m",F71/E71-1)</f>
        <v>0.325876266289989</v>
      </c>
      <c r="G182" s="17">
        <f>IF(OR(F71&lt;=0,G71&lt;F71),"n/m",G71/F71-1)</f>
        <v>0.28688266770738724</v>
      </c>
      <c r="H182" s="17">
        <f>IF(OR(G71&lt;=0,H71&lt;G71),"n/m",H71/G71-1)</f>
        <v>0.27012799651857522</v>
      </c>
    </row>
    <row r="183" spans="1:8" x14ac:dyDescent="0.3">
      <c r="A183" s="36"/>
      <c r="B183" s="36"/>
      <c r="C183" s="17"/>
      <c r="D183" s="17"/>
      <c r="E183" s="17"/>
      <c r="F183" s="17"/>
      <c r="G183" s="17"/>
      <c r="H183" s="17"/>
    </row>
    <row r="184" spans="1:8" x14ac:dyDescent="0.3">
      <c r="A184" s="36" t="s">
        <v>139</v>
      </c>
      <c r="B184" s="36"/>
      <c r="C184" s="17"/>
      <c r="D184" s="17" t="str">
        <f>IF(OR(I79&lt;=0,D79&lt;I79),"n/m",D79/I79-1)</f>
        <v>n/m</v>
      </c>
      <c r="E184" s="17">
        <f>IF(OR(D79&lt;=0,E79&lt;D79),"n/m",E79/D79-1)</f>
        <v>1.0489256200251726</v>
      </c>
      <c r="F184" s="17">
        <f>IF(OR(E79&lt;=0,F79&lt;E79),"n/m",F79/E79-1)</f>
        <v>4.5994961012522539E-2</v>
      </c>
      <c r="G184" s="17">
        <f>IF(OR(F79&lt;=0,G79&lt;F79),"n/m",G79/F79-1)</f>
        <v>0.1053049183157162</v>
      </c>
      <c r="H184" s="17">
        <f>IF(OR(G79&lt;=0,H79&lt;G79),"n/m",H79/G79-1)</f>
        <v>0.62057813607396506</v>
      </c>
    </row>
    <row r="185" spans="1:8" x14ac:dyDescent="0.3">
      <c r="A185" s="36" t="s">
        <v>151</v>
      </c>
      <c r="B185" s="36"/>
      <c r="C185" s="17"/>
      <c r="D185" s="17">
        <f>IF(OR(I93&lt;=0,D93&lt;I93),"n/m",D93/I93-1)</f>
        <v>4.6630646934260609</v>
      </c>
      <c r="E185" s="17">
        <f>IF(OR(D93&lt;=0,E93&lt;D93),"n/m",E93/D93-1)</f>
        <v>0.31859837880419173</v>
      </c>
      <c r="F185" s="17">
        <f>IF(OR(E93&lt;=0,F93&lt;E93),"n/m",F93/E93-1)</f>
        <v>1.1183828772376421</v>
      </c>
      <c r="G185" s="17">
        <f>IF(OR(F93&lt;=0,G93&lt;F93),"n/m",G93/F93-1)</f>
        <v>0.39009480258184803</v>
      </c>
      <c r="H185" s="17">
        <f>IF(OR(G93&lt;=0,H93&lt;G93),"n/m",H93/G93-1)</f>
        <v>9.1031490930039594E-2</v>
      </c>
    </row>
    <row r="186" spans="1:8" x14ac:dyDescent="0.3">
      <c r="A186" s="36" t="s">
        <v>265</v>
      </c>
      <c r="B186" s="36"/>
      <c r="C186" s="17"/>
      <c r="D186" s="17">
        <f>IF(OR(I25&lt;=0,D25&lt;I25),"n/m",D25/I25-1)</f>
        <v>0.16585623568624341</v>
      </c>
      <c r="E186" s="17">
        <f>IF(OR(D25&lt;=0,E25&lt;D25),"n/m",E25/D25-1)</f>
        <v>2.3389318015609613</v>
      </c>
      <c r="F186" s="17">
        <f>IF(OR(E25&lt;=0,F25&lt;E25),"n/m",F25/E25-1)</f>
        <v>0.2210276608284234</v>
      </c>
      <c r="G186" s="17">
        <f>IF(OR(F25&lt;=0,G25&lt;F25),"n/m",G25/F25-1)</f>
        <v>6.3443761117719211E-2</v>
      </c>
      <c r="H186" s="17">
        <f>IF(OR(G25&lt;=0,H25&lt;G25),"n/m",H25/G25-1)</f>
        <v>8.9469135229405916E-2</v>
      </c>
    </row>
    <row r="187" spans="1:8" x14ac:dyDescent="0.3">
      <c r="A187" s="36" t="s">
        <v>92</v>
      </c>
      <c r="B187" s="36"/>
      <c r="C187" s="17"/>
      <c r="D187" s="17">
        <f>IF(OR(I29&lt;=0,D29&lt;I29),"n/m",D29/I29-1)</f>
        <v>0.175282514118132</v>
      </c>
      <c r="E187" s="17">
        <f>IF(OR(D29&lt;=0,E29&lt;D29),"n/m",E29/D29-1)</f>
        <v>1.4805323979703955</v>
      </c>
      <c r="F187" s="17">
        <f>IF(OR(E29&lt;=0,F29&lt;E29),"n/m",F29/E29-1)</f>
        <v>0.1288567580715938</v>
      </c>
      <c r="G187" s="17">
        <f>IF(OR(F29&lt;=0,G29&lt;F29),"n/m",G29/F29-1)</f>
        <v>0.12616836231556561</v>
      </c>
      <c r="H187" s="17">
        <f>IF(OR(G29&lt;=0,H29&lt;G29),"n/m",H29/G29-1)</f>
        <v>0.14814066644883406</v>
      </c>
    </row>
    <row r="188" spans="1:8" x14ac:dyDescent="0.3">
      <c r="A188" s="36" t="s">
        <v>118</v>
      </c>
      <c r="B188" s="36"/>
      <c r="C188" s="17"/>
      <c r="D188" s="17" t="str">
        <f>IF(OR(I55&lt;=0,D55&lt;I55),"n/m",D55/I55-1)</f>
        <v>n/m</v>
      </c>
      <c r="E188" s="17">
        <f>IF(OR(D55&lt;=0,E55&lt;D55),"n/m",E55/D55-1)</f>
        <v>9.0921852786254682</v>
      </c>
      <c r="F188" s="17">
        <f>IF(OR(E55&lt;=0,F55&lt;E55),"n/m",F55/E55-1)</f>
        <v>0.56858462752960048</v>
      </c>
      <c r="G188" s="17" t="str">
        <f>IF(OR(F55&lt;=0,G55&lt;F55),"n/m",G55/F55-1)</f>
        <v>n/m</v>
      </c>
      <c r="H188" s="17">
        <f>IF(OR(G55&lt;=0,H55&lt;G55),"n/m",H55/G55-1)</f>
        <v>9.4199088384016916E-2</v>
      </c>
    </row>
    <row r="189" spans="1:8" x14ac:dyDescent="0.3">
      <c r="A189" s="36" t="s">
        <v>258</v>
      </c>
      <c r="B189" s="36"/>
      <c r="C189" s="17"/>
      <c r="D189" s="17">
        <f>IF(OR(I54&lt;=0,D54&lt;I54),"n/m",D54/I54-1)</f>
        <v>0.15902445925385877</v>
      </c>
      <c r="E189" s="17">
        <f>IF(OR(D54&lt;=0,E54&lt;D54),"n/m",E54/D54-1)</f>
        <v>1.8744496274967131</v>
      </c>
      <c r="F189" s="17" t="str">
        <f>IF(OR(E54&lt;=0,F54&lt;E54),"n/m",F54/E54-1)</f>
        <v>n/m</v>
      </c>
      <c r="G189" s="17">
        <f>IF(OR(F54&lt;=0,G54&lt;F54),"n/m",G54/F54-1)</f>
        <v>9.728741506269567E-2</v>
      </c>
      <c r="H189" s="17">
        <f>IF(OR(G54&lt;=0,H54&lt;G54),"n/m",H54/G54-1)</f>
        <v>0.18799765107637412</v>
      </c>
    </row>
    <row r="190" spans="1:8" x14ac:dyDescent="0.3">
      <c r="A190" s="36" t="s">
        <v>83</v>
      </c>
      <c r="B190" s="36"/>
      <c r="C190" s="17"/>
      <c r="D190" s="17">
        <f>IF(OR(I20&lt;=0,D20&lt;I20),"n/m",D20/I20-1)</f>
        <v>0.37973045001142136</v>
      </c>
      <c r="E190" s="17">
        <f>IF(OR(D20&lt;=0,E20&lt;D20),"n/m",E20/D20-1)</f>
        <v>0.66443018763796902</v>
      </c>
      <c r="F190" s="17">
        <f>IF(OR(E20&lt;=0,F20&lt;E20),"n/m",F20/E20-1)</f>
        <v>0.48064787268346043</v>
      </c>
      <c r="G190" s="17">
        <f>IF(OR(F20&lt;=0,G20&lt;F20),"n/m",G20/F20-1)</f>
        <v>0.55222571656106667</v>
      </c>
      <c r="H190" s="17">
        <f>IF(OR(G20&lt;=0,H20&lt;G20),"n/m",H20/G20-1)</f>
        <v>0.24635196197965059</v>
      </c>
    </row>
    <row r="191" spans="1:8" x14ac:dyDescent="0.3">
      <c r="A191" s="36" t="s">
        <v>85</v>
      </c>
      <c r="B191" s="36"/>
      <c r="C191" s="17"/>
      <c r="D191" s="17">
        <f>IF(OR(I22&lt;=0,D22&lt;I22),"n/m",D22/I22-1)</f>
        <v>0.60516702484434437</v>
      </c>
      <c r="E191" s="17">
        <f>IF(OR(D22&lt;=0,E22&lt;D22),"n/m",E22/D22-1)</f>
        <v>1.5607119623259003</v>
      </c>
      <c r="F191" s="17" t="str">
        <f>IF(OR(E22&lt;=0,F22&lt;E22),"n/m",F22/E22-1)</f>
        <v>n/m</v>
      </c>
      <c r="G191" s="17">
        <f>IF(OR(F22&lt;=0,G22&lt;F22),"n/m",G22/F22-1)</f>
        <v>2.0222709506964245</v>
      </c>
      <c r="H191" s="17" t="str">
        <f>IF(OR(G22&lt;=0,H22&lt;G22),"n/m",H22/G22-1)</f>
        <v>n/m</v>
      </c>
    </row>
    <row r="192" spans="1:8" x14ac:dyDescent="0.3">
      <c r="A192" s="23"/>
      <c r="B192" s="23"/>
    </row>
    <row r="193" spans="1:9" x14ac:dyDescent="0.3">
      <c r="A193" s="25" t="s">
        <v>266</v>
      </c>
      <c r="B193" s="23"/>
    </row>
    <row r="194" spans="1:9" x14ac:dyDescent="0.3">
      <c r="A194" s="23"/>
      <c r="B194" s="23"/>
    </row>
    <row r="195" spans="1:9" x14ac:dyDescent="0.3">
      <c r="A195" s="23"/>
      <c r="B195" s="23"/>
    </row>
    <row r="196" spans="1:9" ht="22.05" customHeight="1" x14ac:dyDescent="0.3">
      <c r="A196" s="89" t="s">
        <v>267</v>
      </c>
      <c r="B196" s="89"/>
      <c r="C196" s="90"/>
      <c r="D196" s="90"/>
      <c r="E196" s="90"/>
      <c r="F196" s="90"/>
      <c r="G196" s="90"/>
      <c r="H196" s="90"/>
    </row>
    <row r="197" spans="1:9" x14ac:dyDescent="0.3">
      <c r="A197" s="23" t="s">
        <v>268</v>
      </c>
      <c r="B197" s="23"/>
      <c r="C197" s="20"/>
      <c r="D197" s="20">
        <v>0</v>
      </c>
      <c r="E197" s="20">
        <v>7387</v>
      </c>
      <c r="F197" s="20">
        <v>7387</v>
      </c>
      <c r="G197" s="20">
        <v>7387</v>
      </c>
      <c r="H197" s="20">
        <v>0</v>
      </c>
      <c r="I197" s="20">
        <v>0</v>
      </c>
    </row>
    <row r="198" spans="1:9" x14ac:dyDescent="0.3">
      <c r="A198" s="23" t="s">
        <v>269</v>
      </c>
      <c r="B198" s="23"/>
      <c r="C198" s="20"/>
      <c r="D198" s="20">
        <v>0</v>
      </c>
      <c r="E198" s="20">
        <v>0</v>
      </c>
      <c r="F198" s="20">
        <v>0</v>
      </c>
      <c r="G198" s="20">
        <v>0</v>
      </c>
      <c r="H198" s="20">
        <v>185.18600000000001</v>
      </c>
      <c r="I198" s="20">
        <v>0</v>
      </c>
    </row>
    <row r="199" spans="1:9" x14ac:dyDescent="0.3">
      <c r="A199" s="23" t="s">
        <v>270</v>
      </c>
      <c r="B199" s="23"/>
      <c r="C199" s="20"/>
      <c r="D199" s="20">
        <v>0</v>
      </c>
      <c r="E199" s="20">
        <v>0</v>
      </c>
      <c r="F199" s="20">
        <v>0</v>
      </c>
      <c r="G199" s="20">
        <v>0</v>
      </c>
      <c r="H199" s="20">
        <v>0</v>
      </c>
      <c r="I199" s="20">
        <v>0</v>
      </c>
    </row>
    <row r="200" spans="1:9" x14ac:dyDescent="0.3">
      <c r="A200" s="23"/>
      <c r="B200" s="23"/>
      <c r="C200" s="20"/>
      <c r="D200" s="20"/>
      <c r="E200" s="20"/>
      <c r="F200" s="20"/>
      <c r="G200" s="20"/>
      <c r="H200" s="20"/>
      <c r="I200" s="20"/>
    </row>
    <row r="201" spans="1:9" x14ac:dyDescent="0.3">
      <c r="A201" s="23"/>
      <c r="B201" s="23"/>
      <c r="C201" s="20"/>
      <c r="D201" s="20"/>
      <c r="E201" s="20"/>
      <c r="F201" s="20"/>
      <c r="G201" s="20"/>
      <c r="H201" s="20"/>
      <c r="I201" s="20"/>
    </row>
    <row r="202" spans="1:9" x14ac:dyDescent="0.3">
      <c r="A202" s="23"/>
      <c r="B202" s="23"/>
      <c r="C202" s="20"/>
      <c r="D202" s="20"/>
      <c r="E202" s="20"/>
      <c r="F202" s="20"/>
      <c r="G202" s="20"/>
      <c r="H202" s="20"/>
      <c r="I202" s="20"/>
    </row>
    <row r="203" spans="1:9" x14ac:dyDescent="0.3">
      <c r="A203" s="37" t="s">
        <v>271</v>
      </c>
      <c r="B203" s="37"/>
      <c r="C203" s="21"/>
      <c r="D203" s="21"/>
      <c r="E203" s="21"/>
      <c r="F203" s="21"/>
      <c r="G203" s="21"/>
      <c r="H203" s="21"/>
      <c r="I203" s="20"/>
    </row>
    <row r="204" spans="1:9" x14ac:dyDescent="0.3">
      <c r="A204" s="23"/>
      <c r="B204" s="23"/>
    </row>
    <row r="205" spans="1:9" ht="22.95" customHeight="1" x14ac:dyDescent="0.3">
      <c r="A205" s="87" t="s">
        <v>292</v>
      </c>
      <c r="B205" s="87"/>
      <c r="C205" s="88"/>
      <c r="D205" s="88"/>
      <c r="E205" s="88"/>
      <c r="F205" s="88"/>
      <c r="G205" s="88"/>
      <c r="H205" s="88"/>
    </row>
    <row r="206" spans="1:9" ht="22.95" customHeight="1" x14ac:dyDescent="0.3">
      <c r="A206" s="87"/>
      <c r="B206" s="87"/>
      <c r="C206" s="88"/>
      <c r="D206" s="88"/>
      <c r="E206" s="88"/>
      <c r="F206" s="88"/>
      <c r="G206" s="88"/>
      <c r="H206" s="88"/>
    </row>
    <row r="207" spans="1:9" x14ac:dyDescent="0.3">
      <c r="A207" s="23"/>
      <c r="B207" s="23"/>
    </row>
    <row r="208" spans="1:9" x14ac:dyDescent="0.3">
      <c r="A208" s="23"/>
      <c r="B208" s="23"/>
    </row>
    <row r="209" spans="1:8" ht="22.95" customHeight="1" x14ac:dyDescent="0.3">
      <c r="A209" s="86" t="s">
        <v>273</v>
      </c>
      <c r="B209" s="86"/>
      <c r="C209" s="86"/>
      <c r="D209" s="86"/>
      <c r="E209" s="86"/>
      <c r="F209" s="86"/>
      <c r="G209" s="86"/>
      <c r="H209" s="86"/>
    </row>
    <row r="210" spans="1:8" x14ac:dyDescent="0.3">
      <c r="D210" t="s">
        <v>65</v>
      </c>
      <c r="E210" t="s">
        <v>66</v>
      </c>
      <c r="F210" t="s">
        <v>67</v>
      </c>
      <c r="G210" t="s">
        <v>68</v>
      </c>
      <c r="H210" t="s">
        <v>69</v>
      </c>
    </row>
    <row r="211" spans="1:8" x14ac:dyDescent="0.3">
      <c r="A211" t="s">
        <v>274</v>
      </c>
      <c r="D211" s="51">
        <f>D22+D215-D216</f>
        <v>900.77800000000002</v>
      </c>
      <c r="E211" s="51">
        <f>E22+E215-E216</f>
        <v>2306.6329999999998</v>
      </c>
      <c r="F211" s="51">
        <f>F22+F215-F216</f>
        <v>880.95699999999999</v>
      </c>
      <c r="G211" s="51">
        <f>G22+G215-G216</f>
        <v>2847.4839999999999</v>
      </c>
      <c r="H211" s="51">
        <f>H22+H215-H216</f>
        <v>2579.8380000000002</v>
      </c>
    </row>
    <row r="212" spans="1:8" x14ac:dyDescent="0.3">
      <c r="A212" t="s">
        <v>275</v>
      </c>
      <c r="D212" s="51">
        <f>D40+D197+D198</f>
        <v>0</v>
      </c>
      <c r="E212" s="51">
        <f>E40+E197+E198</f>
        <v>7387</v>
      </c>
      <c r="F212" s="51">
        <f>F40+F197+F198</f>
        <v>7387</v>
      </c>
      <c r="G212" s="51">
        <f>G40+G197+G198</f>
        <v>7387</v>
      </c>
      <c r="H212" s="51">
        <f>H40+H197+H198</f>
        <v>185.18600000000001</v>
      </c>
    </row>
    <row r="213" spans="1:8" x14ac:dyDescent="0.3">
      <c r="A213" t="s">
        <v>276</v>
      </c>
      <c r="D213" s="51">
        <f>D105*D103</f>
        <v>31735.745000000003</v>
      </c>
      <c r="E213" s="51">
        <f>E105*E103</f>
        <v>30894.978530000004</v>
      </c>
      <c r="F213" s="51">
        <f>F105*F103</f>
        <v>28845.487776000002</v>
      </c>
      <c r="G213" s="51">
        <f>G105*G103</f>
        <v>56194.738516000005</v>
      </c>
      <c r="H213" s="51">
        <f>H105*H103</f>
        <v>109568.702292</v>
      </c>
    </row>
    <row r="214" spans="1:8" x14ac:dyDescent="0.3">
      <c r="A214" t="s">
        <v>277</v>
      </c>
      <c r="D214" s="51">
        <f>D213+D55+D212-D211</f>
        <v>33403.056000000004</v>
      </c>
      <c r="E214" s="51">
        <f>E213+E55+E212-E211</f>
        <v>61892.975530000011</v>
      </c>
      <c r="F214" s="51">
        <f>F213+F55+F212-F211</f>
        <v>76005.526776000013</v>
      </c>
      <c r="G214" s="51">
        <f>G213+G55+G212-G211</f>
        <v>97324.003516000012</v>
      </c>
      <c r="H214" s="51">
        <f>H213+H55+H212-H211</f>
        <v>147210.520292</v>
      </c>
    </row>
    <row r="215" spans="1:8" x14ac:dyDescent="0.3">
      <c r="A215" t="s">
        <v>278</v>
      </c>
      <c r="D215" s="51">
        <v>0</v>
      </c>
      <c r="E215" s="51">
        <v>0</v>
      </c>
      <c r="F215" s="51">
        <v>0</v>
      </c>
      <c r="G215" s="51">
        <v>0</v>
      </c>
      <c r="H215" s="51">
        <v>0</v>
      </c>
    </row>
    <row r="216" spans="1:8" x14ac:dyDescent="0.3">
      <c r="A216" t="s">
        <v>279</v>
      </c>
      <c r="D216" s="51">
        <v>0</v>
      </c>
      <c r="E216" s="51">
        <v>0</v>
      </c>
      <c r="F216" s="51">
        <v>89.5</v>
      </c>
      <c r="G216" s="51">
        <v>85.5</v>
      </c>
      <c r="H216" s="51">
        <v>85.5</v>
      </c>
    </row>
    <row r="217" spans="1:8" x14ac:dyDescent="0.3">
      <c r="A217" s="50" t="s">
        <v>280</v>
      </c>
      <c r="B217" s="50"/>
      <c r="C217" s="50"/>
      <c r="D217" s="50"/>
      <c r="E217" s="50"/>
      <c r="F217" s="50"/>
      <c r="G217" s="50"/>
      <c r="H217" s="50"/>
    </row>
    <row r="218" spans="1:8" x14ac:dyDescent="0.3">
      <c r="A218" s="50" t="s">
        <v>281</v>
      </c>
      <c r="B218" s="50"/>
      <c r="C218" s="50"/>
      <c r="D218" s="50"/>
      <c r="E218" s="50"/>
      <c r="F218" s="50"/>
      <c r="G218" s="50"/>
      <c r="H218" s="50"/>
    </row>
  </sheetData>
  <mergeCells count="8">
    <mergeCell ref="A209:H209"/>
    <mergeCell ref="A205:H206"/>
    <mergeCell ref="A196:H196"/>
    <mergeCell ref="A110:H110"/>
    <mergeCell ref="A115:H115"/>
    <mergeCell ref="A122:H122"/>
    <mergeCell ref="A127:H127"/>
    <mergeCell ref="A135:H135"/>
  </mergeCells>
  <pageMargins left="0.7" right="0.7" top="0.75" bottom="0.75" header="0.3" footer="0.3"/>
  <pageSetup paperSize="9" scale="11"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F7F99"/>
    <pageSetUpPr fitToPage="1"/>
  </sheetPr>
  <dimension ref="A1:H295"/>
  <sheetViews>
    <sheetView showGridLines="0" workbookViewId="0">
      <pane xSplit="3" ySplit="4" topLeftCell="D37" activePane="bottomRight" state="frozen"/>
      <selection pane="topRight"/>
      <selection pane="bottomLeft"/>
      <selection pane="bottomRight" activeCell="A5" sqref="A5:H5"/>
    </sheetView>
  </sheetViews>
  <sheetFormatPr defaultColWidth="8.6640625" defaultRowHeight="14.4" x14ac:dyDescent="0.3"/>
  <cols>
    <col min="1" max="1" width="44" customWidth="1"/>
    <col min="2" max="2" width="37" customWidth="1"/>
    <col min="3" max="3" width="28" customWidth="1"/>
    <col min="4" max="8" width="14" customWidth="1"/>
  </cols>
  <sheetData>
    <row r="1" spans="1:8" ht="24" customHeight="1" x14ac:dyDescent="0.3">
      <c r="A1" s="52" t="s">
        <v>293</v>
      </c>
      <c r="B1" s="40"/>
      <c r="C1" s="40"/>
      <c r="D1" s="40"/>
      <c r="E1" s="40"/>
      <c r="F1" s="40"/>
      <c r="G1" s="40"/>
      <c r="H1" s="40"/>
    </row>
    <row r="2" spans="1:8" ht="34.950000000000003" customHeight="1" x14ac:dyDescent="0.3">
      <c r="A2" s="94" t="s">
        <v>294</v>
      </c>
      <c r="B2" s="94"/>
      <c r="C2" s="94"/>
      <c r="D2" s="94"/>
      <c r="E2" s="94"/>
      <c r="F2" s="94"/>
      <c r="G2" s="94"/>
      <c r="H2" s="94"/>
    </row>
    <row r="3" spans="1:8" ht="24" customHeight="1" x14ac:dyDescent="0.3">
      <c r="A3" s="40"/>
      <c r="B3" s="40"/>
      <c r="C3" s="40"/>
      <c r="D3" s="40"/>
      <c r="E3" s="40"/>
      <c r="F3" s="40"/>
      <c r="G3" s="40"/>
      <c r="H3" s="40"/>
    </row>
    <row r="4" spans="1:8" ht="30" customHeight="1" x14ac:dyDescent="0.3">
      <c r="A4" s="53" t="s">
        <v>9</v>
      </c>
      <c r="B4" s="53" t="s">
        <v>166</v>
      </c>
      <c r="C4" s="53" t="s">
        <v>167</v>
      </c>
      <c r="D4" s="53" t="s">
        <v>65</v>
      </c>
      <c r="E4" s="53" t="s">
        <v>66</v>
      </c>
      <c r="F4" s="53" t="s">
        <v>67</v>
      </c>
      <c r="G4" s="53" t="s">
        <v>68</v>
      </c>
      <c r="H4" s="53" t="s">
        <v>69</v>
      </c>
    </row>
    <row r="5" spans="1:8" ht="22.95" customHeight="1" x14ac:dyDescent="0.3">
      <c r="A5" s="91" t="s">
        <v>295</v>
      </c>
      <c r="B5" s="91"/>
      <c r="C5" s="91"/>
      <c r="D5" s="91"/>
      <c r="E5" s="91"/>
      <c r="F5" s="91"/>
      <c r="G5" s="91"/>
      <c r="H5" s="91"/>
    </row>
    <row r="6" spans="1:8" ht="34.049999999999997" customHeight="1" x14ac:dyDescent="0.3">
      <c r="A6" s="54" t="s">
        <v>169</v>
      </c>
      <c r="B6" s="55" t="s">
        <v>170</v>
      </c>
      <c r="C6" s="55" t="s">
        <v>171</v>
      </c>
      <c r="D6" s="58"/>
      <c r="E6" s="58"/>
      <c r="F6" s="58"/>
      <c r="G6" s="58"/>
      <c r="H6" s="58"/>
    </row>
    <row r="7" spans="1:8" ht="24" customHeight="1" x14ac:dyDescent="0.3">
      <c r="A7" s="40" t="s">
        <v>13</v>
      </c>
      <c r="B7" s="40"/>
      <c r="C7" s="40"/>
      <c r="D7" s="59">
        <f>KOHC!D111</f>
        <v>1.3006446691414961</v>
      </c>
      <c r="E7" s="59">
        <f>KOHC!E111</f>
        <v>1.8735085276109804</v>
      </c>
      <c r="F7" s="59">
        <f>KOHC!F111</f>
        <v>2.311570515459215</v>
      </c>
      <c r="G7" s="59">
        <f>KOHC!G111</f>
        <v>2.9031590530160019</v>
      </c>
      <c r="H7" s="59">
        <f>KOHC!H111</f>
        <v>3.311248687172772</v>
      </c>
    </row>
    <row r="8" spans="1:8" ht="24" customHeight="1" x14ac:dyDescent="0.3">
      <c r="A8" s="40" t="s">
        <v>18</v>
      </c>
      <c r="B8" s="40"/>
      <c r="C8" s="40"/>
      <c r="D8" s="59">
        <f>LUCK!D111</f>
        <v>1.3386079458938223</v>
      </c>
      <c r="E8" s="59">
        <f>LUCK!E111</f>
        <v>1.4760766300374313</v>
      </c>
      <c r="F8" s="59">
        <f>LUCK!F111</f>
        <v>1.290071633326858</v>
      </c>
      <c r="G8" s="59">
        <f>LUCK!G111</f>
        <v>1.2632222354743232</v>
      </c>
      <c r="H8" s="59">
        <f>LUCK!H111</f>
        <v>1.7146143875904156</v>
      </c>
    </row>
    <row r="9" spans="1:8" ht="24" customHeight="1" x14ac:dyDescent="0.3">
      <c r="A9" s="40" t="s">
        <v>23</v>
      </c>
      <c r="B9" s="40"/>
      <c r="C9" s="40"/>
      <c r="D9" s="59">
        <f>DGKC!D111</f>
        <v>0.91452508864509019</v>
      </c>
      <c r="E9" s="59">
        <f>DGKC!E111</f>
        <v>0.88552877147710041</v>
      </c>
      <c r="F9" s="59">
        <f>DGKC!F111</f>
        <v>0.80176749057385621</v>
      </c>
      <c r="G9" s="59">
        <f>DGKC!G111</f>
        <v>1.296185931254842</v>
      </c>
      <c r="H9" s="59">
        <f>DGKC!H111</f>
        <v>1.8489517932979607</v>
      </c>
    </row>
    <row r="10" spans="1:8" ht="24" customHeight="1" x14ac:dyDescent="0.3">
      <c r="A10" s="40" t="s">
        <v>27</v>
      </c>
      <c r="B10" s="40"/>
      <c r="C10" s="40"/>
      <c r="D10" s="59">
        <f>MLCF!D111</f>
        <v>1.4780988568182505</v>
      </c>
      <c r="E10" s="59">
        <f>MLCF!E111</f>
        <v>1.2549557408945418</v>
      </c>
      <c r="F10" s="59">
        <f>MLCF!F111</f>
        <v>1.3715472215546312</v>
      </c>
      <c r="G10" s="59">
        <f>MLCF!G111</f>
        <v>1.4446782415124371</v>
      </c>
      <c r="H10" s="59">
        <f>MLCF!H111</f>
        <v>1.5324411303645513</v>
      </c>
    </row>
    <row r="11" spans="1:8" ht="24" customHeight="1" x14ac:dyDescent="0.3">
      <c r="A11" s="40" t="s">
        <v>31</v>
      </c>
      <c r="B11" s="40"/>
      <c r="C11" s="40"/>
      <c r="D11" s="59">
        <f>FCCL!D111</f>
        <v>2.01862288296847</v>
      </c>
      <c r="E11" s="59">
        <f>FCCL!E111</f>
        <v>1.0559688948718087</v>
      </c>
      <c r="F11" s="59">
        <f>FCCL!F111</f>
        <v>0.81211137558007007</v>
      </c>
      <c r="G11" s="59">
        <f>FCCL!G111</f>
        <v>0.95974773116730094</v>
      </c>
      <c r="H11" s="59">
        <f>FCCL!H111</f>
        <v>1.3210140828410366</v>
      </c>
    </row>
    <row r="12" spans="1:8" ht="24" customHeight="1" x14ac:dyDescent="0.3">
      <c r="A12" s="56" t="s">
        <v>296</v>
      </c>
      <c r="B12" s="56"/>
      <c r="C12" s="56"/>
      <c r="D12" s="60">
        <f>IF(COUNT(D7:D11)=0,"n/m",AVERAGE(D7:D11))</f>
        <v>1.410099888693426</v>
      </c>
      <c r="E12" s="60">
        <f>IF(COUNT(E7:E11)=0,"n/m",AVERAGE(E7:E11))</f>
        <v>1.3092077129783726</v>
      </c>
      <c r="F12" s="60">
        <f>IF(COUNT(F7:F11)=0,"n/m",AVERAGE(F7:F11))</f>
        <v>1.3174136472989262</v>
      </c>
      <c r="G12" s="60">
        <f>IF(COUNT(G7:G11)=0,"n/m",AVERAGE(G7:G11))</f>
        <v>1.5733986384849812</v>
      </c>
      <c r="H12" s="60">
        <f>IF(COUNT(H7:H11)=0,"n/m",AVERAGE(H7:H11))</f>
        <v>1.9456540162533476</v>
      </c>
    </row>
    <row r="13" spans="1:8" ht="24" customHeight="1" x14ac:dyDescent="0.3">
      <c r="A13" s="40"/>
      <c r="B13" s="40"/>
      <c r="C13" s="40"/>
      <c r="D13" s="61"/>
      <c r="E13" s="61"/>
      <c r="F13" s="61"/>
      <c r="G13" s="61"/>
      <c r="H13" s="61"/>
    </row>
    <row r="14" spans="1:8" ht="34.049999999999997" customHeight="1" x14ac:dyDescent="0.3">
      <c r="A14" s="54" t="s">
        <v>172</v>
      </c>
      <c r="B14" s="55" t="s">
        <v>173</v>
      </c>
      <c r="C14" s="55" t="s">
        <v>174</v>
      </c>
      <c r="D14" s="58"/>
      <c r="E14" s="58"/>
      <c r="F14" s="58"/>
      <c r="G14" s="58"/>
      <c r="H14" s="58"/>
    </row>
    <row r="15" spans="1:8" ht="24" customHeight="1" x14ac:dyDescent="0.3">
      <c r="A15" s="40" t="s">
        <v>13</v>
      </c>
      <c r="B15" s="40"/>
      <c r="C15" s="40"/>
      <c r="D15" s="59">
        <f>KOHC!D112</f>
        <v>0.74816043855554903</v>
      </c>
      <c r="E15" s="59">
        <f>KOHC!E112</f>
        <v>1.2758070110452304</v>
      </c>
      <c r="F15" s="59">
        <f>KOHC!F112</f>
        <v>1.5392110300634694</v>
      </c>
      <c r="G15" s="59">
        <f>KOHC!G112</f>
        <v>2.2200593399212352</v>
      </c>
      <c r="H15" s="59">
        <f>KOHC!H112</f>
        <v>2.6677003784340947</v>
      </c>
    </row>
    <row r="16" spans="1:8" ht="24" customHeight="1" x14ac:dyDescent="0.3">
      <c r="A16" s="40" t="s">
        <v>18</v>
      </c>
      <c r="B16" s="40"/>
      <c r="C16" s="40"/>
      <c r="D16" s="59">
        <f>LUCK!D112</f>
        <v>0.89000886100685095</v>
      </c>
      <c r="E16" s="59">
        <f>LUCK!E112</f>
        <v>0.87076091919208631</v>
      </c>
      <c r="F16" s="59">
        <f>LUCK!F112</f>
        <v>0.85412226562426408</v>
      </c>
      <c r="G16" s="59">
        <f>LUCK!G112</f>
        <v>0.83698311631700717</v>
      </c>
      <c r="H16" s="59">
        <f>LUCK!H112</f>
        <v>1.2939267138361998</v>
      </c>
    </row>
    <row r="17" spans="1:8" ht="24" customHeight="1" x14ac:dyDescent="0.3">
      <c r="A17" s="40" t="s">
        <v>23</v>
      </c>
      <c r="B17" s="40"/>
      <c r="C17" s="40"/>
      <c r="D17" s="59">
        <f>DGKC!D112</f>
        <v>0.52718830778210601</v>
      </c>
      <c r="E17" s="59">
        <f>DGKC!E112</f>
        <v>0.39093390789665328</v>
      </c>
      <c r="F17" s="59">
        <f>DGKC!F112</f>
        <v>0.33489936167445872</v>
      </c>
      <c r="G17" s="59">
        <f>DGKC!G112</f>
        <v>0.66771764923027133</v>
      </c>
      <c r="H17" s="59">
        <f>DGKC!H112</f>
        <v>1.0579587679634685</v>
      </c>
    </row>
    <row r="18" spans="1:8" ht="24" customHeight="1" x14ac:dyDescent="0.3">
      <c r="A18" s="40" t="s">
        <v>27</v>
      </c>
      <c r="B18" s="40"/>
      <c r="C18" s="40"/>
      <c r="D18" s="59">
        <f>MLCF!D112</f>
        <v>0.43971691910387301</v>
      </c>
      <c r="E18" s="59">
        <f>MLCF!E112</f>
        <v>0.29473524106223353</v>
      </c>
      <c r="F18" s="59">
        <f>MLCF!F112</f>
        <v>0.5204561252187091</v>
      </c>
      <c r="G18" s="59">
        <f>MLCF!G112</f>
        <v>0.60942670638462615</v>
      </c>
      <c r="H18" s="59">
        <f>MLCF!H112</f>
        <v>0.80788282595509864</v>
      </c>
    </row>
    <row r="19" spans="1:8" ht="24" customHeight="1" x14ac:dyDescent="0.3">
      <c r="A19" s="40" t="s">
        <v>31</v>
      </c>
      <c r="B19" s="40"/>
      <c r="C19" s="40"/>
      <c r="D19" s="59">
        <f>FCCL!D112</f>
        <v>1.1357988467684703</v>
      </c>
      <c r="E19" s="59">
        <f>FCCL!E112</f>
        <v>0.47078421060569281</v>
      </c>
      <c r="F19" s="59">
        <f>FCCL!F112</f>
        <v>0.28121710873313321</v>
      </c>
      <c r="G19" s="59">
        <f>FCCL!G112</f>
        <v>0.3420463898878065</v>
      </c>
      <c r="H19" s="59">
        <f>FCCL!H112</f>
        <v>0.67753380767364924</v>
      </c>
    </row>
    <row r="20" spans="1:8" ht="24" customHeight="1" x14ac:dyDescent="0.3">
      <c r="A20" s="56" t="s">
        <v>296</v>
      </c>
      <c r="B20" s="56"/>
      <c r="C20" s="56"/>
      <c r="D20" s="60">
        <f>IF(COUNT(D15:D19)=0,"n/m",AVERAGE(D15:D19))</f>
        <v>0.74817467464336995</v>
      </c>
      <c r="E20" s="60">
        <f>IF(COUNT(E15:E19)=0,"n/m",AVERAGE(E15:E19))</f>
        <v>0.66060425796037925</v>
      </c>
      <c r="F20" s="60">
        <f>IF(COUNT(F15:F19)=0,"n/m",AVERAGE(F15:F19))</f>
        <v>0.70598117826280693</v>
      </c>
      <c r="G20" s="60">
        <f>IF(COUNT(G15:G19)=0,"n/m",AVERAGE(G15:G19))</f>
        <v>0.93524664034818927</v>
      </c>
      <c r="H20" s="60">
        <f>IF(COUNT(H15:H19)=0,"n/m",AVERAGE(H15:H19))</f>
        <v>1.3010004987725021</v>
      </c>
    </row>
    <row r="21" spans="1:8" ht="24" customHeight="1" x14ac:dyDescent="0.3">
      <c r="A21" s="40"/>
      <c r="B21" s="40"/>
      <c r="C21" s="40"/>
      <c r="D21" s="61"/>
      <c r="E21" s="61"/>
      <c r="F21" s="61"/>
      <c r="G21" s="61"/>
      <c r="H21" s="61"/>
    </row>
    <row r="22" spans="1:8" ht="34.049999999999997" customHeight="1" x14ac:dyDescent="0.3">
      <c r="A22" s="54" t="s">
        <v>175</v>
      </c>
      <c r="B22" s="55" t="s">
        <v>176</v>
      </c>
      <c r="C22" s="55" t="s">
        <v>177</v>
      </c>
      <c r="D22" s="58"/>
      <c r="E22" s="58"/>
      <c r="F22" s="58"/>
      <c r="G22" s="58"/>
      <c r="H22" s="58"/>
    </row>
    <row r="23" spans="1:8" ht="24" customHeight="1" x14ac:dyDescent="0.3">
      <c r="A23" s="40" t="s">
        <v>13</v>
      </c>
      <c r="B23" s="40"/>
      <c r="C23" s="40"/>
      <c r="D23" s="59">
        <f>KOHC!D113</f>
        <v>0.15817363525137568</v>
      </c>
      <c r="E23" s="59">
        <f>KOHC!E113</f>
        <v>5.0670963775722312E-2</v>
      </c>
      <c r="F23" s="59">
        <f>KOHC!F113</f>
        <v>9.4178046452072631E-2</v>
      </c>
      <c r="G23" s="59">
        <f>KOHC!G113</f>
        <v>9.9376831489781367E-2</v>
      </c>
      <c r="H23" s="59">
        <f>KOHC!H113</f>
        <v>0.1243988942257843</v>
      </c>
    </row>
    <row r="24" spans="1:8" ht="24" customHeight="1" x14ac:dyDescent="0.3">
      <c r="A24" s="40" t="s">
        <v>18</v>
      </c>
      <c r="B24" s="40"/>
      <c r="C24" s="40"/>
      <c r="D24" s="59">
        <f>LUCK!D113</f>
        <v>0.61509850934604882</v>
      </c>
      <c r="E24" s="59">
        <f>LUCK!E113</f>
        <v>0.51028731982278264</v>
      </c>
      <c r="F24" s="59">
        <f>LUCK!F113</f>
        <v>0.56303776721097065</v>
      </c>
      <c r="G24" s="59">
        <f>LUCK!G113</f>
        <v>0.59758338272421885</v>
      </c>
      <c r="H24" s="59">
        <f>LUCK!H113</f>
        <v>1.0928864859820921</v>
      </c>
    </row>
    <row r="25" spans="1:8" ht="24" customHeight="1" x14ac:dyDescent="0.3">
      <c r="A25" s="40" t="s">
        <v>23</v>
      </c>
      <c r="B25" s="40"/>
      <c r="C25" s="40"/>
      <c r="D25" s="59">
        <f>DGKC!D113</f>
        <v>2.0011480184397672E-2</v>
      </c>
      <c r="E25" s="59">
        <f>DGKC!E113</f>
        <v>8.913248794490819E-3</v>
      </c>
      <c r="F25" s="59">
        <f>DGKC!F113</f>
        <v>1.3866688142092815E-2</v>
      </c>
      <c r="G25" s="59">
        <f>DGKC!G113</f>
        <v>2.2719990993528554E-2</v>
      </c>
      <c r="H25" s="59">
        <f>DGKC!H113</f>
        <v>4.7175167844291127E-2</v>
      </c>
    </row>
    <row r="26" spans="1:8" ht="24" customHeight="1" x14ac:dyDescent="0.3">
      <c r="A26" s="40" t="s">
        <v>27</v>
      </c>
      <c r="B26" s="40"/>
      <c r="C26" s="40"/>
      <c r="D26" s="59">
        <f>MLCF!D113</f>
        <v>4.2825558053104403E-2</v>
      </c>
      <c r="E26" s="59">
        <f>MLCF!E113</f>
        <v>4.9006165540003331E-2</v>
      </c>
      <c r="F26" s="59">
        <f>MLCF!F113</f>
        <v>4.5680298533070048E-2</v>
      </c>
      <c r="G26" s="59">
        <f>MLCF!G113</f>
        <v>7.3767434857886421E-2</v>
      </c>
      <c r="H26" s="59">
        <f>MLCF!H113</f>
        <v>6.9243334827372452E-2</v>
      </c>
    </row>
    <row r="27" spans="1:8" ht="24" customHeight="1" x14ac:dyDescent="0.3">
      <c r="A27" s="40" t="s">
        <v>31</v>
      </c>
      <c r="B27" s="40"/>
      <c r="C27" s="40"/>
      <c r="D27" s="59">
        <f>FCCL!D113</f>
        <v>0.14618299383526975</v>
      </c>
      <c r="E27" s="59">
        <f>FCCL!E113</f>
        <v>8.632203736853207E-2</v>
      </c>
      <c r="F27" s="59">
        <f>FCCL!F113</f>
        <v>3.0925035424233385E-2</v>
      </c>
      <c r="G27" s="59">
        <f>FCCL!G113</f>
        <v>0.10599048957533475</v>
      </c>
      <c r="H27" s="59">
        <f>FCCL!H113</f>
        <v>8.4205246923402408E-2</v>
      </c>
    </row>
    <row r="28" spans="1:8" ht="24" customHeight="1" x14ac:dyDescent="0.3">
      <c r="A28" s="56" t="s">
        <v>296</v>
      </c>
      <c r="B28" s="56"/>
      <c r="C28" s="56"/>
      <c r="D28" s="60">
        <f>IF(COUNT(D23:D27)=0,"n/m",AVERAGE(D23:D27))</f>
        <v>0.19645843533403926</v>
      </c>
      <c r="E28" s="60">
        <f>IF(COUNT(E23:E27)=0,"n/m",AVERAGE(E23:E27))</f>
        <v>0.14103994706030626</v>
      </c>
      <c r="F28" s="60">
        <f>IF(COUNT(F23:F27)=0,"n/m",AVERAGE(F23:F27))</f>
        <v>0.14953756715248792</v>
      </c>
      <c r="G28" s="60">
        <f>IF(COUNT(G23:G27)=0,"n/m",AVERAGE(G23:G27))</f>
        <v>0.17988762592814997</v>
      </c>
      <c r="H28" s="60">
        <f>IF(COUNT(H23:H27)=0,"n/m",AVERAGE(H23:H27))</f>
        <v>0.28358182596058851</v>
      </c>
    </row>
    <row r="29" spans="1:8" ht="24" customHeight="1" x14ac:dyDescent="0.3">
      <c r="A29" s="40"/>
      <c r="B29" s="40"/>
      <c r="C29" s="40"/>
      <c r="D29" s="61"/>
      <c r="E29" s="61"/>
      <c r="F29" s="61"/>
      <c r="G29" s="61"/>
      <c r="H29" s="61"/>
    </row>
    <row r="30" spans="1:8" ht="34.049999999999997" customHeight="1" x14ac:dyDescent="0.3">
      <c r="A30" s="54" t="s">
        <v>178</v>
      </c>
      <c r="B30" s="55" t="s">
        <v>179</v>
      </c>
      <c r="C30" s="55" t="s">
        <v>180</v>
      </c>
      <c r="D30" s="58"/>
      <c r="E30" s="58"/>
      <c r="F30" s="58"/>
      <c r="G30" s="58"/>
      <c r="H30" s="58"/>
    </row>
    <row r="31" spans="1:8" ht="24" customHeight="1" x14ac:dyDescent="0.3">
      <c r="A31" s="40" t="s">
        <v>13</v>
      </c>
      <c r="B31" s="40"/>
      <c r="C31" s="40"/>
      <c r="D31" s="62">
        <f>KOHC!D114</f>
        <v>2276.5547739999984</v>
      </c>
      <c r="E31" s="62">
        <f>KOHC!E114</f>
        <v>8287.8407679999964</v>
      </c>
      <c r="F31" s="62">
        <f>KOHC!F114</f>
        <v>13000.905238000001</v>
      </c>
      <c r="G31" s="62">
        <f>KOHC!G114</f>
        <v>21116.760542</v>
      </c>
      <c r="H31" s="62">
        <f>KOHC!H114</f>
        <v>26953.091383000003</v>
      </c>
    </row>
    <row r="32" spans="1:8" ht="24" customHeight="1" x14ac:dyDescent="0.3">
      <c r="A32" s="40" t="s">
        <v>18</v>
      </c>
      <c r="B32" s="40"/>
      <c r="C32" s="40"/>
      <c r="D32" s="62">
        <f>LUCK!D114</f>
        <v>10289.302000000007</v>
      </c>
      <c r="E32" s="62">
        <f>LUCK!E114</f>
        <v>14454.333000000006</v>
      </c>
      <c r="F32" s="62">
        <f>LUCK!F114</f>
        <v>13395.762999999999</v>
      </c>
      <c r="G32" s="62">
        <f>LUCK!G114</f>
        <v>14263.611000000004</v>
      </c>
      <c r="H32" s="62">
        <f>LUCK!H114</f>
        <v>41905.97600000001</v>
      </c>
    </row>
    <row r="33" spans="1:8" ht="24" customHeight="1" x14ac:dyDescent="0.3">
      <c r="A33" s="40" t="s">
        <v>23</v>
      </c>
      <c r="B33" s="40"/>
      <c r="C33" s="40"/>
      <c r="D33" s="62" t="str">
        <f>DGKC!D114</f>
        <v>n/m</v>
      </c>
      <c r="E33" s="62" t="str">
        <f>DGKC!E114</f>
        <v>n/m</v>
      </c>
      <c r="F33" s="62" t="str">
        <f>DGKC!F114</f>
        <v>n/m</v>
      </c>
      <c r="G33" s="62">
        <f>DGKC!G114</f>
        <v>9544.8039999999928</v>
      </c>
      <c r="H33" s="62">
        <f>DGKC!H114</f>
        <v>21997.121999999999</v>
      </c>
    </row>
    <row r="34" spans="1:8" ht="24" customHeight="1" x14ac:dyDescent="0.3">
      <c r="A34" s="40" t="s">
        <v>27</v>
      </c>
      <c r="B34" s="40"/>
      <c r="C34" s="40"/>
      <c r="D34" s="62">
        <f>MLCF!D114</f>
        <v>5473.9680000000026</v>
      </c>
      <c r="E34" s="62">
        <f>MLCF!E114</f>
        <v>4128.5980000000036</v>
      </c>
      <c r="F34" s="62">
        <f>MLCF!F114</f>
        <v>6024.645999999997</v>
      </c>
      <c r="G34" s="62">
        <f>MLCF!G114</f>
        <v>8270.0370000000003</v>
      </c>
      <c r="H34" s="62">
        <f>MLCF!H114</f>
        <v>12422.112999999994</v>
      </c>
    </row>
    <row r="35" spans="1:8" ht="24" customHeight="1" x14ac:dyDescent="0.3">
      <c r="A35" s="40" t="s">
        <v>31</v>
      </c>
      <c r="B35" s="40"/>
      <c r="C35" s="40"/>
      <c r="D35" s="62">
        <f>FCCL!D114</f>
        <v>6276.7430000000004</v>
      </c>
      <c r="E35" s="62">
        <f>FCCL!E114</f>
        <v>1495.5590000000011</v>
      </c>
      <c r="F35" s="62" t="str">
        <f>FCCL!F114</f>
        <v>n/m</v>
      </c>
      <c r="G35" s="62" t="str">
        <f>FCCL!G114</f>
        <v>n/m</v>
      </c>
      <c r="H35" s="62">
        <f>FCCL!H114</f>
        <v>9835.0680000000066</v>
      </c>
    </row>
    <row r="36" spans="1:8" ht="30" customHeight="1" x14ac:dyDescent="0.3">
      <c r="A36" s="56" t="s">
        <v>296</v>
      </c>
      <c r="B36" s="56"/>
      <c r="C36" s="70" t="str">
        <f>"N (FY21-25): "&amp;COUNT(D31:D35)&amp;","&amp;COUNT(E31:E35)&amp;","&amp;COUNT(F31:F35)&amp;","&amp;COUNT(G31:G35)&amp;","&amp;COUNT(H31:H35)</f>
        <v>N (FY21-25): 4,4,3,4,5</v>
      </c>
      <c r="D36" s="63">
        <f>IF(COUNT(D31:D35)=0,"n/m",AVERAGE(D31:D35))</f>
        <v>6079.1419435000025</v>
      </c>
      <c r="E36" s="63">
        <f>IF(COUNT(E31:E35)=0,"n/m",AVERAGE(E31:E35))</f>
        <v>7091.5826920000018</v>
      </c>
      <c r="F36" s="63">
        <f>IF(COUNT(F31:F35)=0,"n/m",AVERAGE(F31:F35))</f>
        <v>10807.104745999999</v>
      </c>
      <c r="G36" s="63">
        <f>IF(COUNT(G31:G35)=0,"n/m",AVERAGE(G31:G35))</f>
        <v>13298.803135499998</v>
      </c>
      <c r="H36" s="63">
        <f>IF(COUNT(H31:H35)=0,"n/m",AVERAGE(H31:H35))</f>
        <v>22622.674076600008</v>
      </c>
    </row>
    <row r="37" spans="1:8" ht="24" customHeight="1" x14ac:dyDescent="0.3">
      <c r="A37" s="40"/>
      <c r="B37" s="40"/>
      <c r="C37" s="40"/>
      <c r="D37" s="61"/>
      <c r="E37" s="61"/>
      <c r="F37" s="61"/>
      <c r="G37" s="61"/>
      <c r="H37" s="61"/>
    </row>
    <row r="38" spans="1:8" ht="22.95" customHeight="1" x14ac:dyDescent="0.3">
      <c r="A38" s="91" t="s">
        <v>297</v>
      </c>
      <c r="B38" s="91"/>
      <c r="C38" s="91"/>
      <c r="D38" s="93"/>
      <c r="E38" s="93"/>
      <c r="F38" s="93"/>
      <c r="G38" s="93"/>
      <c r="H38" s="93"/>
    </row>
    <row r="39" spans="1:8" ht="34.049999999999997" customHeight="1" x14ac:dyDescent="0.3">
      <c r="A39" s="54" t="s">
        <v>182</v>
      </c>
      <c r="B39" s="55" t="s">
        <v>183</v>
      </c>
      <c r="C39" s="55" t="s">
        <v>184</v>
      </c>
      <c r="D39" s="58"/>
      <c r="E39" s="58"/>
      <c r="F39" s="58"/>
      <c r="G39" s="58"/>
      <c r="H39" s="58"/>
    </row>
    <row r="40" spans="1:8" ht="24" customHeight="1" x14ac:dyDescent="0.3">
      <c r="A40" s="40" t="s">
        <v>13</v>
      </c>
      <c r="B40" s="40"/>
      <c r="C40" s="40"/>
      <c r="D40" s="59">
        <f>KOHC!D116</f>
        <v>4.8570986013255171</v>
      </c>
      <c r="E40" s="59">
        <f>KOHC!E116</f>
        <v>4.6811317215716919</v>
      </c>
      <c r="F40" s="59">
        <f>KOHC!F116</f>
        <v>4.2753791437713859</v>
      </c>
      <c r="G40" s="59">
        <f>KOHC!G116</f>
        <v>3.5957369645110586</v>
      </c>
      <c r="H40" s="59">
        <f>KOHC!H116</f>
        <v>3.024880626442934</v>
      </c>
    </row>
    <row r="41" spans="1:8" ht="24" customHeight="1" x14ac:dyDescent="0.3">
      <c r="A41" s="40" t="s">
        <v>18</v>
      </c>
      <c r="B41" s="40"/>
      <c r="C41" s="40"/>
      <c r="D41" s="59">
        <f>LUCK!D116</f>
        <v>3.8136073127139278</v>
      </c>
      <c r="E41" s="59">
        <f>LUCK!E116</f>
        <v>3.657733126059421</v>
      </c>
      <c r="F41" s="59">
        <f>LUCK!F116</f>
        <v>3.6234818387767853</v>
      </c>
      <c r="G41" s="59">
        <f>LUCK!G116</f>
        <v>3.5401699550948362</v>
      </c>
      <c r="H41" s="59">
        <f>LUCK!H116</f>
        <v>3.4260949525900268</v>
      </c>
    </row>
    <row r="42" spans="1:8" ht="24" customHeight="1" x14ac:dyDescent="0.3">
      <c r="A42" s="40" t="s">
        <v>23</v>
      </c>
      <c r="B42" s="40"/>
      <c r="C42" s="40"/>
      <c r="D42" s="59">
        <f>DGKC!D116</f>
        <v>2.6267527531726218</v>
      </c>
      <c r="E42" s="59">
        <f>DGKC!E116</f>
        <v>2.479761249901864</v>
      </c>
      <c r="F42" s="59">
        <f>DGKC!F116</f>
        <v>2.4352964976956684</v>
      </c>
      <c r="G42" s="59">
        <f>DGKC!G116</f>
        <v>2.5832010951831741</v>
      </c>
      <c r="H42" s="59">
        <f>DGKC!H116</f>
        <v>2.6203448800361673</v>
      </c>
    </row>
    <row r="43" spans="1:8" ht="24" customHeight="1" x14ac:dyDescent="0.3">
      <c r="A43" s="40" t="s">
        <v>27</v>
      </c>
      <c r="B43" s="40"/>
      <c r="C43" s="40"/>
      <c r="D43" s="59">
        <f>MLCF!D116</f>
        <v>2.5503561154199565</v>
      </c>
      <c r="E43" s="59">
        <f>MLCF!E116</f>
        <v>2.6418827583195736</v>
      </c>
      <c r="F43" s="59">
        <f>MLCF!F116</f>
        <v>2.991643999189634</v>
      </c>
      <c r="G43" s="59">
        <f>MLCF!G116</f>
        <v>3.1013565995658121</v>
      </c>
      <c r="H43" s="59">
        <f>MLCF!H116</f>
        <v>2.7865732877055658</v>
      </c>
    </row>
    <row r="44" spans="1:8" ht="24" customHeight="1" x14ac:dyDescent="0.3">
      <c r="A44" s="40" t="s">
        <v>31</v>
      </c>
      <c r="B44" s="40"/>
      <c r="C44" s="40"/>
      <c r="D44" s="59">
        <f>FCCL!D116</f>
        <v>3.593399445976929</v>
      </c>
      <c r="E44" s="59">
        <f>FCCL!E116</f>
        <v>3.6798285509863442</v>
      </c>
      <c r="F44" s="59">
        <f>FCCL!F116</f>
        <v>3.0981941833220765</v>
      </c>
      <c r="G44" s="59">
        <f>FCCL!G116</f>
        <v>3.4267755412065504</v>
      </c>
      <c r="H44" s="59">
        <f>FCCL!H116</f>
        <v>3.1608830315846066</v>
      </c>
    </row>
    <row r="45" spans="1:8" ht="24" customHeight="1" x14ac:dyDescent="0.3">
      <c r="A45" s="56" t="s">
        <v>296</v>
      </c>
      <c r="B45" s="56"/>
      <c r="C45" s="56"/>
      <c r="D45" s="60">
        <f>IF(COUNT(D40:D44)=0,"n/m",AVERAGE(D40:D44))</f>
        <v>3.4882428457217904</v>
      </c>
      <c r="E45" s="60">
        <f>IF(COUNT(E40:E44)=0,"n/m",AVERAGE(E40:E44))</f>
        <v>3.4280674813677789</v>
      </c>
      <c r="F45" s="60">
        <f>IF(COUNT(F40:F44)=0,"n/m",AVERAGE(F40:F44))</f>
        <v>3.2847991325511101</v>
      </c>
      <c r="G45" s="60">
        <f>IF(COUNT(G40:G44)=0,"n/m",AVERAGE(G40:G44))</f>
        <v>3.2494480311122858</v>
      </c>
      <c r="H45" s="60">
        <f>IF(COUNT(H40:H44)=0,"n/m",AVERAGE(H40:H44))</f>
        <v>3.0037553556718599</v>
      </c>
    </row>
    <row r="46" spans="1:8" ht="24" customHeight="1" x14ac:dyDescent="0.3">
      <c r="A46" s="40"/>
      <c r="B46" s="40"/>
      <c r="C46" s="40"/>
      <c r="D46" s="61"/>
      <c r="E46" s="61"/>
      <c r="F46" s="61"/>
      <c r="G46" s="61"/>
      <c r="H46" s="61"/>
    </row>
    <row r="47" spans="1:8" ht="34.049999999999997" customHeight="1" x14ac:dyDescent="0.3">
      <c r="A47" s="54" t="s">
        <v>185</v>
      </c>
      <c r="B47" s="55" t="s">
        <v>186</v>
      </c>
      <c r="C47" s="55" t="s">
        <v>187</v>
      </c>
      <c r="D47" s="58"/>
      <c r="E47" s="58"/>
      <c r="F47" s="58"/>
      <c r="G47" s="58"/>
      <c r="H47" s="58"/>
    </row>
    <row r="48" spans="1:8" ht="24" customHeight="1" x14ac:dyDescent="0.3">
      <c r="A48" s="40" t="s">
        <v>13</v>
      </c>
      <c r="B48" s="40"/>
      <c r="C48" s="40"/>
      <c r="D48" s="59">
        <f>KOHC!D117</f>
        <v>32.556527152183129</v>
      </c>
      <c r="E48" s="59">
        <f>KOHC!E117</f>
        <v>34.614462046513971</v>
      </c>
      <c r="F48" s="59">
        <f>KOHC!F117</f>
        <v>36.690956476472735</v>
      </c>
      <c r="G48" s="59">
        <f>KOHC!G117</f>
        <v>23.311269128267483</v>
      </c>
      <c r="H48" s="59">
        <f>KOHC!H117</f>
        <v>19.742821104933064</v>
      </c>
    </row>
    <row r="49" spans="1:8" ht="24" customHeight="1" x14ac:dyDescent="0.3">
      <c r="A49" s="40" t="s">
        <v>18</v>
      </c>
      <c r="B49" s="40"/>
      <c r="C49" s="40"/>
      <c r="D49" s="59">
        <f>LUCK!D117</f>
        <v>20.525799758937445</v>
      </c>
      <c r="E49" s="59">
        <f>LUCK!E117</f>
        <v>26.020654219821807</v>
      </c>
      <c r="F49" s="59">
        <f>LUCK!F117</f>
        <v>22.253946370189343</v>
      </c>
      <c r="G49" s="59">
        <f>LUCK!G117</f>
        <v>19.185416979630755</v>
      </c>
      <c r="H49" s="59">
        <f>LUCK!H117</f>
        <v>18.743761644592638</v>
      </c>
    </row>
    <row r="50" spans="1:8" ht="24" customHeight="1" x14ac:dyDescent="0.3">
      <c r="A50" s="40" t="s">
        <v>23</v>
      </c>
      <c r="B50" s="40"/>
      <c r="C50" s="40"/>
      <c r="D50" s="59">
        <f>DGKC!D117</f>
        <v>22.768270883109405</v>
      </c>
      <c r="E50" s="59">
        <f>DGKC!E117</f>
        <v>36.922320391767833</v>
      </c>
      <c r="F50" s="59">
        <f>DGKC!F117</f>
        <v>48.836111797909446</v>
      </c>
      <c r="G50" s="59">
        <f>DGKC!G117</f>
        <v>64.453707869774377</v>
      </c>
      <c r="H50" s="59">
        <f>DGKC!H117</f>
        <v>61.216079379365482</v>
      </c>
    </row>
    <row r="51" spans="1:8" ht="24" customHeight="1" x14ac:dyDescent="0.3">
      <c r="A51" s="40" t="s">
        <v>27</v>
      </c>
      <c r="B51" s="40"/>
      <c r="C51" s="40"/>
      <c r="D51" s="59">
        <f>MLCF!D117</f>
        <v>15.020941563038772</v>
      </c>
      <c r="E51" s="59">
        <f>MLCF!E117</f>
        <v>25.905344380386534</v>
      </c>
      <c r="F51" s="59">
        <f>MLCF!F117</f>
        <v>26.600659453629234</v>
      </c>
      <c r="G51" s="59">
        <f>MLCF!G117</f>
        <v>19.574371293114748</v>
      </c>
      <c r="H51" s="59">
        <f>MLCF!H117</f>
        <v>15.67064847793373</v>
      </c>
    </row>
    <row r="52" spans="1:8" ht="24" customHeight="1" x14ac:dyDescent="0.3">
      <c r="A52" s="40" t="s">
        <v>31</v>
      </c>
      <c r="B52" s="40"/>
      <c r="C52" s="40"/>
      <c r="D52" s="59">
        <f>FCCL!D117</f>
        <v>19.415164144242155</v>
      </c>
      <c r="E52" s="59">
        <f>FCCL!E117</f>
        <v>28.088084014998095</v>
      </c>
      <c r="F52" s="59">
        <f>FCCL!F117</f>
        <v>22.745855737892271</v>
      </c>
      <c r="G52" s="59">
        <f>FCCL!G117</f>
        <v>17.554064923929165</v>
      </c>
      <c r="H52" s="59">
        <f>FCCL!H117</f>
        <v>14.282644096931071</v>
      </c>
    </row>
    <row r="53" spans="1:8" ht="24" customHeight="1" x14ac:dyDescent="0.3">
      <c r="A53" s="56" t="s">
        <v>296</v>
      </c>
      <c r="B53" s="56"/>
      <c r="C53" s="56"/>
      <c r="D53" s="60">
        <f>IF(COUNT(D48:D52)=0,"n/m",AVERAGE(D48:D52))</f>
        <v>22.057340700302184</v>
      </c>
      <c r="E53" s="60">
        <f>IF(COUNT(E48:E52)=0,"n/m",AVERAGE(E48:E52))</f>
        <v>30.31017301069765</v>
      </c>
      <c r="F53" s="60">
        <f>IF(COUNT(F48:F52)=0,"n/m",AVERAGE(F48:F52))</f>
        <v>31.425505967218601</v>
      </c>
      <c r="G53" s="60">
        <f>IF(COUNT(G48:G52)=0,"n/m",AVERAGE(G48:G52))</f>
        <v>28.815766038943309</v>
      </c>
      <c r="H53" s="60">
        <f>IF(COUNT(H48:H52)=0,"n/m",AVERAGE(H48:H52))</f>
        <v>25.931190940751197</v>
      </c>
    </row>
    <row r="54" spans="1:8" ht="24" customHeight="1" x14ac:dyDescent="0.3">
      <c r="A54" s="40"/>
      <c r="B54" s="40"/>
      <c r="C54" s="40"/>
      <c r="D54" s="61"/>
      <c r="E54" s="61"/>
      <c r="F54" s="61"/>
      <c r="G54" s="61"/>
      <c r="H54" s="61"/>
    </row>
    <row r="55" spans="1:8" ht="34.049999999999997" customHeight="1" x14ac:dyDescent="0.3">
      <c r="A55" s="54" t="s">
        <v>188</v>
      </c>
      <c r="B55" s="55" t="s">
        <v>189</v>
      </c>
      <c r="C55" s="55" t="s">
        <v>190</v>
      </c>
      <c r="D55" s="58"/>
      <c r="E55" s="58"/>
      <c r="F55" s="58"/>
      <c r="G55" s="58"/>
      <c r="H55" s="58"/>
    </row>
    <row r="56" spans="1:8" ht="24" customHeight="1" x14ac:dyDescent="0.3">
      <c r="A56" s="40" t="s">
        <v>13</v>
      </c>
      <c r="B56" s="40"/>
      <c r="C56" s="40"/>
      <c r="D56" s="64">
        <f>KOHC!D118</f>
        <v>75.147743531578783</v>
      </c>
      <c r="E56" s="64">
        <f>KOHC!E118</f>
        <v>77.972597591731756</v>
      </c>
      <c r="F56" s="64">
        <f>KOHC!F118</f>
        <v>85.372545387407953</v>
      </c>
      <c r="G56" s="64">
        <f>KOHC!G118</f>
        <v>101.50909357454404</v>
      </c>
      <c r="H56" s="64">
        <f>KOHC!H118</f>
        <v>120.66591878345184</v>
      </c>
    </row>
    <row r="57" spans="1:8" ht="24" customHeight="1" x14ac:dyDescent="0.3">
      <c r="A57" s="40" t="s">
        <v>18</v>
      </c>
      <c r="B57" s="40"/>
      <c r="C57" s="40"/>
      <c r="D57" s="64">
        <f>LUCK!D118</f>
        <v>95.709906676324849</v>
      </c>
      <c r="E57" s="64">
        <f>LUCK!E118</f>
        <v>99.788581457615734</v>
      </c>
      <c r="F57" s="64">
        <f>LUCK!F118</f>
        <v>100.73184197970664</v>
      </c>
      <c r="G57" s="64">
        <f>LUCK!G118</f>
        <v>103.10239469568691</v>
      </c>
      <c r="H57" s="64">
        <f>LUCK!H118</f>
        <v>106.53528435458882</v>
      </c>
    </row>
    <row r="58" spans="1:8" ht="24" customHeight="1" x14ac:dyDescent="0.3">
      <c r="A58" s="40" t="s">
        <v>23</v>
      </c>
      <c r="B58" s="40"/>
      <c r="C58" s="40"/>
      <c r="D58" s="64">
        <f>DGKC!D118</f>
        <v>138.95483675010863</v>
      </c>
      <c r="E58" s="64">
        <f>DGKC!E118</f>
        <v>147.19158951872677</v>
      </c>
      <c r="F58" s="64">
        <f>DGKC!F118</f>
        <v>149.87908057411946</v>
      </c>
      <c r="G58" s="64">
        <f>DGKC!G118</f>
        <v>141.29755545575051</v>
      </c>
      <c r="H58" s="64">
        <f>DGKC!H118</f>
        <v>139.29464124392746</v>
      </c>
    </row>
    <row r="59" spans="1:8" ht="24" customHeight="1" x14ac:dyDescent="0.3">
      <c r="A59" s="40" t="s">
        <v>27</v>
      </c>
      <c r="B59" s="40"/>
      <c r="C59" s="40"/>
      <c r="D59" s="64">
        <f>MLCF!D118</f>
        <v>143.11726813096334</v>
      </c>
      <c r="E59" s="64">
        <f>MLCF!E118</f>
        <v>138.1590454196257</v>
      </c>
      <c r="F59" s="64">
        <f>MLCF!F118</f>
        <v>122.0064954583065</v>
      </c>
      <c r="G59" s="64">
        <f>MLCF!G118</f>
        <v>117.69043264844159</v>
      </c>
      <c r="H59" s="64">
        <f>MLCF!H118</f>
        <v>130.98525045452405</v>
      </c>
    </row>
    <row r="60" spans="1:8" ht="24" customHeight="1" x14ac:dyDescent="0.3">
      <c r="A60" s="40" t="s">
        <v>31</v>
      </c>
      <c r="B60" s="40"/>
      <c r="C60" s="40"/>
      <c r="D60" s="64">
        <f>FCCL!D118</f>
        <v>101.57512558439446</v>
      </c>
      <c r="E60" s="64">
        <f>FCCL!E118</f>
        <v>99.189403784088</v>
      </c>
      <c r="F60" s="64">
        <f>FCCL!F118</f>
        <v>117.81056267061489</v>
      </c>
      <c r="G60" s="64">
        <f>FCCL!G118</f>
        <v>106.51412548353994</v>
      </c>
      <c r="H60" s="64">
        <f>FCCL!H118</f>
        <v>115.47406099903009</v>
      </c>
    </row>
    <row r="61" spans="1:8" ht="24" customHeight="1" x14ac:dyDescent="0.3">
      <c r="A61" s="56" t="s">
        <v>296</v>
      </c>
      <c r="B61" s="56"/>
      <c r="C61" s="56"/>
      <c r="D61" s="65">
        <f>IF(COUNT(D56:D60)=0,"n/m",AVERAGE(D56:D60))</f>
        <v>110.90097613467401</v>
      </c>
      <c r="E61" s="65">
        <f>IF(COUNT(E56:E60)=0,"n/m",AVERAGE(E56:E60))</f>
        <v>112.46024355435759</v>
      </c>
      <c r="F61" s="65">
        <f>IF(COUNT(F56:F60)=0,"n/m",AVERAGE(F56:F60))</f>
        <v>115.16010521403109</v>
      </c>
      <c r="G61" s="65">
        <f>IF(COUNT(G56:G60)=0,"n/m",AVERAGE(G56:G60))</f>
        <v>114.0227203715926</v>
      </c>
      <c r="H61" s="65">
        <f>IF(COUNT(H56:H60)=0,"n/m",AVERAGE(H56:H60))</f>
        <v>122.59103116710443</v>
      </c>
    </row>
    <row r="62" spans="1:8" ht="24" customHeight="1" x14ac:dyDescent="0.3">
      <c r="A62" s="40"/>
      <c r="B62" s="40"/>
      <c r="C62" s="40"/>
      <c r="D62" s="61"/>
      <c r="E62" s="61"/>
      <c r="F62" s="61"/>
      <c r="G62" s="61"/>
      <c r="H62" s="61"/>
    </row>
    <row r="63" spans="1:8" ht="34.049999999999997" customHeight="1" x14ac:dyDescent="0.3">
      <c r="A63" s="54" t="s">
        <v>191</v>
      </c>
      <c r="B63" s="55" t="s">
        <v>192</v>
      </c>
      <c r="C63" s="55" t="s">
        <v>193</v>
      </c>
      <c r="D63" s="58"/>
      <c r="E63" s="58"/>
      <c r="F63" s="58"/>
      <c r="G63" s="58"/>
      <c r="H63" s="58"/>
    </row>
    <row r="64" spans="1:8" ht="24" customHeight="1" x14ac:dyDescent="0.3">
      <c r="A64" s="40" t="s">
        <v>13</v>
      </c>
      <c r="B64" s="40"/>
      <c r="C64" s="40"/>
      <c r="D64" s="64">
        <f>KOHC!D119</f>
        <v>11.211269503464973</v>
      </c>
      <c r="E64" s="64">
        <f>KOHC!E119</f>
        <v>10.544725482358297</v>
      </c>
      <c r="F64" s="64">
        <f>KOHC!F119</f>
        <v>9.9479554378487851</v>
      </c>
      <c r="G64" s="64">
        <f>KOHC!G119</f>
        <v>15.657663166755571</v>
      </c>
      <c r="H64" s="64">
        <f>KOHC!H119</f>
        <v>18.487732733839078</v>
      </c>
    </row>
    <row r="65" spans="1:8" ht="24" customHeight="1" x14ac:dyDescent="0.3">
      <c r="A65" s="40" t="s">
        <v>18</v>
      </c>
      <c r="B65" s="40"/>
      <c r="C65" s="40"/>
      <c r="D65" s="64">
        <f>LUCK!D119</f>
        <v>17.782498333156049</v>
      </c>
      <c r="E65" s="64">
        <f>LUCK!E119</f>
        <v>14.027318333985361</v>
      </c>
      <c r="F65" s="64">
        <f>LUCK!F119</f>
        <v>16.401585315624828</v>
      </c>
      <c r="G65" s="64">
        <f>LUCK!G119</f>
        <v>19.024866667611246</v>
      </c>
      <c r="H65" s="64">
        <f>LUCK!H119</f>
        <v>19.473145621508603</v>
      </c>
    </row>
    <row r="66" spans="1:8" ht="24" customHeight="1" x14ac:dyDescent="0.3">
      <c r="A66" s="40" t="s">
        <v>23</v>
      </c>
      <c r="B66" s="40"/>
      <c r="C66" s="40"/>
      <c r="D66" s="64">
        <f>DGKC!D119</f>
        <v>16.031081230273596</v>
      </c>
      <c r="E66" s="64">
        <f>DGKC!E119</f>
        <v>9.8856192169704489</v>
      </c>
      <c r="F66" s="64">
        <f>DGKC!F119</f>
        <v>7.4739774843341396</v>
      </c>
      <c r="G66" s="64">
        <f>DGKC!G119</f>
        <v>5.6629790909386459</v>
      </c>
      <c r="H66" s="64">
        <f>DGKC!H119</f>
        <v>5.9624857341490083</v>
      </c>
    </row>
    <row r="67" spans="1:8" ht="24" customHeight="1" x14ac:dyDescent="0.3">
      <c r="A67" s="40" t="s">
        <v>27</v>
      </c>
      <c r="B67" s="40"/>
      <c r="C67" s="40"/>
      <c r="D67" s="64">
        <f>MLCF!D119</f>
        <v>24.299408826550263</v>
      </c>
      <c r="E67" s="64">
        <f>MLCF!E119</f>
        <v>14.089756717395696</v>
      </c>
      <c r="F67" s="64">
        <f>MLCF!F119</f>
        <v>13.72146433573479</v>
      </c>
      <c r="G67" s="64">
        <f>MLCF!G119</f>
        <v>18.646831335440545</v>
      </c>
      <c r="H67" s="64">
        <f>MLCF!H119</f>
        <v>23.291952500495849</v>
      </c>
    </row>
    <row r="68" spans="1:8" ht="24" customHeight="1" x14ac:dyDescent="0.3">
      <c r="A68" s="40" t="s">
        <v>31</v>
      </c>
      <c r="B68" s="40"/>
      <c r="C68" s="40"/>
      <c r="D68" s="64">
        <f>FCCL!D119</f>
        <v>18.799738044359827</v>
      </c>
      <c r="E68" s="64">
        <f>FCCL!E119</f>
        <v>12.994834386179642</v>
      </c>
      <c r="F68" s="64">
        <f>FCCL!F119</f>
        <v>16.046879229606091</v>
      </c>
      <c r="G68" s="64">
        <f>FCCL!G119</f>
        <v>20.792904753499183</v>
      </c>
      <c r="H68" s="64">
        <f>FCCL!H119</f>
        <v>25.555492212987932</v>
      </c>
    </row>
    <row r="69" spans="1:8" ht="24" customHeight="1" x14ac:dyDescent="0.3">
      <c r="A69" s="56" t="s">
        <v>296</v>
      </c>
      <c r="B69" s="56"/>
      <c r="C69" s="56"/>
      <c r="D69" s="65">
        <f>IF(COUNT(D64:D68)=0,"n/m",AVERAGE(D64:D68))</f>
        <v>17.624799187560942</v>
      </c>
      <c r="E69" s="65">
        <f>IF(COUNT(E64:E68)=0,"n/m",AVERAGE(E64:E68))</f>
        <v>12.308450827377888</v>
      </c>
      <c r="F69" s="65">
        <f>IF(COUNT(F64:F68)=0,"n/m",AVERAGE(F64:F68))</f>
        <v>12.718372360629726</v>
      </c>
      <c r="G69" s="65">
        <f>IF(COUNT(G64:G68)=0,"n/m",AVERAGE(G64:G68))</f>
        <v>15.957049002849038</v>
      </c>
      <c r="H69" s="65">
        <f>IF(COUNT(H64:H68)=0,"n/m",AVERAGE(H64:H68))</f>
        <v>18.554161760596095</v>
      </c>
    </row>
    <row r="70" spans="1:8" ht="24" customHeight="1" x14ac:dyDescent="0.3">
      <c r="A70" s="40"/>
      <c r="B70" s="40"/>
      <c r="C70" s="40"/>
      <c r="D70" s="61"/>
      <c r="E70" s="61"/>
      <c r="F70" s="61"/>
      <c r="G70" s="61"/>
      <c r="H70" s="61"/>
    </row>
    <row r="71" spans="1:8" ht="34.049999999999997" customHeight="1" x14ac:dyDescent="0.3">
      <c r="A71" s="54" t="s">
        <v>194</v>
      </c>
      <c r="B71" s="55" t="s">
        <v>195</v>
      </c>
      <c r="C71" s="55" t="s">
        <v>196</v>
      </c>
      <c r="D71" s="58"/>
      <c r="E71" s="58"/>
      <c r="F71" s="58"/>
      <c r="G71" s="58"/>
      <c r="H71" s="58"/>
    </row>
    <row r="72" spans="1:8" ht="24" customHeight="1" x14ac:dyDescent="0.3">
      <c r="A72" s="40" t="s">
        <v>13</v>
      </c>
      <c r="B72" s="40"/>
      <c r="C72" s="40"/>
      <c r="D72" s="59">
        <f>KOHC!D120</f>
        <v>1.0921496738296084</v>
      </c>
      <c r="E72" s="59">
        <f>KOHC!E120</f>
        <v>1.5412541563844033</v>
      </c>
      <c r="F72" s="59">
        <f>KOHC!F120</f>
        <v>1.7509053329621809</v>
      </c>
      <c r="G72" s="59">
        <f>KOHC!G120</f>
        <v>1.7442972870565909</v>
      </c>
      <c r="H72" s="59">
        <f>KOHC!H120</f>
        <v>1.606837829232711</v>
      </c>
    </row>
    <row r="73" spans="1:8" ht="24" customHeight="1" x14ac:dyDescent="0.3">
      <c r="A73" s="40" t="s">
        <v>18</v>
      </c>
      <c r="B73" s="40"/>
      <c r="C73" s="40"/>
      <c r="D73" s="59">
        <f>LUCK!D120</f>
        <v>1.0088292750112451</v>
      </c>
      <c r="E73" s="59">
        <f>LUCK!E120</f>
        <v>0.98532795146598973</v>
      </c>
      <c r="F73" s="59">
        <f>LUCK!F120</f>
        <v>1.0022154394695202</v>
      </c>
      <c r="G73" s="59">
        <f>LUCK!G120</f>
        <v>1.0752008785316265</v>
      </c>
      <c r="H73" s="59">
        <f>LUCK!H120</f>
        <v>1.1592237370838812</v>
      </c>
    </row>
    <row r="74" spans="1:8" ht="24" customHeight="1" x14ac:dyDescent="0.3">
      <c r="A74" s="40" t="s">
        <v>23</v>
      </c>
      <c r="B74" s="40"/>
      <c r="C74" s="40"/>
      <c r="D74" s="59">
        <f>DGKC!D120</f>
        <v>0.53055318948132613</v>
      </c>
      <c r="E74" s="59">
        <f>DGKC!E120</f>
        <v>0.70098015962057802</v>
      </c>
      <c r="F74" s="59">
        <f>DGKC!F120</f>
        <v>0.79011863849334296</v>
      </c>
      <c r="G74" s="59">
        <f>DGKC!G120</f>
        <v>0.82674606407416695</v>
      </c>
      <c r="H74" s="59">
        <f>DGKC!H120</f>
        <v>0.93062078370763102</v>
      </c>
    </row>
    <row r="75" spans="1:8" ht="24" customHeight="1" x14ac:dyDescent="0.3">
      <c r="A75" s="40" t="s">
        <v>27</v>
      </c>
      <c r="B75" s="40"/>
      <c r="C75" s="40"/>
      <c r="D75" s="59">
        <f>MLCF!D120</f>
        <v>0.8037513915639477</v>
      </c>
      <c r="E75" s="59">
        <f>MLCF!E120</f>
        <v>0.85444675022417971</v>
      </c>
      <c r="F75" s="59">
        <f>MLCF!F120</f>
        <v>0.99551999428815263</v>
      </c>
      <c r="G75" s="59">
        <f>MLCF!G120</f>
        <v>1.0069209161495893</v>
      </c>
      <c r="H75" s="59">
        <f>MLCF!H120</f>
        <v>1.0971769908727151</v>
      </c>
    </row>
    <row r="76" spans="1:8" ht="24" customHeight="1" x14ac:dyDescent="0.3">
      <c r="A76" s="40" t="s">
        <v>31</v>
      </c>
      <c r="B76" s="40"/>
      <c r="C76" s="40"/>
      <c r="D76" s="59">
        <f>FCCL!D120</f>
        <v>1.1329960510619466</v>
      </c>
      <c r="E76" s="59">
        <f>FCCL!E120</f>
        <v>0.73176601318978285</v>
      </c>
      <c r="F76" s="59">
        <f>FCCL!F120</f>
        <v>0.65184739301529204</v>
      </c>
      <c r="G76" s="59">
        <f>FCCL!G120</f>
        <v>0.72196082222901214</v>
      </c>
      <c r="H76" s="59">
        <f>FCCL!H120</f>
        <v>0.81180021491144161</v>
      </c>
    </row>
    <row r="77" spans="1:8" ht="24" customHeight="1" x14ac:dyDescent="0.3">
      <c r="A77" s="56" t="s">
        <v>296</v>
      </c>
      <c r="B77" s="56"/>
      <c r="C77" s="56"/>
      <c r="D77" s="60">
        <f>IF(COUNT(D72:D76)=0,"n/m",AVERAGE(D72:D76))</f>
        <v>0.91365591618961484</v>
      </c>
      <c r="E77" s="60">
        <f>IF(COUNT(E72:E76)=0,"n/m",AVERAGE(E72:E76))</f>
        <v>0.96275500617698673</v>
      </c>
      <c r="F77" s="60">
        <f>IF(COUNT(F72:F76)=0,"n/m",AVERAGE(F72:F76))</f>
        <v>1.038121359645698</v>
      </c>
      <c r="G77" s="60">
        <f>IF(COUNT(G72:G76)=0,"n/m",AVERAGE(G72:G76))</f>
        <v>1.0750251936081971</v>
      </c>
      <c r="H77" s="60">
        <f>IF(COUNT(H72:H76)=0,"n/m",AVERAGE(H72:H76))</f>
        <v>1.121131911161676</v>
      </c>
    </row>
    <row r="78" spans="1:8" ht="24" customHeight="1" x14ac:dyDescent="0.3">
      <c r="A78" s="40"/>
      <c r="B78" s="40"/>
      <c r="C78" s="40"/>
      <c r="D78" s="61"/>
      <c r="E78" s="61"/>
      <c r="F78" s="61"/>
      <c r="G78" s="61"/>
      <c r="H78" s="61"/>
    </row>
    <row r="79" spans="1:8" ht="34.049999999999997" customHeight="1" x14ac:dyDescent="0.3">
      <c r="A79" s="54" t="s">
        <v>197</v>
      </c>
      <c r="B79" s="55" t="s">
        <v>198</v>
      </c>
      <c r="C79" s="55" t="s">
        <v>199</v>
      </c>
      <c r="D79" s="58"/>
      <c r="E79" s="58"/>
      <c r="F79" s="58"/>
      <c r="G79" s="58"/>
      <c r="H79" s="58"/>
    </row>
    <row r="80" spans="1:8" ht="24" customHeight="1" x14ac:dyDescent="0.3">
      <c r="A80" s="40" t="s">
        <v>13</v>
      </c>
      <c r="B80" s="40"/>
      <c r="C80" s="40"/>
      <c r="D80" s="59">
        <f>KOHC!D121</f>
        <v>0.66665082622797289</v>
      </c>
      <c r="E80" s="59">
        <f>KOHC!E121</f>
        <v>0.7583954484233022</v>
      </c>
      <c r="F80" s="59">
        <f>KOHC!F121</f>
        <v>0.78581821088962756</v>
      </c>
      <c r="G80" s="59">
        <f>KOHC!G121</f>
        <v>0.65679136157504614</v>
      </c>
      <c r="H80" s="59">
        <f>KOHC!H121</f>
        <v>0.56195953485342598</v>
      </c>
    </row>
    <row r="81" spans="1:8" ht="24" customHeight="1" x14ac:dyDescent="0.3">
      <c r="A81" s="40" t="s">
        <v>18</v>
      </c>
      <c r="B81" s="40"/>
      <c r="C81" s="40"/>
      <c r="D81" s="59">
        <f>LUCK!D121</f>
        <v>0.40251701143421476</v>
      </c>
      <c r="E81" s="59">
        <f>LUCK!E121</f>
        <v>0.4384325626713429</v>
      </c>
      <c r="F81" s="59">
        <f>LUCK!F121</f>
        <v>0.44974923322711935</v>
      </c>
      <c r="G81" s="59">
        <f>LUCK!G121</f>
        <v>0.49280353497458251</v>
      </c>
      <c r="H81" s="59">
        <f>LUCK!H121</f>
        <v>0.46677662061834158</v>
      </c>
    </row>
    <row r="82" spans="1:8" ht="24" customHeight="1" x14ac:dyDescent="0.3">
      <c r="A82" s="40" t="s">
        <v>23</v>
      </c>
      <c r="B82" s="40"/>
      <c r="C82" s="40"/>
      <c r="D82" s="59">
        <f>DGKC!D121</f>
        <v>0.32711693039218176</v>
      </c>
      <c r="E82" s="59">
        <f>DGKC!E121</f>
        <v>0.42503666813991675</v>
      </c>
      <c r="F82" s="59">
        <f>DGKC!F121</f>
        <v>0.4823862468647665</v>
      </c>
      <c r="G82" s="59">
        <f>DGKC!G121</f>
        <v>0.47720727814222835</v>
      </c>
      <c r="H82" s="59">
        <f>DGKC!H121</f>
        <v>0.49267235836459933</v>
      </c>
    </row>
    <row r="83" spans="1:8" ht="24" customHeight="1" x14ac:dyDescent="0.3">
      <c r="A83" s="40" t="s">
        <v>27</v>
      </c>
      <c r="B83" s="40"/>
      <c r="C83" s="40"/>
      <c r="D83" s="59">
        <f>MLCF!D121</f>
        <v>0.53651401514370378</v>
      </c>
      <c r="E83" s="59">
        <f>MLCF!E121</f>
        <v>0.59016101960962719</v>
      </c>
      <c r="F83" s="59">
        <f>MLCF!F121</f>
        <v>0.69197238797008198</v>
      </c>
      <c r="G83" s="59">
        <f>MLCF!G121</f>
        <v>0.66876558045462819</v>
      </c>
      <c r="H83" s="59">
        <f>MLCF!H121</f>
        <v>0.57883136984449801</v>
      </c>
    </row>
    <row r="84" spans="1:8" ht="24" customHeight="1" x14ac:dyDescent="0.3">
      <c r="A84" s="40" t="s">
        <v>31</v>
      </c>
      <c r="B84" s="40"/>
      <c r="C84" s="40"/>
      <c r="D84" s="59">
        <f>FCCL!D121</f>
        <v>0.71276636764269574</v>
      </c>
      <c r="E84" s="59">
        <f>FCCL!E121</f>
        <v>0.4770803467502796</v>
      </c>
      <c r="F84" s="59">
        <f>FCCL!F121</f>
        <v>0.49031202866080159</v>
      </c>
      <c r="G84" s="59">
        <f>FCCL!G121</f>
        <v>0.54204979765850125</v>
      </c>
      <c r="H84" s="59">
        <f>FCCL!H121</f>
        <v>0.55305556508680442</v>
      </c>
    </row>
    <row r="85" spans="1:8" ht="24" customHeight="1" x14ac:dyDescent="0.3">
      <c r="A85" s="56" t="s">
        <v>296</v>
      </c>
      <c r="B85" s="56"/>
      <c r="C85" s="56"/>
      <c r="D85" s="60">
        <f>IF(COUNT(D80:D84)=0,"n/m",AVERAGE(D80:D84))</f>
        <v>0.5291130301681537</v>
      </c>
      <c r="E85" s="60">
        <f>IF(COUNT(E80:E84)=0,"n/m",AVERAGE(E80:E84))</f>
        <v>0.53782120911889375</v>
      </c>
      <c r="F85" s="60">
        <f>IF(COUNT(F80:F84)=0,"n/m",AVERAGE(F80:F84))</f>
        <v>0.58004762152247946</v>
      </c>
      <c r="G85" s="60">
        <f>IF(COUNT(G80:G84)=0,"n/m",AVERAGE(G80:G84))</f>
        <v>0.56752351056099726</v>
      </c>
      <c r="H85" s="60">
        <f>IF(COUNT(H80:H84)=0,"n/m",AVERAGE(H80:H84))</f>
        <v>0.53065908975353382</v>
      </c>
    </row>
    <row r="86" spans="1:8" ht="24" customHeight="1" x14ac:dyDescent="0.3">
      <c r="A86" s="40"/>
      <c r="B86" s="40"/>
      <c r="C86" s="40"/>
      <c r="D86" s="61"/>
      <c r="E86" s="61"/>
      <c r="F86" s="61"/>
      <c r="G86" s="61"/>
      <c r="H86" s="61"/>
    </row>
    <row r="87" spans="1:8" ht="22.95" customHeight="1" x14ac:dyDescent="0.3">
      <c r="A87" s="91" t="s">
        <v>298</v>
      </c>
      <c r="B87" s="91"/>
      <c r="C87" s="91"/>
      <c r="D87" s="93"/>
      <c r="E87" s="93"/>
      <c r="F87" s="93"/>
      <c r="G87" s="93"/>
      <c r="H87" s="93"/>
    </row>
    <row r="88" spans="1:8" ht="34.049999999999997" customHeight="1" x14ac:dyDescent="0.3">
      <c r="A88" s="54" t="s">
        <v>201</v>
      </c>
      <c r="B88" s="55" t="s">
        <v>202</v>
      </c>
      <c r="C88" s="55" t="s">
        <v>203</v>
      </c>
      <c r="D88" s="58"/>
      <c r="E88" s="58"/>
      <c r="F88" s="58"/>
      <c r="G88" s="58"/>
      <c r="H88" s="58"/>
    </row>
    <row r="89" spans="1:8" ht="24" customHeight="1" x14ac:dyDescent="0.3">
      <c r="A89" s="40" t="s">
        <v>13</v>
      </c>
      <c r="B89" s="40"/>
      <c r="C89" s="40"/>
      <c r="D89" s="66">
        <f>KOHC!D123</f>
        <v>0.38416638255503399</v>
      </c>
      <c r="E89" s="66">
        <f>KOHC!E123</f>
        <v>0.37149249167170456</v>
      </c>
      <c r="F89" s="66">
        <f>KOHC!F123</f>
        <v>0.34161124098483342</v>
      </c>
      <c r="G89" s="66">
        <f>KOHC!G123</f>
        <v>0.30169945185029512</v>
      </c>
      <c r="H89" s="66">
        <f>KOHC!H123</f>
        <v>0.28204672647028445</v>
      </c>
    </row>
    <row r="90" spans="1:8" ht="24" customHeight="1" x14ac:dyDescent="0.3">
      <c r="A90" s="40" t="s">
        <v>18</v>
      </c>
      <c r="B90" s="40"/>
      <c r="C90" s="40"/>
      <c r="D90" s="66">
        <f>LUCK!D123</f>
        <v>0.27606535150381284</v>
      </c>
      <c r="E90" s="66">
        <f>LUCK!E123</f>
        <v>0.30504607293955061</v>
      </c>
      <c r="F90" s="66">
        <f>LUCK!F123</f>
        <v>0.35532697822447284</v>
      </c>
      <c r="G90" s="66">
        <f>LUCK!G123</f>
        <v>0.36859036410390322</v>
      </c>
      <c r="H90" s="66">
        <f>LUCK!H123</f>
        <v>0.34053721034041001</v>
      </c>
    </row>
    <row r="91" spans="1:8" ht="24" customHeight="1" x14ac:dyDescent="0.3">
      <c r="A91" s="40" t="s">
        <v>23</v>
      </c>
      <c r="B91" s="40"/>
      <c r="C91" s="40"/>
      <c r="D91" s="66">
        <f>DGKC!D123</f>
        <v>0.46714504184305206</v>
      </c>
      <c r="E91" s="66">
        <f>DGKC!E123</f>
        <v>0.48801207258126744</v>
      </c>
      <c r="F91" s="66">
        <f>DGKC!F123</f>
        <v>0.52348952241922664</v>
      </c>
      <c r="G91" s="66">
        <f>DGKC!G123</f>
        <v>0.45191223946360831</v>
      </c>
      <c r="H91" s="66">
        <f>DGKC!H123</f>
        <v>0.35125595827177031</v>
      </c>
    </row>
    <row r="92" spans="1:8" ht="24" customHeight="1" x14ac:dyDescent="0.3">
      <c r="A92" s="40" t="s">
        <v>27</v>
      </c>
      <c r="B92" s="40"/>
      <c r="C92" s="40"/>
      <c r="D92" s="66">
        <f>MLCF!D123</f>
        <v>0.43322840867921292</v>
      </c>
      <c r="E92" s="66">
        <f>MLCF!E123</f>
        <v>0.50666660909348882</v>
      </c>
      <c r="F92" s="66">
        <f>MLCF!F123</f>
        <v>0.49933942690835115</v>
      </c>
      <c r="G92" s="66">
        <f>MLCF!G123</f>
        <v>0.4704820926001394</v>
      </c>
      <c r="H92" s="66">
        <f>MLCF!H123</f>
        <v>0.40001822406143511</v>
      </c>
    </row>
    <row r="93" spans="1:8" ht="24" customHeight="1" x14ac:dyDescent="0.3">
      <c r="A93" s="40" t="s">
        <v>31</v>
      </c>
      <c r="B93" s="40"/>
      <c r="C93" s="40"/>
      <c r="D93" s="66">
        <f>FCCL!D123</f>
        <v>0.31647148170702821</v>
      </c>
      <c r="E93" s="66">
        <f>FCCL!E123</f>
        <v>0.49219848282922141</v>
      </c>
      <c r="F93" s="66">
        <f>FCCL!F123</f>
        <v>0.53053055814614203</v>
      </c>
      <c r="G93" s="66">
        <f>FCCL!G123</f>
        <v>0.5028400637434024</v>
      </c>
      <c r="H93" s="66">
        <f>FCCL!H123</f>
        <v>0.4760663500346739</v>
      </c>
    </row>
    <row r="94" spans="1:8" ht="24" customHeight="1" x14ac:dyDescent="0.3">
      <c r="A94" s="56" t="s">
        <v>296</v>
      </c>
      <c r="B94" s="56"/>
      <c r="C94" s="56"/>
      <c r="D94" s="67">
        <f>IF(COUNT(D89:D93)=0,"n/m",AVERAGE(D89:D93))</f>
        <v>0.37541533325762799</v>
      </c>
      <c r="E94" s="67">
        <f>IF(COUNT(E89:E93)=0,"n/m",AVERAGE(E89:E93))</f>
        <v>0.43268314582304657</v>
      </c>
      <c r="F94" s="67">
        <f>IF(COUNT(F89:F93)=0,"n/m",AVERAGE(F89:F93))</f>
        <v>0.45005954533660519</v>
      </c>
      <c r="G94" s="67">
        <f>IF(COUNT(G89:G93)=0,"n/m",AVERAGE(G89:G93))</f>
        <v>0.41910484235226975</v>
      </c>
      <c r="H94" s="67">
        <f>IF(COUNT(H89:H93)=0,"n/m",AVERAGE(H89:H93))</f>
        <v>0.36998489383571476</v>
      </c>
    </row>
    <row r="95" spans="1:8" ht="24" customHeight="1" x14ac:dyDescent="0.3">
      <c r="A95" s="40"/>
      <c r="B95" s="40"/>
      <c r="C95" s="40"/>
      <c r="D95" s="61"/>
      <c r="E95" s="61"/>
      <c r="F95" s="61"/>
      <c r="G95" s="61"/>
      <c r="H95" s="61"/>
    </row>
    <row r="96" spans="1:8" ht="34.049999999999997" customHeight="1" x14ac:dyDescent="0.3">
      <c r="A96" s="54" t="s">
        <v>204</v>
      </c>
      <c r="B96" s="55" t="s">
        <v>205</v>
      </c>
      <c r="C96" s="55" t="s">
        <v>206</v>
      </c>
      <c r="D96" s="58"/>
      <c r="E96" s="58"/>
      <c r="F96" s="58"/>
      <c r="G96" s="58"/>
      <c r="H96" s="58"/>
    </row>
    <row r="97" spans="1:8" ht="24" customHeight="1" x14ac:dyDescent="0.3">
      <c r="A97" s="40" t="s">
        <v>13</v>
      </c>
      <c r="B97" s="40"/>
      <c r="C97" s="40"/>
      <c r="D97" s="59">
        <f>KOHC!D124</f>
        <v>0.2722692388457173</v>
      </c>
      <c r="E97" s="59">
        <f>KOHC!E124</f>
        <v>0.15603310983895571</v>
      </c>
      <c r="F97" s="59">
        <f>KOHC!F124</f>
        <v>9.7619406864766459E-2</v>
      </c>
      <c r="G97" s="59">
        <f>KOHC!G124</f>
        <v>5.2398238191517746E-2</v>
      </c>
      <c r="H97" s="59">
        <f>KOHC!H124</f>
        <v>4.6764934517749976E-2</v>
      </c>
    </row>
    <row r="98" spans="1:8" ht="24" customHeight="1" x14ac:dyDescent="0.3">
      <c r="A98" s="40" t="s">
        <v>18</v>
      </c>
      <c r="B98" s="40"/>
      <c r="C98" s="40"/>
      <c r="D98" s="59">
        <f>LUCK!D124</f>
        <v>9.267604319417716E-2</v>
      </c>
      <c r="E98" s="59">
        <f>LUCK!E124</f>
        <v>0.12132883685589589</v>
      </c>
      <c r="F98" s="59">
        <f>LUCK!F124</f>
        <v>0.15318126074071459</v>
      </c>
      <c r="G98" s="59">
        <f>LUCK!G124</f>
        <v>0.13768684470695258</v>
      </c>
      <c r="H98" s="59">
        <f>LUCK!H124</f>
        <v>9.9684879347667912E-2</v>
      </c>
    </row>
    <row r="99" spans="1:8" ht="24" customHeight="1" x14ac:dyDescent="0.3">
      <c r="A99" s="40" t="s">
        <v>23</v>
      </c>
      <c r="B99" s="40"/>
      <c r="C99" s="40"/>
      <c r="D99" s="59">
        <f>DGKC!D124</f>
        <v>0.59600006385595838</v>
      </c>
      <c r="E99" s="59">
        <f>DGKC!E124</f>
        <v>0.66471914526512743</v>
      </c>
      <c r="F99" s="59">
        <f>DGKC!F124</f>
        <v>0.66251390334697124</v>
      </c>
      <c r="G99" s="59">
        <f>DGKC!G124</f>
        <v>0.45251048227827784</v>
      </c>
      <c r="H99" s="59">
        <f>DGKC!H124</f>
        <v>0.23141104487858016</v>
      </c>
    </row>
    <row r="100" spans="1:8" ht="24" customHeight="1" x14ac:dyDescent="0.3">
      <c r="A100" s="40" t="s">
        <v>27</v>
      </c>
      <c r="B100" s="40"/>
      <c r="C100" s="40"/>
      <c r="D100" s="59">
        <f>MLCF!D124</f>
        <v>0.43245543768601064</v>
      </c>
      <c r="E100" s="59">
        <f>MLCF!E124</f>
        <v>0.61573768495117542</v>
      </c>
      <c r="F100" s="59">
        <f>MLCF!F124</f>
        <v>0.44250779404874935</v>
      </c>
      <c r="G100" s="59">
        <f>MLCF!G124</f>
        <v>0.36846998820204724</v>
      </c>
      <c r="H100" s="59">
        <f>MLCF!H124</f>
        <v>0.20402666092297522</v>
      </c>
    </row>
    <row r="101" spans="1:8" ht="24" customHeight="1" x14ac:dyDescent="0.3">
      <c r="A101" s="40" t="s">
        <v>31</v>
      </c>
      <c r="B101" s="40"/>
      <c r="C101" s="40"/>
      <c r="D101" s="59">
        <f>FCCL!D124</f>
        <v>0.11033361830900601</v>
      </c>
      <c r="E101" s="59">
        <f>FCCL!E124</f>
        <v>0.44889851845785944</v>
      </c>
      <c r="F101" s="59">
        <f>FCCL!F124</f>
        <v>0.62375966688339879</v>
      </c>
      <c r="G101" s="59">
        <f>FCCL!G124</f>
        <v>0.49850573278032018</v>
      </c>
      <c r="H101" s="59">
        <f>FCCL!H124</f>
        <v>0.47508509566997464</v>
      </c>
    </row>
    <row r="102" spans="1:8" ht="24" customHeight="1" x14ac:dyDescent="0.3">
      <c r="A102" s="56" t="s">
        <v>296</v>
      </c>
      <c r="B102" s="56"/>
      <c r="C102" s="56"/>
      <c r="D102" s="60">
        <f>IF(COUNT(D97:D101)=0,"n/m",AVERAGE(D97:D101))</f>
        <v>0.30074688037817388</v>
      </c>
      <c r="E102" s="60">
        <f>IF(COUNT(E97:E101)=0,"n/m",AVERAGE(E97:E101))</f>
        <v>0.40134345907380276</v>
      </c>
      <c r="F102" s="60">
        <f>IF(COUNT(F97:F101)=0,"n/m",AVERAGE(F97:F101))</f>
        <v>0.3959164063769201</v>
      </c>
      <c r="G102" s="60">
        <f>IF(COUNT(G97:G101)=0,"n/m",AVERAGE(G97:G101))</f>
        <v>0.30191425723182308</v>
      </c>
      <c r="H102" s="60">
        <f>IF(COUNT(H97:H101)=0,"n/m",AVERAGE(H97:H101))</f>
        <v>0.21139452306738957</v>
      </c>
    </row>
    <row r="103" spans="1:8" ht="24" customHeight="1" x14ac:dyDescent="0.3">
      <c r="A103" s="40"/>
      <c r="B103" s="40"/>
      <c r="C103" s="40"/>
      <c r="D103" s="61"/>
      <c r="E103" s="61"/>
      <c r="F103" s="61"/>
      <c r="G103" s="61"/>
      <c r="H103" s="61"/>
    </row>
    <row r="104" spans="1:8" ht="34.049999999999997" customHeight="1" x14ac:dyDescent="0.3">
      <c r="A104" s="54" t="s">
        <v>207</v>
      </c>
      <c r="B104" s="55" t="s">
        <v>208</v>
      </c>
      <c r="C104" s="55" t="s">
        <v>209</v>
      </c>
      <c r="D104" s="58"/>
      <c r="E104" s="58"/>
      <c r="F104" s="58"/>
      <c r="G104" s="58"/>
      <c r="H104" s="58"/>
    </row>
    <row r="105" spans="1:8" ht="24" customHeight="1" x14ac:dyDescent="0.3">
      <c r="A105" s="40" t="s">
        <v>13</v>
      </c>
      <c r="B105" s="40"/>
      <c r="C105" s="40"/>
      <c r="D105" s="66">
        <f>KOHC!D125</f>
        <v>0.21400284667161887</v>
      </c>
      <c r="E105" s="66">
        <f>KOHC!E125</f>
        <v>0.13497287275854264</v>
      </c>
      <c r="F105" s="66">
        <f>KOHC!F125</f>
        <v>8.8937391462133447E-2</v>
      </c>
      <c r="G105" s="66">
        <f>KOHC!G125</f>
        <v>4.9789363275218823E-2</v>
      </c>
      <c r="H105" s="66">
        <f>KOHC!H125</f>
        <v>4.4675679300715997E-2</v>
      </c>
    </row>
    <row r="106" spans="1:8" ht="24" customHeight="1" x14ac:dyDescent="0.3">
      <c r="A106" s="40" t="s">
        <v>18</v>
      </c>
      <c r="B106" s="40"/>
      <c r="C106" s="40"/>
      <c r="D106" s="66">
        <f>LUCK!D125</f>
        <v>8.4815663134025443E-2</v>
      </c>
      <c r="E106" s="66">
        <f>LUCK!E125</f>
        <v>0.10820094237127705</v>
      </c>
      <c r="F106" s="66">
        <f>LUCK!F125</f>
        <v>0.13283363678865434</v>
      </c>
      <c r="G106" s="66">
        <f>LUCK!G125</f>
        <v>0.12102350075289672</v>
      </c>
      <c r="H106" s="66">
        <f>LUCK!H125</f>
        <v>9.0648585990198302E-2</v>
      </c>
    </row>
    <row r="107" spans="1:8" ht="24" customHeight="1" x14ac:dyDescent="0.3">
      <c r="A107" s="40" t="s">
        <v>23</v>
      </c>
      <c r="B107" s="40"/>
      <c r="C107" s="40"/>
      <c r="D107" s="66">
        <f>DGKC!D125</f>
        <v>0.37343360902882045</v>
      </c>
      <c r="E107" s="66">
        <f>DGKC!E125</f>
        <v>0.39929807208366225</v>
      </c>
      <c r="F107" s="66">
        <f>DGKC!F125</f>
        <v>0.39850127088453147</v>
      </c>
      <c r="G107" s="66">
        <f>DGKC!G125</f>
        <v>0.31153681009483003</v>
      </c>
      <c r="H107" s="66">
        <f>DGKC!H125</f>
        <v>0.18792347676351873</v>
      </c>
    </row>
    <row r="108" spans="1:8" ht="24" customHeight="1" x14ac:dyDescent="0.3">
      <c r="A108" s="40" t="s">
        <v>27</v>
      </c>
      <c r="B108" s="40"/>
      <c r="C108" s="40"/>
      <c r="D108" s="66">
        <f>MLCF!D125</f>
        <v>0.30189800416032447</v>
      </c>
      <c r="E108" s="66">
        <f>MLCF!E125</f>
        <v>0.381087654689308</v>
      </c>
      <c r="F108" s="66">
        <f>MLCF!F125</f>
        <v>0.30676284445350793</v>
      </c>
      <c r="G108" s="66">
        <f>MLCF!G125</f>
        <v>0.2692569010491479</v>
      </c>
      <c r="H108" s="66">
        <f>MLCF!H125</f>
        <v>0.1694536072536581</v>
      </c>
    </row>
    <row r="109" spans="1:8" ht="24" customHeight="1" x14ac:dyDescent="0.3">
      <c r="A109" s="40" t="s">
        <v>31</v>
      </c>
      <c r="B109" s="40"/>
      <c r="C109" s="40"/>
      <c r="D109" s="66">
        <f>FCCL!D125</f>
        <v>9.9369789844821352E-2</v>
      </c>
      <c r="E109" s="66">
        <f>FCCL!E125</f>
        <v>0.30982053797366449</v>
      </c>
      <c r="F109" s="66">
        <f>FCCL!F125</f>
        <v>0.38414531386940193</v>
      </c>
      <c r="G109" s="66">
        <f>FCCL!G125</f>
        <v>0.33266855232872222</v>
      </c>
      <c r="H109" s="66">
        <f>FCCL!H125</f>
        <v>0.3220730092552348</v>
      </c>
    </row>
    <row r="110" spans="1:8" ht="24" customHeight="1" x14ac:dyDescent="0.3">
      <c r="A110" s="56" t="s">
        <v>296</v>
      </c>
      <c r="B110" s="56"/>
      <c r="C110" s="56"/>
      <c r="D110" s="67">
        <f>IF(COUNT(D105:D109)=0,"n/m",AVERAGE(D105:D109))</f>
        <v>0.21470398256792214</v>
      </c>
      <c r="E110" s="67">
        <f>IF(COUNT(E105:E109)=0,"n/m",AVERAGE(E105:E109))</f>
        <v>0.26667601597529089</v>
      </c>
      <c r="F110" s="67">
        <f>IF(COUNT(F105:F109)=0,"n/m",AVERAGE(F105:F109))</f>
        <v>0.26223609149164584</v>
      </c>
      <c r="G110" s="67">
        <f>IF(COUNT(G105:G109)=0,"n/m",AVERAGE(G105:G109))</f>
        <v>0.21685502550016317</v>
      </c>
      <c r="H110" s="67">
        <f>IF(COUNT(H105:H109)=0,"n/m",AVERAGE(H105:H109))</f>
        <v>0.16295487171266518</v>
      </c>
    </row>
    <row r="111" spans="1:8" ht="24" customHeight="1" x14ac:dyDescent="0.3">
      <c r="A111" s="40"/>
      <c r="B111" s="40"/>
      <c r="C111" s="40"/>
      <c r="D111" s="61"/>
      <c r="E111" s="61"/>
      <c r="F111" s="61"/>
      <c r="G111" s="61"/>
      <c r="H111" s="61"/>
    </row>
    <row r="112" spans="1:8" ht="34.049999999999997" customHeight="1" x14ac:dyDescent="0.3">
      <c r="A112" s="54" t="s">
        <v>210</v>
      </c>
      <c r="B112" s="55" t="s">
        <v>211</v>
      </c>
      <c r="C112" s="55" t="s">
        <v>212</v>
      </c>
      <c r="D112" s="58"/>
      <c r="E112" s="58"/>
      <c r="F112" s="58"/>
      <c r="G112" s="58"/>
      <c r="H112" s="58"/>
    </row>
    <row r="113" spans="1:8" ht="24" customHeight="1" x14ac:dyDescent="0.3">
      <c r="A113" s="40" t="s">
        <v>13</v>
      </c>
      <c r="B113" s="40"/>
      <c r="C113" s="40"/>
      <c r="D113" s="59">
        <f>KOHC!D126</f>
        <v>10.965146742707439</v>
      </c>
      <c r="E113" s="59">
        <f>KOHC!E126</f>
        <v>18.319735243438064</v>
      </c>
      <c r="F113" s="59">
        <f>KOHC!F126</f>
        <v>16.315812571917526</v>
      </c>
      <c r="G113" s="59">
        <f>KOHC!G126</f>
        <v>22.319441864662931</v>
      </c>
      <c r="H113" s="59">
        <f>KOHC!H126</f>
        <v>58.956241100348862</v>
      </c>
    </row>
    <row r="114" spans="1:8" ht="24" customHeight="1" x14ac:dyDescent="0.3">
      <c r="A114" s="40" t="s">
        <v>18</v>
      </c>
      <c r="B114" s="40"/>
      <c r="C114" s="40"/>
      <c r="D114" s="59">
        <f>LUCK!D126</f>
        <v>52.042228263318378</v>
      </c>
      <c r="E114" s="59">
        <f>LUCK!E126</f>
        <v>55.297361076962446</v>
      </c>
      <c r="F114" s="59">
        <f>LUCK!F126</f>
        <v>19.418491261619813</v>
      </c>
      <c r="G114" s="59">
        <f>LUCK!G126</f>
        <v>27.521394265428206</v>
      </c>
      <c r="H114" s="59">
        <f>LUCK!H126</f>
        <v>36.687316512913945</v>
      </c>
    </row>
    <row r="115" spans="1:8" ht="24" customHeight="1" x14ac:dyDescent="0.3">
      <c r="A115" s="40" t="s">
        <v>23</v>
      </c>
      <c r="B115" s="40"/>
      <c r="C115" s="40"/>
      <c r="D115" s="59">
        <f>DGKC!D126</f>
        <v>2.6532310456742976</v>
      </c>
      <c r="E115" s="59">
        <f>DGKC!E126</f>
        <v>2.6982633298510965</v>
      </c>
      <c r="F115" s="59">
        <f>DGKC!F126</f>
        <v>1.4717538518085045</v>
      </c>
      <c r="G115" s="59">
        <f>DGKC!G126</f>
        <v>1.3582230764552283</v>
      </c>
      <c r="H115" s="59">
        <f>DGKC!H126</f>
        <v>4.4072600253200633</v>
      </c>
    </row>
    <row r="116" spans="1:8" ht="24" customHeight="1" x14ac:dyDescent="0.3">
      <c r="A116" s="40" t="s">
        <v>27</v>
      </c>
      <c r="B116" s="40"/>
      <c r="C116" s="40"/>
      <c r="D116" s="59">
        <f>MLCF!D126</f>
        <v>6.0367662605249279</v>
      </c>
      <c r="E116" s="59">
        <f>MLCF!E126</f>
        <v>5.2505359388174728</v>
      </c>
      <c r="F116" s="59">
        <f>MLCF!F126</f>
        <v>4.4476569735481268</v>
      </c>
      <c r="G116" s="59">
        <f>MLCF!G126</f>
        <v>3.2023484620581835</v>
      </c>
      <c r="H116" s="59">
        <f>MLCF!H126</f>
        <v>7.3457905408215804</v>
      </c>
    </row>
    <row r="117" spans="1:8" ht="24" customHeight="1" x14ac:dyDescent="0.3">
      <c r="A117" s="40" t="s">
        <v>31</v>
      </c>
      <c r="B117" s="40"/>
      <c r="C117" s="40"/>
      <c r="D117" s="59">
        <f>FCCL!D126</f>
        <v>56.450885878061477</v>
      </c>
      <c r="E117" s="59">
        <f>FCCL!E126</f>
        <v>12.583415391911771</v>
      </c>
      <c r="F117" s="59">
        <f>FCCL!F126</f>
        <v>5.9146829675290808</v>
      </c>
      <c r="G117" s="59">
        <f>FCCL!G126</f>
        <v>3.7798126521954241</v>
      </c>
      <c r="H117" s="59">
        <f>FCCL!H126</f>
        <v>4.7935258018729412</v>
      </c>
    </row>
    <row r="118" spans="1:8" ht="24" customHeight="1" x14ac:dyDescent="0.3">
      <c r="A118" s="56" t="s">
        <v>296</v>
      </c>
      <c r="B118" s="56"/>
      <c r="C118" s="56"/>
      <c r="D118" s="60">
        <f>IF(COUNT(D113:D117)=0,"n/m",AVERAGE(D113:D117))</f>
        <v>25.629651638057304</v>
      </c>
      <c r="E118" s="60">
        <f>IF(COUNT(E113:E117)=0,"n/m",AVERAGE(E113:E117))</f>
        <v>18.829862196196171</v>
      </c>
      <c r="F118" s="60">
        <f>IF(COUNT(F113:F117)=0,"n/m",AVERAGE(F113:F117))</f>
        <v>9.513679525284612</v>
      </c>
      <c r="G118" s="60">
        <f>IF(COUNT(G113:G117)=0,"n/m",AVERAGE(G113:G117))</f>
        <v>11.636244064159992</v>
      </c>
      <c r="H118" s="60">
        <f>IF(COUNT(H113:H117)=0,"n/m",AVERAGE(H113:H117))</f>
        <v>22.438026796255478</v>
      </c>
    </row>
    <row r="119" spans="1:8" ht="24" customHeight="1" x14ac:dyDescent="0.3">
      <c r="A119" s="40"/>
      <c r="B119" s="40"/>
      <c r="C119" s="40"/>
      <c r="D119" s="61"/>
      <c r="E119" s="61"/>
      <c r="F119" s="61"/>
      <c r="G119" s="61"/>
      <c r="H119" s="61"/>
    </row>
    <row r="120" spans="1:8" ht="22.95" customHeight="1" x14ac:dyDescent="0.3">
      <c r="A120" s="91" t="s">
        <v>299</v>
      </c>
      <c r="B120" s="91"/>
      <c r="C120" s="91"/>
      <c r="D120" s="93"/>
      <c r="E120" s="93"/>
      <c r="F120" s="93"/>
      <c r="G120" s="93"/>
      <c r="H120" s="93"/>
    </row>
    <row r="121" spans="1:8" ht="34.049999999999997" customHeight="1" x14ac:dyDescent="0.3">
      <c r="A121" s="54" t="s">
        <v>214</v>
      </c>
      <c r="B121" s="55" t="s">
        <v>215</v>
      </c>
      <c r="C121" s="55" t="s">
        <v>216</v>
      </c>
      <c r="D121" s="58"/>
      <c r="E121" s="58"/>
      <c r="F121" s="58"/>
      <c r="G121" s="58"/>
      <c r="H121" s="58"/>
    </row>
    <row r="122" spans="1:8" ht="24" customHeight="1" x14ac:dyDescent="0.3">
      <c r="A122" s="40" t="s">
        <v>13</v>
      </c>
      <c r="B122" s="40"/>
      <c r="C122" s="40"/>
      <c r="D122" s="66">
        <f>KOHC!D128</f>
        <v>0.24796341300828931</v>
      </c>
      <c r="E122" s="66">
        <f>KOHC!E128</f>
        <v>0.29843914213509881</v>
      </c>
      <c r="F122" s="66">
        <f>KOHC!F128</f>
        <v>0.26804356818989611</v>
      </c>
      <c r="G122" s="66">
        <f>KOHC!G128</f>
        <v>0.29125851467425595</v>
      </c>
      <c r="H122" s="66">
        <f>KOHC!H128</f>
        <v>0.39220278175445145</v>
      </c>
    </row>
    <row r="123" spans="1:8" ht="24" customHeight="1" x14ac:dyDescent="0.3">
      <c r="A123" s="40" t="s">
        <v>18</v>
      </c>
      <c r="B123" s="40"/>
      <c r="C123" s="40"/>
      <c r="D123" s="66">
        <f>LUCK!D128</f>
        <v>0.30117079055471246</v>
      </c>
      <c r="E123" s="66">
        <f>LUCK!E128</f>
        <v>0.27809669144361399</v>
      </c>
      <c r="F123" s="66">
        <f>LUCK!F128</f>
        <v>0.27194087595679139</v>
      </c>
      <c r="G123" s="66">
        <f>LUCK!G128</f>
        <v>0.33648030796321582</v>
      </c>
      <c r="H123" s="66">
        <f>LUCK!H128</f>
        <v>0.34281652982067301</v>
      </c>
    </row>
    <row r="124" spans="1:8" ht="24" customHeight="1" x14ac:dyDescent="0.3">
      <c r="A124" s="40" t="s">
        <v>23</v>
      </c>
      <c r="B124" s="40"/>
      <c r="C124" s="40"/>
      <c r="D124" s="66">
        <f>DGKC!D128</f>
        <v>0.17894713739497631</v>
      </c>
      <c r="E124" s="66">
        <f>DGKC!E128</f>
        <v>0.17966261135996409</v>
      </c>
      <c r="F124" s="66">
        <f>DGKC!F128</f>
        <v>0.14704852458583501</v>
      </c>
      <c r="G124" s="66">
        <f>DGKC!G128</f>
        <v>0.15942563608432631</v>
      </c>
      <c r="H124" s="66">
        <f>DGKC!H128</f>
        <v>0.25740632547300923</v>
      </c>
    </row>
    <row r="125" spans="1:8" ht="24" customHeight="1" x14ac:dyDescent="0.3">
      <c r="A125" s="40" t="s">
        <v>27</v>
      </c>
      <c r="B125" s="40"/>
      <c r="C125" s="40"/>
      <c r="D125" s="66">
        <f>MLCF!D128</f>
        <v>0.20830714445240356</v>
      </c>
      <c r="E125" s="66">
        <f>MLCF!E128</f>
        <v>0.25300003367709667</v>
      </c>
      <c r="F125" s="66">
        <f>MLCF!F128</f>
        <v>0.29276322471727417</v>
      </c>
      <c r="G125" s="66">
        <f>MLCF!G128</f>
        <v>0.31547845382378364</v>
      </c>
      <c r="H125" s="66">
        <f>MLCF!H128</f>
        <v>0.34444405990469212</v>
      </c>
    </row>
    <row r="126" spans="1:8" ht="24" customHeight="1" x14ac:dyDescent="0.3">
      <c r="A126" s="40" t="s">
        <v>31</v>
      </c>
      <c r="B126" s="40"/>
      <c r="C126" s="40"/>
      <c r="D126" s="66">
        <f>FCCL!D128</f>
        <v>0.24985924725452316</v>
      </c>
      <c r="E126" s="66">
        <f>FCCL!E128</f>
        <v>0.28507903988852556</v>
      </c>
      <c r="F126" s="66">
        <f>FCCL!F128</f>
        <v>0.29996604048210768</v>
      </c>
      <c r="G126" s="66">
        <f>FCCL!G128</f>
        <v>0.32089986350224731</v>
      </c>
      <c r="H126" s="66">
        <f>FCCL!H128</f>
        <v>0.35490842202929052</v>
      </c>
    </row>
    <row r="127" spans="1:8" ht="24" customHeight="1" x14ac:dyDescent="0.3">
      <c r="A127" s="56" t="s">
        <v>296</v>
      </c>
      <c r="B127" s="56"/>
      <c r="C127" s="56"/>
      <c r="D127" s="67">
        <f>IF(COUNT(D122:D126)=0,"n/m",AVERAGE(D122:D126))</f>
        <v>0.23724954653298097</v>
      </c>
      <c r="E127" s="67">
        <f>IF(COUNT(E122:E126)=0,"n/m",AVERAGE(E122:E126))</f>
        <v>0.25885550370085986</v>
      </c>
      <c r="F127" s="67">
        <f>IF(COUNT(F122:F126)=0,"n/m",AVERAGE(F122:F126))</f>
        <v>0.25595244678638085</v>
      </c>
      <c r="G127" s="67">
        <f>IF(COUNT(G122:G126)=0,"n/m",AVERAGE(G122:G126))</f>
        <v>0.28470855520956578</v>
      </c>
      <c r="H127" s="67">
        <f>IF(COUNT(H122:H126)=0,"n/m",AVERAGE(H122:H126))</f>
        <v>0.33835562379642325</v>
      </c>
    </row>
    <row r="128" spans="1:8" ht="24" customHeight="1" x14ac:dyDescent="0.3">
      <c r="A128" s="40"/>
      <c r="B128" s="40"/>
      <c r="C128" s="40"/>
      <c r="D128" s="61"/>
      <c r="E128" s="61"/>
      <c r="F128" s="61"/>
      <c r="G128" s="61"/>
      <c r="H128" s="61"/>
    </row>
    <row r="129" spans="1:8" ht="34.049999999999997" customHeight="1" x14ac:dyDescent="0.3">
      <c r="A129" s="54" t="s">
        <v>217</v>
      </c>
      <c r="B129" s="55" t="s">
        <v>218</v>
      </c>
      <c r="C129" s="55" t="s">
        <v>219</v>
      </c>
      <c r="D129" s="58"/>
      <c r="E129" s="58"/>
      <c r="F129" s="58"/>
      <c r="G129" s="58"/>
      <c r="H129" s="58"/>
    </row>
    <row r="130" spans="1:8" ht="24" customHeight="1" x14ac:dyDescent="0.3">
      <c r="A130" s="40" t="s">
        <v>13</v>
      </c>
      <c r="B130" s="40"/>
      <c r="C130" s="40"/>
      <c r="D130" s="66">
        <f>KOHC!D129</f>
        <v>0.223476531263751</v>
      </c>
      <c r="E130" s="66">
        <f>KOHC!E129</f>
        <v>0.28715637280086448</v>
      </c>
      <c r="F130" s="66">
        <f>KOHC!F129</f>
        <v>0.28654734202991289</v>
      </c>
      <c r="G130" s="66">
        <f>KOHC!G129</f>
        <v>0.37317728789535698</v>
      </c>
      <c r="H130" s="66">
        <f>KOHC!H129</f>
        <v>0.48095636892569549</v>
      </c>
    </row>
    <row r="131" spans="1:8" ht="24" customHeight="1" x14ac:dyDescent="0.3">
      <c r="A131" s="40" t="s">
        <v>18</v>
      </c>
      <c r="B131" s="40"/>
      <c r="C131" s="40"/>
      <c r="D131" s="66">
        <f>LUCK!D129</f>
        <v>0.27526050866365631</v>
      </c>
      <c r="E131" s="66">
        <f>LUCK!E129</f>
        <v>0.26901961654768358</v>
      </c>
      <c r="F131" s="66">
        <f>LUCK!F129</f>
        <v>0.23480711540356072</v>
      </c>
      <c r="G131" s="66">
        <f>LUCK!G129</f>
        <v>0.37240945675047471</v>
      </c>
      <c r="H131" s="66">
        <f>LUCK!H129</f>
        <v>0.39071901522799324</v>
      </c>
    </row>
    <row r="132" spans="1:8" ht="24" customHeight="1" x14ac:dyDescent="0.3">
      <c r="A132" s="40" t="s">
        <v>23</v>
      </c>
      <c r="B132" s="40"/>
      <c r="C132" s="40"/>
      <c r="D132" s="66">
        <f>DGKC!D129</f>
        <v>0.16976072150890459</v>
      </c>
      <c r="E132" s="66">
        <f>DGKC!E129</f>
        <v>0.1647791429733062</v>
      </c>
      <c r="F132" s="66">
        <f>DGKC!F129</f>
        <v>0.15182766799754666</v>
      </c>
      <c r="G132" s="66">
        <f>DGKC!G129</f>
        <v>0.16299366572828242</v>
      </c>
      <c r="H132" s="66">
        <f>DGKC!H129</f>
        <v>0.23397808045883622</v>
      </c>
    </row>
    <row r="133" spans="1:8" ht="24" customHeight="1" x14ac:dyDescent="0.3">
      <c r="A133" s="40" t="s">
        <v>27</v>
      </c>
      <c r="B133" s="40"/>
      <c r="C133" s="40"/>
      <c r="D133" s="66">
        <f>MLCF!D129</f>
        <v>0.24584402613957254</v>
      </c>
      <c r="E133" s="66">
        <f>MLCF!E129</f>
        <v>0.18288553443388325</v>
      </c>
      <c r="F133" s="66">
        <f>MLCF!F129</f>
        <v>0.19224796146239193</v>
      </c>
      <c r="G133" s="66">
        <f>MLCF!G129</f>
        <v>0.19543128859795894</v>
      </c>
      <c r="H133" s="66">
        <f>MLCF!H129</f>
        <v>0.36375545770453227</v>
      </c>
    </row>
    <row r="134" spans="1:8" ht="24" customHeight="1" x14ac:dyDescent="0.3">
      <c r="A134" s="40" t="s">
        <v>31</v>
      </c>
      <c r="B134" s="40"/>
      <c r="C134" s="40"/>
      <c r="D134" s="66">
        <f>FCCL!D129</f>
        <v>0.2142368646736256</v>
      </c>
      <c r="E134" s="66">
        <f>FCCL!E129</f>
        <v>0.23087384099122032</v>
      </c>
      <c r="F134" s="66">
        <f>FCCL!F129</f>
        <v>0.22807525720632701</v>
      </c>
      <c r="G134" s="66">
        <f>FCCL!G129</f>
        <v>0.26089810857755552</v>
      </c>
      <c r="H134" s="66">
        <f>FCCL!H129</f>
        <v>0.3057657460861018</v>
      </c>
    </row>
    <row r="135" spans="1:8" ht="24" customHeight="1" x14ac:dyDescent="0.3">
      <c r="A135" s="56" t="s">
        <v>296</v>
      </c>
      <c r="B135" s="56"/>
      <c r="C135" s="56"/>
      <c r="D135" s="67">
        <f>IF(COUNT(D130:D134)=0,"n/m",AVERAGE(D130:D134))</f>
        <v>0.22571573044990201</v>
      </c>
      <c r="E135" s="67">
        <f>IF(COUNT(E130:E134)=0,"n/m",AVERAGE(E130:E134))</f>
        <v>0.22694290154939156</v>
      </c>
      <c r="F135" s="67">
        <f>IF(COUNT(F130:F134)=0,"n/m",AVERAGE(F130:F134))</f>
        <v>0.21870106881994783</v>
      </c>
      <c r="G135" s="67">
        <f>IF(COUNT(G130:G134)=0,"n/m",AVERAGE(G130:G134))</f>
        <v>0.27298196150992571</v>
      </c>
      <c r="H135" s="67">
        <f>IF(COUNT(H130:H134)=0,"n/m",AVERAGE(H130:H134))</f>
        <v>0.35503493368063183</v>
      </c>
    </row>
    <row r="136" spans="1:8" ht="24" customHeight="1" x14ac:dyDescent="0.3">
      <c r="A136" s="40"/>
      <c r="B136" s="40"/>
      <c r="C136" s="40"/>
      <c r="D136" s="61"/>
      <c r="E136" s="61"/>
      <c r="F136" s="61"/>
      <c r="G136" s="61"/>
      <c r="H136" s="61"/>
    </row>
    <row r="137" spans="1:8" ht="34.049999999999997" customHeight="1" x14ac:dyDescent="0.3">
      <c r="A137" s="54" t="s">
        <v>220</v>
      </c>
      <c r="B137" s="55" t="s">
        <v>221</v>
      </c>
      <c r="C137" s="55" t="s">
        <v>222</v>
      </c>
      <c r="D137" s="58"/>
      <c r="E137" s="58"/>
      <c r="F137" s="58"/>
      <c r="G137" s="58"/>
      <c r="H137" s="58"/>
    </row>
    <row r="138" spans="1:8" ht="24" customHeight="1" x14ac:dyDescent="0.3">
      <c r="A138" s="40" t="s">
        <v>13</v>
      </c>
      <c r="B138" s="40"/>
      <c r="C138" s="40"/>
      <c r="D138" s="66">
        <f>KOHC!D130</f>
        <v>0.1453819089897026</v>
      </c>
      <c r="E138" s="66">
        <f>KOHC!E130</f>
        <v>0.15282075695786385</v>
      </c>
      <c r="F138" s="66">
        <f>KOHC!F130</f>
        <v>0.14955052871384544</v>
      </c>
      <c r="G138" s="66">
        <f>KOHC!G130</f>
        <v>0.23011561219895646</v>
      </c>
      <c r="H138" s="66">
        <f>KOHC!H130</f>
        <v>0.30837719707594857</v>
      </c>
    </row>
    <row r="139" spans="1:8" ht="24" customHeight="1" x14ac:dyDescent="0.3">
      <c r="A139" s="40" t="s">
        <v>18</v>
      </c>
      <c r="B139" s="40"/>
      <c r="C139" s="40"/>
      <c r="D139" s="66">
        <f>LUCK!D130</f>
        <v>0.22354637821997994</v>
      </c>
      <c r="E139" s="66">
        <f>LUCK!E130</f>
        <v>0.18865400166042842</v>
      </c>
      <c r="F139" s="66">
        <f>LUCK!F130</f>
        <v>0.14322765825125466</v>
      </c>
      <c r="G139" s="66">
        <f>LUCK!G130</f>
        <v>0.24371604713228476</v>
      </c>
      <c r="H139" s="66">
        <f>LUCK!H130</f>
        <v>0.26577542757733763</v>
      </c>
    </row>
    <row r="140" spans="1:8" ht="24" customHeight="1" x14ac:dyDescent="0.3">
      <c r="A140" s="40" t="s">
        <v>23</v>
      </c>
      <c r="B140" s="40"/>
      <c r="C140" s="40"/>
      <c r="D140" s="66">
        <f>DGKC!D130</f>
        <v>8.2497529800351119E-2</v>
      </c>
      <c r="E140" s="66">
        <f>DGKC!E130</f>
        <v>5.120493100192175E-2</v>
      </c>
      <c r="F140" s="66" t="str">
        <f>DGKC!F130</f>
        <v>n/m</v>
      </c>
      <c r="G140" s="66">
        <f>DGKC!G130</f>
        <v>8.2133065966830711E-3</v>
      </c>
      <c r="H140" s="66">
        <f>DGKC!H130</f>
        <v>0.12066652759857006</v>
      </c>
    </row>
    <row r="141" spans="1:8" ht="24" customHeight="1" x14ac:dyDescent="0.3">
      <c r="A141" s="40" t="s">
        <v>27</v>
      </c>
      <c r="B141" s="40"/>
      <c r="C141" s="40"/>
      <c r="D141" s="66">
        <f>MLCF!D130</f>
        <v>0.1759822170452098</v>
      </c>
      <c r="E141" s="66">
        <f>MLCF!E130</f>
        <v>7.4739658936337147E-2</v>
      </c>
      <c r="F141" s="66">
        <f>MLCF!F130</f>
        <v>7.2358441549152441E-2</v>
      </c>
      <c r="G141" s="66">
        <f>MLCF!G130</f>
        <v>7.9342975209845082E-2</v>
      </c>
      <c r="H141" s="66">
        <f>MLCF!H130</f>
        <v>0.24711008947956384</v>
      </c>
    </row>
    <row r="142" spans="1:8" ht="24" customHeight="1" x14ac:dyDescent="0.3">
      <c r="A142" s="40" t="s">
        <v>31</v>
      </c>
      <c r="B142" s="40"/>
      <c r="C142" s="40"/>
      <c r="D142" s="66">
        <f>FCCL!D130</f>
        <v>0.14302295902338913</v>
      </c>
      <c r="E142" s="66">
        <f>FCCL!E130</f>
        <v>0.13112336204567002</v>
      </c>
      <c r="F142" s="66">
        <f>FCCL!F130</f>
        <v>0.10929571726641699</v>
      </c>
      <c r="G142" s="66">
        <f>FCCL!G130</f>
        <v>0.10275526425549537</v>
      </c>
      <c r="H142" s="66">
        <f>FCCL!H130</f>
        <v>0.14980611609777766</v>
      </c>
    </row>
    <row r="143" spans="1:8" ht="30" customHeight="1" x14ac:dyDescent="0.3">
      <c r="A143" s="56" t="s">
        <v>296</v>
      </c>
      <c r="B143" s="56"/>
      <c r="C143" s="70" t="str">
        <f>"N (FY21-25): "&amp;COUNT(D138:D142)&amp;","&amp;COUNT(E138:E142)&amp;","&amp;COUNT(F138:F142)&amp;","&amp;COUNT(G138:G142)&amp;","&amp;COUNT(H138:H142)</f>
        <v>N (FY21-25): 5,5,4,5,5</v>
      </c>
      <c r="D143" s="67">
        <f>IF(COUNT(D138:D142)=0,"n/m",AVERAGE(D138:D142))</f>
        <v>0.15408619861572653</v>
      </c>
      <c r="E143" s="67">
        <f>IF(COUNT(E138:E142)=0,"n/m",AVERAGE(E138:E142))</f>
        <v>0.11970854212044424</v>
      </c>
      <c r="F143" s="67">
        <f>IF(COUNT(F138:F142)=0,"n/m",AVERAGE(F138:F142))</f>
        <v>0.11860808644516738</v>
      </c>
      <c r="G143" s="67">
        <f>IF(COUNT(G138:G142)=0,"n/m",AVERAGE(G138:G142))</f>
        <v>0.13282864107865294</v>
      </c>
      <c r="H143" s="67">
        <f>IF(COUNT(H138:H142)=0,"n/m",AVERAGE(H138:H142))</f>
        <v>0.21834707156583955</v>
      </c>
    </row>
    <row r="144" spans="1:8" ht="24" customHeight="1" x14ac:dyDescent="0.3">
      <c r="A144" s="40"/>
      <c r="B144" s="40"/>
      <c r="C144" s="40"/>
      <c r="D144" s="61"/>
      <c r="E144" s="61"/>
      <c r="F144" s="61"/>
      <c r="G144" s="61"/>
      <c r="H144" s="61"/>
    </row>
    <row r="145" spans="1:8" ht="34.049999999999997" customHeight="1" x14ac:dyDescent="0.3">
      <c r="A145" s="54" t="s">
        <v>223</v>
      </c>
      <c r="B145" s="55" t="s">
        <v>224</v>
      </c>
      <c r="C145" s="55" t="s">
        <v>225</v>
      </c>
      <c r="D145" s="58"/>
      <c r="E145" s="58"/>
      <c r="F145" s="58"/>
      <c r="G145" s="58"/>
      <c r="H145" s="58"/>
    </row>
    <row r="146" spans="1:8" ht="24" customHeight="1" x14ac:dyDescent="0.3">
      <c r="A146" s="40" t="s">
        <v>13</v>
      </c>
      <c r="B146" s="40"/>
      <c r="C146" s="40"/>
      <c r="D146" s="66">
        <f>KOHC!D131</f>
        <v>9.6918969746585204E-2</v>
      </c>
      <c r="E146" s="66">
        <f>KOHC!E131</f>
        <v>0.11589856650144761</v>
      </c>
      <c r="F146" s="66">
        <f>KOHC!F131</f>
        <v>0.11751952891151191</v>
      </c>
      <c r="G146" s="66">
        <f>KOHC!G131</f>
        <v>0.15113794625582791</v>
      </c>
      <c r="H146" s="66">
        <f>KOHC!H131</f>
        <v>0.17329550622820336</v>
      </c>
    </row>
    <row r="147" spans="1:8" ht="24" customHeight="1" x14ac:dyDescent="0.3">
      <c r="A147" s="40" t="s">
        <v>18</v>
      </c>
      <c r="B147" s="40"/>
      <c r="C147" s="40"/>
      <c r="D147" s="66">
        <f>LUCK!D131</f>
        <v>8.9981220078048957E-2</v>
      </c>
      <c r="E147" s="66">
        <f>LUCK!E131</f>
        <v>8.271205740618541E-2</v>
      </c>
      <c r="F147" s="66">
        <f>LUCK!F131</f>
        <v>6.4416529475417678E-2</v>
      </c>
      <c r="G147" s="66">
        <f>LUCK!G131</f>
        <v>0.12010412955682188</v>
      </c>
      <c r="H147" s="66">
        <f>LUCK!H131</f>
        <v>0.12405775592794444</v>
      </c>
    </row>
    <row r="148" spans="1:8" ht="24" customHeight="1" x14ac:dyDescent="0.3">
      <c r="A148" s="40" t="s">
        <v>23</v>
      </c>
      <c r="B148" s="40"/>
      <c r="C148" s="40"/>
      <c r="D148" s="66">
        <f>DGKC!D131</f>
        <v>2.6986338713228402E-2</v>
      </c>
      <c r="E148" s="66">
        <f>DGKC!E131</f>
        <v>2.1763973265391149E-2</v>
      </c>
      <c r="F148" s="66" t="str">
        <f>DGKC!F131</f>
        <v>n/m</v>
      </c>
      <c r="G148" s="66">
        <f>DGKC!G131</f>
        <v>3.9194496855507379E-3</v>
      </c>
      <c r="H148" s="66">
        <f>DGKC!H131</f>
        <v>5.9449062727654524E-2</v>
      </c>
    </row>
    <row r="149" spans="1:8" ht="24" customHeight="1" x14ac:dyDescent="0.3">
      <c r="A149" s="40" t="s">
        <v>27</v>
      </c>
      <c r="B149" s="40"/>
      <c r="C149" s="40"/>
      <c r="D149" s="66">
        <f>MLCF!D131</f>
        <v>9.4416925860816264E-2</v>
      </c>
      <c r="E149" s="66">
        <f>MLCF!E131</f>
        <v>4.4108433323144514E-2</v>
      </c>
      <c r="F149" s="66">
        <f>MLCF!F131</f>
        <v>5.0070043588560612E-2</v>
      </c>
      <c r="G149" s="66">
        <f>MLCF!G131</f>
        <v>5.3061850871209217E-2</v>
      </c>
      <c r="H149" s="66">
        <f>MLCF!H131</f>
        <v>0.14303507159585241</v>
      </c>
    </row>
    <row r="150" spans="1:8" ht="24" customHeight="1" x14ac:dyDescent="0.3">
      <c r="A150" s="40" t="s">
        <v>31</v>
      </c>
      <c r="B150" s="40"/>
      <c r="C150" s="40"/>
      <c r="D150" s="66">
        <f>FCCL!D131</f>
        <v>0.10194195499261118</v>
      </c>
      <c r="E150" s="66">
        <f>FCCL!E131</f>
        <v>6.2556379031810716E-2</v>
      </c>
      <c r="F150" s="66">
        <f>FCCL!F131</f>
        <v>5.3589004856834314E-2</v>
      </c>
      <c r="G150" s="66">
        <f>FCCL!G131</f>
        <v>5.5698470198037101E-2</v>
      </c>
      <c r="H150" s="66">
        <f>FCCL!H131</f>
        <v>8.2851106191915852E-2</v>
      </c>
    </row>
    <row r="151" spans="1:8" ht="30" customHeight="1" x14ac:dyDescent="0.3">
      <c r="A151" s="56" t="s">
        <v>296</v>
      </c>
      <c r="B151" s="56"/>
      <c r="C151" s="70" t="str">
        <f>"N (FY21-25): "&amp;COUNT(D146:D150)&amp;","&amp;COUNT(E146:E150)&amp;","&amp;COUNT(F146:F150)&amp;","&amp;COUNT(G146:G150)&amp;","&amp;COUNT(H146:H150)</f>
        <v>N (FY21-25): 5,5,4,5,5</v>
      </c>
      <c r="D151" s="67">
        <f>IF(COUNT(D146:D150)=0,"n/m",AVERAGE(D146:D150))</f>
        <v>8.204908187825799E-2</v>
      </c>
      <c r="E151" s="67">
        <f>IF(COUNT(E146:E150)=0,"n/m",AVERAGE(E146:E150))</f>
        <v>6.5407881905595877E-2</v>
      </c>
      <c r="F151" s="67">
        <f>IF(COUNT(F146:F150)=0,"n/m",AVERAGE(F146:F150))</f>
        <v>7.1398776708081133E-2</v>
      </c>
      <c r="G151" s="67">
        <f>IF(COUNT(G146:G150)=0,"n/m",AVERAGE(G146:G150))</f>
        <v>7.6784369313489378E-2</v>
      </c>
      <c r="H151" s="67">
        <f>IF(COUNT(H146:H150)=0,"n/m",AVERAGE(H146:H150))</f>
        <v>0.11653770053431411</v>
      </c>
    </row>
    <row r="152" spans="1:8" ht="24" customHeight="1" x14ac:dyDescent="0.3">
      <c r="A152" s="40"/>
      <c r="B152" s="40"/>
      <c r="C152" s="40"/>
      <c r="D152" s="61"/>
      <c r="E152" s="61"/>
      <c r="F152" s="61"/>
      <c r="G152" s="61"/>
      <c r="H152" s="61"/>
    </row>
    <row r="153" spans="1:8" ht="34.049999999999997" customHeight="1" x14ac:dyDescent="0.3">
      <c r="A153" s="54" t="s">
        <v>226</v>
      </c>
      <c r="B153" s="55" t="s">
        <v>227</v>
      </c>
      <c r="C153" s="55" t="s">
        <v>228</v>
      </c>
      <c r="D153" s="58"/>
      <c r="E153" s="58"/>
      <c r="F153" s="58"/>
      <c r="G153" s="58"/>
      <c r="H153" s="58"/>
    </row>
    <row r="154" spans="1:8" ht="24" customHeight="1" x14ac:dyDescent="0.3">
      <c r="A154" s="40" t="s">
        <v>13</v>
      </c>
      <c r="B154" s="40"/>
      <c r="C154" s="40"/>
      <c r="D154" s="66">
        <f>KOHC!D132</f>
        <v>0.15737849802466555</v>
      </c>
      <c r="E154" s="66">
        <f>KOHC!E132</f>
        <v>0.18440283523376622</v>
      </c>
      <c r="F154" s="66">
        <f>KOHC!F132</f>
        <v>0.17849564911664104</v>
      </c>
      <c r="G154" s="66">
        <f>KOHC!G132</f>
        <v>0.21643681457260755</v>
      </c>
      <c r="H154" s="66">
        <f>KOHC!H132</f>
        <v>0.24137435208870983</v>
      </c>
    </row>
    <row r="155" spans="1:8" ht="24" customHeight="1" x14ac:dyDescent="0.3">
      <c r="A155" s="40" t="s">
        <v>18</v>
      </c>
      <c r="B155" s="40"/>
      <c r="C155" s="40"/>
      <c r="D155" s="66">
        <f>LUCK!D132</f>
        <v>0.12429467254394423</v>
      </c>
      <c r="E155" s="66">
        <f>LUCK!E132</f>
        <v>0.11901804448540206</v>
      </c>
      <c r="F155" s="66">
        <f>LUCK!F132</f>
        <v>9.9921242706891636E-2</v>
      </c>
      <c r="G155" s="66">
        <f>LUCK!G132</f>
        <v>0.19021586420101122</v>
      </c>
      <c r="H155" s="66">
        <f>LUCK!H132</f>
        <v>0.18811941761260281</v>
      </c>
    </row>
    <row r="156" spans="1:8" ht="24" customHeight="1" x14ac:dyDescent="0.3">
      <c r="A156" s="40" t="s">
        <v>23</v>
      </c>
      <c r="B156" s="40"/>
      <c r="C156" s="40"/>
      <c r="D156" s="66">
        <f>DGKC!D132</f>
        <v>5.0644811125656837E-2</v>
      </c>
      <c r="E156" s="66">
        <f>DGKC!E132</f>
        <v>4.2508762609145177E-2</v>
      </c>
      <c r="F156" s="66" t="str">
        <f>DGKC!F132</f>
        <v>n/m</v>
      </c>
      <c r="G156" s="66">
        <f>DGKC!G132</f>
        <v>7.1511352154898129E-3</v>
      </c>
      <c r="H156" s="66">
        <f>DGKC!H132</f>
        <v>9.1637161813901913E-2</v>
      </c>
    </row>
    <row r="157" spans="1:8" ht="24" customHeight="1" x14ac:dyDescent="0.3">
      <c r="A157" s="40" t="s">
        <v>27</v>
      </c>
      <c r="B157" s="40"/>
      <c r="C157" s="40"/>
      <c r="D157" s="66">
        <f>MLCF!D132</f>
        <v>0.16658725897109622</v>
      </c>
      <c r="E157" s="66">
        <f>MLCF!E132</f>
        <v>8.9408976031592494E-2</v>
      </c>
      <c r="F157" s="66">
        <f>MLCF!F132</f>
        <v>0.10000796203977304</v>
      </c>
      <c r="G157" s="66">
        <f>MLCF!G132</f>
        <v>0.10020784968682853</v>
      </c>
      <c r="H157" s="66">
        <f>MLCF!H132</f>
        <v>0.2383990269906105</v>
      </c>
    </row>
    <row r="158" spans="1:8" ht="24" customHeight="1" x14ac:dyDescent="0.3">
      <c r="A158" s="40" t="s">
        <v>31</v>
      </c>
      <c r="B158" s="40"/>
      <c r="C158" s="40"/>
      <c r="D158" s="66">
        <f>FCCL!D132</f>
        <v>0.14914074872427949</v>
      </c>
      <c r="E158" s="66">
        <f>FCCL!E132</f>
        <v>0.12319061073378482</v>
      </c>
      <c r="F158" s="66">
        <f>FCCL!F132</f>
        <v>0.11414801492770245</v>
      </c>
      <c r="G158" s="66">
        <f>FCCL!G132</f>
        <v>0.1120333038446799</v>
      </c>
      <c r="H158" s="66">
        <f>FCCL!H132</f>
        <v>0.15813282120245373</v>
      </c>
    </row>
    <row r="159" spans="1:8" ht="30" customHeight="1" x14ac:dyDescent="0.3">
      <c r="A159" s="56" t="s">
        <v>296</v>
      </c>
      <c r="B159" s="56"/>
      <c r="C159" s="70" t="str">
        <f>"N (FY21-25): "&amp;COUNT(D154:D158)&amp;","&amp;COUNT(E154:E158)&amp;","&amp;COUNT(F154:F158)&amp;","&amp;COUNT(G154:G158)&amp;","&amp;COUNT(H154:H158)</f>
        <v>N (FY21-25): 5,5,4,5,5</v>
      </c>
      <c r="D159" s="67">
        <f>IF(COUNT(D154:D158)=0,"n/m",AVERAGE(D154:D158))</f>
        <v>0.12960919787792846</v>
      </c>
      <c r="E159" s="67">
        <f>IF(COUNT(E154:E158)=0,"n/m",AVERAGE(E154:E158))</f>
        <v>0.11170584581873814</v>
      </c>
      <c r="F159" s="67">
        <f>IF(COUNT(F154:F158)=0,"n/m",AVERAGE(F154:F158))</f>
        <v>0.12314321719775204</v>
      </c>
      <c r="G159" s="67">
        <f>IF(COUNT(G154:G158)=0,"n/m",AVERAGE(G154:G158))</f>
        <v>0.1252089935041234</v>
      </c>
      <c r="H159" s="67">
        <f>IF(COUNT(H154:H158)=0,"n/m",AVERAGE(H154:H158))</f>
        <v>0.18353255594165577</v>
      </c>
    </row>
    <row r="160" spans="1:8" ht="24" customHeight="1" x14ac:dyDescent="0.3">
      <c r="A160" s="40"/>
      <c r="B160" s="40"/>
      <c r="C160" s="40"/>
      <c r="D160" s="61"/>
      <c r="E160" s="61"/>
      <c r="F160" s="61"/>
      <c r="G160" s="61"/>
      <c r="H160" s="61"/>
    </row>
    <row r="161" spans="1:8" ht="34.049999999999997" customHeight="1" x14ac:dyDescent="0.3">
      <c r="A161" s="54" t="s">
        <v>229</v>
      </c>
      <c r="B161" s="55" t="s">
        <v>230</v>
      </c>
      <c r="C161" s="55" t="s">
        <v>231</v>
      </c>
      <c r="D161" s="58"/>
      <c r="E161" s="58"/>
      <c r="F161" s="58"/>
      <c r="G161" s="58"/>
      <c r="H161" s="58"/>
    </row>
    <row r="162" spans="1:8" ht="24" customHeight="1" x14ac:dyDescent="0.3">
      <c r="A162" s="40" t="s">
        <v>13</v>
      </c>
      <c r="B162" s="40"/>
      <c r="C162" s="40"/>
      <c r="D162" s="66">
        <f>KOHC!D133</f>
        <v>0.13611222052431424</v>
      </c>
      <c r="E162" s="66">
        <f>KOHC!E133</f>
        <v>0.16872337936741016</v>
      </c>
      <c r="F162" s="66">
        <f>KOHC!F133</f>
        <v>0.17323854283924056</v>
      </c>
      <c r="G162" s="66">
        <f>KOHC!G133</f>
        <v>0.21530718381280636</v>
      </c>
      <c r="H162" s="66">
        <f>KOHC!H133</f>
        <v>0.23456949398989801</v>
      </c>
    </row>
    <row r="163" spans="1:8" ht="24" customHeight="1" x14ac:dyDescent="0.3">
      <c r="A163" s="40" t="s">
        <v>18</v>
      </c>
      <c r="B163" s="40"/>
      <c r="C163" s="40"/>
      <c r="D163" s="66">
        <f>LUCK!D133</f>
        <v>0.11598113408973314</v>
      </c>
      <c r="E163" s="66">
        <f>LUCK!E133</f>
        <v>0.10809497435976413</v>
      </c>
      <c r="F163" s="66">
        <f>LUCK!F133</f>
        <v>9.1352761839314733E-2</v>
      </c>
      <c r="G163" s="66">
        <f>LUCK!G133</f>
        <v>0.17349944050776198</v>
      </c>
      <c r="H163" s="66">
        <f>LUCK!H133</f>
        <v>0.17586014458599655</v>
      </c>
    </row>
    <row r="164" spans="1:8" ht="24" customHeight="1" x14ac:dyDescent="0.3">
      <c r="A164" s="40" t="s">
        <v>23</v>
      </c>
      <c r="B164" s="40"/>
      <c r="C164" s="40"/>
      <c r="D164" s="66">
        <f>DGKC!D133</f>
        <v>5.0926469503026137E-2</v>
      </c>
      <c r="E164" s="66">
        <f>DGKC!E133</f>
        <v>4.0571100495840479E-2</v>
      </c>
      <c r="F164" s="66" t="str">
        <f>DGKC!F133</f>
        <v>n/m</v>
      </c>
      <c r="G164" s="66">
        <f>DGKC!G133</f>
        <v>1.8666945531428475E-2</v>
      </c>
      <c r="H164" s="66">
        <f>DGKC!H133</f>
        <v>9.6256924504903307E-2</v>
      </c>
    </row>
    <row r="165" spans="1:8" ht="24" customHeight="1" x14ac:dyDescent="0.3">
      <c r="A165" s="40" t="s">
        <v>27</v>
      </c>
      <c r="B165" s="40"/>
      <c r="C165" s="40"/>
      <c r="D165" s="66">
        <f>MLCF!D133</f>
        <v>0.13938409686265396</v>
      </c>
      <c r="E165" s="66">
        <f>MLCF!E133</f>
        <v>6.8354987715222609E-2</v>
      </c>
      <c r="F165" s="66">
        <f>MLCF!F133</f>
        <v>8.9438322458184685E-2</v>
      </c>
      <c r="G165" s="66">
        <f>MLCF!G133</f>
        <v>0.10647533565261356</v>
      </c>
      <c r="H165" s="66">
        <f>MLCF!H133</f>
        <v>0.22920346694221672</v>
      </c>
    </row>
    <row r="166" spans="1:8" ht="24" customHeight="1" x14ac:dyDescent="0.3">
      <c r="A166" s="40" t="s">
        <v>31</v>
      </c>
      <c r="B166" s="40"/>
      <c r="C166" s="40"/>
      <c r="D166" s="66">
        <f>FCCL!D133</f>
        <v>0.13674299962769382</v>
      </c>
      <c r="E166" s="66">
        <f>FCCL!E133</f>
        <v>9.2363746892435927E-2</v>
      </c>
      <c r="F166" s="66">
        <f>FCCL!F133</f>
        <v>8.4602379259019547E-2</v>
      </c>
      <c r="G166" s="66">
        <f>FCCL!G133</f>
        <v>0.10165844956887071</v>
      </c>
      <c r="H166" s="66">
        <f>FCCL!H133</f>
        <v>0.13546184028270253</v>
      </c>
    </row>
    <row r="167" spans="1:8" ht="30" customHeight="1" x14ac:dyDescent="0.3">
      <c r="A167" s="56" t="s">
        <v>296</v>
      </c>
      <c r="B167" s="56"/>
      <c r="C167" s="70" t="str">
        <f>"N (FY21-25): "&amp;COUNT(D162:D166)&amp;","&amp;COUNT(E162:E166)&amp;","&amp;COUNT(F162:F166)&amp;","&amp;COUNT(G162:G166)&amp;","&amp;COUNT(H162:H166)</f>
        <v>N (FY21-25): 5,5,4,5,5</v>
      </c>
      <c r="D167" s="67">
        <f>IF(COUNT(D162:D166)=0,"n/m",AVERAGE(D162:D166))</f>
        <v>0.11582938412148427</v>
      </c>
      <c r="E167" s="67">
        <f>IF(COUNT(E162:E166)=0,"n/m",AVERAGE(E162:E166))</f>
        <v>9.5621637766134665E-2</v>
      </c>
      <c r="F167" s="67">
        <f>IF(COUNT(F162:F166)=0,"n/m",AVERAGE(F162:F166))</f>
        <v>0.10965800159893987</v>
      </c>
      <c r="G167" s="67">
        <f>IF(COUNT(G162:G166)=0,"n/m",AVERAGE(G162:G166))</f>
        <v>0.12312147101469621</v>
      </c>
      <c r="H167" s="67">
        <f>IF(COUNT(H162:H166)=0,"n/m",AVERAGE(H162:H166))</f>
        <v>0.1742703740611434</v>
      </c>
    </row>
    <row r="168" spans="1:8" ht="24" customHeight="1" x14ac:dyDescent="0.3">
      <c r="A168" s="40"/>
      <c r="B168" s="40"/>
      <c r="C168" s="40"/>
      <c r="D168" s="61"/>
      <c r="E168" s="61"/>
      <c r="F168" s="61"/>
      <c r="G168" s="61"/>
      <c r="H168" s="61"/>
    </row>
    <row r="169" spans="1:8" ht="34.049999999999997" customHeight="1" x14ac:dyDescent="0.3">
      <c r="A169" s="54" t="s">
        <v>232</v>
      </c>
      <c r="B169" s="55" t="s">
        <v>233</v>
      </c>
      <c r="C169" s="55" t="s">
        <v>234</v>
      </c>
      <c r="D169" s="58"/>
      <c r="E169" s="58"/>
      <c r="F169" s="58"/>
      <c r="G169" s="58"/>
      <c r="H169" s="58"/>
    </row>
    <row r="170" spans="1:8" ht="24" customHeight="1" x14ac:dyDescent="0.3">
      <c r="A170" s="40" t="s">
        <v>13</v>
      </c>
      <c r="B170" s="40"/>
      <c r="C170" s="40"/>
      <c r="D170" s="66">
        <f>KOHC!D134</f>
        <v>0.14898081420954101</v>
      </c>
      <c r="E170" s="66">
        <f>KOHC!E134</f>
        <v>0.21777808611792054</v>
      </c>
      <c r="F170" s="66">
        <f>KOHC!F134</f>
        <v>0.22517411964912432</v>
      </c>
      <c r="G170" s="66">
        <f>KOHC!G134</f>
        <v>0.24509961902567451</v>
      </c>
      <c r="H170" s="66">
        <f>KOHC!H134</f>
        <v>0.2702780173662766</v>
      </c>
    </row>
    <row r="171" spans="1:8" ht="24" customHeight="1" x14ac:dyDescent="0.3">
      <c r="A171" s="40" t="s">
        <v>18</v>
      </c>
      <c r="B171" s="40"/>
      <c r="C171" s="40"/>
      <c r="D171" s="66">
        <f>LUCK!D134</f>
        <v>0.11079703731315671</v>
      </c>
      <c r="E171" s="66">
        <f>LUCK!E134</f>
        <v>0.11794695989186292</v>
      </c>
      <c r="F171" s="66">
        <f>LUCK!F134</f>
        <v>0.10560432010902317</v>
      </c>
      <c r="G171" s="66">
        <f>LUCK!G134</f>
        <v>0.18352469674459784</v>
      </c>
      <c r="H171" s="66">
        <f>LUCK!H134</f>
        <v>0.18237850153944901</v>
      </c>
    </row>
    <row r="172" spans="1:8" ht="24" customHeight="1" x14ac:dyDescent="0.3">
      <c r="A172" s="40" t="s">
        <v>23</v>
      </c>
      <c r="B172" s="40"/>
      <c r="C172" s="40"/>
      <c r="D172" s="66">
        <f>DGKC!D134</f>
        <v>5.5531606121154903E-2</v>
      </c>
      <c r="E172" s="66">
        <f>DGKC!E134</f>
        <v>7.0037177908325046E-2</v>
      </c>
      <c r="F172" s="66">
        <f>DGKC!F134</f>
        <v>7.3239578935566346E-2</v>
      </c>
      <c r="G172" s="66">
        <f>DGKC!G134</f>
        <v>7.7781763576617868E-2</v>
      </c>
      <c r="H172" s="66">
        <f>DGKC!H134</f>
        <v>0.11527453270527682</v>
      </c>
    </row>
    <row r="173" spans="1:8" ht="24" customHeight="1" x14ac:dyDescent="0.3">
      <c r="A173" s="40" t="s">
        <v>27</v>
      </c>
      <c r="B173" s="40"/>
      <c r="C173" s="40"/>
      <c r="D173" s="66">
        <f>MLCF!D134</f>
        <v>0.13189876556323574</v>
      </c>
      <c r="E173" s="66">
        <f>MLCF!E134</f>
        <v>0.10793191347335213</v>
      </c>
      <c r="F173" s="66">
        <f>MLCF!F134</f>
        <v>0.13303028097551164</v>
      </c>
      <c r="G173" s="66">
        <f>MLCF!G134</f>
        <v>0.13069771915820996</v>
      </c>
      <c r="H173" s="66">
        <f>MLCF!H134</f>
        <v>0.21055306987152678</v>
      </c>
    </row>
    <row r="174" spans="1:8" ht="24" customHeight="1" x14ac:dyDescent="0.3">
      <c r="A174" s="40" t="s">
        <v>31</v>
      </c>
      <c r="B174" s="40"/>
      <c r="C174" s="40"/>
      <c r="D174" s="66">
        <f>FCCL!D134</f>
        <v>0.15270083184857988</v>
      </c>
      <c r="E174" s="66">
        <f>FCCL!E134</f>
        <v>0.11014537211566031</v>
      </c>
      <c r="F174" s="66">
        <f>FCCL!F134</f>
        <v>0.11182804204816831</v>
      </c>
      <c r="G174" s="66">
        <f>FCCL!G134</f>
        <v>0.14141976696394967</v>
      </c>
      <c r="H174" s="66">
        <f>FCCL!H134</f>
        <v>0.16910544748583739</v>
      </c>
    </row>
    <row r="175" spans="1:8" ht="24" customHeight="1" x14ac:dyDescent="0.3">
      <c r="A175" s="56" t="s">
        <v>296</v>
      </c>
      <c r="B175" s="56"/>
      <c r="C175" s="56"/>
      <c r="D175" s="67">
        <f>IF(COUNT(D170:D174)=0,"n/m",AVERAGE(D170:D174))</f>
        <v>0.11998181101113366</v>
      </c>
      <c r="E175" s="67">
        <f>IF(COUNT(E170:E174)=0,"n/m",AVERAGE(E170:E174))</f>
        <v>0.1247679019014242</v>
      </c>
      <c r="F175" s="67">
        <f>IF(COUNT(F170:F174)=0,"n/m",AVERAGE(F170:F174))</f>
        <v>0.12977526834347874</v>
      </c>
      <c r="G175" s="67">
        <f>IF(COUNT(G170:G174)=0,"n/m",AVERAGE(G170:G174))</f>
        <v>0.15570471309380998</v>
      </c>
      <c r="H175" s="67">
        <f>IF(COUNT(H170:H174)=0,"n/m",AVERAGE(H170:H174))</f>
        <v>0.18951791379367333</v>
      </c>
    </row>
    <row r="176" spans="1:8" ht="24" customHeight="1" x14ac:dyDescent="0.3">
      <c r="A176" s="40"/>
      <c r="B176" s="40"/>
      <c r="C176" s="40"/>
      <c r="D176" s="61"/>
      <c r="E176" s="61"/>
      <c r="F176" s="61"/>
      <c r="G176" s="61"/>
      <c r="H176" s="61"/>
    </row>
    <row r="177" spans="1:8" ht="22.95" customHeight="1" x14ac:dyDescent="0.3">
      <c r="A177" s="91" t="s">
        <v>300</v>
      </c>
      <c r="B177" s="91"/>
      <c r="C177" s="91"/>
      <c r="D177" s="93"/>
      <c r="E177" s="93"/>
      <c r="F177" s="93"/>
      <c r="G177" s="93"/>
      <c r="H177" s="93"/>
    </row>
    <row r="178" spans="1:8" ht="34.049999999999997" customHeight="1" x14ac:dyDescent="0.3">
      <c r="A178" s="54" t="s">
        <v>236</v>
      </c>
      <c r="B178" s="55" t="s">
        <v>237</v>
      </c>
      <c r="C178" s="55" t="s">
        <v>238</v>
      </c>
      <c r="D178" s="58"/>
      <c r="E178" s="58"/>
      <c r="F178" s="58"/>
      <c r="G178" s="58"/>
      <c r="H178" s="58"/>
    </row>
    <row r="179" spans="1:8" ht="24" customHeight="1" x14ac:dyDescent="0.3">
      <c r="A179" s="40" t="s">
        <v>13</v>
      </c>
      <c r="B179" s="40"/>
      <c r="C179" s="40"/>
      <c r="D179" s="68">
        <f>KOHC!D136</f>
        <v>17.412549352402124</v>
      </c>
      <c r="E179" s="68">
        <f>KOHC!E136</f>
        <v>25.013680261160516</v>
      </c>
      <c r="F179" s="68">
        <f>KOHC!F136</f>
        <v>28.978958275869324</v>
      </c>
      <c r="G179" s="68">
        <f>KOHC!G136</f>
        <v>45.274272678614977</v>
      </c>
      <c r="H179" s="68">
        <f>KOHC!H136</f>
        <v>59.842054600869929</v>
      </c>
    </row>
    <row r="180" spans="1:8" ht="24" customHeight="1" x14ac:dyDescent="0.3">
      <c r="A180" s="40" t="s">
        <v>18</v>
      </c>
      <c r="B180" s="40"/>
      <c r="C180" s="40"/>
      <c r="D180" s="68">
        <f>LUCK!D136</f>
        <v>43.510441437959038</v>
      </c>
      <c r="E180" s="68">
        <f>LUCK!E136</f>
        <v>47.309216853498242</v>
      </c>
      <c r="F180" s="68">
        <f>LUCK!F136</f>
        <v>43.061512349842658</v>
      </c>
      <c r="G180" s="68">
        <f>LUCK!G136</f>
        <v>94.540589177116431</v>
      </c>
      <c r="H180" s="68">
        <f>LUCK!H136</f>
        <v>22.588506484641641</v>
      </c>
    </row>
    <row r="181" spans="1:8" ht="24" customHeight="1" x14ac:dyDescent="0.3">
      <c r="A181" s="40" t="s">
        <v>23</v>
      </c>
      <c r="B181" s="40"/>
      <c r="C181" s="40"/>
      <c r="D181" s="68">
        <f>DGKC!D136</f>
        <v>8.4937471274650029</v>
      </c>
      <c r="E181" s="68">
        <f>DGKC!E136</f>
        <v>6.7838445707817723</v>
      </c>
      <c r="F181" s="68" t="str">
        <f>DGKC!F136</f>
        <v>n/m</v>
      </c>
      <c r="G181" s="68">
        <f>DGKC!G136</f>
        <v>1.2380103440270365</v>
      </c>
      <c r="H181" s="68">
        <f>DGKC!H136</f>
        <v>19.800685803443983</v>
      </c>
    </row>
    <row r="182" spans="1:8" ht="24" customHeight="1" x14ac:dyDescent="0.3">
      <c r="A182" s="40" t="s">
        <v>27</v>
      </c>
      <c r="B182" s="40"/>
      <c r="C182" s="40"/>
      <c r="D182" s="68">
        <f>MLCF!D136</f>
        <v>5.6941155155115029</v>
      </c>
      <c r="E182" s="68">
        <f>MLCF!E136</f>
        <v>3.3041099784606085</v>
      </c>
      <c r="F182" s="68">
        <f>MLCF!F136</f>
        <v>4.1845053824045904</v>
      </c>
      <c r="G182" s="68">
        <f>MLCF!G136</f>
        <v>4.9791974962957211</v>
      </c>
      <c r="H182" s="68">
        <f>MLCF!H136</f>
        <v>16.262863426829693</v>
      </c>
    </row>
    <row r="183" spans="1:8" ht="24" customHeight="1" x14ac:dyDescent="0.3">
      <c r="A183" s="40" t="s">
        <v>31</v>
      </c>
      <c r="B183" s="40"/>
      <c r="C183" s="40"/>
      <c r="D183" s="68">
        <f>FCCL!D136</f>
        <v>2.5158090033808875</v>
      </c>
      <c r="E183" s="68">
        <f>FCCL!E136</f>
        <v>3.2621706372812294</v>
      </c>
      <c r="F183" s="68">
        <f>FCCL!F136</f>
        <v>3.0330791851886794</v>
      </c>
      <c r="G183" s="68">
        <f>FCCL!G136</f>
        <v>3.3524781610919856</v>
      </c>
      <c r="H183" s="68">
        <f>FCCL!H136</f>
        <v>5.4329528095311241</v>
      </c>
    </row>
    <row r="184" spans="1:8" ht="30" customHeight="1" x14ac:dyDescent="0.3">
      <c r="A184" s="56" t="s">
        <v>296</v>
      </c>
      <c r="B184" s="56"/>
      <c r="C184" s="70" t="str">
        <f>"N (FY21-25): "&amp;COUNT(D179:D183)&amp;","&amp;COUNT(E179:E183)&amp;","&amp;COUNT(F179:F183)&amp;","&amp;COUNT(G179:G183)&amp;","&amp;COUNT(H179:H183)</f>
        <v>N (FY21-25): 5,5,4,5,5</v>
      </c>
      <c r="D184" s="69">
        <f>IF(COUNT(D179:D183)=0,"n/m",AVERAGE(D179:D183))</f>
        <v>15.525332487343713</v>
      </c>
      <c r="E184" s="69">
        <f>IF(COUNT(E179:E183)=0,"n/m",AVERAGE(E179:E183))</f>
        <v>17.134604460236471</v>
      </c>
      <c r="F184" s="69">
        <f>IF(COUNT(F179:F183)=0,"n/m",AVERAGE(F179:F183))</f>
        <v>19.814513798326313</v>
      </c>
      <c r="G184" s="69">
        <f>IF(COUNT(G179:G183)=0,"n/m",AVERAGE(G179:G183))</f>
        <v>29.876909571429231</v>
      </c>
      <c r="H184" s="69">
        <f>IF(COUNT(H179:H183)=0,"n/m",AVERAGE(H179:H183))</f>
        <v>24.785412625063277</v>
      </c>
    </row>
    <row r="185" spans="1:8" ht="24" customHeight="1" x14ac:dyDescent="0.3">
      <c r="A185" s="40"/>
      <c r="B185" s="40"/>
      <c r="C185" s="40"/>
      <c r="D185" s="61"/>
      <c r="E185" s="61"/>
      <c r="F185" s="61"/>
      <c r="G185" s="61"/>
      <c r="H185" s="61"/>
    </row>
    <row r="186" spans="1:8" ht="34.049999999999997" customHeight="1" x14ac:dyDescent="0.3">
      <c r="A186" s="54" t="s">
        <v>239</v>
      </c>
      <c r="B186" s="55" t="s">
        <v>240</v>
      </c>
      <c r="C186" s="55" t="s">
        <v>241</v>
      </c>
      <c r="D186" s="58"/>
      <c r="E186" s="58"/>
      <c r="F186" s="58"/>
      <c r="G186" s="58"/>
      <c r="H186" s="58"/>
    </row>
    <row r="187" spans="1:8" ht="24" customHeight="1" x14ac:dyDescent="0.3">
      <c r="A187" s="40" t="s">
        <v>13</v>
      </c>
      <c r="B187" s="40"/>
      <c r="C187" s="40"/>
      <c r="D187" s="68">
        <f>KOHC!D137</f>
        <v>110.64122209168052</v>
      </c>
      <c r="E187" s="68">
        <f>KOHC!E137</f>
        <v>135.64693964412666</v>
      </c>
      <c r="F187" s="68">
        <f>KOHC!F137</f>
        <v>162.35106244484723</v>
      </c>
      <c r="G187" s="68">
        <f>KOHC!G137</f>
        <v>209.79287853383309</v>
      </c>
      <c r="H187" s="68">
        <f>KOHC!H137</f>
        <v>260.8226721418157</v>
      </c>
    </row>
    <row r="188" spans="1:8" ht="24" customHeight="1" x14ac:dyDescent="0.3">
      <c r="A188" s="40" t="s">
        <v>18</v>
      </c>
      <c r="B188" s="40"/>
      <c r="C188" s="40"/>
      <c r="D188" s="68">
        <f>LUCK!D137</f>
        <v>350.05878005411677</v>
      </c>
      <c r="E188" s="68">
        <f>LUCK!E137</f>
        <v>397.49617008117508</v>
      </c>
      <c r="F188" s="68">
        <f>LUCK!F137</f>
        <v>440.50456229600826</v>
      </c>
      <c r="G188" s="68">
        <f>LUCK!G137</f>
        <v>504.3046996587031</v>
      </c>
      <c r="H188" s="68">
        <f>LUCK!H137</f>
        <v>120.07535836177475</v>
      </c>
    </row>
    <row r="189" spans="1:8" ht="24" customHeight="1" x14ac:dyDescent="0.3">
      <c r="A189" s="40" t="s">
        <v>23</v>
      </c>
      <c r="B189" s="40"/>
      <c r="C189" s="40"/>
      <c r="D189" s="68">
        <f>DGKC!D137</f>
        <v>167.71209700741193</v>
      </c>
      <c r="E189" s="68">
        <f>DGKC!E137</f>
        <v>159.58697532246367</v>
      </c>
      <c r="F189" s="68">
        <f>DGKC!F137</f>
        <v>146.51786922779672</v>
      </c>
      <c r="G189" s="68">
        <f>DGKC!G137</f>
        <v>173.12082034314415</v>
      </c>
      <c r="H189" s="68">
        <f>DGKC!H137</f>
        <v>216.07703932560804</v>
      </c>
    </row>
    <row r="190" spans="1:8" ht="24" customHeight="1" x14ac:dyDescent="0.3">
      <c r="A190" s="40" t="s">
        <v>27</v>
      </c>
      <c r="B190" s="40"/>
      <c r="C190" s="40"/>
      <c r="D190" s="68">
        <f>MLCF!D137</f>
        <v>34.180972265393187</v>
      </c>
      <c r="E190" s="68">
        <f>MLCF!E137</f>
        <v>37.561557627459578</v>
      </c>
      <c r="F190" s="68">
        <f>MLCF!F137</f>
        <v>41.844014540695262</v>
      </c>
      <c r="G190" s="68">
        <f>MLCF!G137</f>
        <v>50.226982139301263</v>
      </c>
      <c r="H190" s="68">
        <f>MLCF!H137</f>
        <v>68.217013474898792</v>
      </c>
    </row>
    <row r="191" spans="1:8" ht="24" customHeight="1" x14ac:dyDescent="0.3">
      <c r="A191" s="40" t="s">
        <v>31</v>
      </c>
      <c r="B191" s="40"/>
      <c r="C191" s="40"/>
      <c r="D191" s="68">
        <f>FCCL!D137</f>
        <v>16.868689643176804</v>
      </c>
      <c r="E191" s="68">
        <f>FCCL!E137</f>
        <v>26.480675904195227</v>
      </c>
      <c r="F191" s="68">
        <f>FCCL!F137</f>
        <v>26.571458006604239</v>
      </c>
      <c r="G191" s="68">
        <f>FCCL!G137</f>
        <v>29.923935347634316</v>
      </c>
      <c r="H191" s="68">
        <f>FCCL!H137</f>
        <v>34.356887072804682</v>
      </c>
    </row>
    <row r="192" spans="1:8" ht="24" customHeight="1" x14ac:dyDescent="0.3">
      <c r="A192" s="56" t="s">
        <v>296</v>
      </c>
      <c r="B192" s="56"/>
      <c r="C192" s="56"/>
      <c r="D192" s="69">
        <f>IF(COUNT(D187:D191)=0,"n/m",AVERAGE(D187:D191))</f>
        <v>135.89235221235583</v>
      </c>
      <c r="E192" s="69">
        <f>IF(COUNT(E187:E191)=0,"n/m",AVERAGE(E187:E191))</f>
        <v>151.35446371588404</v>
      </c>
      <c r="F192" s="69">
        <f>IF(COUNT(F187:F191)=0,"n/m",AVERAGE(F187:F191))</f>
        <v>163.55779330319035</v>
      </c>
      <c r="G192" s="69">
        <f>IF(COUNT(G187:G191)=0,"n/m",AVERAGE(G187:G191))</f>
        <v>193.47386320452318</v>
      </c>
      <c r="H192" s="69">
        <f>IF(COUNT(H187:H191)=0,"n/m",AVERAGE(H187:H191))</f>
        <v>139.90979407538038</v>
      </c>
    </row>
    <row r="193" spans="1:8" ht="24" customHeight="1" x14ac:dyDescent="0.3">
      <c r="A193" s="40"/>
      <c r="B193" s="40"/>
      <c r="C193" s="40"/>
      <c r="D193" s="61"/>
      <c r="E193" s="61"/>
      <c r="F193" s="61"/>
      <c r="G193" s="61"/>
      <c r="H193" s="61"/>
    </row>
    <row r="194" spans="1:8" ht="34.049999999999997" customHeight="1" x14ac:dyDescent="0.3">
      <c r="A194" s="54" t="s">
        <v>242</v>
      </c>
      <c r="B194" s="55" t="s">
        <v>243</v>
      </c>
      <c r="C194" s="55" t="s">
        <v>244</v>
      </c>
      <c r="D194" s="58"/>
      <c r="E194" s="58"/>
      <c r="F194" s="58"/>
      <c r="G194" s="58"/>
      <c r="H194" s="58"/>
    </row>
    <row r="195" spans="1:8" ht="24" customHeight="1" x14ac:dyDescent="0.3">
      <c r="A195" s="40" t="s">
        <v>13</v>
      </c>
      <c r="B195" s="40"/>
      <c r="C195" s="40"/>
      <c r="D195" s="59">
        <f>KOHC!D138</f>
        <v>11.858688571154802</v>
      </c>
      <c r="E195" s="59">
        <f>KOHC!E138</f>
        <v>5.2023532179731546</v>
      </c>
      <c r="F195" s="59">
        <f>KOHC!F138</f>
        <v>5.9860674889907219</v>
      </c>
      <c r="G195" s="59">
        <f>KOHC!G138</f>
        <v>5.5313975285193058</v>
      </c>
      <c r="H195" s="59">
        <f>KOHC!H138</f>
        <v>6.3393545313613817</v>
      </c>
    </row>
    <row r="196" spans="1:8" ht="24" customHeight="1" x14ac:dyDescent="0.3">
      <c r="A196" s="40" t="s">
        <v>18</v>
      </c>
      <c r="B196" s="40"/>
      <c r="C196" s="40"/>
      <c r="D196" s="59">
        <f>LUCK!D138</f>
        <v>19.844432082610968</v>
      </c>
      <c r="E196" s="59">
        <f>LUCK!E138</f>
        <v>9.7029718632101325</v>
      </c>
      <c r="F196" s="59">
        <f>LUCK!F138</f>
        <v>12.124283879265743</v>
      </c>
      <c r="G196" s="59">
        <f>LUCK!G138</f>
        <v>9.5909070156236584</v>
      </c>
      <c r="H196" s="59">
        <f>LUCK!H138</f>
        <v>15.726582022655393</v>
      </c>
    </row>
    <row r="197" spans="1:8" ht="24" customHeight="1" x14ac:dyDescent="0.3">
      <c r="A197" s="40" t="s">
        <v>23</v>
      </c>
      <c r="B197" s="40"/>
      <c r="C197" s="40"/>
      <c r="D197" s="59">
        <f>DGKC!D138</f>
        <v>13.883154069739035</v>
      </c>
      <c r="E197" s="59">
        <f>DGKC!E138</f>
        <v>9.2130648554640278</v>
      </c>
      <c r="F197" s="59" t="str">
        <f>DGKC!F138</f>
        <v>n/m</v>
      </c>
      <c r="G197" s="59">
        <f>DGKC!G138</f>
        <v>72.91538429829842</v>
      </c>
      <c r="H197" s="59">
        <f>DGKC!H138</f>
        <v>8.3613265542147914</v>
      </c>
    </row>
    <row r="198" spans="1:8" ht="24" customHeight="1" x14ac:dyDescent="0.3">
      <c r="A198" s="40" t="s">
        <v>27</v>
      </c>
      <c r="B198" s="40"/>
      <c r="C198" s="40"/>
      <c r="D198" s="59">
        <f>MLCF!D138</f>
        <v>8.2506229232653325</v>
      </c>
      <c r="E198" s="59">
        <f>MLCF!E138</f>
        <v>8.2775695053414715</v>
      </c>
      <c r="F198" s="59">
        <f>MLCF!F138</f>
        <v>6.7702147353244424</v>
      </c>
      <c r="G198" s="59">
        <f>MLCF!G138</f>
        <v>7.6317519094733912</v>
      </c>
      <c r="H198" s="59">
        <f>MLCF!H138</f>
        <v>5.1823592062489379</v>
      </c>
    </row>
    <row r="199" spans="1:8" ht="24" customHeight="1" x14ac:dyDescent="0.3">
      <c r="A199" s="40" t="s">
        <v>31</v>
      </c>
      <c r="B199" s="40"/>
      <c r="C199" s="40"/>
      <c r="D199" s="59">
        <f>FCCL!D138</f>
        <v>9.1421884447870596</v>
      </c>
      <c r="E199" s="59">
        <f>FCCL!E138</f>
        <v>4.3437335368236942</v>
      </c>
      <c r="F199" s="59">
        <f>FCCL!F138</f>
        <v>3.877247932539039</v>
      </c>
      <c r="G199" s="59">
        <f>FCCL!G138</f>
        <v>6.8337507059367812</v>
      </c>
      <c r="H199" s="59">
        <f>FCCL!H138</f>
        <v>8.2220482242427426</v>
      </c>
    </row>
    <row r="200" spans="1:8" ht="30" customHeight="1" x14ac:dyDescent="0.3">
      <c r="A200" s="56" t="s">
        <v>296</v>
      </c>
      <c r="B200" s="56"/>
      <c r="C200" s="70" t="str">
        <f>"N (FY21-25): "&amp;COUNT(D195:D199)&amp;","&amp;COUNT(E195:E199)&amp;","&amp;COUNT(F195:F199)&amp;","&amp;COUNT(G195:G199)&amp;","&amp;COUNT(H195:H199)</f>
        <v>N (FY21-25): 5,5,4,5,5</v>
      </c>
      <c r="D200" s="60">
        <f>IF(COUNT(D195:D199)=0,"n/m",AVERAGE(D195:D199))</f>
        <v>12.59581721831144</v>
      </c>
      <c r="E200" s="60">
        <f>IF(COUNT(E195:E199)=0,"n/m",AVERAGE(E195:E199))</f>
        <v>7.3479385957624954</v>
      </c>
      <c r="F200" s="60">
        <f>IF(COUNT(F195:F199)=0,"n/m",AVERAGE(F195:F199))</f>
        <v>7.1894535090299874</v>
      </c>
      <c r="G200" s="60">
        <f>IF(COUNT(G195:G199)=0,"n/m",AVERAGE(G195:G199))</f>
        <v>20.500638291570311</v>
      </c>
      <c r="H200" s="60">
        <f>IF(COUNT(H195:H199)=0,"n/m",AVERAGE(H195:H199))</f>
        <v>8.7663341077446493</v>
      </c>
    </row>
    <row r="201" spans="1:8" ht="24" customHeight="1" x14ac:dyDescent="0.3">
      <c r="A201" s="40"/>
      <c r="B201" s="40"/>
      <c r="C201" s="40"/>
      <c r="D201" s="61"/>
      <c r="E201" s="61"/>
      <c r="F201" s="61"/>
      <c r="G201" s="61"/>
      <c r="H201" s="61"/>
    </row>
    <row r="202" spans="1:8" ht="34.049999999999997" customHeight="1" x14ac:dyDescent="0.3">
      <c r="A202" s="54" t="s">
        <v>245</v>
      </c>
      <c r="B202" s="55" t="s">
        <v>246</v>
      </c>
      <c r="C202" s="55" t="s">
        <v>247</v>
      </c>
      <c r="D202" s="58"/>
      <c r="E202" s="58"/>
      <c r="F202" s="58"/>
      <c r="G202" s="58"/>
      <c r="H202" s="58"/>
    </row>
    <row r="203" spans="1:8" ht="24" customHeight="1" x14ac:dyDescent="0.3">
      <c r="A203" s="40" t="s">
        <v>13</v>
      </c>
      <c r="B203" s="40"/>
      <c r="C203" s="40"/>
      <c r="D203" s="59">
        <f>KOHC!D139</f>
        <v>1.8663025958706099</v>
      </c>
      <c r="E203" s="59">
        <f>KOHC!E139</f>
        <v>0.95932868328175702</v>
      </c>
      <c r="F203" s="59">
        <f>KOHC!F139</f>
        <v>1.0684870021034203</v>
      </c>
      <c r="G203" s="59">
        <f>KOHC!G139</f>
        <v>1.1937011482475723</v>
      </c>
      <c r="H203" s="59">
        <f>KOHC!H139</f>
        <v>1.4544747850514033</v>
      </c>
    </row>
    <row r="204" spans="1:8" ht="24" customHeight="1" x14ac:dyDescent="0.3">
      <c r="A204" s="40" t="s">
        <v>18</v>
      </c>
      <c r="B204" s="40"/>
      <c r="C204" s="40"/>
      <c r="D204" s="59">
        <f>LUCK!D139</f>
        <v>2.4665571875286716</v>
      </c>
      <c r="E204" s="59">
        <f>LUCK!E139</f>
        <v>1.1548287368561481</v>
      </c>
      <c r="F204" s="59">
        <f>LUCK!F139</f>
        <v>1.1852090640758639</v>
      </c>
      <c r="G204" s="59">
        <f>LUCK!G139</f>
        <v>1.7979804681845026</v>
      </c>
      <c r="H204" s="59">
        <f>LUCK!H139</f>
        <v>2.9584754511387614</v>
      </c>
    </row>
    <row r="205" spans="1:8" ht="24" customHeight="1" x14ac:dyDescent="0.3">
      <c r="A205" s="40" t="s">
        <v>23</v>
      </c>
      <c r="B205" s="40"/>
      <c r="C205" s="40"/>
      <c r="D205" s="59">
        <f>DGKC!D139</f>
        <v>0.7031096868032638</v>
      </c>
      <c r="E205" s="59">
        <f>DGKC!E139</f>
        <v>0.39163597075332512</v>
      </c>
      <c r="F205" s="59">
        <f>DGKC!F139</f>
        <v>0.35012794187063967</v>
      </c>
      <c r="G205" s="59">
        <f>DGKC!G139</f>
        <v>0.52142775098382221</v>
      </c>
      <c r="H205" s="59">
        <f>DGKC!H139</f>
        <v>0.76620820294800718</v>
      </c>
    </row>
    <row r="206" spans="1:8" ht="24" customHeight="1" x14ac:dyDescent="0.3">
      <c r="A206" s="40" t="s">
        <v>27</v>
      </c>
      <c r="B206" s="40"/>
      <c r="C206" s="40"/>
      <c r="D206" s="59">
        <f>MLCF!D139</f>
        <v>1.3744489078669448</v>
      </c>
      <c r="E206" s="59">
        <f>MLCF!E139</f>
        <v>0.72813806794864222</v>
      </c>
      <c r="F206" s="59">
        <f>MLCF!F139</f>
        <v>0.67703828877240613</v>
      </c>
      <c r="G206" s="59">
        <f>MLCF!G139</f>
        <v>0.75656546305349337</v>
      </c>
      <c r="H206" s="59">
        <f>MLCF!H139</f>
        <v>1.2354689205356633</v>
      </c>
    </row>
    <row r="207" spans="1:8" ht="24" customHeight="1" x14ac:dyDescent="0.3">
      <c r="A207" s="40" t="s">
        <v>31</v>
      </c>
      <c r="B207" s="40"/>
      <c r="C207" s="40"/>
      <c r="D207" s="59">
        <f>FCCL!D139</f>
        <v>1.3634728296339984</v>
      </c>
      <c r="E207" s="59">
        <f>FCCL!E139</f>
        <v>0.53510718726613404</v>
      </c>
      <c r="F207" s="59">
        <f>FCCL!F139</f>
        <v>0.44258015488186969</v>
      </c>
      <c r="G207" s="59">
        <f>FCCL!G139</f>
        <v>0.76560785651514207</v>
      </c>
      <c r="H207" s="59">
        <f>FCCL!H139</f>
        <v>1.3001759998029245</v>
      </c>
    </row>
    <row r="208" spans="1:8" ht="24" customHeight="1" x14ac:dyDescent="0.3">
      <c r="A208" s="56" t="s">
        <v>296</v>
      </c>
      <c r="B208" s="56"/>
      <c r="C208" s="56"/>
      <c r="D208" s="60">
        <f>IF(COUNT(D203:D207)=0,"n/m",AVERAGE(D203:D207))</f>
        <v>1.5547782415406979</v>
      </c>
      <c r="E208" s="60">
        <f>IF(COUNT(E203:E207)=0,"n/m",AVERAGE(E203:E207))</f>
        <v>0.75380772922120132</v>
      </c>
      <c r="F208" s="60">
        <f>IF(COUNT(F203:F207)=0,"n/m",AVERAGE(F203:F207))</f>
        <v>0.74468849034083984</v>
      </c>
      <c r="G208" s="60">
        <f>IF(COUNT(G203:G207)=0,"n/m",AVERAGE(G203:G207))</f>
        <v>1.0070565373969065</v>
      </c>
      <c r="H208" s="60">
        <f>IF(COUNT(H203:H207)=0,"n/m",AVERAGE(H203:H207))</f>
        <v>1.5429606718953519</v>
      </c>
    </row>
    <row r="209" spans="1:8" ht="24" customHeight="1" x14ac:dyDescent="0.3">
      <c r="A209" s="40"/>
      <c r="B209" s="40"/>
      <c r="C209" s="40"/>
      <c r="D209" s="61"/>
      <c r="E209" s="61"/>
      <c r="F209" s="61"/>
      <c r="G209" s="61"/>
      <c r="H209" s="61"/>
    </row>
    <row r="210" spans="1:8" ht="34.049999999999997" customHeight="1" x14ac:dyDescent="0.3">
      <c r="A210" s="54" t="s">
        <v>248</v>
      </c>
      <c r="B210" s="55" t="s">
        <v>249</v>
      </c>
      <c r="C210" s="55" t="s">
        <v>301</v>
      </c>
      <c r="D210" s="58"/>
      <c r="E210" s="58"/>
      <c r="F210" s="58"/>
      <c r="G210" s="58"/>
      <c r="H210" s="58"/>
    </row>
    <row r="211" spans="1:8" ht="34.049999999999997" customHeight="1" x14ac:dyDescent="0.3">
      <c r="A211" s="40" t="s">
        <v>13</v>
      </c>
      <c r="B211" s="40"/>
      <c r="C211" s="76" t="s">
        <v>308</v>
      </c>
      <c r="D211" s="75">
        <f>KOHC!D140</f>
        <v>0</v>
      </c>
      <c r="E211" s="75">
        <f>KOHC!E140</f>
        <v>0</v>
      </c>
      <c r="F211" s="75">
        <f>KOHC!F140</f>
        <v>0</v>
      </c>
      <c r="G211" s="75">
        <f>KOHC!G140</f>
        <v>0</v>
      </c>
      <c r="H211" s="75">
        <f>KOHC!H140</f>
        <v>0</v>
      </c>
    </row>
    <row r="212" spans="1:8" ht="34.049999999999997" customHeight="1" x14ac:dyDescent="0.3">
      <c r="A212" s="40" t="s">
        <v>18</v>
      </c>
      <c r="B212" s="40"/>
      <c r="C212" s="76" t="s">
        <v>309</v>
      </c>
      <c r="D212" s="75">
        <f>LUCK!D140</f>
        <v>0</v>
      </c>
      <c r="E212" s="75">
        <f>LUCK!E140</f>
        <v>0</v>
      </c>
      <c r="F212" s="66">
        <f>LUCK!F140</f>
        <v>3.4476814342354764E-2</v>
      </c>
      <c r="G212" s="66">
        <f>LUCK!G140</f>
        <v>1.6542962072502287E-2</v>
      </c>
      <c r="H212" s="66">
        <f>LUCK!H140</f>
        <v>1.1259993244004052E-2</v>
      </c>
    </row>
    <row r="213" spans="1:8" ht="34.049999999999997" customHeight="1" x14ac:dyDescent="0.3">
      <c r="A213" s="40" t="s">
        <v>23</v>
      </c>
      <c r="B213" s="40"/>
      <c r="C213" s="76" t="s">
        <v>310</v>
      </c>
      <c r="D213" s="66">
        <f>DGKC!D140</f>
        <v>8.4803256445047485E-3</v>
      </c>
      <c r="E213" s="66">
        <f>DGKC!E140</f>
        <v>1.6E-2</v>
      </c>
      <c r="F213" s="75">
        <f>DGKC!F140</f>
        <v>0</v>
      </c>
      <c r="G213" s="75">
        <f>DGKC!G140</f>
        <v>0</v>
      </c>
      <c r="H213" s="66">
        <f>DGKC!H140</f>
        <v>1.2080212611741966E-2</v>
      </c>
    </row>
    <row r="214" spans="1:8" ht="34.049999999999997" customHeight="1" x14ac:dyDescent="0.3">
      <c r="A214" s="40" t="s">
        <v>27</v>
      </c>
      <c r="B214" s="40"/>
      <c r="C214" s="76" t="s">
        <v>308</v>
      </c>
      <c r="D214" s="75">
        <f>MLCF!D140</f>
        <v>0</v>
      </c>
      <c r="E214" s="75">
        <f>MLCF!E140</f>
        <v>0</v>
      </c>
      <c r="F214" s="75">
        <f>MLCF!F140</f>
        <v>0</v>
      </c>
      <c r="G214" s="75">
        <f>MLCF!G140</f>
        <v>0</v>
      </c>
      <c r="H214" s="75">
        <f>MLCF!H140</f>
        <v>0</v>
      </c>
    </row>
    <row r="215" spans="1:8" ht="34.049999999999997" customHeight="1" x14ac:dyDescent="0.3">
      <c r="A215" s="40" t="s">
        <v>31</v>
      </c>
      <c r="B215" s="40"/>
      <c r="C215" s="76" t="s">
        <v>311</v>
      </c>
      <c r="D215" s="75">
        <f>FCCL!D140</f>
        <v>0</v>
      </c>
      <c r="E215" s="75">
        <f>FCCL!E140</f>
        <v>0</v>
      </c>
      <c r="F215" s="75">
        <f>FCCL!F140</f>
        <v>0</v>
      </c>
      <c r="G215" s="66">
        <f>FCCL!G140</f>
        <v>4.3649061545176782E-2</v>
      </c>
      <c r="H215" s="66">
        <f>FCCL!H140</f>
        <v>2.7982986344302664E-2</v>
      </c>
    </row>
    <row r="216" spans="1:8" ht="24" customHeight="1" x14ac:dyDescent="0.3">
      <c r="A216" s="56" t="s">
        <v>296</v>
      </c>
      <c r="B216" s="56"/>
      <c r="C216" s="56"/>
      <c r="D216" s="67">
        <f>IF(COUNT(D211:D215)=0,"n/m",AVERAGE(D211:D215))</f>
        <v>1.6960651289009497E-3</v>
      </c>
      <c r="E216" s="67">
        <f>IF(COUNT(E211:E215)=0,"n/m",AVERAGE(E211:E215))</f>
        <v>3.2000000000000002E-3</v>
      </c>
      <c r="F216" s="67">
        <f>IF(COUNT(F211:F215)=0,"n/m",AVERAGE(F211:F215))</f>
        <v>6.8953628684709526E-3</v>
      </c>
      <c r="G216" s="67">
        <f>IF(COUNT(G211:G215)=0,"n/m",AVERAGE(G211:G215))</f>
        <v>1.2038404723535814E-2</v>
      </c>
      <c r="H216" s="67">
        <f>IF(COUNT(H211:H215)=0,"n/m",AVERAGE(H211:H215))</f>
        <v>1.0264638440009737E-2</v>
      </c>
    </row>
    <row r="217" spans="1:8" ht="24" customHeight="1" x14ac:dyDescent="0.3">
      <c r="A217" s="40"/>
      <c r="B217" s="40"/>
      <c r="C217" s="40"/>
      <c r="D217" s="61"/>
      <c r="E217" s="61"/>
      <c r="F217" s="61"/>
      <c r="G217" s="61"/>
      <c r="H217" s="61"/>
    </row>
    <row r="218" spans="1:8" ht="34.049999999999997" customHeight="1" x14ac:dyDescent="0.3">
      <c r="A218" s="54" t="s">
        <v>250</v>
      </c>
      <c r="B218" s="55" t="s">
        <v>251</v>
      </c>
      <c r="C218" s="55" t="s">
        <v>252</v>
      </c>
      <c r="D218" s="58"/>
      <c r="E218" s="58"/>
      <c r="F218" s="58"/>
      <c r="G218" s="58"/>
      <c r="H218" s="58"/>
    </row>
    <row r="219" spans="1:8" ht="24" customHeight="1" x14ac:dyDescent="0.3">
      <c r="A219" s="40" t="s">
        <v>13</v>
      </c>
      <c r="B219" s="40"/>
      <c r="C219" s="40"/>
      <c r="D219" s="59">
        <f>KOHC!D141</f>
        <v>7.030703799061059</v>
      </c>
      <c r="E219" s="59">
        <f>KOHC!E141</f>
        <v>2.8460065892461768</v>
      </c>
      <c r="F219" s="59">
        <f>KOHC!F141</f>
        <v>3.0390586129963157</v>
      </c>
      <c r="G219" s="59">
        <f>KOHC!G141</f>
        <v>3.2191008909496732</v>
      </c>
      <c r="H219" s="59">
        <f>KOHC!H141</f>
        <v>3.6540457208322041</v>
      </c>
    </row>
    <row r="220" spans="1:8" ht="24" customHeight="1" x14ac:dyDescent="0.3">
      <c r="A220" s="40" t="s">
        <v>18</v>
      </c>
      <c r="B220" s="40"/>
      <c r="C220" s="40"/>
      <c r="D220" s="59">
        <f>LUCK!D141</f>
        <v>12.530231924140164</v>
      </c>
      <c r="E220" s="59">
        <f>LUCK!E141</f>
        <v>5.6439003003016683</v>
      </c>
      <c r="F220" s="59">
        <f>LUCK!F141</f>
        <v>5.6924500846825419</v>
      </c>
      <c r="G220" s="59">
        <f>LUCK!G141</f>
        <v>5.178403100254557</v>
      </c>
      <c r="H220" s="59">
        <f>LUCK!H141</f>
        <v>8.5282679327793396</v>
      </c>
    </row>
    <row r="221" spans="1:8" ht="24" customHeight="1" x14ac:dyDescent="0.3">
      <c r="A221" s="40" t="s">
        <v>23</v>
      </c>
      <c r="B221" s="40"/>
      <c r="C221" s="40"/>
      <c r="D221" s="59">
        <f>DGKC!D141</f>
        <v>8.4672094053907152</v>
      </c>
      <c r="E221" s="59">
        <f>DGKC!E141</f>
        <v>5.5150906801201929</v>
      </c>
      <c r="F221" s="59">
        <f>DGKC!F141</f>
        <v>4.7839328299471351</v>
      </c>
      <c r="G221" s="59">
        <f>DGKC!G141</f>
        <v>5.0911516840273263</v>
      </c>
      <c r="H221" s="59">
        <f>DGKC!H141</f>
        <v>4.5245291189336676</v>
      </c>
    </row>
    <row r="222" spans="1:8" ht="24" customHeight="1" x14ac:dyDescent="0.3">
      <c r="A222" s="40" t="s">
        <v>27</v>
      </c>
      <c r="B222" s="40"/>
      <c r="C222" s="40"/>
      <c r="D222" s="59">
        <f>MLCF!D141</f>
        <v>5.6223501239668989</v>
      </c>
      <c r="E222" s="59">
        <f>MLCF!E141</f>
        <v>4.4912459172048038</v>
      </c>
      <c r="F222" s="59">
        <f>MLCF!F141</f>
        <v>3.2721791070017887</v>
      </c>
      <c r="G222" s="59">
        <f>MLCF!G141</f>
        <v>3.3522633268626687</v>
      </c>
      <c r="H222" s="59">
        <f>MLCF!H141</f>
        <v>3.4441662826745523</v>
      </c>
    </row>
    <row r="223" spans="1:8" ht="24" customHeight="1" x14ac:dyDescent="0.3">
      <c r="A223" s="40" t="s">
        <v>31</v>
      </c>
      <c r="B223" s="40"/>
      <c r="C223" s="40"/>
      <c r="D223" s="59">
        <f>FCCL!D141</f>
        <v>4.9126800998035849</v>
      </c>
      <c r="E223" s="59">
        <f>FCCL!E141</f>
        <v>3.9999441320816422</v>
      </c>
      <c r="F223" s="59">
        <f>FCCL!F141</f>
        <v>3.9638226712605413</v>
      </c>
      <c r="G223" s="59">
        <f>FCCL!G141</f>
        <v>3.9028355635230949</v>
      </c>
      <c r="H223" s="59">
        <f>FCCL!H141</f>
        <v>4.5760845203336329</v>
      </c>
    </row>
    <row r="224" spans="1:8" ht="24" customHeight="1" x14ac:dyDescent="0.3">
      <c r="A224" s="56" t="s">
        <v>296</v>
      </c>
      <c r="B224" s="56"/>
      <c r="C224" s="56"/>
      <c r="D224" s="60">
        <f>IF(COUNT(D219:D223)=0,"n/m",AVERAGE(D219:D223))</f>
        <v>7.7126350704724844</v>
      </c>
      <c r="E224" s="60">
        <f>IF(COUNT(E219:E223)=0,"n/m",AVERAGE(E219:E223))</f>
        <v>4.4992375237908968</v>
      </c>
      <c r="F224" s="60">
        <f>IF(COUNT(F219:F223)=0,"n/m",AVERAGE(F219:F223))</f>
        <v>4.1502886611776644</v>
      </c>
      <c r="G224" s="60">
        <f>IF(COUNT(G219:G223)=0,"n/m",AVERAGE(G219:G223))</f>
        <v>4.1487509131234637</v>
      </c>
      <c r="H224" s="60">
        <f>IF(COUNT(H219:H223)=0,"n/m",AVERAGE(H219:H223))</f>
        <v>4.9454187151106792</v>
      </c>
    </row>
    <row r="225" spans="1:8" ht="24" customHeight="1" x14ac:dyDescent="0.3">
      <c r="A225" s="40"/>
      <c r="B225" s="40"/>
      <c r="C225" s="40"/>
      <c r="D225" s="40"/>
      <c r="E225" s="40"/>
      <c r="F225" s="40"/>
      <c r="G225" s="40"/>
      <c r="H225" s="40"/>
    </row>
    <row r="226" spans="1:8" ht="24" customHeight="1" x14ac:dyDescent="0.3">
      <c r="A226" s="40"/>
      <c r="B226" s="40"/>
      <c r="C226" s="40"/>
      <c r="D226" s="40"/>
      <c r="E226" s="40"/>
      <c r="F226" s="40"/>
      <c r="G226" s="40"/>
      <c r="H226" s="40"/>
    </row>
    <row r="245" ht="19.5" customHeight="1" x14ac:dyDescent="0.3"/>
    <row r="295" ht="19.5" customHeight="1" x14ac:dyDescent="0.3"/>
  </sheetData>
  <mergeCells count="6">
    <mergeCell ref="A177:H177"/>
    <mergeCell ref="A2:H2"/>
    <mergeCell ref="A5:H5"/>
    <mergeCell ref="A38:H38"/>
    <mergeCell ref="A87:H87"/>
    <mergeCell ref="A120:H120"/>
  </mergeCells>
  <pageMargins left="0.7" right="0.7" top="0.75" bottom="0.75" header="0.3" footer="0.3"/>
  <pageSetup paperSize="9" scale="73"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08D57"/>
  </sheetPr>
  <dimension ref="A1:Z180"/>
  <sheetViews>
    <sheetView showGridLines="0" workbookViewId="0"/>
  </sheetViews>
  <sheetFormatPr defaultColWidth="8.6640625" defaultRowHeight="14.4" x14ac:dyDescent="0.3"/>
  <cols>
    <col min="1" max="18" width="9" customWidth="1"/>
    <col min="20" max="26" width="14" hidden="1" customWidth="1"/>
  </cols>
  <sheetData>
    <row r="1" spans="1:26" ht="19.95" customHeight="1" x14ac:dyDescent="0.4">
      <c r="A1" s="57" t="s">
        <v>302</v>
      </c>
      <c r="B1" s="39"/>
      <c r="C1" s="39"/>
      <c r="D1" s="39"/>
      <c r="E1" s="39"/>
      <c r="F1" s="39"/>
      <c r="G1" s="39"/>
      <c r="H1" s="39"/>
      <c r="I1" s="39"/>
      <c r="J1" s="39"/>
      <c r="K1" s="39"/>
      <c r="L1" s="39"/>
      <c r="M1" s="39"/>
      <c r="N1" s="39"/>
      <c r="O1" s="39"/>
      <c r="P1" s="39"/>
      <c r="Q1" s="39"/>
      <c r="R1" s="39"/>
    </row>
    <row r="2" spans="1:26" ht="19.95" customHeight="1" x14ac:dyDescent="0.3">
      <c r="A2" s="39" t="s">
        <v>303</v>
      </c>
      <c r="B2" s="39"/>
      <c r="C2" s="39"/>
      <c r="D2" s="39"/>
      <c r="E2" s="39"/>
      <c r="F2" s="39"/>
      <c r="G2" s="39"/>
      <c r="H2" s="39"/>
      <c r="I2" s="39"/>
      <c r="J2" s="39"/>
      <c r="K2" s="39"/>
      <c r="L2" s="39"/>
      <c r="M2" s="39"/>
      <c r="N2" s="39"/>
      <c r="O2" s="39"/>
      <c r="P2" s="39"/>
      <c r="Q2" s="39"/>
      <c r="R2" s="39"/>
    </row>
    <row r="3" spans="1:26" ht="19.95" customHeight="1" x14ac:dyDescent="0.3">
      <c r="A3" s="39"/>
      <c r="B3" s="39"/>
      <c r="C3" s="39"/>
      <c r="D3" s="39"/>
      <c r="E3" s="39"/>
      <c r="F3" s="39"/>
      <c r="G3" s="39"/>
      <c r="H3" s="39"/>
      <c r="I3" s="39"/>
      <c r="J3" s="39"/>
      <c r="K3" s="39"/>
      <c r="L3" s="39"/>
      <c r="M3" s="39"/>
      <c r="N3" s="39"/>
      <c r="O3" s="39"/>
      <c r="P3" s="39"/>
      <c r="Q3" s="39"/>
      <c r="R3" s="39"/>
    </row>
    <row r="4" spans="1:26" ht="19.95" customHeight="1" x14ac:dyDescent="0.3">
      <c r="A4" s="39"/>
      <c r="B4" s="39"/>
      <c r="C4" s="39"/>
      <c r="D4" s="39"/>
      <c r="E4" s="39"/>
      <c r="F4" s="39"/>
      <c r="G4" s="39"/>
      <c r="H4" s="39"/>
      <c r="I4" s="39"/>
      <c r="J4" s="39"/>
      <c r="K4" s="39"/>
      <c r="L4" s="39"/>
      <c r="M4" s="39"/>
      <c r="N4" s="39"/>
      <c r="O4" s="39"/>
      <c r="P4" s="39"/>
      <c r="Q4" s="39"/>
      <c r="R4" s="39"/>
      <c r="U4" t="s">
        <v>65</v>
      </c>
      <c r="V4" t="s">
        <v>66</v>
      </c>
      <c r="W4" t="s">
        <v>67</v>
      </c>
      <c r="X4" t="s">
        <v>68</v>
      </c>
      <c r="Y4" t="s">
        <v>69</v>
      </c>
    </row>
    <row r="5" spans="1:26" ht="19.95" customHeight="1" x14ac:dyDescent="0.3">
      <c r="A5" s="39"/>
      <c r="B5" s="39"/>
      <c r="C5" s="39"/>
      <c r="D5" s="39"/>
      <c r="E5" s="39"/>
      <c r="F5" s="39"/>
      <c r="G5" s="39"/>
      <c r="H5" s="39"/>
      <c r="I5" s="39"/>
      <c r="J5" s="39"/>
      <c r="K5" s="39"/>
      <c r="L5" s="39"/>
      <c r="M5" s="39"/>
      <c r="N5" s="39"/>
      <c r="O5" s="39"/>
      <c r="P5" s="39"/>
      <c r="Q5" s="39"/>
      <c r="R5" s="39"/>
    </row>
    <row r="6" spans="1:26" ht="19.95" customHeight="1" x14ac:dyDescent="0.3">
      <c r="A6" s="39"/>
      <c r="B6" s="39"/>
      <c r="C6" s="39"/>
      <c r="D6" s="39"/>
      <c r="E6" s="39"/>
      <c r="F6" s="39"/>
      <c r="G6" s="39"/>
      <c r="H6" s="39"/>
      <c r="I6" s="39"/>
      <c r="J6" s="39"/>
      <c r="K6" s="39"/>
      <c r="L6" s="39"/>
      <c r="M6" s="39"/>
      <c r="N6" s="39"/>
      <c r="O6" s="39"/>
      <c r="P6" s="39"/>
      <c r="Q6" s="39"/>
      <c r="R6" s="39"/>
      <c r="T6" t="s">
        <v>304</v>
      </c>
      <c r="U6" t="s">
        <v>13</v>
      </c>
      <c r="V6" t="s">
        <v>18</v>
      </c>
      <c r="W6" t="s">
        <v>23</v>
      </c>
      <c r="X6" t="s">
        <v>27</v>
      </c>
      <c r="Y6" t="s">
        <v>31</v>
      </c>
      <c r="Z6" t="s">
        <v>305</v>
      </c>
    </row>
    <row r="7" spans="1:26" ht="19.95" customHeight="1" x14ac:dyDescent="0.3">
      <c r="A7" s="39"/>
      <c r="B7" s="39"/>
      <c r="C7" s="39"/>
      <c r="D7" s="39"/>
      <c r="E7" s="39"/>
      <c r="F7" s="39"/>
      <c r="G7" s="39"/>
      <c r="H7" s="39"/>
      <c r="I7" s="39"/>
      <c r="J7" s="39"/>
      <c r="K7" s="39"/>
      <c r="L7" s="39"/>
      <c r="M7" s="39"/>
      <c r="N7" s="39"/>
      <c r="O7" s="39"/>
      <c r="P7" s="39"/>
      <c r="Q7" s="39"/>
      <c r="R7" s="39"/>
      <c r="T7" t="s">
        <v>65</v>
      </c>
      <c r="U7">
        <f>IF(ISNUMBER('Industry Averages'!D7),'Industry Averages'!D7,NA())</f>
        <v>1.3006446691414961</v>
      </c>
      <c r="V7">
        <f>IF(ISNUMBER('Industry Averages'!D8),'Industry Averages'!D8,NA())</f>
        <v>1.3386079458938223</v>
      </c>
      <c r="W7">
        <f>IF(ISNUMBER('Industry Averages'!D9),'Industry Averages'!D9,NA())</f>
        <v>0.91452508864509019</v>
      </c>
      <c r="X7">
        <f>IF(ISNUMBER('Industry Averages'!D10),'Industry Averages'!D10,NA())</f>
        <v>1.4780988568182505</v>
      </c>
      <c r="Y7">
        <f>IF(ISNUMBER('Industry Averages'!D11),'Industry Averages'!D11,NA())</f>
        <v>2.01862288296847</v>
      </c>
      <c r="Z7">
        <f>IF(ISNUMBER('Industry Averages'!D12),'Industry Averages'!D12,NA())</f>
        <v>1.410099888693426</v>
      </c>
    </row>
    <row r="8" spans="1:26" ht="19.95" customHeight="1" x14ac:dyDescent="0.3">
      <c r="A8" s="39"/>
      <c r="B8" s="39"/>
      <c r="C8" s="39"/>
      <c r="D8" s="39"/>
      <c r="E8" s="39"/>
      <c r="F8" s="39"/>
      <c r="G8" s="39"/>
      <c r="H8" s="39"/>
      <c r="I8" s="39"/>
      <c r="J8" s="39"/>
      <c r="K8" s="39"/>
      <c r="L8" s="39"/>
      <c r="M8" s="39"/>
      <c r="N8" s="39"/>
      <c r="O8" s="39"/>
      <c r="P8" s="39"/>
      <c r="Q8" s="39"/>
      <c r="R8" s="39"/>
      <c r="T8" t="s">
        <v>66</v>
      </c>
      <c r="U8">
        <f>IF(ISNUMBER('Industry Averages'!E7),'Industry Averages'!E7,NA())</f>
        <v>1.8735085276109804</v>
      </c>
      <c r="V8">
        <f>IF(ISNUMBER('Industry Averages'!E8),'Industry Averages'!E8,NA())</f>
        <v>1.4760766300374313</v>
      </c>
      <c r="W8">
        <f>IF(ISNUMBER('Industry Averages'!E9),'Industry Averages'!E9,NA())</f>
        <v>0.88552877147710041</v>
      </c>
      <c r="X8">
        <f>IF(ISNUMBER('Industry Averages'!E10),'Industry Averages'!E10,NA())</f>
        <v>1.2549557408945418</v>
      </c>
      <c r="Y8">
        <f>IF(ISNUMBER('Industry Averages'!E11),'Industry Averages'!E11,NA())</f>
        <v>1.0559688948718087</v>
      </c>
      <c r="Z8">
        <f>IF(ISNUMBER('Industry Averages'!E12),'Industry Averages'!E12,NA())</f>
        <v>1.3092077129783726</v>
      </c>
    </row>
    <row r="9" spans="1:26" ht="19.95" customHeight="1" x14ac:dyDescent="0.3">
      <c r="A9" s="39"/>
      <c r="B9" s="39"/>
      <c r="C9" s="39"/>
      <c r="D9" s="39"/>
      <c r="E9" s="39"/>
      <c r="F9" s="39"/>
      <c r="G9" s="39"/>
      <c r="H9" s="39"/>
      <c r="I9" s="39"/>
      <c r="J9" s="39"/>
      <c r="K9" s="39"/>
      <c r="L9" s="39"/>
      <c r="M9" s="39"/>
      <c r="N9" s="39"/>
      <c r="O9" s="39"/>
      <c r="P9" s="39"/>
      <c r="Q9" s="39"/>
      <c r="R9" s="39"/>
      <c r="T9" t="s">
        <v>67</v>
      </c>
      <c r="U9">
        <f>IF(ISNUMBER('Industry Averages'!F7),'Industry Averages'!F7,NA())</f>
        <v>2.311570515459215</v>
      </c>
      <c r="V9">
        <f>IF(ISNUMBER('Industry Averages'!F8),'Industry Averages'!F8,NA())</f>
        <v>1.290071633326858</v>
      </c>
      <c r="W9">
        <f>IF(ISNUMBER('Industry Averages'!F9),'Industry Averages'!F9,NA())</f>
        <v>0.80176749057385621</v>
      </c>
      <c r="X9">
        <f>IF(ISNUMBER('Industry Averages'!F10),'Industry Averages'!F10,NA())</f>
        <v>1.3715472215546312</v>
      </c>
      <c r="Y9">
        <f>IF(ISNUMBER('Industry Averages'!F11),'Industry Averages'!F11,NA())</f>
        <v>0.81211137558007007</v>
      </c>
      <c r="Z9">
        <f>IF(ISNUMBER('Industry Averages'!F12),'Industry Averages'!F12,NA())</f>
        <v>1.3174136472989262</v>
      </c>
    </row>
    <row r="10" spans="1:26" ht="19.95" customHeight="1" x14ac:dyDescent="0.3">
      <c r="A10" s="39"/>
      <c r="B10" s="39"/>
      <c r="C10" s="39"/>
      <c r="D10" s="39"/>
      <c r="E10" s="39"/>
      <c r="F10" s="39"/>
      <c r="G10" s="39"/>
      <c r="H10" s="39"/>
      <c r="I10" s="39"/>
      <c r="J10" s="39"/>
      <c r="K10" s="39"/>
      <c r="L10" s="39"/>
      <c r="M10" s="39"/>
      <c r="N10" s="39"/>
      <c r="O10" s="39"/>
      <c r="P10" s="39"/>
      <c r="Q10" s="39"/>
      <c r="R10" s="39"/>
      <c r="T10" t="s">
        <v>68</v>
      </c>
      <c r="U10">
        <f>IF(ISNUMBER('Industry Averages'!G7),'Industry Averages'!G7,NA())</f>
        <v>2.9031590530160019</v>
      </c>
      <c r="V10">
        <f>IF(ISNUMBER('Industry Averages'!G8),'Industry Averages'!G8,NA())</f>
        <v>1.2632222354743232</v>
      </c>
      <c r="W10">
        <f>IF(ISNUMBER('Industry Averages'!G9),'Industry Averages'!G9,NA())</f>
        <v>1.296185931254842</v>
      </c>
      <c r="X10">
        <f>IF(ISNUMBER('Industry Averages'!G10),'Industry Averages'!G10,NA())</f>
        <v>1.4446782415124371</v>
      </c>
      <c r="Y10">
        <f>IF(ISNUMBER('Industry Averages'!G11),'Industry Averages'!G11,NA())</f>
        <v>0.95974773116730094</v>
      </c>
      <c r="Z10">
        <f>IF(ISNUMBER('Industry Averages'!G12),'Industry Averages'!G12,NA())</f>
        <v>1.5733986384849812</v>
      </c>
    </row>
    <row r="11" spans="1:26" ht="19.95" customHeight="1" x14ac:dyDescent="0.3">
      <c r="A11" s="39"/>
      <c r="B11" s="39"/>
      <c r="C11" s="39"/>
      <c r="D11" s="39"/>
      <c r="E11" s="39"/>
      <c r="F11" s="39"/>
      <c r="G11" s="39"/>
      <c r="H11" s="39"/>
      <c r="I11" s="39"/>
      <c r="J11" s="39"/>
      <c r="K11" s="39"/>
      <c r="L11" s="39"/>
      <c r="M11" s="39"/>
      <c r="N11" s="39"/>
      <c r="O11" s="39"/>
      <c r="P11" s="39"/>
      <c r="Q11" s="39"/>
      <c r="R11" s="39"/>
      <c r="T11" t="s">
        <v>69</v>
      </c>
      <c r="U11">
        <f>IF(ISNUMBER('Industry Averages'!H7),'Industry Averages'!H7,NA())</f>
        <v>3.311248687172772</v>
      </c>
      <c r="V11">
        <f>IF(ISNUMBER('Industry Averages'!H8),'Industry Averages'!H8,NA())</f>
        <v>1.7146143875904156</v>
      </c>
      <c r="W11">
        <f>IF(ISNUMBER('Industry Averages'!H9),'Industry Averages'!H9,NA())</f>
        <v>1.8489517932979607</v>
      </c>
      <c r="X11">
        <f>IF(ISNUMBER('Industry Averages'!H10),'Industry Averages'!H10,NA())</f>
        <v>1.5324411303645513</v>
      </c>
      <c r="Y11">
        <f>IF(ISNUMBER('Industry Averages'!H11),'Industry Averages'!H11,NA())</f>
        <v>1.3210140828410366</v>
      </c>
      <c r="Z11">
        <f>IF(ISNUMBER('Industry Averages'!H12),'Industry Averages'!H12,NA())</f>
        <v>1.9456540162533476</v>
      </c>
    </row>
    <row r="12" spans="1:26" ht="19.95" customHeight="1" x14ac:dyDescent="0.3">
      <c r="A12" s="39"/>
      <c r="B12" s="39"/>
      <c r="C12" s="39"/>
      <c r="D12" s="39"/>
      <c r="E12" s="39"/>
      <c r="F12" s="39"/>
      <c r="G12" s="39"/>
      <c r="H12" s="39"/>
      <c r="I12" s="39"/>
      <c r="J12" s="39"/>
      <c r="K12" s="39"/>
      <c r="L12" s="39"/>
      <c r="M12" s="39"/>
      <c r="N12" s="39"/>
      <c r="O12" s="39"/>
      <c r="P12" s="39"/>
      <c r="Q12" s="39"/>
      <c r="R12" s="39"/>
    </row>
    <row r="13" spans="1:26" ht="19.95" customHeight="1" x14ac:dyDescent="0.3">
      <c r="A13" s="39"/>
      <c r="B13" s="39"/>
      <c r="C13" s="39"/>
      <c r="D13" s="39"/>
      <c r="E13" s="39"/>
      <c r="F13" s="39"/>
      <c r="G13" s="39"/>
      <c r="H13" s="39"/>
      <c r="I13" s="39"/>
      <c r="J13" s="39"/>
      <c r="K13" s="39"/>
      <c r="L13" s="39"/>
      <c r="M13" s="39"/>
      <c r="N13" s="39"/>
      <c r="O13" s="39"/>
      <c r="P13" s="39"/>
      <c r="Q13" s="39"/>
      <c r="R13" s="39"/>
    </row>
    <row r="14" spans="1:26" ht="19.95" customHeight="1" x14ac:dyDescent="0.3">
      <c r="A14" s="39"/>
      <c r="B14" s="39"/>
      <c r="C14" s="39"/>
      <c r="D14" s="39"/>
      <c r="E14" s="39"/>
      <c r="F14" s="39"/>
      <c r="G14" s="39"/>
      <c r="H14" s="39"/>
      <c r="I14" s="39"/>
      <c r="J14" s="39"/>
      <c r="K14" s="39"/>
      <c r="L14" s="39"/>
      <c r="M14" s="39"/>
      <c r="N14" s="39"/>
      <c r="O14" s="39"/>
      <c r="P14" s="39"/>
      <c r="Q14" s="39"/>
      <c r="R14" s="39"/>
      <c r="T14" t="s">
        <v>304</v>
      </c>
      <c r="U14" t="s">
        <v>13</v>
      </c>
      <c r="V14" t="s">
        <v>18</v>
      </c>
      <c r="W14" t="s">
        <v>23</v>
      </c>
      <c r="X14" t="s">
        <v>27</v>
      </c>
      <c r="Y14" t="s">
        <v>31</v>
      </c>
      <c r="Z14" t="s">
        <v>305</v>
      </c>
    </row>
    <row r="15" spans="1:26" ht="19.95" customHeight="1" x14ac:dyDescent="0.3">
      <c r="A15" s="39"/>
      <c r="B15" s="39"/>
      <c r="C15" s="39"/>
      <c r="D15" s="39"/>
      <c r="E15" s="39"/>
      <c r="F15" s="39"/>
      <c r="G15" s="39"/>
      <c r="H15" s="39"/>
      <c r="I15" s="39"/>
      <c r="J15" s="39"/>
      <c r="K15" s="39"/>
      <c r="L15" s="39"/>
      <c r="M15" s="39"/>
      <c r="N15" s="39"/>
      <c r="O15" s="39"/>
      <c r="P15" s="39"/>
      <c r="Q15" s="39"/>
      <c r="R15" s="39"/>
      <c r="T15" t="s">
        <v>65</v>
      </c>
      <c r="U15">
        <f>IF(ISNUMBER('Industry Averages'!D15),'Industry Averages'!D15,NA())</f>
        <v>0.74816043855554903</v>
      </c>
      <c r="V15">
        <f>IF(ISNUMBER('Industry Averages'!D16),'Industry Averages'!D16,NA())</f>
        <v>0.89000886100685095</v>
      </c>
      <c r="W15">
        <f>IF(ISNUMBER('Industry Averages'!D17),'Industry Averages'!D17,NA())</f>
        <v>0.52718830778210601</v>
      </c>
      <c r="X15">
        <f>IF(ISNUMBER('Industry Averages'!D18),'Industry Averages'!D18,NA())</f>
        <v>0.43971691910387301</v>
      </c>
      <c r="Y15">
        <f>IF(ISNUMBER('Industry Averages'!D19),'Industry Averages'!D19,NA())</f>
        <v>1.1357988467684703</v>
      </c>
      <c r="Z15">
        <f>IF(ISNUMBER('Industry Averages'!D20),'Industry Averages'!D20,NA())</f>
        <v>0.74817467464336995</v>
      </c>
    </row>
    <row r="16" spans="1:26" ht="19.95" customHeight="1" x14ac:dyDescent="0.3">
      <c r="A16" s="39"/>
      <c r="B16" s="39"/>
      <c r="C16" s="39"/>
      <c r="D16" s="39"/>
      <c r="E16" s="39"/>
      <c r="F16" s="39"/>
      <c r="G16" s="39"/>
      <c r="H16" s="39"/>
      <c r="I16" s="39"/>
      <c r="J16" s="39"/>
      <c r="K16" s="39"/>
      <c r="L16" s="39"/>
      <c r="M16" s="39"/>
      <c r="N16" s="39"/>
      <c r="O16" s="39"/>
      <c r="P16" s="39"/>
      <c r="Q16" s="39"/>
      <c r="R16" s="39"/>
      <c r="T16" t="s">
        <v>66</v>
      </c>
      <c r="U16">
        <f>IF(ISNUMBER('Industry Averages'!E15),'Industry Averages'!E15,NA())</f>
        <v>1.2758070110452304</v>
      </c>
      <c r="V16">
        <f>IF(ISNUMBER('Industry Averages'!E16),'Industry Averages'!E16,NA())</f>
        <v>0.87076091919208631</v>
      </c>
      <c r="W16">
        <f>IF(ISNUMBER('Industry Averages'!E17),'Industry Averages'!E17,NA())</f>
        <v>0.39093390789665328</v>
      </c>
      <c r="X16">
        <f>IF(ISNUMBER('Industry Averages'!E18),'Industry Averages'!E18,NA())</f>
        <v>0.29473524106223353</v>
      </c>
      <c r="Y16">
        <f>IF(ISNUMBER('Industry Averages'!E19),'Industry Averages'!E19,NA())</f>
        <v>0.47078421060569281</v>
      </c>
      <c r="Z16">
        <f>IF(ISNUMBER('Industry Averages'!E20),'Industry Averages'!E20,NA())</f>
        <v>0.66060425796037925</v>
      </c>
    </row>
    <row r="17" spans="1:26" ht="19.95" customHeight="1" x14ac:dyDescent="0.3">
      <c r="A17" s="39"/>
      <c r="B17" s="39"/>
      <c r="C17" s="39"/>
      <c r="D17" s="39"/>
      <c r="E17" s="39"/>
      <c r="F17" s="39"/>
      <c r="G17" s="39"/>
      <c r="H17" s="39"/>
      <c r="I17" s="39"/>
      <c r="J17" s="39"/>
      <c r="K17" s="39"/>
      <c r="L17" s="39"/>
      <c r="M17" s="39"/>
      <c r="N17" s="39"/>
      <c r="O17" s="39"/>
      <c r="P17" s="39"/>
      <c r="Q17" s="39"/>
      <c r="R17" s="39"/>
      <c r="T17" t="s">
        <v>67</v>
      </c>
      <c r="U17">
        <f>IF(ISNUMBER('Industry Averages'!F15),'Industry Averages'!F15,NA())</f>
        <v>1.5392110300634694</v>
      </c>
      <c r="V17">
        <f>IF(ISNUMBER('Industry Averages'!F16),'Industry Averages'!F16,NA())</f>
        <v>0.85412226562426408</v>
      </c>
      <c r="W17">
        <f>IF(ISNUMBER('Industry Averages'!F17),'Industry Averages'!F17,NA())</f>
        <v>0.33489936167445872</v>
      </c>
      <c r="X17">
        <f>IF(ISNUMBER('Industry Averages'!F18),'Industry Averages'!F18,NA())</f>
        <v>0.5204561252187091</v>
      </c>
      <c r="Y17">
        <f>IF(ISNUMBER('Industry Averages'!F19),'Industry Averages'!F19,NA())</f>
        <v>0.28121710873313321</v>
      </c>
      <c r="Z17">
        <f>IF(ISNUMBER('Industry Averages'!F20),'Industry Averages'!F20,NA())</f>
        <v>0.70598117826280693</v>
      </c>
    </row>
    <row r="18" spans="1:26" ht="19.95" customHeight="1" x14ac:dyDescent="0.3">
      <c r="A18" s="39"/>
      <c r="B18" s="39"/>
      <c r="C18" s="39"/>
      <c r="D18" s="39"/>
      <c r="E18" s="39"/>
      <c r="F18" s="39"/>
      <c r="G18" s="39"/>
      <c r="H18" s="39"/>
      <c r="I18" s="39"/>
      <c r="J18" s="39"/>
      <c r="K18" s="39"/>
      <c r="L18" s="39"/>
      <c r="M18" s="39"/>
      <c r="N18" s="39"/>
      <c r="O18" s="39"/>
      <c r="P18" s="39"/>
      <c r="Q18" s="39"/>
      <c r="R18" s="39"/>
      <c r="T18" t="s">
        <v>68</v>
      </c>
      <c r="U18">
        <f>IF(ISNUMBER('Industry Averages'!G15),'Industry Averages'!G15,NA())</f>
        <v>2.2200593399212352</v>
      </c>
      <c r="V18">
        <f>IF(ISNUMBER('Industry Averages'!G16),'Industry Averages'!G16,NA())</f>
        <v>0.83698311631700717</v>
      </c>
      <c r="W18">
        <f>IF(ISNUMBER('Industry Averages'!G17),'Industry Averages'!G17,NA())</f>
        <v>0.66771764923027133</v>
      </c>
      <c r="X18">
        <f>IF(ISNUMBER('Industry Averages'!G18),'Industry Averages'!G18,NA())</f>
        <v>0.60942670638462615</v>
      </c>
      <c r="Y18">
        <f>IF(ISNUMBER('Industry Averages'!G19),'Industry Averages'!G19,NA())</f>
        <v>0.3420463898878065</v>
      </c>
      <c r="Z18">
        <f>IF(ISNUMBER('Industry Averages'!G20),'Industry Averages'!G20,NA())</f>
        <v>0.93524664034818927</v>
      </c>
    </row>
    <row r="19" spans="1:26" ht="19.95" customHeight="1" x14ac:dyDescent="0.3">
      <c r="A19" s="39"/>
      <c r="B19" s="39"/>
      <c r="C19" s="39"/>
      <c r="D19" s="39"/>
      <c r="E19" s="39"/>
      <c r="F19" s="39"/>
      <c r="G19" s="39"/>
      <c r="H19" s="39"/>
      <c r="I19" s="39"/>
      <c r="J19" s="39"/>
      <c r="K19" s="39"/>
      <c r="L19" s="39"/>
      <c r="M19" s="39"/>
      <c r="N19" s="39"/>
      <c r="O19" s="39"/>
      <c r="P19" s="39"/>
      <c r="Q19" s="39"/>
      <c r="R19" s="39"/>
      <c r="T19" t="s">
        <v>69</v>
      </c>
      <c r="U19">
        <f>IF(ISNUMBER('Industry Averages'!H15),'Industry Averages'!H15,NA())</f>
        <v>2.6677003784340947</v>
      </c>
      <c r="V19">
        <f>IF(ISNUMBER('Industry Averages'!H16),'Industry Averages'!H16,NA())</f>
        <v>1.2939267138361998</v>
      </c>
      <c r="W19">
        <f>IF(ISNUMBER('Industry Averages'!H17),'Industry Averages'!H17,NA())</f>
        <v>1.0579587679634685</v>
      </c>
      <c r="X19">
        <f>IF(ISNUMBER('Industry Averages'!H18),'Industry Averages'!H18,NA())</f>
        <v>0.80788282595509864</v>
      </c>
      <c r="Y19">
        <f>IF(ISNUMBER('Industry Averages'!H19),'Industry Averages'!H19,NA())</f>
        <v>0.67753380767364924</v>
      </c>
      <c r="Z19">
        <f>IF(ISNUMBER('Industry Averages'!H20),'Industry Averages'!H20,NA())</f>
        <v>1.3010004987725021</v>
      </c>
    </row>
    <row r="20" spans="1:26" ht="19.95" customHeight="1" x14ac:dyDescent="0.3">
      <c r="A20" s="39"/>
      <c r="B20" s="39"/>
      <c r="C20" s="39"/>
      <c r="D20" s="39"/>
      <c r="E20" s="39"/>
      <c r="F20" s="39"/>
      <c r="G20" s="39"/>
      <c r="H20" s="39"/>
      <c r="I20" s="39"/>
      <c r="J20" s="39"/>
      <c r="K20" s="39"/>
      <c r="L20" s="39"/>
      <c r="M20" s="39"/>
      <c r="N20" s="39"/>
      <c r="O20" s="39"/>
      <c r="P20" s="39"/>
      <c r="Q20" s="39"/>
      <c r="R20" s="39"/>
    </row>
    <row r="21" spans="1:26" ht="19.95" customHeight="1" x14ac:dyDescent="0.3">
      <c r="A21" s="39"/>
      <c r="B21" s="39"/>
      <c r="C21" s="39"/>
      <c r="D21" s="39"/>
      <c r="E21" s="39"/>
      <c r="F21" s="39"/>
      <c r="G21" s="39"/>
      <c r="H21" s="39"/>
      <c r="I21" s="39"/>
      <c r="J21" s="39"/>
      <c r="K21" s="39"/>
      <c r="L21" s="39"/>
      <c r="M21" s="39"/>
      <c r="N21" s="39"/>
      <c r="O21" s="39"/>
      <c r="P21" s="39"/>
      <c r="Q21" s="39"/>
      <c r="R21" s="39"/>
    </row>
    <row r="22" spans="1:26" ht="19.95" customHeight="1" x14ac:dyDescent="0.3">
      <c r="A22" s="39"/>
      <c r="B22" s="39"/>
      <c r="C22" s="39"/>
      <c r="D22" s="39"/>
      <c r="E22" s="39"/>
      <c r="F22" s="39"/>
      <c r="G22" s="39"/>
      <c r="H22" s="39"/>
      <c r="I22" s="39"/>
      <c r="J22" s="39"/>
      <c r="K22" s="39"/>
      <c r="L22" s="39"/>
      <c r="M22" s="39"/>
      <c r="N22" s="39"/>
      <c r="O22" s="39"/>
      <c r="P22" s="39"/>
      <c r="Q22" s="39"/>
      <c r="R22" s="39"/>
      <c r="T22" t="s">
        <v>304</v>
      </c>
      <c r="U22" t="s">
        <v>13</v>
      </c>
      <c r="V22" t="s">
        <v>18</v>
      </c>
      <c r="W22" t="s">
        <v>23</v>
      </c>
      <c r="X22" t="s">
        <v>27</v>
      </c>
      <c r="Y22" t="s">
        <v>31</v>
      </c>
      <c r="Z22" t="s">
        <v>305</v>
      </c>
    </row>
    <row r="23" spans="1:26" ht="19.95" customHeight="1" x14ac:dyDescent="0.3">
      <c r="A23" s="39"/>
      <c r="B23" s="39"/>
      <c r="C23" s="39"/>
      <c r="D23" s="39"/>
      <c r="E23" s="39"/>
      <c r="F23" s="39"/>
      <c r="G23" s="39"/>
      <c r="H23" s="39"/>
      <c r="I23" s="39"/>
      <c r="J23" s="39"/>
      <c r="K23" s="39"/>
      <c r="L23" s="39"/>
      <c r="M23" s="39"/>
      <c r="N23" s="39"/>
      <c r="O23" s="39"/>
      <c r="P23" s="39"/>
      <c r="Q23" s="39"/>
      <c r="R23" s="39"/>
      <c r="T23" t="s">
        <v>65</v>
      </c>
      <c r="U23">
        <f>IF(ISNUMBER('Industry Averages'!D40),'Industry Averages'!D40,NA())</f>
        <v>4.8570986013255171</v>
      </c>
      <c r="V23">
        <f>IF(ISNUMBER('Industry Averages'!D41),'Industry Averages'!D41,NA())</f>
        <v>3.8136073127139278</v>
      </c>
      <c r="W23">
        <f>IF(ISNUMBER('Industry Averages'!D42),'Industry Averages'!D42,NA())</f>
        <v>2.6267527531726218</v>
      </c>
      <c r="X23">
        <f>IF(ISNUMBER('Industry Averages'!D43),'Industry Averages'!D43,NA())</f>
        <v>2.5503561154199565</v>
      </c>
      <c r="Y23">
        <f>IF(ISNUMBER('Industry Averages'!D44),'Industry Averages'!D44,NA())</f>
        <v>3.593399445976929</v>
      </c>
      <c r="Z23">
        <f>IF(ISNUMBER('Industry Averages'!D45),'Industry Averages'!D45,NA())</f>
        <v>3.4882428457217904</v>
      </c>
    </row>
    <row r="24" spans="1:26" ht="19.95" customHeight="1" x14ac:dyDescent="0.3">
      <c r="A24" s="39"/>
      <c r="B24" s="39"/>
      <c r="C24" s="39"/>
      <c r="D24" s="39"/>
      <c r="E24" s="39"/>
      <c r="F24" s="39"/>
      <c r="G24" s="39"/>
      <c r="H24" s="39"/>
      <c r="I24" s="39"/>
      <c r="J24" s="39"/>
      <c r="K24" s="39"/>
      <c r="L24" s="39"/>
      <c r="M24" s="39"/>
      <c r="N24" s="39"/>
      <c r="O24" s="39"/>
      <c r="P24" s="39"/>
      <c r="Q24" s="39"/>
      <c r="R24" s="39"/>
      <c r="T24" t="s">
        <v>66</v>
      </c>
      <c r="U24">
        <f>IF(ISNUMBER('Industry Averages'!E40),'Industry Averages'!E40,NA())</f>
        <v>4.6811317215716919</v>
      </c>
      <c r="V24">
        <f>IF(ISNUMBER('Industry Averages'!E41),'Industry Averages'!E41,NA())</f>
        <v>3.657733126059421</v>
      </c>
      <c r="W24">
        <f>IF(ISNUMBER('Industry Averages'!E42),'Industry Averages'!E42,NA())</f>
        <v>2.479761249901864</v>
      </c>
      <c r="X24">
        <f>IF(ISNUMBER('Industry Averages'!E43),'Industry Averages'!E43,NA())</f>
        <v>2.6418827583195736</v>
      </c>
      <c r="Y24">
        <f>IF(ISNUMBER('Industry Averages'!E44),'Industry Averages'!E44,NA())</f>
        <v>3.6798285509863442</v>
      </c>
      <c r="Z24">
        <f>IF(ISNUMBER('Industry Averages'!E45),'Industry Averages'!E45,NA())</f>
        <v>3.4280674813677789</v>
      </c>
    </row>
    <row r="25" spans="1:26" ht="19.95" customHeight="1" x14ac:dyDescent="0.3">
      <c r="A25" s="39"/>
      <c r="B25" s="39"/>
      <c r="C25" s="39"/>
      <c r="D25" s="39"/>
      <c r="E25" s="39"/>
      <c r="F25" s="39"/>
      <c r="G25" s="39"/>
      <c r="H25" s="39"/>
      <c r="I25" s="39"/>
      <c r="J25" s="39"/>
      <c r="K25" s="39"/>
      <c r="L25" s="39"/>
      <c r="M25" s="39"/>
      <c r="N25" s="39"/>
      <c r="O25" s="39"/>
      <c r="P25" s="39"/>
      <c r="Q25" s="39"/>
      <c r="R25" s="39"/>
      <c r="T25" t="s">
        <v>67</v>
      </c>
      <c r="U25">
        <f>IF(ISNUMBER('Industry Averages'!F40),'Industry Averages'!F40,NA())</f>
        <v>4.2753791437713859</v>
      </c>
      <c r="V25">
        <f>IF(ISNUMBER('Industry Averages'!F41),'Industry Averages'!F41,NA())</f>
        <v>3.6234818387767853</v>
      </c>
      <c r="W25">
        <f>IF(ISNUMBER('Industry Averages'!F42),'Industry Averages'!F42,NA())</f>
        <v>2.4352964976956684</v>
      </c>
      <c r="X25">
        <f>IF(ISNUMBER('Industry Averages'!F43),'Industry Averages'!F43,NA())</f>
        <v>2.991643999189634</v>
      </c>
      <c r="Y25">
        <f>IF(ISNUMBER('Industry Averages'!F44),'Industry Averages'!F44,NA())</f>
        <v>3.0981941833220765</v>
      </c>
      <c r="Z25">
        <f>IF(ISNUMBER('Industry Averages'!F45),'Industry Averages'!F45,NA())</f>
        <v>3.2847991325511101</v>
      </c>
    </row>
    <row r="26" spans="1:26" ht="19.95" customHeight="1" x14ac:dyDescent="0.3">
      <c r="A26" s="39"/>
      <c r="B26" s="39"/>
      <c r="C26" s="39"/>
      <c r="D26" s="39"/>
      <c r="E26" s="39"/>
      <c r="F26" s="39"/>
      <c r="G26" s="39"/>
      <c r="H26" s="39"/>
      <c r="I26" s="39"/>
      <c r="J26" s="39"/>
      <c r="K26" s="39"/>
      <c r="L26" s="39"/>
      <c r="M26" s="39"/>
      <c r="N26" s="39"/>
      <c r="O26" s="39"/>
      <c r="P26" s="39"/>
      <c r="Q26" s="39"/>
      <c r="R26" s="39"/>
      <c r="T26" t="s">
        <v>68</v>
      </c>
      <c r="U26">
        <f>IF(ISNUMBER('Industry Averages'!G40),'Industry Averages'!G40,NA())</f>
        <v>3.5957369645110586</v>
      </c>
      <c r="V26">
        <f>IF(ISNUMBER('Industry Averages'!G41),'Industry Averages'!G41,NA())</f>
        <v>3.5401699550948362</v>
      </c>
      <c r="W26">
        <f>IF(ISNUMBER('Industry Averages'!G42),'Industry Averages'!G42,NA())</f>
        <v>2.5832010951831741</v>
      </c>
      <c r="X26">
        <f>IF(ISNUMBER('Industry Averages'!G43),'Industry Averages'!G43,NA())</f>
        <v>3.1013565995658121</v>
      </c>
      <c r="Y26">
        <f>IF(ISNUMBER('Industry Averages'!G44),'Industry Averages'!G44,NA())</f>
        <v>3.4267755412065504</v>
      </c>
      <c r="Z26">
        <f>IF(ISNUMBER('Industry Averages'!G45),'Industry Averages'!G45,NA())</f>
        <v>3.2494480311122858</v>
      </c>
    </row>
    <row r="27" spans="1:26" ht="19.95" customHeight="1" x14ac:dyDescent="0.3">
      <c r="A27" s="39"/>
      <c r="B27" s="39"/>
      <c r="C27" s="39"/>
      <c r="D27" s="39"/>
      <c r="E27" s="39"/>
      <c r="F27" s="39"/>
      <c r="G27" s="39"/>
      <c r="H27" s="39"/>
      <c r="I27" s="39"/>
      <c r="J27" s="39"/>
      <c r="K27" s="39"/>
      <c r="L27" s="39"/>
      <c r="M27" s="39"/>
      <c r="N27" s="39"/>
      <c r="O27" s="39"/>
      <c r="P27" s="39"/>
      <c r="Q27" s="39"/>
      <c r="R27" s="39"/>
      <c r="T27" t="s">
        <v>69</v>
      </c>
      <c r="U27">
        <f>IF(ISNUMBER('Industry Averages'!H40),'Industry Averages'!H40,NA())</f>
        <v>3.024880626442934</v>
      </c>
      <c r="V27">
        <f>IF(ISNUMBER('Industry Averages'!H41),'Industry Averages'!H41,NA())</f>
        <v>3.4260949525900268</v>
      </c>
      <c r="W27">
        <f>IF(ISNUMBER('Industry Averages'!H42),'Industry Averages'!H42,NA())</f>
        <v>2.6203448800361673</v>
      </c>
      <c r="X27">
        <f>IF(ISNUMBER('Industry Averages'!H43),'Industry Averages'!H43,NA())</f>
        <v>2.7865732877055658</v>
      </c>
      <c r="Y27">
        <f>IF(ISNUMBER('Industry Averages'!H44),'Industry Averages'!H44,NA())</f>
        <v>3.1608830315846066</v>
      </c>
      <c r="Z27">
        <f>IF(ISNUMBER('Industry Averages'!H45),'Industry Averages'!H45,NA())</f>
        <v>3.0037553556718599</v>
      </c>
    </row>
    <row r="28" spans="1:26" ht="19.95" customHeight="1" x14ac:dyDescent="0.3">
      <c r="A28" s="39"/>
      <c r="B28" s="39"/>
      <c r="C28" s="39"/>
      <c r="D28" s="39"/>
      <c r="E28" s="39"/>
      <c r="F28" s="39"/>
      <c r="G28" s="39"/>
      <c r="H28" s="39"/>
      <c r="I28" s="39"/>
      <c r="J28" s="39"/>
      <c r="K28" s="39"/>
      <c r="L28" s="39"/>
      <c r="M28" s="39"/>
      <c r="N28" s="39"/>
      <c r="O28" s="39"/>
      <c r="P28" s="39"/>
      <c r="Q28" s="39"/>
      <c r="R28" s="39"/>
    </row>
    <row r="29" spans="1:26" ht="19.95" customHeight="1" x14ac:dyDescent="0.3">
      <c r="A29" s="39"/>
      <c r="B29" s="39"/>
      <c r="C29" s="39"/>
      <c r="D29" s="39"/>
      <c r="E29" s="39"/>
      <c r="F29" s="39"/>
      <c r="G29" s="39"/>
      <c r="H29" s="39"/>
      <c r="I29" s="39"/>
      <c r="J29" s="39"/>
      <c r="K29" s="39"/>
      <c r="L29" s="39"/>
      <c r="M29" s="39"/>
      <c r="N29" s="39"/>
      <c r="O29" s="39"/>
      <c r="P29" s="39"/>
      <c r="Q29" s="39"/>
      <c r="R29" s="39"/>
    </row>
    <row r="30" spans="1:26" ht="19.95" customHeight="1" x14ac:dyDescent="0.3">
      <c r="A30" s="39"/>
      <c r="B30" s="39"/>
      <c r="C30" s="39"/>
      <c r="D30" s="39"/>
      <c r="E30" s="39"/>
      <c r="F30" s="39"/>
      <c r="G30" s="39"/>
      <c r="H30" s="39"/>
      <c r="I30" s="39"/>
      <c r="J30" s="39"/>
      <c r="K30" s="39"/>
      <c r="L30" s="39"/>
      <c r="M30" s="39"/>
      <c r="N30" s="39"/>
      <c r="O30" s="39"/>
      <c r="P30" s="39"/>
      <c r="Q30" s="39"/>
      <c r="R30" s="39"/>
      <c r="T30" t="s">
        <v>304</v>
      </c>
      <c r="U30" t="s">
        <v>13</v>
      </c>
      <c r="V30" t="s">
        <v>18</v>
      </c>
      <c r="W30" t="s">
        <v>23</v>
      </c>
      <c r="X30" t="s">
        <v>27</v>
      </c>
      <c r="Y30" t="s">
        <v>31</v>
      </c>
      <c r="Z30" t="s">
        <v>305</v>
      </c>
    </row>
    <row r="31" spans="1:26" ht="19.95" customHeight="1" x14ac:dyDescent="0.3">
      <c r="A31" s="39"/>
      <c r="B31" s="39"/>
      <c r="C31" s="39"/>
      <c r="D31" s="39"/>
      <c r="E31" s="39"/>
      <c r="F31" s="39"/>
      <c r="G31" s="39"/>
      <c r="H31" s="39"/>
      <c r="I31" s="39"/>
      <c r="J31" s="39"/>
      <c r="K31" s="39"/>
      <c r="L31" s="39"/>
      <c r="M31" s="39"/>
      <c r="N31" s="39"/>
      <c r="O31" s="39"/>
      <c r="P31" s="39"/>
      <c r="Q31" s="39"/>
      <c r="R31" s="39"/>
      <c r="T31" t="s">
        <v>65</v>
      </c>
      <c r="U31">
        <f>IF(ISNUMBER('Industry Averages'!D64),'Industry Averages'!D64,NA())</f>
        <v>11.211269503464973</v>
      </c>
      <c r="V31">
        <f>IF(ISNUMBER('Industry Averages'!D65),'Industry Averages'!D65,NA())</f>
        <v>17.782498333156049</v>
      </c>
      <c r="W31">
        <f>IF(ISNUMBER('Industry Averages'!D66),'Industry Averages'!D66,NA())</f>
        <v>16.031081230273596</v>
      </c>
      <c r="X31">
        <f>IF(ISNUMBER('Industry Averages'!D67),'Industry Averages'!D67,NA())</f>
        <v>24.299408826550263</v>
      </c>
      <c r="Y31">
        <f>IF(ISNUMBER('Industry Averages'!D68),'Industry Averages'!D68,NA())</f>
        <v>18.799738044359827</v>
      </c>
      <c r="Z31">
        <f>IF(ISNUMBER('Industry Averages'!D69),'Industry Averages'!D69,NA())</f>
        <v>17.624799187560942</v>
      </c>
    </row>
    <row r="32" spans="1:26" ht="19.95" customHeight="1" x14ac:dyDescent="0.3">
      <c r="A32" s="39"/>
      <c r="B32" s="39"/>
      <c r="C32" s="39"/>
      <c r="D32" s="39"/>
      <c r="E32" s="39"/>
      <c r="F32" s="39"/>
      <c r="G32" s="39"/>
      <c r="H32" s="39"/>
      <c r="I32" s="39"/>
      <c r="J32" s="39"/>
      <c r="K32" s="39"/>
      <c r="L32" s="39"/>
      <c r="M32" s="39"/>
      <c r="N32" s="39"/>
      <c r="O32" s="39"/>
      <c r="P32" s="39"/>
      <c r="Q32" s="39"/>
      <c r="R32" s="39"/>
      <c r="T32" t="s">
        <v>66</v>
      </c>
      <c r="U32">
        <f>IF(ISNUMBER('Industry Averages'!E64),'Industry Averages'!E64,NA())</f>
        <v>10.544725482358297</v>
      </c>
      <c r="V32">
        <f>IF(ISNUMBER('Industry Averages'!E65),'Industry Averages'!E65,NA())</f>
        <v>14.027318333985361</v>
      </c>
      <c r="W32">
        <f>IF(ISNUMBER('Industry Averages'!E66),'Industry Averages'!E66,NA())</f>
        <v>9.8856192169704489</v>
      </c>
      <c r="X32">
        <f>IF(ISNUMBER('Industry Averages'!E67),'Industry Averages'!E67,NA())</f>
        <v>14.089756717395696</v>
      </c>
      <c r="Y32">
        <f>IF(ISNUMBER('Industry Averages'!E68),'Industry Averages'!E68,NA())</f>
        <v>12.994834386179642</v>
      </c>
      <c r="Z32">
        <f>IF(ISNUMBER('Industry Averages'!E69),'Industry Averages'!E69,NA())</f>
        <v>12.308450827377888</v>
      </c>
    </row>
    <row r="33" spans="1:26" ht="19.95" customHeight="1" x14ac:dyDescent="0.3">
      <c r="A33" s="39"/>
      <c r="B33" s="39"/>
      <c r="C33" s="39"/>
      <c r="D33" s="39"/>
      <c r="E33" s="39"/>
      <c r="F33" s="39"/>
      <c r="G33" s="39"/>
      <c r="H33" s="39"/>
      <c r="I33" s="39"/>
      <c r="J33" s="39"/>
      <c r="K33" s="39"/>
      <c r="L33" s="39"/>
      <c r="M33" s="39"/>
      <c r="N33" s="39"/>
      <c r="O33" s="39"/>
      <c r="P33" s="39"/>
      <c r="Q33" s="39"/>
      <c r="R33" s="39"/>
      <c r="T33" t="s">
        <v>67</v>
      </c>
      <c r="U33">
        <f>IF(ISNUMBER('Industry Averages'!F64),'Industry Averages'!F64,NA())</f>
        <v>9.9479554378487851</v>
      </c>
      <c r="V33">
        <f>IF(ISNUMBER('Industry Averages'!F65),'Industry Averages'!F65,NA())</f>
        <v>16.401585315624828</v>
      </c>
      <c r="W33">
        <f>IF(ISNUMBER('Industry Averages'!F66),'Industry Averages'!F66,NA())</f>
        <v>7.4739774843341396</v>
      </c>
      <c r="X33">
        <f>IF(ISNUMBER('Industry Averages'!F67),'Industry Averages'!F67,NA())</f>
        <v>13.72146433573479</v>
      </c>
      <c r="Y33">
        <f>IF(ISNUMBER('Industry Averages'!F68),'Industry Averages'!F68,NA())</f>
        <v>16.046879229606091</v>
      </c>
      <c r="Z33">
        <f>IF(ISNUMBER('Industry Averages'!F69),'Industry Averages'!F69,NA())</f>
        <v>12.718372360629726</v>
      </c>
    </row>
    <row r="34" spans="1:26" ht="19.95" customHeight="1" x14ac:dyDescent="0.3">
      <c r="A34" s="39"/>
      <c r="B34" s="39"/>
      <c r="C34" s="39"/>
      <c r="D34" s="39"/>
      <c r="E34" s="39"/>
      <c r="F34" s="39"/>
      <c r="G34" s="39"/>
      <c r="H34" s="39"/>
      <c r="I34" s="39"/>
      <c r="J34" s="39"/>
      <c r="K34" s="39"/>
      <c r="L34" s="39"/>
      <c r="M34" s="39"/>
      <c r="N34" s="39"/>
      <c r="O34" s="39"/>
      <c r="P34" s="39"/>
      <c r="Q34" s="39"/>
      <c r="R34" s="39"/>
      <c r="T34" t="s">
        <v>68</v>
      </c>
      <c r="U34">
        <f>IF(ISNUMBER('Industry Averages'!G64),'Industry Averages'!G64,NA())</f>
        <v>15.657663166755571</v>
      </c>
      <c r="V34">
        <f>IF(ISNUMBER('Industry Averages'!G65),'Industry Averages'!G65,NA())</f>
        <v>19.024866667611246</v>
      </c>
      <c r="W34">
        <f>IF(ISNUMBER('Industry Averages'!G66),'Industry Averages'!G66,NA())</f>
        <v>5.6629790909386459</v>
      </c>
      <c r="X34">
        <f>IF(ISNUMBER('Industry Averages'!G67),'Industry Averages'!G67,NA())</f>
        <v>18.646831335440545</v>
      </c>
      <c r="Y34">
        <f>IF(ISNUMBER('Industry Averages'!G68),'Industry Averages'!G68,NA())</f>
        <v>20.792904753499183</v>
      </c>
      <c r="Z34">
        <f>IF(ISNUMBER('Industry Averages'!G69),'Industry Averages'!G69,NA())</f>
        <v>15.957049002849038</v>
      </c>
    </row>
    <row r="35" spans="1:26" ht="19.95" customHeight="1" x14ac:dyDescent="0.3">
      <c r="A35" s="39"/>
      <c r="B35" s="39"/>
      <c r="C35" s="39"/>
      <c r="D35" s="39"/>
      <c r="E35" s="39"/>
      <c r="F35" s="39"/>
      <c r="G35" s="39"/>
      <c r="H35" s="39"/>
      <c r="I35" s="39"/>
      <c r="J35" s="39"/>
      <c r="K35" s="39"/>
      <c r="L35" s="39"/>
      <c r="M35" s="39"/>
      <c r="N35" s="39"/>
      <c r="O35" s="39"/>
      <c r="P35" s="39"/>
      <c r="Q35" s="39"/>
      <c r="R35" s="39"/>
      <c r="T35" t="s">
        <v>69</v>
      </c>
      <c r="U35">
        <f>IF(ISNUMBER('Industry Averages'!H64),'Industry Averages'!H64,NA())</f>
        <v>18.487732733839078</v>
      </c>
      <c r="V35">
        <f>IF(ISNUMBER('Industry Averages'!H65),'Industry Averages'!H65,NA())</f>
        <v>19.473145621508603</v>
      </c>
      <c r="W35">
        <f>IF(ISNUMBER('Industry Averages'!H66),'Industry Averages'!H66,NA())</f>
        <v>5.9624857341490083</v>
      </c>
      <c r="X35">
        <f>IF(ISNUMBER('Industry Averages'!H67),'Industry Averages'!H67,NA())</f>
        <v>23.291952500495849</v>
      </c>
      <c r="Y35">
        <f>IF(ISNUMBER('Industry Averages'!H68),'Industry Averages'!H68,NA())</f>
        <v>25.555492212987932</v>
      </c>
      <c r="Z35">
        <f>IF(ISNUMBER('Industry Averages'!H69),'Industry Averages'!H69,NA())</f>
        <v>18.554161760596095</v>
      </c>
    </row>
    <row r="36" spans="1:26" ht="19.95" customHeight="1" x14ac:dyDescent="0.3">
      <c r="A36" s="39"/>
      <c r="B36" s="39"/>
      <c r="C36" s="39"/>
      <c r="D36" s="39"/>
      <c r="E36" s="39"/>
      <c r="F36" s="39"/>
      <c r="G36" s="39"/>
      <c r="H36" s="39"/>
      <c r="I36" s="39"/>
      <c r="J36" s="39"/>
      <c r="K36" s="39"/>
      <c r="L36" s="39"/>
      <c r="M36" s="39"/>
      <c r="N36" s="39"/>
      <c r="O36" s="39"/>
      <c r="P36" s="39"/>
      <c r="Q36" s="39"/>
      <c r="R36" s="39"/>
    </row>
    <row r="37" spans="1:26" ht="19.95" customHeight="1" x14ac:dyDescent="0.3">
      <c r="A37" s="39"/>
      <c r="B37" s="39"/>
      <c r="C37" s="39"/>
      <c r="D37" s="39"/>
      <c r="E37" s="39"/>
      <c r="F37" s="39"/>
      <c r="G37" s="39"/>
      <c r="H37" s="39"/>
      <c r="I37" s="39"/>
      <c r="J37" s="39"/>
      <c r="K37" s="39"/>
      <c r="L37" s="39"/>
      <c r="M37" s="39"/>
      <c r="N37" s="39"/>
      <c r="O37" s="39"/>
      <c r="P37" s="39"/>
      <c r="Q37" s="39"/>
      <c r="R37" s="39"/>
    </row>
    <row r="38" spans="1:26" ht="19.95" customHeight="1" x14ac:dyDescent="0.3">
      <c r="A38" s="39"/>
      <c r="B38" s="39"/>
      <c r="C38" s="39"/>
      <c r="D38" s="39"/>
      <c r="E38" s="39"/>
      <c r="F38" s="39"/>
      <c r="G38" s="39"/>
      <c r="H38" s="39"/>
      <c r="I38" s="39"/>
      <c r="J38" s="39"/>
      <c r="K38" s="39"/>
      <c r="L38" s="39"/>
      <c r="M38" s="39"/>
      <c r="N38" s="39"/>
      <c r="O38" s="39"/>
      <c r="P38" s="39"/>
      <c r="Q38" s="39"/>
      <c r="R38" s="39"/>
      <c r="T38" t="s">
        <v>304</v>
      </c>
      <c r="U38" t="s">
        <v>13</v>
      </c>
      <c r="V38" t="s">
        <v>18</v>
      </c>
      <c r="W38" t="s">
        <v>23</v>
      </c>
      <c r="X38" t="s">
        <v>27</v>
      </c>
      <c r="Y38" t="s">
        <v>31</v>
      </c>
      <c r="Z38" t="s">
        <v>305</v>
      </c>
    </row>
    <row r="39" spans="1:26" ht="19.95" customHeight="1" x14ac:dyDescent="0.3">
      <c r="A39" s="39"/>
      <c r="B39" s="39"/>
      <c r="C39" s="39"/>
      <c r="D39" s="39"/>
      <c r="E39" s="39"/>
      <c r="F39" s="39"/>
      <c r="G39" s="39"/>
      <c r="H39" s="39"/>
      <c r="I39" s="39"/>
      <c r="J39" s="39"/>
      <c r="K39" s="39"/>
      <c r="L39" s="39"/>
      <c r="M39" s="39"/>
      <c r="N39" s="39"/>
      <c r="O39" s="39"/>
      <c r="P39" s="39"/>
      <c r="Q39" s="39"/>
      <c r="R39" s="39"/>
      <c r="T39" t="s">
        <v>65</v>
      </c>
      <c r="U39">
        <f>IF(ISNUMBER('Industry Averages'!D72),'Industry Averages'!D72,NA())</f>
        <v>1.0921496738296084</v>
      </c>
      <c r="V39">
        <f>IF(ISNUMBER('Industry Averages'!D73),'Industry Averages'!D73,NA())</f>
        <v>1.0088292750112451</v>
      </c>
      <c r="W39">
        <f>IF(ISNUMBER('Industry Averages'!D74),'Industry Averages'!D74,NA())</f>
        <v>0.53055318948132613</v>
      </c>
      <c r="X39">
        <f>IF(ISNUMBER('Industry Averages'!D75),'Industry Averages'!D75,NA())</f>
        <v>0.8037513915639477</v>
      </c>
      <c r="Y39">
        <f>IF(ISNUMBER('Industry Averages'!D76),'Industry Averages'!D76,NA())</f>
        <v>1.1329960510619466</v>
      </c>
      <c r="Z39">
        <f>IF(ISNUMBER('Industry Averages'!D77),'Industry Averages'!D77,NA())</f>
        <v>0.91365591618961484</v>
      </c>
    </row>
    <row r="40" spans="1:26" ht="19.95" customHeight="1" x14ac:dyDescent="0.3">
      <c r="A40" s="39"/>
      <c r="B40" s="39"/>
      <c r="C40" s="39"/>
      <c r="D40" s="39"/>
      <c r="E40" s="39"/>
      <c r="F40" s="39"/>
      <c r="G40" s="39"/>
      <c r="H40" s="39"/>
      <c r="I40" s="39"/>
      <c r="J40" s="39"/>
      <c r="K40" s="39"/>
      <c r="L40" s="39"/>
      <c r="M40" s="39"/>
      <c r="N40" s="39"/>
      <c r="O40" s="39"/>
      <c r="P40" s="39"/>
      <c r="Q40" s="39"/>
      <c r="R40" s="39"/>
      <c r="T40" t="s">
        <v>66</v>
      </c>
      <c r="U40">
        <f>IF(ISNUMBER('Industry Averages'!E72),'Industry Averages'!E72,NA())</f>
        <v>1.5412541563844033</v>
      </c>
      <c r="V40">
        <f>IF(ISNUMBER('Industry Averages'!E73),'Industry Averages'!E73,NA())</f>
        <v>0.98532795146598973</v>
      </c>
      <c r="W40">
        <f>IF(ISNUMBER('Industry Averages'!E74),'Industry Averages'!E74,NA())</f>
        <v>0.70098015962057802</v>
      </c>
      <c r="X40">
        <f>IF(ISNUMBER('Industry Averages'!E75),'Industry Averages'!E75,NA())</f>
        <v>0.85444675022417971</v>
      </c>
      <c r="Y40">
        <f>IF(ISNUMBER('Industry Averages'!E76),'Industry Averages'!E76,NA())</f>
        <v>0.73176601318978285</v>
      </c>
      <c r="Z40">
        <f>IF(ISNUMBER('Industry Averages'!E77),'Industry Averages'!E77,NA())</f>
        <v>0.96275500617698673</v>
      </c>
    </row>
    <row r="41" spans="1:26" ht="19.95" customHeight="1" x14ac:dyDescent="0.3">
      <c r="A41" s="39"/>
      <c r="B41" s="39"/>
      <c r="C41" s="39"/>
      <c r="D41" s="39"/>
      <c r="E41" s="39"/>
      <c r="F41" s="39"/>
      <c r="G41" s="39"/>
      <c r="H41" s="39"/>
      <c r="I41" s="39"/>
      <c r="J41" s="39"/>
      <c r="K41" s="39"/>
      <c r="L41" s="39"/>
      <c r="M41" s="39"/>
      <c r="N41" s="39"/>
      <c r="O41" s="39"/>
      <c r="P41" s="39"/>
      <c r="Q41" s="39"/>
      <c r="R41" s="39"/>
      <c r="T41" t="s">
        <v>67</v>
      </c>
      <c r="U41">
        <f>IF(ISNUMBER('Industry Averages'!F72),'Industry Averages'!F72,NA())</f>
        <v>1.7509053329621809</v>
      </c>
      <c r="V41">
        <f>IF(ISNUMBER('Industry Averages'!F73),'Industry Averages'!F73,NA())</f>
        <v>1.0022154394695202</v>
      </c>
      <c r="W41">
        <f>IF(ISNUMBER('Industry Averages'!F74),'Industry Averages'!F74,NA())</f>
        <v>0.79011863849334296</v>
      </c>
      <c r="X41">
        <f>IF(ISNUMBER('Industry Averages'!F75),'Industry Averages'!F75,NA())</f>
        <v>0.99551999428815263</v>
      </c>
      <c r="Y41">
        <f>IF(ISNUMBER('Industry Averages'!F76),'Industry Averages'!F76,NA())</f>
        <v>0.65184739301529204</v>
      </c>
      <c r="Z41">
        <f>IF(ISNUMBER('Industry Averages'!F77),'Industry Averages'!F77,NA())</f>
        <v>1.038121359645698</v>
      </c>
    </row>
    <row r="42" spans="1:26" ht="19.95" customHeight="1" x14ac:dyDescent="0.3">
      <c r="A42" s="39"/>
      <c r="B42" s="39"/>
      <c r="C42" s="39"/>
      <c r="D42" s="39"/>
      <c r="E42" s="39"/>
      <c r="F42" s="39"/>
      <c r="G42" s="39"/>
      <c r="H42" s="39"/>
      <c r="I42" s="39"/>
      <c r="J42" s="39"/>
      <c r="K42" s="39"/>
      <c r="L42" s="39"/>
      <c r="M42" s="39"/>
      <c r="N42" s="39"/>
      <c r="O42" s="39"/>
      <c r="P42" s="39"/>
      <c r="Q42" s="39"/>
      <c r="R42" s="39"/>
      <c r="T42" t="s">
        <v>68</v>
      </c>
      <c r="U42">
        <f>IF(ISNUMBER('Industry Averages'!G72),'Industry Averages'!G72,NA())</f>
        <v>1.7442972870565909</v>
      </c>
      <c r="V42">
        <f>IF(ISNUMBER('Industry Averages'!G73),'Industry Averages'!G73,NA())</f>
        <v>1.0752008785316265</v>
      </c>
      <c r="W42">
        <f>IF(ISNUMBER('Industry Averages'!G74),'Industry Averages'!G74,NA())</f>
        <v>0.82674606407416695</v>
      </c>
      <c r="X42">
        <f>IF(ISNUMBER('Industry Averages'!G75),'Industry Averages'!G75,NA())</f>
        <v>1.0069209161495893</v>
      </c>
      <c r="Y42">
        <f>IF(ISNUMBER('Industry Averages'!G76),'Industry Averages'!G76,NA())</f>
        <v>0.72196082222901214</v>
      </c>
      <c r="Z42">
        <f>IF(ISNUMBER('Industry Averages'!G77),'Industry Averages'!G77,NA())</f>
        <v>1.0750251936081971</v>
      </c>
    </row>
    <row r="43" spans="1:26" ht="19.95" customHeight="1" x14ac:dyDescent="0.3">
      <c r="A43" s="39"/>
      <c r="B43" s="39"/>
      <c r="C43" s="39"/>
      <c r="D43" s="39"/>
      <c r="E43" s="39"/>
      <c r="F43" s="39"/>
      <c r="G43" s="39"/>
      <c r="H43" s="39"/>
      <c r="I43" s="39"/>
      <c r="J43" s="39"/>
      <c r="K43" s="39"/>
      <c r="L43" s="39"/>
      <c r="M43" s="39"/>
      <c r="N43" s="39"/>
      <c r="O43" s="39"/>
      <c r="P43" s="39"/>
      <c r="Q43" s="39"/>
      <c r="R43" s="39"/>
      <c r="T43" t="s">
        <v>69</v>
      </c>
      <c r="U43">
        <f>IF(ISNUMBER('Industry Averages'!H72),'Industry Averages'!H72,NA())</f>
        <v>1.606837829232711</v>
      </c>
      <c r="V43">
        <f>IF(ISNUMBER('Industry Averages'!H73),'Industry Averages'!H73,NA())</f>
        <v>1.1592237370838812</v>
      </c>
      <c r="W43">
        <f>IF(ISNUMBER('Industry Averages'!H74),'Industry Averages'!H74,NA())</f>
        <v>0.93062078370763102</v>
      </c>
      <c r="X43">
        <f>IF(ISNUMBER('Industry Averages'!H75),'Industry Averages'!H75,NA())</f>
        <v>1.0971769908727151</v>
      </c>
      <c r="Y43">
        <f>IF(ISNUMBER('Industry Averages'!H76),'Industry Averages'!H76,NA())</f>
        <v>0.81180021491144161</v>
      </c>
      <c r="Z43">
        <f>IF(ISNUMBER('Industry Averages'!H77),'Industry Averages'!H77,NA())</f>
        <v>1.121131911161676</v>
      </c>
    </row>
    <row r="44" spans="1:26" ht="19.95" customHeight="1" x14ac:dyDescent="0.3">
      <c r="A44" s="39"/>
      <c r="B44" s="39"/>
      <c r="C44" s="39"/>
      <c r="D44" s="39"/>
      <c r="E44" s="39"/>
      <c r="F44" s="39"/>
      <c r="G44" s="39"/>
      <c r="H44" s="39"/>
      <c r="I44" s="39"/>
      <c r="J44" s="39"/>
      <c r="K44" s="39"/>
      <c r="L44" s="39"/>
      <c r="M44" s="39"/>
      <c r="N44" s="39"/>
      <c r="O44" s="39"/>
      <c r="P44" s="39"/>
      <c r="Q44" s="39"/>
      <c r="R44" s="39"/>
    </row>
    <row r="45" spans="1:26" ht="19.95" customHeight="1" x14ac:dyDescent="0.3">
      <c r="A45" s="39"/>
      <c r="B45" s="39"/>
      <c r="C45" s="39"/>
      <c r="D45" s="39"/>
      <c r="E45" s="39"/>
      <c r="F45" s="39"/>
      <c r="G45" s="39"/>
      <c r="H45" s="39"/>
      <c r="I45" s="39"/>
      <c r="J45" s="39"/>
      <c r="K45" s="39"/>
      <c r="L45" s="39"/>
      <c r="M45" s="39"/>
      <c r="N45" s="39"/>
      <c r="O45" s="39"/>
      <c r="P45" s="39"/>
      <c r="Q45" s="39"/>
      <c r="R45" s="39"/>
    </row>
    <row r="46" spans="1:26" ht="19.95" customHeight="1" x14ac:dyDescent="0.3">
      <c r="A46" s="39"/>
      <c r="B46" s="39"/>
      <c r="C46" s="39"/>
      <c r="D46" s="39"/>
      <c r="E46" s="39"/>
      <c r="F46" s="39"/>
      <c r="G46" s="39"/>
      <c r="H46" s="39"/>
      <c r="I46" s="39"/>
      <c r="J46" s="39"/>
      <c r="K46" s="39"/>
      <c r="L46" s="39"/>
      <c r="M46" s="39"/>
      <c r="N46" s="39"/>
      <c r="O46" s="39"/>
      <c r="P46" s="39"/>
      <c r="Q46" s="39"/>
      <c r="R46" s="39"/>
      <c r="T46" t="s">
        <v>304</v>
      </c>
      <c r="U46" t="s">
        <v>13</v>
      </c>
      <c r="V46" t="s">
        <v>18</v>
      </c>
      <c r="W46" t="s">
        <v>23</v>
      </c>
      <c r="X46" t="s">
        <v>27</v>
      </c>
      <c r="Y46" t="s">
        <v>31</v>
      </c>
      <c r="Z46" t="s">
        <v>305</v>
      </c>
    </row>
    <row r="47" spans="1:26" ht="19.95" customHeight="1" x14ac:dyDescent="0.3">
      <c r="A47" s="39"/>
      <c r="B47" s="39"/>
      <c r="C47" s="39"/>
      <c r="D47" s="39"/>
      <c r="E47" s="39"/>
      <c r="F47" s="39"/>
      <c r="G47" s="39"/>
      <c r="H47" s="39"/>
      <c r="I47" s="39"/>
      <c r="J47" s="39"/>
      <c r="K47" s="39"/>
      <c r="L47" s="39"/>
      <c r="M47" s="39"/>
      <c r="N47" s="39"/>
      <c r="O47" s="39"/>
      <c r="P47" s="39"/>
      <c r="Q47" s="39"/>
      <c r="R47" s="39"/>
      <c r="T47" t="s">
        <v>65</v>
      </c>
      <c r="U47">
        <f>IF(ISNUMBER('Industry Averages'!D80),'Industry Averages'!D80,NA())</f>
        <v>0.66665082622797289</v>
      </c>
      <c r="V47">
        <f>IF(ISNUMBER('Industry Averages'!D81),'Industry Averages'!D81,NA())</f>
        <v>0.40251701143421476</v>
      </c>
      <c r="W47">
        <f>IF(ISNUMBER('Industry Averages'!D82),'Industry Averages'!D82,NA())</f>
        <v>0.32711693039218176</v>
      </c>
      <c r="X47">
        <f>IF(ISNUMBER('Industry Averages'!D83),'Industry Averages'!D83,NA())</f>
        <v>0.53651401514370378</v>
      </c>
      <c r="Y47">
        <f>IF(ISNUMBER('Industry Averages'!D84),'Industry Averages'!D84,NA())</f>
        <v>0.71276636764269574</v>
      </c>
      <c r="Z47">
        <f>IF(ISNUMBER('Industry Averages'!D85),'Industry Averages'!D85,NA())</f>
        <v>0.5291130301681537</v>
      </c>
    </row>
    <row r="48" spans="1:26" ht="19.95" customHeight="1" x14ac:dyDescent="0.3">
      <c r="A48" s="39"/>
      <c r="B48" s="39"/>
      <c r="C48" s="39"/>
      <c r="D48" s="39"/>
      <c r="E48" s="39"/>
      <c r="F48" s="39"/>
      <c r="G48" s="39"/>
      <c r="H48" s="39"/>
      <c r="I48" s="39"/>
      <c r="J48" s="39"/>
      <c r="K48" s="39"/>
      <c r="L48" s="39"/>
      <c r="M48" s="39"/>
      <c r="N48" s="39"/>
      <c r="O48" s="39"/>
      <c r="P48" s="39"/>
      <c r="Q48" s="39"/>
      <c r="R48" s="39"/>
      <c r="T48" t="s">
        <v>66</v>
      </c>
      <c r="U48">
        <f>IF(ISNUMBER('Industry Averages'!E80),'Industry Averages'!E80,NA())</f>
        <v>0.7583954484233022</v>
      </c>
      <c r="V48">
        <f>IF(ISNUMBER('Industry Averages'!E81),'Industry Averages'!E81,NA())</f>
        <v>0.4384325626713429</v>
      </c>
      <c r="W48">
        <f>IF(ISNUMBER('Industry Averages'!E82),'Industry Averages'!E82,NA())</f>
        <v>0.42503666813991675</v>
      </c>
      <c r="X48">
        <f>IF(ISNUMBER('Industry Averages'!E83),'Industry Averages'!E83,NA())</f>
        <v>0.59016101960962719</v>
      </c>
      <c r="Y48">
        <f>IF(ISNUMBER('Industry Averages'!E84),'Industry Averages'!E84,NA())</f>
        <v>0.4770803467502796</v>
      </c>
      <c r="Z48">
        <f>IF(ISNUMBER('Industry Averages'!E85),'Industry Averages'!E85,NA())</f>
        <v>0.53782120911889375</v>
      </c>
    </row>
    <row r="49" spans="1:26" ht="19.95" customHeight="1" x14ac:dyDescent="0.3">
      <c r="A49" s="39"/>
      <c r="B49" s="39"/>
      <c r="C49" s="39"/>
      <c r="D49" s="39"/>
      <c r="E49" s="39"/>
      <c r="F49" s="39"/>
      <c r="G49" s="39"/>
      <c r="H49" s="39"/>
      <c r="I49" s="39"/>
      <c r="J49" s="39"/>
      <c r="K49" s="39"/>
      <c r="L49" s="39"/>
      <c r="M49" s="39"/>
      <c r="N49" s="39"/>
      <c r="O49" s="39"/>
      <c r="P49" s="39"/>
      <c r="Q49" s="39"/>
      <c r="R49" s="39"/>
      <c r="T49" t="s">
        <v>67</v>
      </c>
      <c r="U49">
        <f>IF(ISNUMBER('Industry Averages'!F80),'Industry Averages'!F80,NA())</f>
        <v>0.78581821088962756</v>
      </c>
      <c r="V49">
        <f>IF(ISNUMBER('Industry Averages'!F81),'Industry Averages'!F81,NA())</f>
        <v>0.44974923322711935</v>
      </c>
      <c r="W49">
        <f>IF(ISNUMBER('Industry Averages'!F82),'Industry Averages'!F82,NA())</f>
        <v>0.4823862468647665</v>
      </c>
      <c r="X49">
        <f>IF(ISNUMBER('Industry Averages'!F83),'Industry Averages'!F83,NA())</f>
        <v>0.69197238797008198</v>
      </c>
      <c r="Y49">
        <f>IF(ISNUMBER('Industry Averages'!F84),'Industry Averages'!F84,NA())</f>
        <v>0.49031202866080159</v>
      </c>
      <c r="Z49">
        <f>IF(ISNUMBER('Industry Averages'!F85),'Industry Averages'!F85,NA())</f>
        <v>0.58004762152247946</v>
      </c>
    </row>
    <row r="50" spans="1:26" ht="19.95" customHeight="1" x14ac:dyDescent="0.3">
      <c r="A50" s="39"/>
      <c r="B50" s="39"/>
      <c r="C50" s="39"/>
      <c r="D50" s="39"/>
      <c r="E50" s="39"/>
      <c r="F50" s="39"/>
      <c r="G50" s="39"/>
      <c r="H50" s="39"/>
      <c r="I50" s="39"/>
      <c r="J50" s="39"/>
      <c r="K50" s="39"/>
      <c r="L50" s="39"/>
      <c r="M50" s="39"/>
      <c r="N50" s="39"/>
      <c r="O50" s="39"/>
      <c r="P50" s="39"/>
      <c r="Q50" s="39"/>
      <c r="R50" s="39"/>
      <c r="T50" t="s">
        <v>68</v>
      </c>
      <c r="U50">
        <f>IF(ISNUMBER('Industry Averages'!G80),'Industry Averages'!G80,NA())</f>
        <v>0.65679136157504614</v>
      </c>
      <c r="V50">
        <f>IF(ISNUMBER('Industry Averages'!G81),'Industry Averages'!G81,NA())</f>
        <v>0.49280353497458251</v>
      </c>
      <c r="W50">
        <f>IF(ISNUMBER('Industry Averages'!G82),'Industry Averages'!G82,NA())</f>
        <v>0.47720727814222835</v>
      </c>
      <c r="X50">
        <f>IF(ISNUMBER('Industry Averages'!G83),'Industry Averages'!G83,NA())</f>
        <v>0.66876558045462819</v>
      </c>
      <c r="Y50">
        <f>IF(ISNUMBER('Industry Averages'!G84),'Industry Averages'!G84,NA())</f>
        <v>0.54204979765850125</v>
      </c>
      <c r="Z50">
        <f>IF(ISNUMBER('Industry Averages'!G85),'Industry Averages'!G85,NA())</f>
        <v>0.56752351056099726</v>
      </c>
    </row>
    <row r="51" spans="1:26" ht="19.95" customHeight="1" x14ac:dyDescent="0.3">
      <c r="A51" s="39"/>
      <c r="B51" s="39"/>
      <c r="C51" s="39"/>
      <c r="D51" s="39"/>
      <c r="E51" s="39"/>
      <c r="F51" s="39"/>
      <c r="G51" s="39"/>
      <c r="H51" s="39"/>
      <c r="I51" s="39"/>
      <c r="J51" s="39"/>
      <c r="K51" s="39"/>
      <c r="L51" s="39"/>
      <c r="M51" s="39"/>
      <c r="N51" s="39"/>
      <c r="O51" s="39"/>
      <c r="P51" s="39"/>
      <c r="Q51" s="39"/>
      <c r="R51" s="39"/>
      <c r="T51" t="s">
        <v>69</v>
      </c>
      <c r="U51">
        <f>IF(ISNUMBER('Industry Averages'!H80),'Industry Averages'!H80,NA())</f>
        <v>0.56195953485342598</v>
      </c>
      <c r="V51">
        <f>IF(ISNUMBER('Industry Averages'!H81),'Industry Averages'!H81,NA())</f>
        <v>0.46677662061834158</v>
      </c>
      <c r="W51">
        <f>IF(ISNUMBER('Industry Averages'!H82),'Industry Averages'!H82,NA())</f>
        <v>0.49267235836459933</v>
      </c>
      <c r="X51">
        <f>IF(ISNUMBER('Industry Averages'!H83),'Industry Averages'!H83,NA())</f>
        <v>0.57883136984449801</v>
      </c>
      <c r="Y51">
        <f>IF(ISNUMBER('Industry Averages'!H84),'Industry Averages'!H84,NA())</f>
        <v>0.55305556508680442</v>
      </c>
      <c r="Z51">
        <f>IF(ISNUMBER('Industry Averages'!H85),'Industry Averages'!H85,NA())</f>
        <v>0.53065908975353382</v>
      </c>
    </row>
    <row r="52" spans="1:26" ht="19.95" customHeight="1" x14ac:dyDescent="0.3">
      <c r="A52" s="39"/>
      <c r="B52" s="39"/>
      <c r="C52" s="39"/>
      <c r="D52" s="39"/>
      <c r="E52" s="39"/>
      <c r="F52" s="39"/>
      <c r="G52" s="39"/>
      <c r="H52" s="39"/>
      <c r="I52" s="39"/>
      <c r="J52" s="39"/>
      <c r="K52" s="39"/>
      <c r="L52" s="39"/>
      <c r="M52" s="39"/>
      <c r="N52" s="39"/>
      <c r="O52" s="39"/>
      <c r="P52" s="39"/>
      <c r="Q52" s="39"/>
      <c r="R52" s="39"/>
    </row>
    <row r="53" spans="1:26" ht="19.95" customHeight="1" x14ac:dyDescent="0.3">
      <c r="A53" s="39"/>
      <c r="B53" s="39"/>
      <c r="C53" s="39"/>
      <c r="D53" s="39"/>
      <c r="E53" s="39"/>
      <c r="F53" s="39"/>
      <c r="G53" s="39"/>
      <c r="H53" s="39"/>
      <c r="I53" s="39"/>
      <c r="J53" s="39"/>
      <c r="K53" s="39"/>
      <c r="L53" s="39"/>
      <c r="M53" s="39"/>
      <c r="N53" s="39"/>
      <c r="O53" s="39"/>
      <c r="P53" s="39"/>
      <c r="Q53" s="39"/>
      <c r="R53" s="39"/>
    </row>
    <row r="54" spans="1:26" ht="19.95" customHeight="1" x14ac:dyDescent="0.3">
      <c r="A54" s="39"/>
      <c r="B54" s="39"/>
      <c r="C54" s="39"/>
      <c r="D54" s="39"/>
      <c r="E54" s="39"/>
      <c r="F54" s="39"/>
      <c r="G54" s="39"/>
      <c r="H54" s="39"/>
      <c r="I54" s="39"/>
      <c r="J54" s="39"/>
      <c r="K54" s="39"/>
      <c r="L54" s="39"/>
      <c r="M54" s="39"/>
      <c r="N54" s="39"/>
      <c r="O54" s="39"/>
      <c r="P54" s="39"/>
      <c r="Q54" s="39"/>
      <c r="R54" s="39"/>
      <c r="T54" t="s">
        <v>304</v>
      </c>
      <c r="U54" t="s">
        <v>13</v>
      </c>
      <c r="V54" t="s">
        <v>18</v>
      </c>
      <c r="W54" t="s">
        <v>23</v>
      </c>
      <c r="X54" t="s">
        <v>27</v>
      </c>
      <c r="Y54" t="s">
        <v>31</v>
      </c>
      <c r="Z54" t="s">
        <v>305</v>
      </c>
    </row>
    <row r="55" spans="1:26" ht="19.95" customHeight="1" x14ac:dyDescent="0.3">
      <c r="A55" s="39"/>
      <c r="B55" s="39"/>
      <c r="C55" s="39"/>
      <c r="D55" s="39"/>
      <c r="E55" s="39"/>
      <c r="F55" s="39"/>
      <c r="G55" s="39"/>
      <c r="H55" s="39"/>
      <c r="I55" s="39"/>
      <c r="J55" s="39"/>
      <c r="K55" s="39"/>
      <c r="L55" s="39"/>
      <c r="M55" s="39"/>
      <c r="N55" s="39"/>
      <c r="O55" s="39"/>
      <c r="P55" s="39"/>
      <c r="Q55" s="39"/>
      <c r="R55" s="39"/>
      <c r="T55" t="s">
        <v>65</v>
      </c>
      <c r="U55">
        <f>IF(ISNUMBER('Industry Averages'!D97),'Industry Averages'!D97,NA())</f>
        <v>0.2722692388457173</v>
      </c>
      <c r="V55">
        <f>IF(ISNUMBER('Industry Averages'!D98),'Industry Averages'!D98,NA())</f>
        <v>9.267604319417716E-2</v>
      </c>
      <c r="W55">
        <f>IF(ISNUMBER('Industry Averages'!D99),'Industry Averages'!D99,NA())</f>
        <v>0.59600006385595838</v>
      </c>
      <c r="X55">
        <f>IF(ISNUMBER('Industry Averages'!D100),'Industry Averages'!D100,NA())</f>
        <v>0.43245543768601064</v>
      </c>
      <c r="Y55">
        <f>IF(ISNUMBER('Industry Averages'!D101),'Industry Averages'!D101,NA())</f>
        <v>0.11033361830900601</v>
      </c>
      <c r="Z55">
        <f>IF(ISNUMBER('Industry Averages'!D102),'Industry Averages'!D102,NA())</f>
        <v>0.30074688037817388</v>
      </c>
    </row>
    <row r="56" spans="1:26" ht="19.95" customHeight="1" x14ac:dyDescent="0.3">
      <c r="A56" s="39"/>
      <c r="B56" s="39"/>
      <c r="C56" s="39"/>
      <c r="D56" s="39"/>
      <c r="E56" s="39"/>
      <c r="F56" s="39"/>
      <c r="G56" s="39"/>
      <c r="H56" s="39"/>
      <c r="I56" s="39"/>
      <c r="J56" s="39"/>
      <c r="K56" s="39"/>
      <c r="L56" s="39"/>
      <c r="M56" s="39"/>
      <c r="N56" s="39"/>
      <c r="O56" s="39"/>
      <c r="P56" s="39"/>
      <c r="Q56" s="39"/>
      <c r="R56" s="39"/>
      <c r="T56" t="s">
        <v>66</v>
      </c>
      <c r="U56">
        <f>IF(ISNUMBER('Industry Averages'!E97),'Industry Averages'!E97,NA())</f>
        <v>0.15603310983895571</v>
      </c>
      <c r="V56">
        <f>IF(ISNUMBER('Industry Averages'!E98),'Industry Averages'!E98,NA())</f>
        <v>0.12132883685589589</v>
      </c>
      <c r="W56">
        <f>IF(ISNUMBER('Industry Averages'!E99),'Industry Averages'!E99,NA())</f>
        <v>0.66471914526512743</v>
      </c>
      <c r="X56">
        <f>IF(ISNUMBER('Industry Averages'!E100),'Industry Averages'!E100,NA())</f>
        <v>0.61573768495117542</v>
      </c>
      <c r="Y56">
        <f>IF(ISNUMBER('Industry Averages'!E101),'Industry Averages'!E101,NA())</f>
        <v>0.44889851845785944</v>
      </c>
      <c r="Z56">
        <f>IF(ISNUMBER('Industry Averages'!E102),'Industry Averages'!E102,NA())</f>
        <v>0.40134345907380276</v>
      </c>
    </row>
    <row r="57" spans="1:26" ht="19.95" customHeight="1" x14ac:dyDescent="0.3">
      <c r="A57" s="39"/>
      <c r="B57" s="39"/>
      <c r="C57" s="39"/>
      <c r="D57" s="39"/>
      <c r="E57" s="39"/>
      <c r="F57" s="39"/>
      <c r="G57" s="39"/>
      <c r="H57" s="39"/>
      <c r="I57" s="39"/>
      <c r="J57" s="39"/>
      <c r="K57" s="39"/>
      <c r="L57" s="39"/>
      <c r="M57" s="39"/>
      <c r="N57" s="39"/>
      <c r="O57" s="39"/>
      <c r="P57" s="39"/>
      <c r="Q57" s="39"/>
      <c r="R57" s="39"/>
      <c r="T57" t="s">
        <v>67</v>
      </c>
      <c r="U57">
        <f>IF(ISNUMBER('Industry Averages'!F97),'Industry Averages'!F97,NA())</f>
        <v>9.7619406864766459E-2</v>
      </c>
      <c r="V57">
        <f>IF(ISNUMBER('Industry Averages'!F98),'Industry Averages'!F98,NA())</f>
        <v>0.15318126074071459</v>
      </c>
      <c r="W57">
        <f>IF(ISNUMBER('Industry Averages'!F99),'Industry Averages'!F99,NA())</f>
        <v>0.66251390334697124</v>
      </c>
      <c r="X57">
        <f>IF(ISNUMBER('Industry Averages'!F100),'Industry Averages'!F100,NA())</f>
        <v>0.44250779404874935</v>
      </c>
      <c r="Y57">
        <f>IF(ISNUMBER('Industry Averages'!F101),'Industry Averages'!F101,NA())</f>
        <v>0.62375966688339879</v>
      </c>
      <c r="Z57">
        <f>IF(ISNUMBER('Industry Averages'!F102),'Industry Averages'!F102,NA())</f>
        <v>0.3959164063769201</v>
      </c>
    </row>
    <row r="58" spans="1:26" ht="19.95" customHeight="1" x14ac:dyDescent="0.3">
      <c r="A58" s="39"/>
      <c r="B58" s="39"/>
      <c r="C58" s="39"/>
      <c r="D58" s="39"/>
      <c r="E58" s="39"/>
      <c r="F58" s="39"/>
      <c r="G58" s="39"/>
      <c r="H58" s="39"/>
      <c r="I58" s="39"/>
      <c r="J58" s="39"/>
      <c r="K58" s="39"/>
      <c r="L58" s="39"/>
      <c r="M58" s="39"/>
      <c r="N58" s="39"/>
      <c r="O58" s="39"/>
      <c r="P58" s="39"/>
      <c r="Q58" s="39"/>
      <c r="R58" s="39"/>
      <c r="T58" t="s">
        <v>68</v>
      </c>
      <c r="U58">
        <f>IF(ISNUMBER('Industry Averages'!G97),'Industry Averages'!G97,NA())</f>
        <v>5.2398238191517746E-2</v>
      </c>
      <c r="V58">
        <f>IF(ISNUMBER('Industry Averages'!G98),'Industry Averages'!G98,NA())</f>
        <v>0.13768684470695258</v>
      </c>
      <c r="W58">
        <f>IF(ISNUMBER('Industry Averages'!G99),'Industry Averages'!G99,NA())</f>
        <v>0.45251048227827784</v>
      </c>
      <c r="X58">
        <f>IF(ISNUMBER('Industry Averages'!G100),'Industry Averages'!G100,NA())</f>
        <v>0.36846998820204724</v>
      </c>
      <c r="Y58">
        <f>IF(ISNUMBER('Industry Averages'!G101),'Industry Averages'!G101,NA())</f>
        <v>0.49850573278032018</v>
      </c>
      <c r="Z58">
        <f>IF(ISNUMBER('Industry Averages'!G102),'Industry Averages'!G102,NA())</f>
        <v>0.30191425723182308</v>
      </c>
    </row>
    <row r="59" spans="1:26" ht="19.95" customHeight="1" x14ac:dyDescent="0.3">
      <c r="A59" s="39"/>
      <c r="B59" s="39"/>
      <c r="C59" s="39"/>
      <c r="D59" s="39"/>
      <c r="E59" s="39"/>
      <c r="F59" s="39"/>
      <c r="G59" s="39"/>
      <c r="H59" s="39"/>
      <c r="I59" s="39"/>
      <c r="J59" s="39"/>
      <c r="K59" s="39"/>
      <c r="L59" s="39"/>
      <c r="M59" s="39"/>
      <c r="N59" s="39"/>
      <c r="O59" s="39"/>
      <c r="P59" s="39"/>
      <c r="Q59" s="39"/>
      <c r="R59" s="39"/>
      <c r="T59" t="s">
        <v>69</v>
      </c>
      <c r="U59">
        <f>IF(ISNUMBER('Industry Averages'!H97),'Industry Averages'!H97,NA())</f>
        <v>4.6764934517749976E-2</v>
      </c>
      <c r="V59">
        <f>IF(ISNUMBER('Industry Averages'!H98),'Industry Averages'!H98,NA())</f>
        <v>9.9684879347667912E-2</v>
      </c>
      <c r="W59">
        <f>IF(ISNUMBER('Industry Averages'!H99),'Industry Averages'!H99,NA())</f>
        <v>0.23141104487858016</v>
      </c>
      <c r="X59">
        <f>IF(ISNUMBER('Industry Averages'!H100),'Industry Averages'!H100,NA())</f>
        <v>0.20402666092297522</v>
      </c>
      <c r="Y59">
        <f>IF(ISNUMBER('Industry Averages'!H101),'Industry Averages'!H101,NA())</f>
        <v>0.47508509566997464</v>
      </c>
      <c r="Z59">
        <f>IF(ISNUMBER('Industry Averages'!H102),'Industry Averages'!H102,NA())</f>
        <v>0.21139452306738957</v>
      </c>
    </row>
    <row r="60" spans="1:26" ht="19.95" customHeight="1" x14ac:dyDescent="0.3">
      <c r="A60" s="39"/>
      <c r="B60" s="39"/>
      <c r="C60" s="39"/>
      <c r="D60" s="39"/>
      <c r="E60" s="39"/>
      <c r="F60" s="39"/>
      <c r="G60" s="39"/>
      <c r="H60" s="39"/>
      <c r="I60" s="39"/>
      <c r="J60" s="39"/>
      <c r="K60" s="39"/>
      <c r="L60" s="39"/>
      <c r="M60" s="39"/>
      <c r="N60" s="39"/>
      <c r="O60" s="39"/>
      <c r="P60" s="39"/>
      <c r="Q60" s="39"/>
      <c r="R60" s="39"/>
    </row>
    <row r="61" spans="1:26" ht="19.95" customHeight="1" x14ac:dyDescent="0.3">
      <c r="A61" s="39"/>
      <c r="B61" s="39"/>
      <c r="C61" s="39"/>
      <c r="D61" s="39"/>
      <c r="E61" s="39"/>
      <c r="F61" s="39"/>
      <c r="G61" s="39"/>
      <c r="H61" s="39"/>
      <c r="I61" s="39"/>
      <c r="J61" s="39"/>
      <c r="K61" s="39"/>
      <c r="L61" s="39"/>
      <c r="M61" s="39"/>
      <c r="N61" s="39"/>
      <c r="O61" s="39"/>
      <c r="P61" s="39"/>
      <c r="Q61" s="39"/>
      <c r="R61" s="39"/>
    </row>
    <row r="62" spans="1:26" ht="19.95" customHeight="1" x14ac:dyDescent="0.3">
      <c r="A62" s="39"/>
      <c r="B62" s="39"/>
      <c r="C62" s="39"/>
      <c r="D62" s="39"/>
      <c r="E62" s="39"/>
      <c r="F62" s="39"/>
      <c r="G62" s="39"/>
      <c r="H62" s="39"/>
      <c r="I62" s="39"/>
      <c r="J62" s="39"/>
      <c r="K62" s="39"/>
      <c r="L62" s="39"/>
      <c r="M62" s="39"/>
      <c r="N62" s="39"/>
      <c r="O62" s="39"/>
      <c r="P62" s="39"/>
      <c r="Q62" s="39"/>
      <c r="R62" s="39"/>
      <c r="T62" t="s">
        <v>304</v>
      </c>
      <c r="U62" t="s">
        <v>13</v>
      </c>
      <c r="V62" t="s">
        <v>18</v>
      </c>
      <c r="W62" t="s">
        <v>23</v>
      </c>
      <c r="X62" t="s">
        <v>27</v>
      </c>
      <c r="Y62" t="s">
        <v>31</v>
      </c>
      <c r="Z62" t="s">
        <v>305</v>
      </c>
    </row>
    <row r="63" spans="1:26" ht="19.95" customHeight="1" x14ac:dyDescent="0.3">
      <c r="A63" s="39"/>
      <c r="B63" s="39"/>
      <c r="C63" s="39"/>
      <c r="D63" s="39"/>
      <c r="E63" s="39"/>
      <c r="F63" s="39"/>
      <c r="G63" s="39"/>
      <c r="H63" s="39"/>
      <c r="I63" s="39"/>
      <c r="J63" s="39"/>
      <c r="K63" s="39"/>
      <c r="L63" s="39"/>
      <c r="M63" s="39"/>
      <c r="N63" s="39"/>
      <c r="O63" s="39"/>
      <c r="P63" s="39"/>
      <c r="Q63" s="39"/>
      <c r="R63" s="39"/>
      <c r="T63" t="s">
        <v>65</v>
      </c>
      <c r="U63">
        <f>IF(ISNUMBER('Industry Averages'!D113),'Industry Averages'!D113,NA())</f>
        <v>10.965146742707439</v>
      </c>
      <c r="V63">
        <f>IF(ISNUMBER('Industry Averages'!D114),'Industry Averages'!D114,NA())</f>
        <v>52.042228263318378</v>
      </c>
      <c r="W63">
        <f>IF(ISNUMBER('Industry Averages'!D115),'Industry Averages'!D115,NA())</f>
        <v>2.6532310456742976</v>
      </c>
      <c r="X63">
        <f>IF(ISNUMBER('Industry Averages'!D116),'Industry Averages'!D116,NA())</f>
        <v>6.0367662605249279</v>
      </c>
      <c r="Y63">
        <f>IF(ISNUMBER('Industry Averages'!D117),'Industry Averages'!D117,NA())</f>
        <v>56.450885878061477</v>
      </c>
      <c r="Z63">
        <f>IF(ISNUMBER('Industry Averages'!D118),'Industry Averages'!D118,NA())</f>
        <v>25.629651638057304</v>
      </c>
    </row>
    <row r="64" spans="1:26" ht="19.95" customHeight="1" x14ac:dyDescent="0.3">
      <c r="A64" s="39"/>
      <c r="B64" s="39"/>
      <c r="C64" s="39"/>
      <c r="D64" s="39"/>
      <c r="E64" s="39"/>
      <c r="F64" s="39"/>
      <c r="G64" s="39"/>
      <c r="H64" s="39"/>
      <c r="I64" s="39"/>
      <c r="J64" s="39"/>
      <c r="K64" s="39"/>
      <c r="L64" s="39"/>
      <c r="M64" s="39"/>
      <c r="N64" s="39"/>
      <c r="O64" s="39"/>
      <c r="P64" s="39"/>
      <c r="Q64" s="39"/>
      <c r="R64" s="39"/>
      <c r="T64" t="s">
        <v>66</v>
      </c>
      <c r="U64">
        <f>IF(ISNUMBER('Industry Averages'!E113),'Industry Averages'!E113,NA())</f>
        <v>18.319735243438064</v>
      </c>
      <c r="V64">
        <f>IF(ISNUMBER('Industry Averages'!E114),'Industry Averages'!E114,NA())</f>
        <v>55.297361076962446</v>
      </c>
      <c r="W64">
        <f>IF(ISNUMBER('Industry Averages'!E115),'Industry Averages'!E115,NA())</f>
        <v>2.6982633298510965</v>
      </c>
      <c r="X64">
        <f>IF(ISNUMBER('Industry Averages'!E116),'Industry Averages'!E116,NA())</f>
        <v>5.2505359388174728</v>
      </c>
      <c r="Y64">
        <f>IF(ISNUMBER('Industry Averages'!E117),'Industry Averages'!E117,NA())</f>
        <v>12.583415391911771</v>
      </c>
      <c r="Z64">
        <f>IF(ISNUMBER('Industry Averages'!E118),'Industry Averages'!E118,NA())</f>
        <v>18.829862196196171</v>
      </c>
    </row>
    <row r="65" spans="1:26" ht="19.95" customHeight="1" x14ac:dyDescent="0.3">
      <c r="A65" s="39"/>
      <c r="B65" s="39"/>
      <c r="C65" s="39"/>
      <c r="D65" s="39"/>
      <c r="E65" s="39"/>
      <c r="F65" s="39"/>
      <c r="G65" s="39"/>
      <c r="H65" s="39"/>
      <c r="I65" s="39"/>
      <c r="J65" s="39"/>
      <c r="K65" s="39"/>
      <c r="L65" s="39"/>
      <c r="M65" s="39"/>
      <c r="N65" s="39"/>
      <c r="O65" s="39"/>
      <c r="P65" s="39"/>
      <c r="Q65" s="39"/>
      <c r="R65" s="39"/>
      <c r="T65" t="s">
        <v>67</v>
      </c>
      <c r="U65">
        <f>IF(ISNUMBER('Industry Averages'!F113),'Industry Averages'!F113,NA())</f>
        <v>16.315812571917526</v>
      </c>
      <c r="V65">
        <f>IF(ISNUMBER('Industry Averages'!F114),'Industry Averages'!F114,NA())</f>
        <v>19.418491261619813</v>
      </c>
      <c r="W65">
        <f>IF(ISNUMBER('Industry Averages'!F115),'Industry Averages'!F115,NA())</f>
        <v>1.4717538518085045</v>
      </c>
      <c r="X65">
        <f>IF(ISNUMBER('Industry Averages'!F116),'Industry Averages'!F116,NA())</f>
        <v>4.4476569735481268</v>
      </c>
      <c r="Y65">
        <f>IF(ISNUMBER('Industry Averages'!F117),'Industry Averages'!F117,NA())</f>
        <v>5.9146829675290808</v>
      </c>
      <c r="Z65">
        <f>IF(ISNUMBER('Industry Averages'!F118),'Industry Averages'!F118,NA())</f>
        <v>9.513679525284612</v>
      </c>
    </row>
    <row r="66" spans="1:26" ht="19.95" customHeight="1" x14ac:dyDescent="0.3">
      <c r="A66" s="39"/>
      <c r="B66" s="39"/>
      <c r="C66" s="39"/>
      <c r="D66" s="39"/>
      <c r="E66" s="39"/>
      <c r="F66" s="39"/>
      <c r="G66" s="39"/>
      <c r="H66" s="39"/>
      <c r="I66" s="39"/>
      <c r="J66" s="39"/>
      <c r="K66" s="39"/>
      <c r="L66" s="39"/>
      <c r="M66" s="39"/>
      <c r="N66" s="39"/>
      <c r="O66" s="39"/>
      <c r="P66" s="39"/>
      <c r="Q66" s="39"/>
      <c r="R66" s="39"/>
      <c r="T66" t="s">
        <v>68</v>
      </c>
      <c r="U66">
        <f>IF(ISNUMBER('Industry Averages'!G113),'Industry Averages'!G113,NA())</f>
        <v>22.319441864662931</v>
      </c>
      <c r="V66">
        <f>IF(ISNUMBER('Industry Averages'!G114),'Industry Averages'!G114,NA())</f>
        <v>27.521394265428206</v>
      </c>
      <c r="W66">
        <f>IF(ISNUMBER('Industry Averages'!G115),'Industry Averages'!G115,NA())</f>
        <v>1.3582230764552283</v>
      </c>
      <c r="X66">
        <f>IF(ISNUMBER('Industry Averages'!G116),'Industry Averages'!G116,NA())</f>
        <v>3.2023484620581835</v>
      </c>
      <c r="Y66">
        <f>IF(ISNUMBER('Industry Averages'!G117),'Industry Averages'!G117,NA())</f>
        <v>3.7798126521954241</v>
      </c>
      <c r="Z66">
        <f>IF(ISNUMBER('Industry Averages'!G118),'Industry Averages'!G118,NA())</f>
        <v>11.636244064159992</v>
      </c>
    </row>
    <row r="67" spans="1:26" ht="19.95" customHeight="1" x14ac:dyDescent="0.3">
      <c r="A67" s="39"/>
      <c r="B67" s="39"/>
      <c r="C67" s="39"/>
      <c r="D67" s="39"/>
      <c r="E67" s="39"/>
      <c r="F67" s="39"/>
      <c r="G67" s="39"/>
      <c r="H67" s="39"/>
      <c r="I67" s="39"/>
      <c r="J67" s="39"/>
      <c r="K67" s="39"/>
      <c r="L67" s="39"/>
      <c r="M67" s="39"/>
      <c r="N67" s="39"/>
      <c r="O67" s="39"/>
      <c r="P67" s="39"/>
      <c r="Q67" s="39"/>
      <c r="R67" s="39"/>
      <c r="T67" t="s">
        <v>69</v>
      </c>
      <c r="U67">
        <f>IF(ISNUMBER('Industry Averages'!H113),'Industry Averages'!H113,NA())</f>
        <v>58.956241100348862</v>
      </c>
      <c r="V67">
        <f>IF(ISNUMBER('Industry Averages'!H114),'Industry Averages'!H114,NA())</f>
        <v>36.687316512913945</v>
      </c>
      <c r="W67">
        <f>IF(ISNUMBER('Industry Averages'!H115),'Industry Averages'!H115,NA())</f>
        <v>4.4072600253200633</v>
      </c>
      <c r="X67">
        <f>IF(ISNUMBER('Industry Averages'!H116),'Industry Averages'!H116,NA())</f>
        <v>7.3457905408215804</v>
      </c>
      <c r="Y67">
        <f>IF(ISNUMBER('Industry Averages'!H117),'Industry Averages'!H117,NA())</f>
        <v>4.7935258018729412</v>
      </c>
      <c r="Z67">
        <f>IF(ISNUMBER('Industry Averages'!H118),'Industry Averages'!H118,NA())</f>
        <v>22.438026796255478</v>
      </c>
    </row>
    <row r="68" spans="1:26" ht="19.95" customHeight="1" x14ac:dyDescent="0.3">
      <c r="A68" s="39"/>
      <c r="B68" s="39"/>
      <c r="C68" s="39"/>
      <c r="D68" s="39"/>
      <c r="E68" s="39"/>
      <c r="F68" s="39"/>
      <c r="G68" s="39"/>
      <c r="H68" s="39"/>
      <c r="I68" s="39"/>
      <c r="J68" s="39"/>
      <c r="K68" s="39"/>
      <c r="L68" s="39"/>
      <c r="M68" s="39"/>
      <c r="N68" s="39"/>
      <c r="O68" s="39"/>
      <c r="P68" s="39"/>
      <c r="Q68" s="39"/>
      <c r="R68" s="39"/>
    </row>
    <row r="69" spans="1:26" ht="19.95" customHeight="1" x14ac:dyDescent="0.3">
      <c r="A69" s="39"/>
      <c r="B69" s="39"/>
      <c r="C69" s="39"/>
      <c r="D69" s="39"/>
      <c r="E69" s="39"/>
      <c r="F69" s="39"/>
      <c r="G69" s="39"/>
      <c r="H69" s="39"/>
      <c r="I69" s="39"/>
      <c r="J69" s="39"/>
      <c r="K69" s="39"/>
      <c r="L69" s="39"/>
      <c r="M69" s="39"/>
      <c r="N69" s="39"/>
      <c r="O69" s="39"/>
      <c r="P69" s="39"/>
      <c r="Q69" s="39"/>
      <c r="R69" s="39"/>
    </row>
    <row r="70" spans="1:26" ht="19.95" customHeight="1" x14ac:dyDescent="0.3">
      <c r="A70" s="39"/>
      <c r="B70" s="39"/>
      <c r="C70" s="39"/>
      <c r="D70" s="39"/>
      <c r="E70" s="39"/>
      <c r="F70" s="39"/>
      <c r="G70" s="39"/>
      <c r="H70" s="39"/>
      <c r="I70" s="39"/>
      <c r="J70" s="39"/>
      <c r="K70" s="39"/>
      <c r="L70" s="39"/>
      <c r="M70" s="39"/>
      <c r="N70" s="39"/>
      <c r="O70" s="39"/>
      <c r="P70" s="39"/>
      <c r="Q70" s="39"/>
      <c r="R70" s="39"/>
      <c r="T70" t="s">
        <v>304</v>
      </c>
      <c r="U70" t="s">
        <v>13</v>
      </c>
      <c r="V70" t="s">
        <v>18</v>
      </c>
      <c r="W70" t="s">
        <v>23</v>
      </c>
      <c r="X70" t="s">
        <v>27</v>
      </c>
      <c r="Y70" t="s">
        <v>31</v>
      </c>
      <c r="Z70" t="s">
        <v>305</v>
      </c>
    </row>
    <row r="71" spans="1:26" ht="19.95" customHeight="1" x14ac:dyDescent="0.3">
      <c r="A71" s="39"/>
      <c r="B71" s="39"/>
      <c r="C71" s="39"/>
      <c r="D71" s="39"/>
      <c r="E71" s="39"/>
      <c r="F71" s="39"/>
      <c r="G71" s="39"/>
      <c r="H71" s="39"/>
      <c r="I71" s="39"/>
      <c r="J71" s="39"/>
      <c r="K71" s="39"/>
      <c r="L71" s="39"/>
      <c r="M71" s="39"/>
      <c r="N71" s="39"/>
      <c r="O71" s="39"/>
      <c r="P71" s="39"/>
      <c r="Q71" s="39"/>
      <c r="R71" s="39"/>
      <c r="T71" t="s">
        <v>65</v>
      </c>
      <c r="U71">
        <f>IF(ISNUMBER('Industry Averages'!D130),'Industry Averages'!D130,NA())</f>
        <v>0.223476531263751</v>
      </c>
      <c r="V71">
        <f>IF(ISNUMBER('Industry Averages'!D131),'Industry Averages'!D131,NA())</f>
        <v>0.27526050866365631</v>
      </c>
      <c r="W71">
        <f>IF(ISNUMBER('Industry Averages'!D132),'Industry Averages'!D132,NA())</f>
        <v>0.16976072150890459</v>
      </c>
      <c r="X71">
        <f>IF(ISNUMBER('Industry Averages'!D133),'Industry Averages'!D133,NA())</f>
        <v>0.24584402613957254</v>
      </c>
      <c r="Y71">
        <f>IF(ISNUMBER('Industry Averages'!D134),'Industry Averages'!D134,NA())</f>
        <v>0.2142368646736256</v>
      </c>
      <c r="Z71">
        <f>IF(ISNUMBER('Industry Averages'!D135),'Industry Averages'!D135,NA())</f>
        <v>0.22571573044990201</v>
      </c>
    </row>
    <row r="72" spans="1:26" ht="19.95" customHeight="1" x14ac:dyDescent="0.3">
      <c r="A72" s="39"/>
      <c r="B72" s="39"/>
      <c r="C72" s="39"/>
      <c r="D72" s="39"/>
      <c r="E72" s="39"/>
      <c r="F72" s="39"/>
      <c r="G72" s="39"/>
      <c r="H72" s="39"/>
      <c r="I72" s="39"/>
      <c r="J72" s="39"/>
      <c r="K72" s="39"/>
      <c r="L72" s="39"/>
      <c r="M72" s="39"/>
      <c r="N72" s="39"/>
      <c r="O72" s="39"/>
      <c r="P72" s="39"/>
      <c r="Q72" s="39"/>
      <c r="R72" s="39"/>
      <c r="T72" t="s">
        <v>66</v>
      </c>
      <c r="U72">
        <f>IF(ISNUMBER('Industry Averages'!E130),'Industry Averages'!E130,NA())</f>
        <v>0.28715637280086448</v>
      </c>
      <c r="V72">
        <f>IF(ISNUMBER('Industry Averages'!E131),'Industry Averages'!E131,NA())</f>
        <v>0.26901961654768358</v>
      </c>
      <c r="W72">
        <f>IF(ISNUMBER('Industry Averages'!E132),'Industry Averages'!E132,NA())</f>
        <v>0.1647791429733062</v>
      </c>
      <c r="X72">
        <f>IF(ISNUMBER('Industry Averages'!E133),'Industry Averages'!E133,NA())</f>
        <v>0.18288553443388325</v>
      </c>
      <c r="Y72">
        <f>IF(ISNUMBER('Industry Averages'!E134),'Industry Averages'!E134,NA())</f>
        <v>0.23087384099122032</v>
      </c>
      <c r="Z72">
        <f>IF(ISNUMBER('Industry Averages'!E135),'Industry Averages'!E135,NA())</f>
        <v>0.22694290154939156</v>
      </c>
    </row>
    <row r="73" spans="1:26" ht="19.95" customHeight="1" x14ac:dyDescent="0.3">
      <c r="A73" s="39"/>
      <c r="B73" s="39"/>
      <c r="C73" s="39"/>
      <c r="D73" s="39"/>
      <c r="E73" s="39"/>
      <c r="F73" s="39"/>
      <c r="G73" s="39"/>
      <c r="H73" s="39"/>
      <c r="I73" s="39"/>
      <c r="J73" s="39"/>
      <c r="K73" s="39"/>
      <c r="L73" s="39"/>
      <c r="M73" s="39"/>
      <c r="N73" s="39"/>
      <c r="O73" s="39"/>
      <c r="P73" s="39"/>
      <c r="Q73" s="39"/>
      <c r="R73" s="39"/>
      <c r="T73" t="s">
        <v>67</v>
      </c>
      <c r="U73">
        <f>IF(ISNUMBER('Industry Averages'!F130),'Industry Averages'!F130,NA())</f>
        <v>0.28654734202991289</v>
      </c>
      <c r="V73">
        <f>IF(ISNUMBER('Industry Averages'!F131),'Industry Averages'!F131,NA())</f>
        <v>0.23480711540356072</v>
      </c>
      <c r="W73">
        <f>IF(ISNUMBER('Industry Averages'!F132),'Industry Averages'!F132,NA())</f>
        <v>0.15182766799754666</v>
      </c>
      <c r="X73">
        <f>IF(ISNUMBER('Industry Averages'!F133),'Industry Averages'!F133,NA())</f>
        <v>0.19224796146239193</v>
      </c>
      <c r="Y73">
        <f>IF(ISNUMBER('Industry Averages'!F134),'Industry Averages'!F134,NA())</f>
        <v>0.22807525720632701</v>
      </c>
      <c r="Z73">
        <f>IF(ISNUMBER('Industry Averages'!F135),'Industry Averages'!F135,NA())</f>
        <v>0.21870106881994783</v>
      </c>
    </row>
    <row r="74" spans="1:26" ht="19.95" customHeight="1" x14ac:dyDescent="0.3">
      <c r="A74" s="39"/>
      <c r="B74" s="39"/>
      <c r="C74" s="39"/>
      <c r="D74" s="39"/>
      <c r="E74" s="39"/>
      <c r="F74" s="39"/>
      <c r="G74" s="39"/>
      <c r="H74" s="39"/>
      <c r="I74" s="39"/>
      <c r="J74" s="39"/>
      <c r="K74" s="39"/>
      <c r="L74" s="39"/>
      <c r="M74" s="39"/>
      <c r="N74" s="39"/>
      <c r="O74" s="39"/>
      <c r="P74" s="39"/>
      <c r="Q74" s="39"/>
      <c r="R74" s="39"/>
      <c r="T74" t="s">
        <v>68</v>
      </c>
      <c r="U74">
        <f>IF(ISNUMBER('Industry Averages'!G130),'Industry Averages'!G130,NA())</f>
        <v>0.37317728789535698</v>
      </c>
      <c r="V74">
        <f>IF(ISNUMBER('Industry Averages'!G131),'Industry Averages'!G131,NA())</f>
        <v>0.37240945675047471</v>
      </c>
      <c r="W74">
        <f>IF(ISNUMBER('Industry Averages'!G132),'Industry Averages'!G132,NA())</f>
        <v>0.16299366572828242</v>
      </c>
      <c r="X74">
        <f>IF(ISNUMBER('Industry Averages'!G133),'Industry Averages'!G133,NA())</f>
        <v>0.19543128859795894</v>
      </c>
      <c r="Y74">
        <f>IF(ISNUMBER('Industry Averages'!G134),'Industry Averages'!G134,NA())</f>
        <v>0.26089810857755552</v>
      </c>
      <c r="Z74">
        <f>IF(ISNUMBER('Industry Averages'!G135),'Industry Averages'!G135,NA())</f>
        <v>0.27298196150992571</v>
      </c>
    </row>
    <row r="75" spans="1:26" ht="19.95" customHeight="1" x14ac:dyDescent="0.3">
      <c r="A75" s="39"/>
      <c r="B75" s="39"/>
      <c r="C75" s="39"/>
      <c r="D75" s="39"/>
      <c r="E75" s="39"/>
      <c r="F75" s="39"/>
      <c r="G75" s="39"/>
      <c r="H75" s="39"/>
      <c r="I75" s="39"/>
      <c r="J75" s="39"/>
      <c r="K75" s="39"/>
      <c r="L75" s="39"/>
      <c r="M75" s="39"/>
      <c r="N75" s="39"/>
      <c r="O75" s="39"/>
      <c r="P75" s="39"/>
      <c r="Q75" s="39"/>
      <c r="R75" s="39"/>
      <c r="T75" t="s">
        <v>69</v>
      </c>
      <c r="U75">
        <f>IF(ISNUMBER('Industry Averages'!H130),'Industry Averages'!H130,NA())</f>
        <v>0.48095636892569549</v>
      </c>
      <c r="V75">
        <f>IF(ISNUMBER('Industry Averages'!H131),'Industry Averages'!H131,NA())</f>
        <v>0.39071901522799324</v>
      </c>
      <c r="W75">
        <f>IF(ISNUMBER('Industry Averages'!H132),'Industry Averages'!H132,NA())</f>
        <v>0.23397808045883622</v>
      </c>
      <c r="X75">
        <f>IF(ISNUMBER('Industry Averages'!H133),'Industry Averages'!H133,NA())</f>
        <v>0.36375545770453227</v>
      </c>
      <c r="Y75">
        <f>IF(ISNUMBER('Industry Averages'!H134),'Industry Averages'!H134,NA())</f>
        <v>0.3057657460861018</v>
      </c>
      <c r="Z75">
        <f>IF(ISNUMBER('Industry Averages'!H135),'Industry Averages'!H135,NA())</f>
        <v>0.35503493368063183</v>
      </c>
    </row>
    <row r="76" spans="1:26" ht="19.95" customHeight="1" x14ac:dyDescent="0.3">
      <c r="A76" s="39"/>
      <c r="B76" s="39"/>
      <c r="C76" s="39"/>
      <c r="D76" s="39"/>
      <c r="E76" s="39"/>
      <c r="F76" s="39"/>
      <c r="G76" s="39"/>
      <c r="H76" s="39"/>
      <c r="I76" s="39"/>
      <c r="J76" s="39"/>
      <c r="K76" s="39"/>
      <c r="L76" s="39"/>
      <c r="M76" s="39"/>
      <c r="N76" s="39"/>
      <c r="O76" s="39"/>
      <c r="P76" s="39"/>
      <c r="Q76" s="39"/>
      <c r="R76" s="39"/>
    </row>
    <row r="77" spans="1:26" ht="19.95" customHeight="1" x14ac:dyDescent="0.3">
      <c r="A77" s="39"/>
      <c r="B77" s="39"/>
      <c r="C77" s="39"/>
      <c r="D77" s="39"/>
      <c r="E77" s="39"/>
      <c r="F77" s="39"/>
      <c r="G77" s="39"/>
      <c r="H77" s="39"/>
      <c r="I77" s="39"/>
      <c r="J77" s="39"/>
      <c r="K77" s="39"/>
      <c r="L77" s="39"/>
      <c r="M77" s="39"/>
      <c r="N77" s="39"/>
      <c r="O77" s="39"/>
      <c r="P77" s="39"/>
      <c r="Q77" s="39"/>
      <c r="R77" s="39"/>
    </row>
    <row r="78" spans="1:26" ht="19.95" customHeight="1" x14ac:dyDescent="0.3">
      <c r="A78" s="39"/>
      <c r="B78" s="39"/>
      <c r="C78" s="39"/>
      <c r="D78" s="39"/>
      <c r="E78" s="39"/>
      <c r="F78" s="39"/>
      <c r="G78" s="39"/>
      <c r="H78" s="39"/>
      <c r="I78" s="39"/>
      <c r="J78" s="39"/>
      <c r="K78" s="39"/>
      <c r="L78" s="39"/>
      <c r="M78" s="39"/>
      <c r="N78" s="39"/>
      <c r="O78" s="39"/>
      <c r="P78" s="39"/>
      <c r="Q78" s="39"/>
      <c r="R78" s="39"/>
      <c r="T78" t="s">
        <v>304</v>
      </c>
      <c r="U78" t="s">
        <v>13</v>
      </c>
      <c r="V78" t="s">
        <v>18</v>
      </c>
      <c r="W78" t="s">
        <v>23</v>
      </c>
      <c r="X78" t="s">
        <v>27</v>
      </c>
      <c r="Y78" t="s">
        <v>31</v>
      </c>
      <c r="Z78" t="s">
        <v>305</v>
      </c>
    </row>
    <row r="79" spans="1:26" ht="19.95" customHeight="1" x14ac:dyDescent="0.3">
      <c r="A79" s="39"/>
      <c r="B79" s="39"/>
      <c r="C79" s="39"/>
      <c r="D79" s="39"/>
      <c r="E79" s="39"/>
      <c r="F79" s="39"/>
      <c r="G79" s="39"/>
      <c r="H79" s="39"/>
      <c r="I79" s="39"/>
      <c r="J79" s="39"/>
      <c r="K79" s="39"/>
      <c r="L79" s="39"/>
      <c r="M79" s="39"/>
      <c r="N79" s="39"/>
      <c r="O79" s="39"/>
      <c r="P79" s="39"/>
      <c r="Q79" s="39"/>
      <c r="R79" s="39"/>
      <c r="T79" t="s">
        <v>65</v>
      </c>
      <c r="U79">
        <f>IF(ISNUMBER('Industry Averages'!D154),'Industry Averages'!D154,NA())</f>
        <v>0.15737849802466555</v>
      </c>
      <c r="V79">
        <f>IF(ISNUMBER('Industry Averages'!D155),'Industry Averages'!D155,NA())</f>
        <v>0.12429467254394423</v>
      </c>
      <c r="W79">
        <f>IF(ISNUMBER('Industry Averages'!D156),'Industry Averages'!D156,NA())</f>
        <v>5.0644811125656837E-2</v>
      </c>
      <c r="X79">
        <f>IF(ISNUMBER('Industry Averages'!D157),'Industry Averages'!D157,NA())</f>
        <v>0.16658725897109622</v>
      </c>
      <c r="Y79">
        <f>IF(ISNUMBER('Industry Averages'!D158),'Industry Averages'!D158,NA())</f>
        <v>0.14914074872427949</v>
      </c>
      <c r="Z79">
        <f>IF(ISNUMBER('Industry Averages'!D159),'Industry Averages'!D159,NA())</f>
        <v>0.12960919787792846</v>
      </c>
    </row>
    <row r="80" spans="1:26" ht="19.95" customHeight="1" x14ac:dyDescent="0.3">
      <c r="A80" s="39"/>
      <c r="B80" s="39"/>
      <c r="C80" s="39"/>
      <c r="D80" s="39"/>
      <c r="E80" s="39"/>
      <c r="F80" s="39"/>
      <c r="G80" s="39"/>
      <c r="H80" s="39"/>
      <c r="I80" s="39"/>
      <c r="J80" s="39"/>
      <c r="K80" s="39"/>
      <c r="L80" s="39"/>
      <c r="M80" s="39"/>
      <c r="N80" s="39"/>
      <c r="O80" s="39"/>
      <c r="P80" s="39"/>
      <c r="Q80" s="39"/>
      <c r="R80" s="39"/>
      <c r="T80" t="s">
        <v>66</v>
      </c>
      <c r="U80">
        <f>IF(ISNUMBER('Industry Averages'!E154),'Industry Averages'!E154,NA())</f>
        <v>0.18440283523376622</v>
      </c>
      <c r="V80">
        <f>IF(ISNUMBER('Industry Averages'!E155),'Industry Averages'!E155,NA())</f>
        <v>0.11901804448540206</v>
      </c>
      <c r="W80">
        <f>IF(ISNUMBER('Industry Averages'!E156),'Industry Averages'!E156,NA())</f>
        <v>4.2508762609145177E-2</v>
      </c>
      <c r="X80">
        <f>IF(ISNUMBER('Industry Averages'!E157),'Industry Averages'!E157,NA())</f>
        <v>8.9408976031592494E-2</v>
      </c>
      <c r="Y80">
        <f>IF(ISNUMBER('Industry Averages'!E158),'Industry Averages'!E158,NA())</f>
        <v>0.12319061073378482</v>
      </c>
      <c r="Z80">
        <f>IF(ISNUMBER('Industry Averages'!E159),'Industry Averages'!E159,NA())</f>
        <v>0.11170584581873814</v>
      </c>
    </row>
    <row r="81" spans="1:26" ht="19.95" customHeight="1" x14ac:dyDescent="0.3">
      <c r="A81" s="39"/>
      <c r="B81" s="39"/>
      <c r="C81" s="39"/>
      <c r="D81" s="39"/>
      <c r="E81" s="39"/>
      <c r="F81" s="39"/>
      <c r="G81" s="39"/>
      <c r="H81" s="39"/>
      <c r="I81" s="39"/>
      <c r="J81" s="39"/>
      <c r="K81" s="39"/>
      <c r="L81" s="39"/>
      <c r="M81" s="39"/>
      <c r="N81" s="39"/>
      <c r="O81" s="39"/>
      <c r="P81" s="39"/>
      <c r="Q81" s="39"/>
      <c r="R81" s="39"/>
      <c r="T81" t="s">
        <v>67</v>
      </c>
      <c r="U81">
        <f>IF(ISNUMBER('Industry Averages'!F154),'Industry Averages'!F154,NA())</f>
        <v>0.17849564911664104</v>
      </c>
      <c r="V81">
        <f>IF(ISNUMBER('Industry Averages'!F155),'Industry Averages'!F155,NA())</f>
        <v>9.9921242706891636E-2</v>
      </c>
      <c r="W81" t="e">
        <f>IF(ISNUMBER('Industry Averages'!F156),'Industry Averages'!F156,NA())</f>
        <v>#N/A</v>
      </c>
      <c r="X81">
        <f>IF(ISNUMBER('Industry Averages'!F157),'Industry Averages'!F157,NA())</f>
        <v>0.10000796203977304</v>
      </c>
      <c r="Y81">
        <f>IF(ISNUMBER('Industry Averages'!F158),'Industry Averages'!F158,NA())</f>
        <v>0.11414801492770245</v>
      </c>
      <c r="Z81">
        <f>IF(ISNUMBER('Industry Averages'!F159),'Industry Averages'!F159,NA())</f>
        <v>0.12314321719775204</v>
      </c>
    </row>
    <row r="82" spans="1:26" ht="19.95" customHeight="1" x14ac:dyDescent="0.3">
      <c r="A82" s="39"/>
      <c r="B82" s="39"/>
      <c r="C82" s="39"/>
      <c r="D82" s="39"/>
      <c r="E82" s="39"/>
      <c r="F82" s="39"/>
      <c r="G82" s="39"/>
      <c r="H82" s="39"/>
      <c r="I82" s="39"/>
      <c r="J82" s="39"/>
      <c r="K82" s="39"/>
      <c r="L82" s="39"/>
      <c r="M82" s="39"/>
      <c r="N82" s="39"/>
      <c r="O82" s="39"/>
      <c r="P82" s="39"/>
      <c r="Q82" s="39"/>
      <c r="R82" s="39"/>
      <c r="T82" t="s">
        <v>68</v>
      </c>
      <c r="U82">
        <f>IF(ISNUMBER('Industry Averages'!G154),'Industry Averages'!G154,NA())</f>
        <v>0.21643681457260755</v>
      </c>
      <c r="V82">
        <f>IF(ISNUMBER('Industry Averages'!G155),'Industry Averages'!G155,NA())</f>
        <v>0.19021586420101122</v>
      </c>
      <c r="W82">
        <f>IF(ISNUMBER('Industry Averages'!G156),'Industry Averages'!G156,NA())</f>
        <v>7.1511352154898129E-3</v>
      </c>
      <c r="X82">
        <f>IF(ISNUMBER('Industry Averages'!G157),'Industry Averages'!G157,NA())</f>
        <v>0.10020784968682853</v>
      </c>
      <c r="Y82">
        <f>IF(ISNUMBER('Industry Averages'!G158),'Industry Averages'!G158,NA())</f>
        <v>0.1120333038446799</v>
      </c>
      <c r="Z82">
        <f>IF(ISNUMBER('Industry Averages'!G159),'Industry Averages'!G159,NA())</f>
        <v>0.1252089935041234</v>
      </c>
    </row>
    <row r="83" spans="1:26" ht="19.95" customHeight="1" x14ac:dyDescent="0.3">
      <c r="A83" s="39"/>
      <c r="B83" s="39"/>
      <c r="C83" s="39"/>
      <c r="D83" s="39"/>
      <c r="E83" s="39"/>
      <c r="F83" s="39"/>
      <c r="G83" s="39"/>
      <c r="H83" s="39"/>
      <c r="I83" s="39"/>
      <c r="J83" s="39"/>
      <c r="K83" s="39"/>
      <c r="L83" s="39"/>
      <c r="M83" s="39"/>
      <c r="N83" s="39"/>
      <c r="O83" s="39"/>
      <c r="P83" s="39"/>
      <c r="Q83" s="39"/>
      <c r="R83" s="39"/>
      <c r="T83" t="s">
        <v>69</v>
      </c>
      <c r="U83">
        <f>IF(ISNUMBER('Industry Averages'!H154),'Industry Averages'!H154,NA())</f>
        <v>0.24137435208870983</v>
      </c>
      <c r="V83">
        <f>IF(ISNUMBER('Industry Averages'!H155),'Industry Averages'!H155,NA())</f>
        <v>0.18811941761260281</v>
      </c>
      <c r="W83">
        <f>IF(ISNUMBER('Industry Averages'!H156),'Industry Averages'!H156,NA())</f>
        <v>9.1637161813901913E-2</v>
      </c>
      <c r="X83">
        <f>IF(ISNUMBER('Industry Averages'!H157),'Industry Averages'!H157,NA())</f>
        <v>0.2383990269906105</v>
      </c>
      <c r="Y83">
        <f>IF(ISNUMBER('Industry Averages'!H158),'Industry Averages'!H158,NA())</f>
        <v>0.15813282120245373</v>
      </c>
      <c r="Z83">
        <f>IF(ISNUMBER('Industry Averages'!H159),'Industry Averages'!H159,NA())</f>
        <v>0.18353255594165577</v>
      </c>
    </row>
    <row r="84" spans="1:26" ht="19.95" customHeight="1" x14ac:dyDescent="0.3">
      <c r="A84" s="39"/>
      <c r="B84" s="39"/>
      <c r="C84" s="39"/>
      <c r="D84" s="39"/>
      <c r="E84" s="39"/>
      <c r="F84" s="39"/>
      <c r="G84" s="39"/>
      <c r="H84" s="39"/>
      <c r="I84" s="39"/>
      <c r="J84" s="39"/>
      <c r="K84" s="39"/>
      <c r="L84" s="39"/>
      <c r="M84" s="39"/>
      <c r="N84" s="39"/>
      <c r="O84" s="39"/>
      <c r="P84" s="39"/>
      <c r="Q84" s="39"/>
      <c r="R84" s="39"/>
    </row>
    <row r="85" spans="1:26" ht="19.95" customHeight="1" x14ac:dyDescent="0.3">
      <c r="A85" s="39"/>
      <c r="B85" s="39"/>
      <c r="C85" s="39"/>
      <c r="D85" s="39"/>
      <c r="E85" s="39"/>
      <c r="F85" s="39"/>
      <c r="G85" s="39"/>
      <c r="H85" s="39"/>
      <c r="I85" s="39"/>
      <c r="J85" s="39"/>
      <c r="K85" s="39"/>
      <c r="L85" s="39"/>
      <c r="M85" s="39"/>
      <c r="N85" s="39"/>
      <c r="O85" s="39"/>
      <c r="P85" s="39"/>
      <c r="Q85" s="39"/>
      <c r="R85" s="39"/>
    </row>
    <row r="86" spans="1:26" ht="19.95" customHeight="1" x14ac:dyDescent="0.3">
      <c r="A86" s="39"/>
      <c r="B86" s="39"/>
      <c r="C86" s="39"/>
      <c r="D86" s="39"/>
      <c r="E86" s="39"/>
      <c r="F86" s="39"/>
      <c r="G86" s="39"/>
      <c r="H86" s="39"/>
      <c r="I86" s="39"/>
      <c r="J86" s="39"/>
      <c r="K86" s="39"/>
      <c r="L86" s="39"/>
      <c r="M86" s="39"/>
      <c r="N86" s="39"/>
      <c r="O86" s="39"/>
      <c r="P86" s="39"/>
      <c r="Q86" s="39"/>
      <c r="R86" s="39"/>
      <c r="T86" t="s">
        <v>304</v>
      </c>
      <c r="U86" t="s">
        <v>13</v>
      </c>
      <c r="V86" t="s">
        <v>18</v>
      </c>
      <c r="W86" t="s">
        <v>23</v>
      </c>
      <c r="X86" t="s">
        <v>27</v>
      </c>
      <c r="Y86" t="s">
        <v>31</v>
      </c>
      <c r="Z86" t="s">
        <v>305</v>
      </c>
    </row>
    <row r="87" spans="1:26" ht="19.95" customHeight="1" x14ac:dyDescent="0.3">
      <c r="A87" s="39"/>
      <c r="B87" s="39"/>
      <c r="C87" s="39"/>
      <c r="D87" s="39"/>
      <c r="E87" s="39"/>
      <c r="F87" s="39"/>
      <c r="G87" s="39"/>
      <c r="H87" s="39"/>
      <c r="I87" s="39"/>
      <c r="J87" s="39"/>
      <c r="K87" s="39"/>
      <c r="L87" s="39"/>
      <c r="M87" s="39"/>
      <c r="N87" s="39"/>
      <c r="O87" s="39"/>
      <c r="P87" s="39"/>
      <c r="Q87" s="39"/>
      <c r="R87" s="39"/>
      <c r="T87" t="s">
        <v>65</v>
      </c>
      <c r="U87">
        <f>IF(ISNUMBER('Industry Averages'!D162),'Industry Averages'!D162,NA())</f>
        <v>0.13611222052431424</v>
      </c>
      <c r="V87">
        <f>IF(ISNUMBER('Industry Averages'!D163),'Industry Averages'!D163,NA())</f>
        <v>0.11598113408973314</v>
      </c>
      <c r="W87">
        <f>IF(ISNUMBER('Industry Averages'!D164),'Industry Averages'!D164,NA())</f>
        <v>5.0926469503026137E-2</v>
      </c>
      <c r="X87">
        <f>IF(ISNUMBER('Industry Averages'!D165),'Industry Averages'!D165,NA())</f>
        <v>0.13938409686265396</v>
      </c>
      <c r="Y87">
        <f>IF(ISNUMBER('Industry Averages'!D166),'Industry Averages'!D166,NA())</f>
        <v>0.13674299962769382</v>
      </c>
      <c r="Z87">
        <f>IF(ISNUMBER('Industry Averages'!D167),'Industry Averages'!D167,NA())</f>
        <v>0.11582938412148427</v>
      </c>
    </row>
    <row r="88" spans="1:26" ht="19.95" customHeight="1" x14ac:dyDescent="0.3">
      <c r="A88" s="39"/>
      <c r="B88" s="39"/>
      <c r="C88" s="39"/>
      <c r="D88" s="39"/>
      <c r="E88" s="39"/>
      <c r="F88" s="39"/>
      <c r="G88" s="39"/>
      <c r="H88" s="39"/>
      <c r="I88" s="39"/>
      <c r="J88" s="39"/>
      <c r="K88" s="39"/>
      <c r="L88" s="39"/>
      <c r="M88" s="39"/>
      <c r="N88" s="39"/>
      <c r="O88" s="39"/>
      <c r="P88" s="39"/>
      <c r="Q88" s="39"/>
      <c r="R88" s="39"/>
      <c r="T88" t="s">
        <v>66</v>
      </c>
      <c r="U88">
        <f>IF(ISNUMBER('Industry Averages'!E162),'Industry Averages'!E162,NA())</f>
        <v>0.16872337936741016</v>
      </c>
      <c r="V88">
        <f>IF(ISNUMBER('Industry Averages'!E163),'Industry Averages'!E163,NA())</f>
        <v>0.10809497435976413</v>
      </c>
      <c r="W88">
        <f>IF(ISNUMBER('Industry Averages'!E164),'Industry Averages'!E164,NA())</f>
        <v>4.0571100495840479E-2</v>
      </c>
      <c r="X88">
        <f>IF(ISNUMBER('Industry Averages'!E165),'Industry Averages'!E165,NA())</f>
        <v>6.8354987715222609E-2</v>
      </c>
      <c r="Y88">
        <f>IF(ISNUMBER('Industry Averages'!E166),'Industry Averages'!E166,NA())</f>
        <v>9.2363746892435927E-2</v>
      </c>
      <c r="Z88">
        <f>IF(ISNUMBER('Industry Averages'!E167),'Industry Averages'!E167,NA())</f>
        <v>9.5621637766134665E-2</v>
      </c>
    </row>
    <row r="89" spans="1:26" ht="19.95" customHeight="1" x14ac:dyDescent="0.3">
      <c r="A89" s="39"/>
      <c r="B89" s="39"/>
      <c r="C89" s="39"/>
      <c r="D89" s="39"/>
      <c r="E89" s="39"/>
      <c r="F89" s="39"/>
      <c r="G89" s="39"/>
      <c r="H89" s="39"/>
      <c r="I89" s="39"/>
      <c r="J89" s="39"/>
      <c r="K89" s="39"/>
      <c r="L89" s="39"/>
      <c r="M89" s="39"/>
      <c r="N89" s="39"/>
      <c r="O89" s="39"/>
      <c r="P89" s="39"/>
      <c r="Q89" s="39"/>
      <c r="R89" s="39"/>
      <c r="T89" t="s">
        <v>67</v>
      </c>
      <c r="U89">
        <f>IF(ISNUMBER('Industry Averages'!F162),'Industry Averages'!F162,NA())</f>
        <v>0.17323854283924056</v>
      </c>
      <c r="V89">
        <f>IF(ISNUMBER('Industry Averages'!F163),'Industry Averages'!F163,NA())</f>
        <v>9.1352761839314733E-2</v>
      </c>
      <c r="W89" t="e">
        <f>IF(ISNUMBER('Industry Averages'!F164),'Industry Averages'!F164,NA())</f>
        <v>#N/A</v>
      </c>
      <c r="X89">
        <f>IF(ISNUMBER('Industry Averages'!F165),'Industry Averages'!F165,NA())</f>
        <v>8.9438322458184685E-2</v>
      </c>
      <c r="Y89">
        <f>IF(ISNUMBER('Industry Averages'!F166),'Industry Averages'!F166,NA())</f>
        <v>8.4602379259019547E-2</v>
      </c>
      <c r="Z89">
        <f>IF(ISNUMBER('Industry Averages'!F167),'Industry Averages'!F167,NA())</f>
        <v>0.10965800159893987</v>
      </c>
    </row>
    <row r="90" spans="1:26" ht="19.95" customHeight="1" x14ac:dyDescent="0.3">
      <c r="A90" s="39"/>
      <c r="B90" s="39"/>
      <c r="C90" s="39"/>
      <c r="D90" s="39"/>
      <c r="E90" s="39"/>
      <c r="F90" s="39"/>
      <c r="G90" s="39"/>
      <c r="H90" s="39"/>
      <c r="I90" s="39"/>
      <c r="J90" s="39"/>
      <c r="K90" s="39"/>
      <c r="L90" s="39"/>
      <c r="M90" s="39"/>
      <c r="N90" s="39"/>
      <c r="O90" s="39"/>
      <c r="P90" s="39"/>
      <c r="Q90" s="39"/>
      <c r="R90" s="39"/>
      <c r="T90" t="s">
        <v>68</v>
      </c>
      <c r="U90">
        <f>IF(ISNUMBER('Industry Averages'!G162),'Industry Averages'!G162,NA())</f>
        <v>0.21530718381280636</v>
      </c>
      <c r="V90">
        <f>IF(ISNUMBER('Industry Averages'!G163),'Industry Averages'!G163,NA())</f>
        <v>0.17349944050776198</v>
      </c>
      <c r="W90">
        <f>IF(ISNUMBER('Industry Averages'!G164),'Industry Averages'!G164,NA())</f>
        <v>1.8666945531428475E-2</v>
      </c>
      <c r="X90">
        <f>IF(ISNUMBER('Industry Averages'!G165),'Industry Averages'!G165,NA())</f>
        <v>0.10647533565261356</v>
      </c>
      <c r="Y90">
        <f>IF(ISNUMBER('Industry Averages'!G166),'Industry Averages'!G166,NA())</f>
        <v>0.10165844956887071</v>
      </c>
      <c r="Z90">
        <f>IF(ISNUMBER('Industry Averages'!G167),'Industry Averages'!G167,NA())</f>
        <v>0.12312147101469621</v>
      </c>
    </row>
    <row r="91" spans="1:26" ht="19.95" customHeight="1" x14ac:dyDescent="0.3">
      <c r="A91" s="39"/>
      <c r="B91" s="39"/>
      <c r="C91" s="39"/>
      <c r="D91" s="39"/>
      <c r="E91" s="39"/>
      <c r="F91" s="39"/>
      <c r="G91" s="39"/>
      <c r="H91" s="39"/>
      <c r="I91" s="39"/>
      <c r="J91" s="39"/>
      <c r="K91" s="39"/>
      <c r="L91" s="39"/>
      <c r="M91" s="39"/>
      <c r="N91" s="39"/>
      <c r="O91" s="39"/>
      <c r="P91" s="39"/>
      <c r="Q91" s="39"/>
      <c r="R91" s="39"/>
      <c r="T91" t="s">
        <v>69</v>
      </c>
      <c r="U91">
        <f>IF(ISNUMBER('Industry Averages'!H162),'Industry Averages'!H162,NA())</f>
        <v>0.23456949398989801</v>
      </c>
      <c r="V91">
        <f>IF(ISNUMBER('Industry Averages'!H163),'Industry Averages'!H163,NA())</f>
        <v>0.17586014458599655</v>
      </c>
      <c r="W91">
        <f>IF(ISNUMBER('Industry Averages'!H164),'Industry Averages'!H164,NA())</f>
        <v>9.6256924504903307E-2</v>
      </c>
      <c r="X91">
        <f>IF(ISNUMBER('Industry Averages'!H165),'Industry Averages'!H165,NA())</f>
        <v>0.22920346694221672</v>
      </c>
      <c r="Y91">
        <f>IF(ISNUMBER('Industry Averages'!H166),'Industry Averages'!H166,NA())</f>
        <v>0.13546184028270253</v>
      </c>
      <c r="Z91">
        <f>IF(ISNUMBER('Industry Averages'!H167),'Industry Averages'!H167,NA())</f>
        <v>0.1742703740611434</v>
      </c>
    </row>
    <row r="92" spans="1:26" ht="19.95" customHeight="1" x14ac:dyDescent="0.3">
      <c r="A92" s="39"/>
      <c r="B92" s="39"/>
      <c r="C92" s="39"/>
      <c r="D92" s="39"/>
      <c r="E92" s="39"/>
      <c r="F92" s="39"/>
      <c r="G92" s="39"/>
      <c r="H92" s="39"/>
      <c r="I92" s="39"/>
      <c r="J92" s="39"/>
      <c r="K92" s="39"/>
      <c r="L92" s="39"/>
      <c r="M92" s="39"/>
      <c r="N92" s="39"/>
      <c r="O92" s="39"/>
      <c r="P92" s="39"/>
      <c r="Q92" s="39"/>
      <c r="R92" s="39"/>
    </row>
    <row r="93" spans="1:26" ht="19.95" customHeight="1" x14ac:dyDescent="0.3">
      <c r="A93" s="39"/>
      <c r="B93" s="39"/>
      <c r="C93" s="39"/>
      <c r="D93" s="39"/>
      <c r="E93" s="39"/>
      <c r="F93" s="39"/>
      <c r="G93" s="39"/>
      <c r="H93" s="39"/>
      <c r="I93" s="39"/>
      <c r="J93" s="39"/>
      <c r="K93" s="39"/>
      <c r="L93" s="39"/>
      <c r="M93" s="39"/>
      <c r="N93" s="39"/>
      <c r="O93" s="39"/>
      <c r="P93" s="39"/>
      <c r="Q93" s="39"/>
      <c r="R93" s="39"/>
    </row>
    <row r="94" spans="1:26" ht="19.95" customHeight="1" x14ac:dyDescent="0.3">
      <c r="A94" s="39"/>
      <c r="B94" s="39"/>
      <c r="C94" s="39"/>
      <c r="D94" s="39"/>
      <c r="E94" s="39"/>
      <c r="F94" s="39"/>
      <c r="G94" s="39"/>
      <c r="H94" s="39"/>
      <c r="I94" s="39"/>
      <c r="J94" s="39"/>
      <c r="K94" s="39"/>
      <c r="L94" s="39"/>
      <c r="M94" s="39"/>
      <c r="N94" s="39"/>
      <c r="O94" s="39"/>
      <c r="P94" s="39"/>
      <c r="Q94" s="39"/>
      <c r="R94" s="39"/>
      <c r="T94" t="s">
        <v>304</v>
      </c>
      <c r="U94" t="s">
        <v>13</v>
      </c>
      <c r="V94" t="s">
        <v>18</v>
      </c>
      <c r="W94" t="s">
        <v>23</v>
      </c>
      <c r="X94" t="s">
        <v>27</v>
      </c>
      <c r="Y94" t="s">
        <v>31</v>
      </c>
      <c r="Z94" t="s">
        <v>305</v>
      </c>
    </row>
    <row r="95" spans="1:26" ht="19.95" customHeight="1" x14ac:dyDescent="0.3">
      <c r="A95" s="39"/>
      <c r="B95" s="39"/>
      <c r="C95" s="39"/>
      <c r="D95" s="39"/>
      <c r="E95" s="39"/>
      <c r="F95" s="39"/>
      <c r="G95" s="39"/>
      <c r="H95" s="39"/>
      <c r="I95" s="39"/>
      <c r="J95" s="39"/>
      <c r="K95" s="39"/>
      <c r="L95" s="39"/>
      <c r="M95" s="39"/>
      <c r="N95" s="39"/>
      <c r="O95" s="39"/>
      <c r="P95" s="39"/>
      <c r="Q95" s="39"/>
      <c r="R95" s="39"/>
      <c r="T95" t="s">
        <v>65</v>
      </c>
      <c r="U95">
        <f>IF(ISNUMBER('Industry Averages'!D195),'Industry Averages'!D195,NA())</f>
        <v>11.858688571154802</v>
      </c>
      <c r="V95">
        <f>IF(ISNUMBER('Industry Averages'!D196),'Industry Averages'!D196,NA())</f>
        <v>19.844432082610968</v>
      </c>
      <c r="W95">
        <f>IF(ISNUMBER('Industry Averages'!D197),'Industry Averages'!D197,NA())</f>
        <v>13.883154069739035</v>
      </c>
      <c r="X95">
        <f>IF(ISNUMBER('Industry Averages'!D198),'Industry Averages'!D198,NA())</f>
        <v>8.2506229232653325</v>
      </c>
      <c r="Y95">
        <f>IF(ISNUMBER('Industry Averages'!D199),'Industry Averages'!D199,NA())</f>
        <v>9.1421884447870596</v>
      </c>
      <c r="Z95">
        <f>IF(ISNUMBER('Industry Averages'!D200),'Industry Averages'!D200,NA())</f>
        <v>12.59581721831144</v>
      </c>
    </row>
    <row r="96" spans="1:26" ht="19.95" customHeight="1" x14ac:dyDescent="0.3">
      <c r="A96" s="39"/>
      <c r="B96" s="39"/>
      <c r="C96" s="39"/>
      <c r="D96" s="39"/>
      <c r="E96" s="39"/>
      <c r="F96" s="39"/>
      <c r="G96" s="39"/>
      <c r="H96" s="39"/>
      <c r="I96" s="39"/>
      <c r="J96" s="39"/>
      <c r="K96" s="39"/>
      <c r="L96" s="39"/>
      <c r="M96" s="39"/>
      <c r="N96" s="39"/>
      <c r="O96" s="39"/>
      <c r="P96" s="39"/>
      <c r="Q96" s="39"/>
      <c r="R96" s="39"/>
      <c r="T96" t="s">
        <v>66</v>
      </c>
      <c r="U96">
        <f>IF(ISNUMBER('Industry Averages'!E195),'Industry Averages'!E195,NA())</f>
        <v>5.2023532179731546</v>
      </c>
      <c r="V96">
        <f>IF(ISNUMBER('Industry Averages'!E196),'Industry Averages'!E196,NA())</f>
        <v>9.7029718632101325</v>
      </c>
      <c r="W96">
        <f>IF(ISNUMBER('Industry Averages'!E197),'Industry Averages'!E197,NA())</f>
        <v>9.2130648554640278</v>
      </c>
      <c r="X96">
        <f>IF(ISNUMBER('Industry Averages'!E198),'Industry Averages'!E198,NA())</f>
        <v>8.2775695053414715</v>
      </c>
      <c r="Y96">
        <f>IF(ISNUMBER('Industry Averages'!E199),'Industry Averages'!E199,NA())</f>
        <v>4.3437335368236942</v>
      </c>
      <c r="Z96">
        <f>IF(ISNUMBER('Industry Averages'!E200),'Industry Averages'!E200,NA())</f>
        <v>7.3479385957624954</v>
      </c>
    </row>
    <row r="97" spans="1:26" ht="19.95" customHeight="1" x14ac:dyDescent="0.3">
      <c r="A97" s="39"/>
      <c r="B97" s="39"/>
      <c r="C97" s="39"/>
      <c r="D97" s="39"/>
      <c r="E97" s="39"/>
      <c r="F97" s="39"/>
      <c r="G97" s="39"/>
      <c r="H97" s="39"/>
      <c r="I97" s="39"/>
      <c r="J97" s="39"/>
      <c r="K97" s="39"/>
      <c r="L97" s="39"/>
      <c r="M97" s="39"/>
      <c r="N97" s="39"/>
      <c r="O97" s="39"/>
      <c r="P97" s="39"/>
      <c r="Q97" s="39"/>
      <c r="R97" s="39"/>
      <c r="T97" t="s">
        <v>67</v>
      </c>
      <c r="U97">
        <f>IF(ISNUMBER('Industry Averages'!F195),'Industry Averages'!F195,NA())</f>
        <v>5.9860674889907219</v>
      </c>
      <c r="V97">
        <f>IF(ISNUMBER('Industry Averages'!F196),'Industry Averages'!F196,NA())</f>
        <v>12.124283879265743</v>
      </c>
      <c r="W97" t="e">
        <f>IF(ISNUMBER('Industry Averages'!F197),'Industry Averages'!F197,NA())</f>
        <v>#N/A</v>
      </c>
      <c r="X97">
        <f>IF(ISNUMBER('Industry Averages'!F198),'Industry Averages'!F198,NA())</f>
        <v>6.7702147353244424</v>
      </c>
      <c r="Y97">
        <f>IF(ISNUMBER('Industry Averages'!F199),'Industry Averages'!F199,NA())</f>
        <v>3.877247932539039</v>
      </c>
      <c r="Z97">
        <f>IF(ISNUMBER('Industry Averages'!F200),'Industry Averages'!F200,NA())</f>
        <v>7.1894535090299874</v>
      </c>
    </row>
    <row r="98" spans="1:26" ht="19.95" customHeight="1" x14ac:dyDescent="0.3">
      <c r="A98" s="39"/>
      <c r="B98" s="39"/>
      <c r="C98" s="39"/>
      <c r="D98" s="39"/>
      <c r="E98" s="39"/>
      <c r="F98" s="39"/>
      <c r="G98" s="39"/>
      <c r="H98" s="39"/>
      <c r="I98" s="39"/>
      <c r="J98" s="39"/>
      <c r="K98" s="39"/>
      <c r="L98" s="39"/>
      <c r="M98" s="39"/>
      <c r="N98" s="39"/>
      <c r="O98" s="39"/>
      <c r="P98" s="39"/>
      <c r="Q98" s="39"/>
      <c r="R98" s="39"/>
      <c r="T98" t="s">
        <v>68</v>
      </c>
      <c r="U98">
        <f>IF(ISNUMBER('Industry Averages'!G195),'Industry Averages'!G195,NA())</f>
        <v>5.5313975285193058</v>
      </c>
      <c r="V98">
        <f>IF(ISNUMBER('Industry Averages'!G196),'Industry Averages'!G196,NA())</f>
        <v>9.5909070156236584</v>
      </c>
      <c r="W98">
        <f>IF(ISNUMBER('Industry Averages'!G197),'Industry Averages'!G197,NA())</f>
        <v>72.91538429829842</v>
      </c>
      <c r="X98">
        <f>IF(ISNUMBER('Industry Averages'!G198),'Industry Averages'!G198,NA())</f>
        <v>7.6317519094733912</v>
      </c>
      <c r="Y98">
        <f>IF(ISNUMBER('Industry Averages'!G199),'Industry Averages'!G199,NA())</f>
        <v>6.8337507059367812</v>
      </c>
      <c r="Z98">
        <f>IF(ISNUMBER('Industry Averages'!G200),'Industry Averages'!G200,NA())</f>
        <v>20.500638291570311</v>
      </c>
    </row>
    <row r="99" spans="1:26" ht="19.95" customHeight="1" x14ac:dyDescent="0.3">
      <c r="A99" s="39"/>
      <c r="B99" s="39"/>
      <c r="C99" s="39"/>
      <c r="D99" s="39"/>
      <c r="E99" s="39"/>
      <c r="F99" s="39"/>
      <c r="G99" s="39"/>
      <c r="H99" s="39"/>
      <c r="I99" s="39"/>
      <c r="J99" s="39"/>
      <c r="K99" s="39"/>
      <c r="L99" s="39"/>
      <c r="M99" s="39"/>
      <c r="N99" s="39"/>
      <c r="O99" s="39"/>
      <c r="P99" s="39"/>
      <c r="Q99" s="39"/>
      <c r="R99" s="39"/>
      <c r="T99" t="s">
        <v>69</v>
      </c>
      <c r="U99">
        <f>IF(ISNUMBER('Industry Averages'!H195),'Industry Averages'!H195,NA())</f>
        <v>6.3393545313613817</v>
      </c>
      <c r="V99">
        <f>IF(ISNUMBER('Industry Averages'!H196),'Industry Averages'!H196,NA())</f>
        <v>15.726582022655393</v>
      </c>
      <c r="W99">
        <f>IF(ISNUMBER('Industry Averages'!H197),'Industry Averages'!H197,NA())</f>
        <v>8.3613265542147914</v>
      </c>
      <c r="X99">
        <f>IF(ISNUMBER('Industry Averages'!H198),'Industry Averages'!H198,NA())</f>
        <v>5.1823592062489379</v>
      </c>
      <c r="Y99">
        <f>IF(ISNUMBER('Industry Averages'!H199),'Industry Averages'!H199,NA())</f>
        <v>8.2220482242427426</v>
      </c>
      <c r="Z99">
        <f>IF(ISNUMBER('Industry Averages'!H200),'Industry Averages'!H200,NA())</f>
        <v>8.7663341077446493</v>
      </c>
    </row>
    <row r="100" spans="1:26" ht="19.95" customHeight="1" x14ac:dyDescent="0.3">
      <c r="A100" s="39"/>
      <c r="B100" s="39"/>
      <c r="C100" s="39"/>
      <c r="D100" s="39"/>
      <c r="E100" s="39"/>
      <c r="F100" s="39"/>
      <c r="G100" s="39"/>
      <c r="H100" s="39"/>
      <c r="I100" s="39"/>
      <c r="J100" s="39"/>
      <c r="K100" s="39"/>
      <c r="L100" s="39"/>
      <c r="M100" s="39"/>
      <c r="N100" s="39"/>
      <c r="O100" s="39"/>
      <c r="P100" s="39"/>
      <c r="Q100" s="39"/>
      <c r="R100" s="39"/>
    </row>
    <row r="101" spans="1:26" ht="19.95" customHeight="1" x14ac:dyDescent="0.3">
      <c r="A101" s="39"/>
      <c r="B101" s="39"/>
      <c r="C101" s="39"/>
      <c r="D101" s="39"/>
      <c r="E101" s="39"/>
      <c r="F101" s="39"/>
      <c r="G101" s="39"/>
      <c r="H101" s="39"/>
      <c r="I101" s="39"/>
      <c r="J101" s="39"/>
      <c r="K101" s="39"/>
      <c r="L101" s="39"/>
      <c r="M101" s="39"/>
      <c r="N101" s="39"/>
      <c r="O101" s="39"/>
      <c r="P101" s="39"/>
      <c r="Q101" s="39"/>
      <c r="R101" s="39"/>
    </row>
    <row r="102" spans="1:26" ht="19.95" customHeight="1" x14ac:dyDescent="0.3">
      <c r="A102" s="39"/>
      <c r="B102" s="39"/>
      <c r="C102" s="39"/>
      <c r="D102" s="39"/>
      <c r="E102" s="39"/>
      <c r="F102" s="39"/>
      <c r="G102" s="39"/>
      <c r="H102" s="39"/>
      <c r="I102" s="39"/>
      <c r="J102" s="39"/>
      <c r="K102" s="39"/>
      <c r="L102" s="39"/>
      <c r="M102" s="39"/>
      <c r="N102" s="39"/>
      <c r="O102" s="39"/>
      <c r="P102" s="39"/>
      <c r="Q102" s="39"/>
      <c r="R102" s="39"/>
      <c r="T102" t="s">
        <v>304</v>
      </c>
      <c r="U102" t="s">
        <v>13</v>
      </c>
      <c r="V102" t="s">
        <v>18</v>
      </c>
      <c r="W102" t="s">
        <v>23</v>
      </c>
      <c r="X102" t="s">
        <v>27</v>
      </c>
      <c r="Y102" t="s">
        <v>31</v>
      </c>
      <c r="Z102" t="s">
        <v>305</v>
      </c>
    </row>
    <row r="103" spans="1:26" ht="19.95" customHeight="1" x14ac:dyDescent="0.3">
      <c r="A103" s="39"/>
      <c r="B103" s="39"/>
      <c r="C103" s="39"/>
      <c r="D103" s="39"/>
      <c r="E103" s="39"/>
      <c r="F103" s="39"/>
      <c r="G103" s="39"/>
      <c r="H103" s="39"/>
      <c r="I103" s="39"/>
      <c r="J103" s="39"/>
      <c r="K103" s="39"/>
      <c r="L103" s="39"/>
      <c r="M103" s="39"/>
      <c r="N103" s="39"/>
      <c r="O103" s="39"/>
      <c r="P103" s="39"/>
      <c r="Q103" s="39"/>
      <c r="R103" s="39"/>
      <c r="T103" t="s">
        <v>65</v>
      </c>
      <c r="U103">
        <f>IF(ISNUMBER('Industry Averages'!D203),'Industry Averages'!D203,NA())</f>
        <v>1.8663025958706099</v>
      </c>
      <c r="V103">
        <f>IF(ISNUMBER('Industry Averages'!D204),'Industry Averages'!D204,NA())</f>
        <v>2.4665571875286716</v>
      </c>
      <c r="W103">
        <f>IF(ISNUMBER('Industry Averages'!D205),'Industry Averages'!D205,NA())</f>
        <v>0.7031096868032638</v>
      </c>
      <c r="X103">
        <f>IF(ISNUMBER('Industry Averages'!D206),'Industry Averages'!D206,NA())</f>
        <v>1.3744489078669448</v>
      </c>
      <c r="Y103">
        <f>IF(ISNUMBER('Industry Averages'!D207),'Industry Averages'!D207,NA())</f>
        <v>1.3634728296339984</v>
      </c>
      <c r="Z103">
        <f>IF(ISNUMBER('Industry Averages'!D208),'Industry Averages'!D208,NA())</f>
        <v>1.5547782415406979</v>
      </c>
    </row>
    <row r="104" spans="1:26" ht="19.95" customHeight="1" x14ac:dyDescent="0.3">
      <c r="A104" s="39"/>
      <c r="B104" s="39"/>
      <c r="C104" s="39"/>
      <c r="D104" s="39"/>
      <c r="E104" s="39"/>
      <c r="F104" s="39"/>
      <c r="G104" s="39"/>
      <c r="H104" s="39"/>
      <c r="I104" s="39"/>
      <c r="J104" s="39"/>
      <c r="K104" s="39"/>
      <c r="L104" s="39"/>
      <c r="M104" s="39"/>
      <c r="N104" s="39"/>
      <c r="O104" s="39"/>
      <c r="P104" s="39"/>
      <c r="Q104" s="39"/>
      <c r="R104" s="39"/>
      <c r="T104" t="s">
        <v>66</v>
      </c>
      <c r="U104">
        <f>IF(ISNUMBER('Industry Averages'!E203),'Industry Averages'!E203,NA())</f>
        <v>0.95932868328175702</v>
      </c>
      <c r="V104">
        <f>IF(ISNUMBER('Industry Averages'!E204),'Industry Averages'!E204,NA())</f>
        <v>1.1548287368561481</v>
      </c>
      <c r="W104">
        <f>IF(ISNUMBER('Industry Averages'!E205),'Industry Averages'!E205,NA())</f>
        <v>0.39163597075332512</v>
      </c>
      <c r="X104">
        <f>IF(ISNUMBER('Industry Averages'!E206),'Industry Averages'!E206,NA())</f>
        <v>0.72813806794864222</v>
      </c>
      <c r="Y104">
        <f>IF(ISNUMBER('Industry Averages'!E207),'Industry Averages'!E207,NA())</f>
        <v>0.53510718726613404</v>
      </c>
      <c r="Z104">
        <f>IF(ISNUMBER('Industry Averages'!E208),'Industry Averages'!E208,NA())</f>
        <v>0.75380772922120132</v>
      </c>
    </row>
    <row r="105" spans="1:26" ht="19.95" customHeight="1" x14ac:dyDescent="0.3">
      <c r="A105" s="39"/>
      <c r="B105" s="39"/>
      <c r="C105" s="39"/>
      <c r="D105" s="39"/>
      <c r="E105" s="39"/>
      <c r="F105" s="39"/>
      <c r="G105" s="39"/>
      <c r="H105" s="39"/>
      <c r="I105" s="39"/>
      <c r="J105" s="39"/>
      <c r="K105" s="39"/>
      <c r="L105" s="39"/>
      <c r="M105" s="39"/>
      <c r="N105" s="39"/>
      <c r="O105" s="39"/>
      <c r="P105" s="39"/>
      <c r="Q105" s="39"/>
      <c r="R105" s="39"/>
      <c r="T105" t="s">
        <v>67</v>
      </c>
      <c r="U105">
        <f>IF(ISNUMBER('Industry Averages'!F203),'Industry Averages'!F203,NA())</f>
        <v>1.0684870021034203</v>
      </c>
      <c r="V105">
        <f>IF(ISNUMBER('Industry Averages'!F204),'Industry Averages'!F204,NA())</f>
        <v>1.1852090640758639</v>
      </c>
      <c r="W105">
        <f>IF(ISNUMBER('Industry Averages'!F205),'Industry Averages'!F205,NA())</f>
        <v>0.35012794187063967</v>
      </c>
      <c r="X105">
        <f>IF(ISNUMBER('Industry Averages'!F206),'Industry Averages'!F206,NA())</f>
        <v>0.67703828877240613</v>
      </c>
      <c r="Y105">
        <f>IF(ISNUMBER('Industry Averages'!F207),'Industry Averages'!F207,NA())</f>
        <v>0.44258015488186969</v>
      </c>
      <c r="Z105">
        <f>IF(ISNUMBER('Industry Averages'!F208),'Industry Averages'!F208,NA())</f>
        <v>0.74468849034083984</v>
      </c>
    </row>
    <row r="106" spans="1:26" ht="19.95" customHeight="1" x14ac:dyDescent="0.3">
      <c r="A106" s="39"/>
      <c r="B106" s="39"/>
      <c r="C106" s="39"/>
      <c r="D106" s="39"/>
      <c r="E106" s="39"/>
      <c r="F106" s="39"/>
      <c r="G106" s="39"/>
      <c r="H106" s="39"/>
      <c r="I106" s="39"/>
      <c r="J106" s="39"/>
      <c r="K106" s="39"/>
      <c r="L106" s="39"/>
      <c r="M106" s="39"/>
      <c r="N106" s="39"/>
      <c r="O106" s="39"/>
      <c r="P106" s="39"/>
      <c r="Q106" s="39"/>
      <c r="R106" s="39"/>
      <c r="T106" t="s">
        <v>68</v>
      </c>
      <c r="U106">
        <f>IF(ISNUMBER('Industry Averages'!G203),'Industry Averages'!G203,NA())</f>
        <v>1.1937011482475723</v>
      </c>
      <c r="V106">
        <f>IF(ISNUMBER('Industry Averages'!G204),'Industry Averages'!G204,NA())</f>
        <v>1.7979804681845026</v>
      </c>
      <c r="W106">
        <f>IF(ISNUMBER('Industry Averages'!G205),'Industry Averages'!G205,NA())</f>
        <v>0.52142775098382221</v>
      </c>
      <c r="X106">
        <f>IF(ISNUMBER('Industry Averages'!G206),'Industry Averages'!G206,NA())</f>
        <v>0.75656546305349337</v>
      </c>
      <c r="Y106">
        <f>IF(ISNUMBER('Industry Averages'!G207),'Industry Averages'!G207,NA())</f>
        <v>0.76560785651514207</v>
      </c>
      <c r="Z106">
        <f>IF(ISNUMBER('Industry Averages'!G208),'Industry Averages'!G208,NA())</f>
        <v>1.0070565373969065</v>
      </c>
    </row>
    <row r="107" spans="1:26" ht="19.95" customHeight="1" x14ac:dyDescent="0.3">
      <c r="A107" s="39"/>
      <c r="B107" s="39"/>
      <c r="C107" s="39"/>
      <c r="D107" s="39"/>
      <c r="E107" s="39"/>
      <c r="F107" s="39"/>
      <c r="G107" s="39"/>
      <c r="H107" s="39"/>
      <c r="I107" s="39"/>
      <c r="J107" s="39"/>
      <c r="K107" s="39"/>
      <c r="L107" s="39"/>
      <c r="M107" s="39"/>
      <c r="N107" s="39"/>
      <c r="O107" s="39"/>
      <c r="P107" s="39"/>
      <c r="Q107" s="39"/>
      <c r="R107" s="39"/>
      <c r="T107" t="s">
        <v>69</v>
      </c>
      <c r="U107">
        <f>IF(ISNUMBER('Industry Averages'!H203),'Industry Averages'!H203,NA())</f>
        <v>1.4544747850514033</v>
      </c>
      <c r="V107">
        <f>IF(ISNUMBER('Industry Averages'!H204),'Industry Averages'!H204,NA())</f>
        <v>2.9584754511387614</v>
      </c>
      <c r="W107">
        <f>IF(ISNUMBER('Industry Averages'!H205),'Industry Averages'!H205,NA())</f>
        <v>0.76620820294800718</v>
      </c>
      <c r="X107">
        <f>IF(ISNUMBER('Industry Averages'!H206),'Industry Averages'!H206,NA())</f>
        <v>1.2354689205356633</v>
      </c>
      <c r="Y107">
        <f>IF(ISNUMBER('Industry Averages'!H207),'Industry Averages'!H207,NA())</f>
        <v>1.3001759998029245</v>
      </c>
      <c r="Z107">
        <f>IF(ISNUMBER('Industry Averages'!H208),'Industry Averages'!H208,NA())</f>
        <v>1.5429606718953519</v>
      </c>
    </row>
    <row r="108" spans="1:26" ht="19.95" customHeight="1" x14ac:dyDescent="0.3">
      <c r="A108" s="39"/>
      <c r="B108" s="39"/>
      <c r="C108" s="39"/>
      <c r="D108" s="39"/>
      <c r="E108" s="39"/>
      <c r="F108" s="39"/>
      <c r="G108" s="39"/>
      <c r="H108" s="39"/>
      <c r="I108" s="39"/>
      <c r="J108" s="39"/>
      <c r="K108" s="39"/>
      <c r="L108" s="39"/>
      <c r="M108" s="39"/>
      <c r="N108" s="39"/>
      <c r="O108" s="39"/>
      <c r="P108" s="39"/>
      <c r="Q108" s="39"/>
      <c r="R108" s="39"/>
    </row>
    <row r="109" spans="1:26" ht="19.95" customHeight="1" x14ac:dyDescent="0.3">
      <c r="A109" s="39"/>
      <c r="B109" s="39"/>
      <c r="C109" s="39"/>
      <c r="D109" s="39"/>
      <c r="E109" s="39"/>
      <c r="F109" s="39"/>
      <c r="G109" s="39"/>
      <c r="H109" s="39"/>
      <c r="I109" s="39"/>
      <c r="J109" s="39"/>
      <c r="K109" s="39"/>
      <c r="L109" s="39"/>
      <c r="M109" s="39"/>
      <c r="N109" s="39"/>
      <c r="O109" s="39"/>
      <c r="P109" s="39"/>
      <c r="Q109" s="39"/>
      <c r="R109" s="39"/>
    </row>
    <row r="110" spans="1:26" ht="19.95" customHeight="1" x14ac:dyDescent="0.3">
      <c r="A110" s="39"/>
      <c r="B110" s="39"/>
      <c r="C110" s="39"/>
      <c r="D110" s="39"/>
      <c r="E110" s="39"/>
      <c r="F110" s="39"/>
      <c r="G110" s="39"/>
      <c r="H110" s="39"/>
      <c r="I110" s="39"/>
      <c r="J110" s="39"/>
      <c r="K110" s="39"/>
      <c r="L110" s="39"/>
      <c r="M110" s="39"/>
      <c r="N110" s="39"/>
      <c r="O110" s="39"/>
      <c r="P110" s="39"/>
      <c r="Q110" s="39"/>
      <c r="R110" s="39"/>
      <c r="T110" t="s">
        <v>304</v>
      </c>
      <c r="U110" t="s">
        <v>13</v>
      </c>
      <c r="V110" t="s">
        <v>18</v>
      </c>
      <c r="W110" t="s">
        <v>23</v>
      </c>
      <c r="X110" t="s">
        <v>27</v>
      </c>
      <c r="Y110" t="s">
        <v>31</v>
      </c>
      <c r="Z110" t="s">
        <v>305</v>
      </c>
    </row>
    <row r="111" spans="1:26" ht="19.95" customHeight="1" x14ac:dyDescent="0.3">
      <c r="A111" s="39"/>
      <c r="B111" s="39"/>
      <c r="C111" s="39"/>
      <c r="D111" s="39"/>
      <c r="E111" s="39"/>
      <c r="F111" s="39"/>
      <c r="G111" s="39"/>
      <c r="H111" s="39"/>
      <c r="I111" s="39"/>
      <c r="J111" s="39"/>
      <c r="K111" s="39"/>
      <c r="L111" s="39"/>
      <c r="M111" s="39"/>
      <c r="N111" s="39"/>
      <c r="O111" s="39"/>
      <c r="P111" s="39"/>
      <c r="Q111" s="39"/>
      <c r="R111" s="39"/>
      <c r="T111" t="s">
        <v>65</v>
      </c>
      <c r="U111">
        <f>IF(ISNUMBER('Industry Averages'!D219),'Industry Averages'!D219,NA())</f>
        <v>7.030703799061059</v>
      </c>
      <c r="V111">
        <f>IF(ISNUMBER('Industry Averages'!D220),'Industry Averages'!D220,NA())</f>
        <v>12.530231924140164</v>
      </c>
      <c r="W111">
        <f>IF(ISNUMBER('Industry Averages'!D221),'Industry Averages'!D221,NA())</f>
        <v>8.4672094053907152</v>
      </c>
      <c r="X111">
        <f>IF(ISNUMBER('Industry Averages'!D222),'Industry Averages'!D222,NA())</f>
        <v>5.6223501239668989</v>
      </c>
      <c r="Y111">
        <f>IF(ISNUMBER('Industry Averages'!D223),'Industry Averages'!D223,NA())</f>
        <v>4.9126800998035849</v>
      </c>
      <c r="Z111">
        <f>IF(ISNUMBER('Industry Averages'!D224),'Industry Averages'!D224,NA())</f>
        <v>7.7126350704724844</v>
      </c>
    </row>
    <row r="112" spans="1:26" ht="19.95" customHeight="1" x14ac:dyDescent="0.3">
      <c r="A112" s="39"/>
      <c r="B112" s="39"/>
      <c r="C112" s="39"/>
      <c r="D112" s="39"/>
      <c r="E112" s="39"/>
      <c r="F112" s="39"/>
      <c r="G112" s="39"/>
      <c r="H112" s="39"/>
      <c r="I112" s="39"/>
      <c r="J112" s="39"/>
      <c r="K112" s="39"/>
      <c r="L112" s="39"/>
      <c r="M112" s="39"/>
      <c r="N112" s="39"/>
      <c r="O112" s="39"/>
      <c r="P112" s="39"/>
      <c r="Q112" s="39"/>
      <c r="R112" s="39"/>
      <c r="T112" t="s">
        <v>66</v>
      </c>
      <c r="U112">
        <f>IF(ISNUMBER('Industry Averages'!E219),'Industry Averages'!E219,NA())</f>
        <v>2.8460065892461768</v>
      </c>
      <c r="V112">
        <f>IF(ISNUMBER('Industry Averages'!E220),'Industry Averages'!E220,NA())</f>
        <v>5.6439003003016683</v>
      </c>
      <c r="W112">
        <f>IF(ISNUMBER('Industry Averages'!E221),'Industry Averages'!E221,NA())</f>
        <v>5.5150906801201929</v>
      </c>
      <c r="X112">
        <f>IF(ISNUMBER('Industry Averages'!E222),'Industry Averages'!E222,NA())</f>
        <v>4.4912459172048038</v>
      </c>
      <c r="Y112">
        <f>IF(ISNUMBER('Industry Averages'!E223),'Industry Averages'!E223,NA())</f>
        <v>3.9999441320816422</v>
      </c>
      <c r="Z112">
        <f>IF(ISNUMBER('Industry Averages'!E224),'Industry Averages'!E224,NA())</f>
        <v>4.4992375237908968</v>
      </c>
    </row>
    <row r="113" spans="1:26" ht="19.95" customHeight="1" x14ac:dyDescent="0.3">
      <c r="A113" s="39"/>
      <c r="B113" s="39"/>
      <c r="C113" s="39"/>
      <c r="D113" s="39"/>
      <c r="E113" s="39"/>
      <c r="F113" s="39"/>
      <c r="G113" s="39"/>
      <c r="H113" s="39"/>
      <c r="I113" s="39"/>
      <c r="J113" s="39"/>
      <c r="K113" s="39"/>
      <c r="L113" s="39"/>
      <c r="M113" s="39"/>
      <c r="N113" s="39"/>
      <c r="O113" s="39"/>
      <c r="P113" s="39"/>
      <c r="Q113" s="39"/>
      <c r="R113" s="39"/>
      <c r="T113" t="s">
        <v>67</v>
      </c>
      <c r="U113">
        <f>IF(ISNUMBER('Industry Averages'!F219),'Industry Averages'!F219,NA())</f>
        <v>3.0390586129963157</v>
      </c>
      <c r="V113">
        <f>IF(ISNUMBER('Industry Averages'!F220),'Industry Averages'!F220,NA())</f>
        <v>5.6924500846825419</v>
      </c>
      <c r="W113">
        <f>IF(ISNUMBER('Industry Averages'!F221),'Industry Averages'!F221,NA())</f>
        <v>4.7839328299471351</v>
      </c>
      <c r="X113">
        <f>IF(ISNUMBER('Industry Averages'!F222),'Industry Averages'!F222,NA())</f>
        <v>3.2721791070017887</v>
      </c>
      <c r="Y113">
        <f>IF(ISNUMBER('Industry Averages'!F223),'Industry Averages'!F223,NA())</f>
        <v>3.9638226712605413</v>
      </c>
      <c r="Z113">
        <f>IF(ISNUMBER('Industry Averages'!F224),'Industry Averages'!F224,NA())</f>
        <v>4.1502886611776644</v>
      </c>
    </row>
    <row r="114" spans="1:26" ht="19.95" customHeight="1" x14ac:dyDescent="0.3">
      <c r="A114" s="39"/>
      <c r="B114" s="39"/>
      <c r="C114" s="39"/>
      <c r="D114" s="39"/>
      <c r="E114" s="39"/>
      <c r="F114" s="39"/>
      <c r="G114" s="39"/>
      <c r="H114" s="39"/>
      <c r="I114" s="39"/>
      <c r="J114" s="39"/>
      <c r="K114" s="39"/>
      <c r="L114" s="39"/>
      <c r="M114" s="39"/>
      <c r="N114" s="39"/>
      <c r="O114" s="39"/>
      <c r="P114" s="39"/>
      <c r="Q114" s="39"/>
      <c r="R114" s="39"/>
      <c r="T114" t="s">
        <v>68</v>
      </c>
      <c r="U114">
        <f>IF(ISNUMBER('Industry Averages'!G219),'Industry Averages'!G219,NA())</f>
        <v>3.2191008909496732</v>
      </c>
      <c r="V114">
        <f>IF(ISNUMBER('Industry Averages'!G220),'Industry Averages'!G220,NA())</f>
        <v>5.178403100254557</v>
      </c>
      <c r="W114">
        <f>IF(ISNUMBER('Industry Averages'!G221),'Industry Averages'!G221,NA())</f>
        <v>5.0911516840273263</v>
      </c>
      <c r="X114">
        <f>IF(ISNUMBER('Industry Averages'!G222),'Industry Averages'!G222,NA())</f>
        <v>3.3522633268626687</v>
      </c>
      <c r="Y114">
        <f>IF(ISNUMBER('Industry Averages'!G223),'Industry Averages'!G223,NA())</f>
        <v>3.9028355635230949</v>
      </c>
      <c r="Z114">
        <f>IF(ISNUMBER('Industry Averages'!G224),'Industry Averages'!G224,NA())</f>
        <v>4.1487509131234637</v>
      </c>
    </row>
    <row r="115" spans="1:26" ht="19.95" customHeight="1" x14ac:dyDescent="0.3">
      <c r="A115" s="39"/>
      <c r="B115" s="39"/>
      <c r="C115" s="39"/>
      <c r="D115" s="39"/>
      <c r="E115" s="39"/>
      <c r="F115" s="39"/>
      <c r="G115" s="39"/>
      <c r="H115" s="39"/>
      <c r="I115" s="39"/>
      <c r="J115" s="39"/>
      <c r="K115" s="39"/>
      <c r="L115" s="39"/>
      <c r="M115" s="39"/>
      <c r="N115" s="39"/>
      <c r="O115" s="39"/>
      <c r="P115" s="39"/>
      <c r="Q115" s="39"/>
      <c r="R115" s="39"/>
      <c r="T115" t="s">
        <v>69</v>
      </c>
      <c r="U115">
        <f>IF(ISNUMBER('Industry Averages'!H219),'Industry Averages'!H219,NA())</f>
        <v>3.6540457208322041</v>
      </c>
      <c r="V115">
        <f>IF(ISNUMBER('Industry Averages'!H220),'Industry Averages'!H220,NA())</f>
        <v>8.5282679327793396</v>
      </c>
      <c r="W115">
        <f>IF(ISNUMBER('Industry Averages'!H221),'Industry Averages'!H221,NA())</f>
        <v>4.5245291189336676</v>
      </c>
      <c r="X115">
        <f>IF(ISNUMBER('Industry Averages'!H222),'Industry Averages'!H222,NA())</f>
        <v>3.4441662826745523</v>
      </c>
      <c r="Y115">
        <f>IF(ISNUMBER('Industry Averages'!H223),'Industry Averages'!H223,NA())</f>
        <v>4.5760845203336329</v>
      </c>
      <c r="Z115">
        <f>IF(ISNUMBER('Industry Averages'!H224),'Industry Averages'!H224,NA())</f>
        <v>4.9454187151106792</v>
      </c>
    </row>
    <row r="116" spans="1:26" ht="19.95" customHeight="1" x14ac:dyDescent="0.3">
      <c r="A116" s="39"/>
      <c r="B116" s="39"/>
      <c r="C116" s="39"/>
      <c r="D116" s="39"/>
      <c r="E116" s="39"/>
      <c r="F116" s="39"/>
      <c r="G116" s="39"/>
      <c r="H116" s="39"/>
      <c r="I116" s="39"/>
      <c r="J116" s="39"/>
      <c r="K116" s="39"/>
      <c r="L116" s="39"/>
      <c r="M116" s="39"/>
      <c r="N116" s="39"/>
      <c r="O116" s="39"/>
      <c r="P116" s="39"/>
      <c r="Q116" s="39"/>
      <c r="R116" s="39"/>
    </row>
    <row r="117" spans="1:26" ht="19.95" customHeight="1" x14ac:dyDescent="0.3">
      <c r="A117" s="39"/>
      <c r="B117" s="39"/>
      <c r="C117" s="39"/>
      <c r="D117" s="39"/>
      <c r="E117" s="39"/>
      <c r="F117" s="39"/>
      <c r="G117" s="39"/>
      <c r="H117" s="39"/>
      <c r="I117" s="39"/>
      <c r="J117" s="39"/>
      <c r="K117" s="39"/>
      <c r="L117" s="39"/>
      <c r="M117" s="39"/>
      <c r="N117" s="39"/>
      <c r="O117" s="39"/>
      <c r="P117" s="39"/>
      <c r="Q117" s="39"/>
      <c r="R117" s="39"/>
    </row>
    <row r="118" spans="1:26" ht="19.95" customHeight="1" x14ac:dyDescent="0.3">
      <c r="A118" s="39"/>
      <c r="B118" s="39"/>
      <c r="C118" s="39"/>
      <c r="D118" s="39"/>
      <c r="E118" s="39"/>
      <c r="F118" s="39"/>
      <c r="G118" s="39"/>
      <c r="H118" s="39"/>
      <c r="I118" s="39"/>
      <c r="J118" s="39"/>
      <c r="K118" s="39"/>
      <c r="L118" s="39"/>
      <c r="M118" s="39"/>
      <c r="N118" s="39"/>
      <c r="O118" s="39"/>
      <c r="P118" s="39"/>
      <c r="Q118" s="39"/>
      <c r="R118" s="39"/>
    </row>
    <row r="119" spans="1:26" ht="19.95" customHeight="1" x14ac:dyDescent="0.3">
      <c r="A119" s="39"/>
      <c r="B119" s="39"/>
      <c r="C119" s="39"/>
      <c r="D119" s="39"/>
      <c r="E119" s="39"/>
      <c r="F119" s="39"/>
      <c r="G119" s="39"/>
      <c r="H119" s="39"/>
      <c r="I119" s="39"/>
      <c r="J119" s="39"/>
      <c r="K119" s="39"/>
      <c r="L119" s="39"/>
      <c r="M119" s="39"/>
      <c r="N119" s="39"/>
      <c r="O119" s="39"/>
      <c r="P119" s="39"/>
      <c r="Q119" s="39"/>
      <c r="R119" s="39"/>
    </row>
    <row r="120" spans="1:26" ht="19.95" customHeight="1" x14ac:dyDescent="0.3">
      <c r="A120" s="39"/>
      <c r="B120" s="39"/>
      <c r="C120" s="39"/>
      <c r="D120" s="39"/>
      <c r="E120" s="39"/>
      <c r="F120" s="39"/>
      <c r="G120" s="39"/>
      <c r="H120" s="39"/>
      <c r="I120" s="39"/>
      <c r="J120" s="39"/>
      <c r="K120" s="39"/>
      <c r="L120" s="39"/>
      <c r="M120" s="39"/>
      <c r="N120" s="39"/>
      <c r="O120" s="39"/>
      <c r="P120" s="39"/>
      <c r="Q120" s="39"/>
      <c r="R120" s="39"/>
    </row>
    <row r="121" spans="1:26" ht="19.95" customHeight="1" x14ac:dyDescent="0.3">
      <c r="A121" s="39"/>
      <c r="B121" s="39"/>
      <c r="C121" s="39"/>
      <c r="D121" s="39"/>
      <c r="E121" s="39"/>
      <c r="F121" s="39"/>
      <c r="G121" s="39"/>
      <c r="H121" s="39"/>
      <c r="I121" s="39"/>
      <c r="J121" s="39"/>
      <c r="K121" s="39"/>
      <c r="L121" s="39"/>
      <c r="M121" s="39"/>
      <c r="N121" s="39"/>
      <c r="O121" s="39"/>
      <c r="P121" s="39"/>
      <c r="Q121" s="39"/>
      <c r="R121" s="39"/>
    </row>
    <row r="122" spans="1:26" ht="19.95" customHeight="1" x14ac:dyDescent="0.3">
      <c r="A122" s="39"/>
      <c r="B122" s="39"/>
      <c r="C122" s="39"/>
      <c r="D122" s="39"/>
      <c r="E122" s="39"/>
      <c r="F122" s="39"/>
      <c r="G122" s="39"/>
      <c r="H122" s="39"/>
      <c r="I122" s="39"/>
      <c r="J122" s="39"/>
      <c r="K122" s="39"/>
      <c r="L122" s="39"/>
      <c r="M122" s="39"/>
      <c r="N122" s="39"/>
      <c r="O122" s="39"/>
      <c r="P122" s="39"/>
      <c r="Q122" s="39"/>
      <c r="R122" s="39"/>
    </row>
    <row r="123" spans="1:26" ht="19.95" customHeight="1" x14ac:dyDescent="0.3">
      <c r="A123" s="39"/>
      <c r="B123" s="39"/>
      <c r="C123" s="39"/>
      <c r="D123" s="39"/>
      <c r="E123" s="39"/>
      <c r="F123" s="39"/>
      <c r="G123" s="39"/>
      <c r="H123" s="39"/>
      <c r="I123" s="39"/>
      <c r="J123" s="39"/>
      <c r="K123" s="39"/>
      <c r="L123" s="39"/>
      <c r="M123" s="39"/>
      <c r="N123" s="39"/>
      <c r="O123" s="39"/>
      <c r="P123" s="39"/>
      <c r="Q123" s="39"/>
      <c r="R123" s="39"/>
    </row>
    <row r="124" spans="1:26" ht="19.95" customHeight="1" x14ac:dyDescent="0.3">
      <c r="A124" s="39"/>
      <c r="B124" s="39"/>
      <c r="C124" s="39"/>
      <c r="D124" s="39"/>
      <c r="E124" s="39"/>
      <c r="F124" s="39"/>
      <c r="G124" s="39"/>
      <c r="H124" s="39"/>
      <c r="I124" s="39"/>
      <c r="J124" s="39"/>
      <c r="K124" s="39"/>
      <c r="L124" s="39"/>
      <c r="M124" s="39"/>
      <c r="N124" s="39"/>
      <c r="O124" s="39"/>
      <c r="P124" s="39"/>
      <c r="Q124" s="39"/>
      <c r="R124" s="39"/>
    </row>
    <row r="125" spans="1:26" ht="19.95" customHeight="1" x14ac:dyDescent="0.3">
      <c r="A125" s="39"/>
      <c r="B125" s="39"/>
      <c r="C125" s="39"/>
      <c r="D125" s="39"/>
      <c r="E125" s="39"/>
      <c r="F125" s="39"/>
      <c r="G125" s="39"/>
      <c r="H125" s="39"/>
      <c r="I125" s="39"/>
      <c r="J125" s="39"/>
      <c r="K125" s="39"/>
      <c r="L125" s="39"/>
      <c r="M125" s="39"/>
      <c r="N125" s="39"/>
      <c r="O125" s="39"/>
      <c r="P125" s="39"/>
      <c r="Q125" s="39"/>
      <c r="R125" s="39"/>
    </row>
    <row r="126" spans="1:26" ht="19.95" customHeight="1" x14ac:dyDescent="0.3">
      <c r="A126" s="39"/>
      <c r="B126" s="39"/>
      <c r="C126" s="39"/>
      <c r="D126" s="39"/>
      <c r="E126" s="39"/>
      <c r="F126" s="39"/>
      <c r="G126" s="39"/>
      <c r="H126" s="39"/>
      <c r="I126" s="39"/>
      <c r="J126" s="39"/>
      <c r="K126" s="39"/>
      <c r="L126" s="39"/>
      <c r="M126" s="39"/>
      <c r="N126" s="39"/>
      <c r="O126" s="39"/>
      <c r="P126" s="39"/>
      <c r="Q126" s="39"/>
      <c r="R126" s="39"/>
    </row>
    <row r="127" spans="1:26" ht="19.95" customHeight="1" x14ac:dyDescent="0.3">
      <c r="A127" s="39"/>
      <c r="B127" s="39"/>
      <c r="C127" s="39"/>
      <c r="D127" s="39"/>
      <c r="E127" s="39"/>
      <c r="F127" s="39"/>
      <c r="G127" s="39"/>
      <c r="H127" s="39"/>
      <c r="I127" s="39"/>
      <c r="J127" s="39"/>
      <c r="K127" s="39"/>
      <c r="L127" s="39"/>
      <c r="M127" s="39"/>
      <c r="N127" s="39"/>
      <c r="O127" s="39"/>
      <c r="P127" s="39"/>
      <c r="Q127" s="39"/>
      <c r="R127" s="39"/>
    </row>
    <row r="128" spans="1:26" ht="19.95" customHeight="1" x14ac:dyDescent="0.3">
      <c r="A128" s="39"/>
      <c r="B128" s="39"/>
      <c r="C128" s="39"/>
      <c r="D128" s="39"/>
      <c r="E128" s="39"/>
      <c r="F128" s="39"/>
      <c r="G128" s="39"/>
      <c r="H128" s="39"/>
      <c r="I128" s="39"/>
      <c r="J128" s="39"/>
      <c r="K128" s="39"/>
      <c r="L128" s="39"/>
      <c r="M128" s="39"/>
      <c r="N128" s="39"/>
      <c r="O128" s="39"/>
      <c r="P128" s="39"/>
      <c r="Q128" s="39"/>
      <c r="R128" s="39"/>
    </row>
    <row r="129" spans="1:18" ht="19.95" customHeight="1" x14ac:dyDescent="0.3">
      <c r="A129" s="39"/>
      <c r="B129" s="39"/>
      <c r="C129" s="39"/>
      <c r="D129" s="39"/>
      <c r="E129" s="39"/>
      <c r="F129" s="39"/>
      <c r="G129" s="39"/>
      <c r="H129" s="39"/>
      <c r="I129" s="39"/>
      <c r="J129" s="39"/>
      <c r="K129" s="39"/>
      <c r="L129" s="39"/>
      <c r="M129" s="39"/>
      <c r="N129" s="39"/>
      <c r="O129" s="39"/>
      <c r="P129" s="39"/>
      <c r="Q129" s="39"/>
      <c r="R129" s="39"/>
    </row>
    <row r="130" spans="1:18" ht="19.95" customHeight="1" x14ac:dyDescent="0.3">
      <c r="A130" s="39"/>
      <c r="B130" s="39"/>
      <c r="C130" s="39"/>
      <c r="D130" s="39"/>
      <c r="E130" s="39"/>
      <c r="F130" s="39"/>
      <c r="G130" s="39"/>
      <c r="H130" s="39"/>
      <c r="I130" s="39"/>
      <c r="J130" s="39"/>
      <c r="K130" s="39"/>
      <c r="L130" s="39"/>
      <c r="M130" s="39"/>
      <c r="N130" s="39"/>
      <c r="O130" s="39"/>
      <c r="P130" s="39"/>
      <c r="Q130" s="39"/>
      <c r="R130" s="39"/>
    </row>
    <row r="131" spans="1:18" ht="19.95" customHeight="1" x14ac:dyDescent="0.3">
      <c r="A131" s="39"/>
      <c r="B131" s="39"/>
      <c r="C131" s="39"/>
      <c r="D131" s="39"/>
      <c r="E131" s="39"/>
      <c r="F131" s="39"/>
      <c r="G131" s="39"/>
      <c r="H131" s="39"/>
      <c r="I131" s="39"/>
      <c r="J131" s="39"/>
      <c r="K131" s="39"/>
      <c r="L131" s="39"/>
      <c r="M131" s="39"/>
      <c r="N131" s="39"/>
      <c r="O131" s="39"/>
      <c r="P131" s="39"/>
      <c r="Q131" s="39"/>
      <c r="R131" s="39"/>
    </row>
    <row r="132" spans="1:18" ht="19.95" customHeight="1" x14ac:dyDescent="0.3">
      <c r="A132" s="39"/>
      <c r="B132" s="39"/>
      <c r="C132" s="39"/>
      <c r="D132" s="39"/>
      <c r="E132" s="39"/>
      <c r="F132" s="39"/>
      <c r="G132" s="39"/>
      <c r="H132" s="39"/>
      <c r="I132" s="39"/>
      <c r="J132" s="39"/>
      <c r="K132" s="39"/>
      <c r="L132" s="39"/>
      <c r="M132" s="39"/>
      <c r="N132" s="39"/>
      <c r="O132" s="39"/>
      <c r="P132" s="39"/>
      <c r="Q132" s="39"/>
      <c r="R132" s="39"/>
    </row>
    <row r="133" spans="1:18" ht="19.95" customHeight="1" x14ac:dyDescent="0.3">
      <c r="A133" s="39"/>
      <c r="B133" s="39"/>
      <c r="C133" s="39"/>
      <c r="D133" s="39"/>
      <c r="E133" s="39"/>
      <c r="F133" s="39"/>
      <c r="G133" s="39"/>
      <c r="H133" s="39"/>
      <c r="I133" s="39"/>
      <c r="J133" s="39"/>
      <c r="K133" s="39"/>
      <c r="L133" s="39"/>
      <c r="M133" s="39"/>
      <c r="N133" s="39"/>
      <c r="O133" s="39"/>
      <c r="P133" s="39"/>
      <c r="Q133" s="39"/>
      <c r="R133" s="39"/>
    </row>
    <row r="134" spans="1:18" ht="19.95" customHeight="1" x14ac:dyDescent="0.3">
      <c r="A134" s="39"/>
      <c r="B134" s="39"/>
      <c r="C134" s="39"/>
      <c r="D134" s="39"/>
      <c r="E134" s="39"/>
      <c r="F134" s="39"/>
      <c r="G134" s="39"/>
      <c r="H134" s="39"/>
      <c r="I134" s="39"/>
      <c r="J134" s="39"/>
      <c r="K134" s="39"/>
      <c r="L134" s="39"/>
      <c r="M134" s="39"/>
      <c r="N134" s="39"/>
      <c r="O134" s="39"/>
      <c r="P134" s="39"/>
      <c r="Q134" s="39"/>
      <c r="R134" s="39"/>
    </row>
    <row r="135" spans="1:18" ht="19.95" customHeight="1" x14ac:dyDescent="0.3">
      <c r="A135" s="39"/>
      <c r="B135" s="39"/>
      <c r="C135" s="39"/>
      <c r="D135" s="39"/>
      <c r="E135" s="39"/>
      <c r="F135" s="39"/>
      <c r="G135" s="39"/>
      <c r="H135" s="39"/>
      <c r="I135" s="39"/>
      <c r="J135" s="39"/>
      <c r="K135" s="39"/>
      <c r="L135" s="39"/>
      <c r="M135" s="39"/>
      <c r="N135" s="39"/>
      <c r="O135" s="39"/>
      <c r="P135" s="39"/>
      <c r="Q135" s="39"/>
      <c r="R135" s="39"/>
    </row>
    <row r="136" spans="1:18" ht="19.95" customHeight="1" x14ac:dyDescent="0.3">
      <c r="A136" s="39"/>
      <c r="B136" s="39"/>
      <c r="C136" s="39"/>
      <c r="D136" s="39"/>
      <c r="E136" s="39"/>
      <c r="F136" s="39"/>
      <c r="G136" s="39"/>
      <c r="H136" s="39"/>
      <c r="I136" s="39"/>
      <c r="J136" s="39"/>
      <c r="K136" s="39"/>
      <c r="L136" s="39"/>
      <c r="M136" s="39"/>
      <c r="N136" s="39"/>
      <c r="O136" s="39"/>
      <c r="P136" s="39"/>
      <c r="Q136" s="39"/>
      <c r="R136" s="39"/>
    </row>
    <row r="137" spans="1:18" ht="19.95" customHeight="1" x14ac:dyDescent="0.3">
      <c r="A137" s="39"/>
      <c r="B137" s="39"/>
      <c r="C137" s="39"/>
      <c r="D137" s="39"/>
      <c r="E137" s="39"/>
      <c r="F137" s="39"/>
      <c r="G137" s="39"/>
      <c r="H137" s="39"/>
      <c r="I137" s="39"/>
      <c r="J137" s="39"/>
      <c r="K137" s="39"/>
      <c r="L137" s="39"/>
      <c r="M137" s="39"/>
      <c r="N137" s="39"/>
      <c r="O137" s="39"/>
      <c r="P137" s="39"/>
      <c r="Q137" s="39"/>
      <c r="R137" s="39"/>
    </row>
    <row r="138" spans="1:18" ht="19.95" customHeight="1" x14ac:dyDescent="0.3">
      <c r="A138" s="39"/>
      <c r="B138" s="39"/>
      <c r="C138" s="39"/>
      <c r="D138" s="39"/>
      <c r="E138" s="39"/>
      <c r="F138" s="39"/>
      <c r="G138" s="39"/>
      <c r="H138" s="39"/>
      <c r="I138" s="39"/>
      <c r="J138" s="39"/>
      <c r="K138" s="39"/>
      <c r="L138" s="39"/>
      <c r="M138" s="39"/>
      <c r="N138" s="39"/>
      <c r="O138" s="39"/>
      <c r="P138" s="39"/>
      <c r="Q138" s="39"/>
      <c r="R138" s="39"/>
    </row>
    <row r="139" spans="1:18" ht="19.95" customHeight="1" x14ac:dyDescent="0.3">
      <c r="A139" s="39"/>
      <c r="B139" s="39"/>
      <c r="C139" s="39"/>
      <c r="D139" s="39"/>
      <c r="E139" s="39"/>
      <c r="F139" s="39"/>
      <c r="G139" s="39"/>
      <c r="H139" s="39"/>
      <c r="I139" s="39"/>
      <c r="J139" s="39"/>
      <c r="K139" s="39"/>
      <c r="L139" s="39"/>
      <c r="M139" s="39"/>
      <c r="N139" s="39"/>
      <c r="O139" s="39"/>
      <c r="P139" s="39"/>
      <c r="Q139" s="39"/>
      <c r="R139" s="39"/>
    </row>
    <row r="140" spans="1:18" ht="19.95" customHeight="1" x14ac:dyDescent="0.3">
      <c r="A140" s="39"/>
      <c r="B140" s="39"/>
      <c r="C140" s="39"/>
      <c r="D140" s="39"/>
      <c r="E140" s="39"/>
      <c r="F140" s="39"/>
      <c r="G140" s="39"/>
      <c r="H140" s="39"/>
      <c r="I140" s="39"/>
      <c r="J140" s="39"/>
      <c r="K140" s="39"/>
      <c r="L140" s="39"/>
      <c r="M140" s="39"/>
      <c r="N140" s="39"/>
      <c r="O140" s="39"/>
      <c r="P140" s="39"/>
      <c r="Q140" s="39"/>
      <c r="R140" s="39"/>
    </row>
    <row r="141" spans="1:18" ht="19.95" customHeight="1" x14ac:dyDescent="0.3">
      <c r="A141" s="39"/>
      <c r="B141" s="39"/>
      <c r="C141" s="39"/>
      <c r="D141" s="39"/>
      <c r="E141" s="39"/>
      <c r="F141" s="39"/>
      <c r="G141" s="39"/>
      <c r="H141" s="39"/>
      <c r="I141" s="39"/>
      <c r="J141" s="39"/>
      <c r="K141" s="39"/>
      <c r="L141" s="39"/>
      <c r="M141" s="39"/>
      <c r="N141" s="39"/>
      <c r="O141" s="39"/>
      <c r="P141" s="39"/>
      <c r="Q141" s="39"/>
      <c r="R141" s="39"/>
    </row>
    <row r="142" spans="1:18" ht="19.95" customHeight="1" x14ac:dyDescent="0.3">
      <c r="A142" s="39"/>
      <c r="B142" s="39"/>
      <c r="C142" s="39"/>
      <c r="D142" s="39"/>
      <c r="E142" s="39"/>
      <c r="F142" s="39"/>
      <c r="G142" s="39"/>
      <c r="H142" s="39"/>
      <c r="I142" s="39"/>
      <c r="J142" s="39"/>
      <c r="K142" s="39"/>
      <c r="L142" s="39"/>
      <c r="M142" s="39"/>
      <c r="N142" s="39"/>
      <c r="O142" s="39"/>
      <c r="P142" s="39"/>
      <c r="Q142" s="39"/>
      <c r="R142" s="39"/>
    </row>
    <row r="143" spans="1:18" ht="19.95" customHeight="1" x14ac:dyDescent="0.3">
      <c r="A143" s="39"/>
      <c r="B143" s="39"/>
      <c r="C143" s="39"/>
      <c r="D143" s="39"/>
      <c r="E143" s="39"/>
      <c r="F143" s="39"/>
      <c r="G143" s="39"/>
      <c r="H143" s="39"/>
      <c r="I143" s="39"/>
      <c r="J143" s="39"/>
      <c r="K143" s="39"/>
      <c r="L143" s="39"/>
      <c r="M143" s="39"/>
      <c r="N143" s="39"/>
      <c r="O143" s="39"/>
      <c r="P143" s="39"/>
      <c r="Q143" s="39"/>
      <c r="R143" s="39"/>
    </row>
    <row r="144" spans="1:18" ht="19.95" customHeight="1" x14ac:dyDescent="0.3">
      <c r="A144" s="39"/>
      <c r="B144" s="39"/>
      <c r="C144" s="39"/>
      <c r="D144" s="39"/>
      <c r="E144" s="39"/>
      <c r="F144" s="39"/>
      <c r="G144" s="39"/>
      <c r="H144" s="39"/>
      <c r="I144" s="39"/>
      <c r="J144" s="39"/>
      <c r="K144" s="39"/>
      <c r="L144" s="39"/>
      <c r="M144" s="39"/>
      <c r="N144" s="39"/>
      <c r="O144" s="39"/>
      <c r="P144" s="39"/>
      <c r="Q144" s="39"/>
      <c r="R144" s="39"/>
    </row>
    <row r="145" spans="1:18" ht="19.95" customHeight="1" x14ac:dyDescent="0.3">
      <c r="A145" s="39"/>
      <c r="B145" s="39"/>
      <c r="C145" s="39"/>
      <c r="D145" s="39"/>
      <c r="E145" s="39"/>
      <c r="F145" s="39"/>
      <c r="G145" s="39"/>
      <c r="H145" s="39"/>
      <c r="I145" s="39"/>
      <c r="J145" s="39"/>
      <c r="K145" s="39"/>
      <c r="L145" s="39"/>
      <c r="M145" s="39"/>
      <c r="N145" s="39"/>
      <c r="O145" s="39"/>
      <c r="P145" s="39"/>
      <c r="Q145" s="39"/>
      <c r="R145" s="39"/>
    </row>
    <row r="146" spans="1:18" ht="19.95" customHeight="1" x14ac:dyDescent="0.3">
      <c r="A146" s="39"/>
      <c r="B146" s="39"/>
      <c r="C146" s="39"/>
      <c r="D146" s="39"/>
      <c r="E146" s="39"/>
      <c r="F146" s="39"/>
      <c r="G146" s="39"/>
      <c r="H146" s="39"/>
      <c r="I146" s="39"/>
      <c r="J146" s="39"/>
      <c r="K146" s="39"/>
      <c r="L146" s="39"/>
      <c r="M146" s="39"/>
      <c r="N146" s="39"/>
      <c r="O146" s="39"/>
      <c r="P146" s="39"/>
      <c r="Q146" s="39"/>
      <c r="R146" s="39"/>
    </row>
    <row r="147" spans="1:18" ht="19.95" customHeight="1" x14ac:dyDescent="0.3">
      <c r="A147" s="39"/>
      <c r="B147" s="39"/>
      <c r="C147" s="39"/>
      <c r="D147" s="39"/>
      <c r="E147" s="39"/>
      <c r="F147" s="39"/>
      <c r="G147" s="39"/>
      <c r="H147" s="39"/>
      <c r="I147" s="39"/>
      <c r="J147" s="39"/>
      <c r="K147" s="39"/>
      <c r="L147" s="39"/>
      <c r="M147" s="39"/>
      <c r="N147" s="39"/>
      <c r="O147" s="39"/>
      <c r="P147" s="39"/>
      <c r="Q147" s="39"/>
      <c r="R147" s="39"/>
    </row>
    <row r="148" spans="1:18" ht="19.95" customHeight="1" x14ac:dyDescent="0.3">
      <c r="A148" s="39"/>
      <c r="B148" s="39"/>
      <c r="C148" s="39"/>
      <c r="D148" s="39"/>
      <c r="E148" s="39"/>
      <c r="F148" s="39"/>
      <c r="G148" s="39"/>
      <c r="H148" s="39"/>
      <c r="I148" s="39"/>
      <c r="J148" s="39"/>
      <c r="K148" s="39"/>
      <c r="L148" s="39"/>
      <c r="M148" s="39"/>
      <c r="N148" s="39"/>
      <c r="O148" s="39"/>
      <c r="P148" s="39"/>
      <c r="Q148" s="39"/>
      <c r="R148" s="39"/>
    </row>
    <row r="149" spans="1:18" ht="19.95" customHeight="1" x14ac:dyDescent="0.3">
      <c r="A149" s="39"/>
      <c r="B149" s="39"/>
      <c r="C149" s="39"/>
      <c r="D149" s="39"/>
      <c r="E149" s="39"/>
      <c r="F149" s="39"/>
      <c r="G149" s="39"/>
      <c r="H149" s="39"/>
      <c r="I149" s="39"/>
      <c r="J149" s="39"/>
      <c r="K149" s="39"/>
      <c r="L149" s="39"/>
      <c r="M149" s="39"/>
      <c r="N149" s="39"/>
      <c r="O149" s="39"/>
      <c r="P149" s="39"/>
      <c r="Q149" s="39"/>
      <c r="R149" s="39"/>
    </row>
    <row r="150" spans="1:18" ht="19.95" customHeight="1" x14ac:dyDescent="0.3">
      <c r="A150" s="39"/>
      <c r="B150" s="39"/>
      <c r="C150" s="39"/>
      <c r="D150" s="39"/>
      <c r="E150" s="39"/>
      <c r="F150" s="39"/>
      <c r="G150" s="39"/>
      <c r="H150" s="39"/>
      <c r="I150" s="39"/>
      <c r="J150" s="39"/>
      <c r="K150" s="39"/>
      <c r="L150" s="39"/>
      <c r="M150" s="39"/>
      <c r="N150" s="39"/>
      <c r="O150" s="39"/>
      <c r="P150" s="39"/>
      <c r="Q150" s="39"/>
      <c r="R150" s="39"/>
    </row>
    <row r="151" spans="1:18" ht="19.95" customHeight="1" x14ac:dyDescent="0.3">
      <c r="A151" s="39"/>
      <c r="B151" s="39"/>
      <c r="C151" s="39"/>
      <c r="D151" s="39"/>
      <c r="E151" s="39"/>
      <c r="F151" s="39"/>
      <c r="G151" s="39"/>
      <c r="H151" s="39"/>
      <c r="I151" s="39"/>
      <c r="J151" s="39"/>
      <c r="K151" s="39"/>
      <c r="L151" s="39"/>
      <c r="M151" s="39"/>
      <c r="N151" s="39"/>
      <c r="O151" s="39"/>
      <c r="P151" s="39"/>
      <c r="Q151" s="39"/>
      <c r="R151" s="39"/>
    </row>
    <row r="152" spans="1:18" ht="19.95" customHeight="1" x14ac:dyDescent="0.3">
      <c r="A152" s="39"/>
      <c r="B152" s="39"/>
      <c r="C152" s="39"/>
      <c r="D152" s="39"/>
      <c r="E152" s="39"/>
      <c r="F152" s="39"/>
      <c r="G152" s="39"/>
      <c r="H152" s="39"/>
      <c r="I152" s="39"/>
      <c r="J152" s="39"/>
      <c r="K152" s="39"/>
      <c r="L152" s="39"/>
      <c r="M152" s="39"/>
      <c r="N152" s="39"/>
      <c r="O152" s="39"/>
      <c r="P152" s="39"/>
      <c r="Q152" s="39"/>
      <c r="R152" s="39"/>
    </row>
    <row r="153" spans="1:18" ht="19.95" customHeight="1" x14ac:dyDescent="0.3">
      <c r="A153" s="39"/>
      <c r="B153" s="39"/>
      <c r="C153" s="39"/>
      <c r="D153" s="39"/>
      <c r="E153" s="39"/>
      <c r="F153" s="39"/>
      <c r="G153" s="39"/>
      <c r="H153" s="39"/>
      <c r="I153" s="39"/>
      <c r="J153" s="39"/>
      <c r="K153" s="39"/>
      <c r="L153" s="39"/>
      <c r="M153" s="39"/>
      <c r="N153" s="39"/>
      <c r="O153" s="39"/>
      <c r="P153" s="39"/>
      <c r="Q153" s="39"/>
      <c r="R153" s="39"/>
    </row>
    <row r="154" spans="1:18" ht="19.95" customHeight="1" x14ac:dyDescent="0.3">
      <c r="A154" s="39"/>
      <c r="B154" s="39"/>
      <c r="C154" s="39"/>
      <c r="D154" s="39"/>
      <c r="E154" s="39"/>
      <c r="F154" s="39"/>
      <c r="G154" s="39"/>
      <c r="H154" s="39"/>
      <c r="I154" s="39"/>
      <c r="J154" s="39"/>
      <c r="K154" s="39"/>
      <c r="L154" s="39"/>
      <c r="M154" s="39"/>
      <c r="N154" s="39"/>
      <c r="O154" s="39"/>
      <c r="P154" s="39"/>
      <c r="Q154" s="39"/>
      <c r="R154" s="39"/>
    </row>
    <row r="155" spans="1:18" ht="19.95" customHeight="1" x14ac:dyDescent="0.3">
      <c r="A155" s="39"/>
      <c r="B155" s="39"/>
      <c r="C155" s="39"/>
      <c r="D155" s="39"/>
      <c r="E155" s="39"/>
      <c r="F155" s="39"/>
      <c r="G155" s="39"/>
      <c r="H155" s="39"/>
      <c r="I155" s="39"/>
      <c r="J155" s="39"/>
      <c r="K155" s="39"/>
      <c r="L155" s="39"/>
      <c r="M155" s="39"/>
      <c r="N155" s="39"/>
      <c r="O155" s="39"/>
      <c r="P155" s="39"/>
      <c r="Q155" s="39"/>
      <c r="R155" s="39"/>
    </row>
    <row r="156" spans="1:18" ht="19.95" customHeight="1" x14ac:dyDescent="0.3">
      <c r="A156" s="39"/>
      <c r="B156" s="39"/>
      <c r="C156" s="39"/>
      <c r="D156" s="39"/>
      <c r="E156" s="39"/>
      <c r="F156" s="39"/>
      <c r="G156" s="39"/>
      <c r="H156" s="39"/>
      <c r="I156" s="39"/>
      <c r="J156" s="39"/>
      <c r="K156" s="39"/>
      <c r="L156" s="39"/>
      <c r="M156" s="39"/>
      <c r="N156" s="39"/>
      <c r="O156" s="39"/>
      <c r="P156" s="39"/>
      <c r="Q156" s="39"/>
      <c r="R156" s="39"/>
    </row>
    <row r="157" spans="1:18" ht="19.95" customHeight="1" x14ac:dyDescent="0.3">
      <c r="A157" s="39"/>
      <c r="B157" s="39"/>
      <c r="C157" s="39"/>
      <c r="D157" s="39"/>
      <c r="E157" s="39"/>
      <c r="F157" s="39"/>
      <c r="G157" s="39"/>
      <c r="H157" s="39"/>
      <c r="I157" s="39"/>
      <c r="J157" s="39"/>
      <c r="K157" s="39"/>
      <c r="L157" s="39"/>
      <c r="M157" s="39"/>
      <c r="N157" s="39"/>
      <c r="O157" s="39"/>
      <c r="P157" s="39"/>
      <c r="Q157" s="39"/>
      <c r="R157" s="39"/>
    </row>
    <row r="158" spans="1:18" ht="19.95" customHeight="1" x14ac:dyDescent="0.3">
      <c r="A158" s="39"/>
      <c r="B158" s="39"/>
      <c r="C158" s="39"/>
      <c r="D158" s="39"/>
      <c r="E158" s="39"/>
      <c r="F158" s="39"/>
      <c r="G158" s="39"/>
      <c r="H158" s="39"/>
      <c r="I158" s="39"/>
      <c r="J158" s="39"/>
      <c r="K158" s="39"/>
      <c r="L158" s="39"/>
      <c r="M158" s="39"/>
      <c r="N158" s="39"/>
      <c r="O158" s="39"/>
      <c r="P158" s="39"/>
      <c r="Q158" s="39"/>
      <c r="R158" s="39"/>
    </row>
    <row r="159" spans="1:18" ht="19.95" customHeight="1" x14ac:dyDescent="0.3">
      <c r="A159" s="39"/>
      <c r="B159" s="39"/>
      <c r="C159" s="39"/>
      <c r="D159" s="39"/>
      <c r="E159" s="39"/>
      <c r="F159" s="39"/>
      <c r="G159" s="39"/>
      <c r="H159" s="39"/>
      <c r="I159" s="39"/>
      <c r="J159" s="39"/>
      <c r="K159" s="39"/>
      <c r="L159" s="39"/>
      <c r="M159" s="39"/>
      <c r="N159" s="39"/>
      <c r="O159" s="39"/>
      <c r="P159" s="39"/>
      <c r="Q159" s="39"/>
      <c r="R159" s="39"/>
    </row>
    <row r="160" spans="1:18" ht="19.95" customHeight="1" x14ac:dyDescent="0.3">
      <c r="A160" s="39"/>
      <c r="B160" s="39"/>
      <c r="C160" s="39"/>
      <c r="D160" s="39"/>
      <c r="E160" s="39"/>
      <c r="F160" s="39"/>
      <c r="G160" s="39"/>
      <c r="H160" s="39"/>
      <c r="I160" s="39"/>
      <c r="J160" s="39"/>
      <c r="K160" s="39"/>
      <c r="L160" s="39"/>
      <c r="M160" s="39"/>
      <c r="N160" s="39"/>
      <c r="O160" s="39"/>
      <c r="P160" s="39"/>
      <c r="Q160" s="39"/>
      <c r="R160" s="39"/>
    </row>
    <row r="161" spans="1:18" ht="19.95" customHeight="1" x14ac:dyDescent="0.3">
      <c r="A161" s="39"/>
      <c r="B161" s="39"/>
      <c r="C161" s="39"/>
      <c r="D161" s="39"/>
      <c r="E161" s="39"/>
      <c r="F161" s="39"/>
      <c r="G161" s="39"/>
      <c r="H161" s="39"/>
      <c r="I161" s="39"/>
      <c r="J161" s="39"/>
      <c r="K161" s="39"/>
      <c r="L161" s="39"/>
      <c r="M161" s="39"/>
      <c r="N161" s="39"/>
      <c r="O161" s="39"/>
      <c r="P161" s="39"/>
      <c r="Q161" s="39"/>
      <c r="R161" s="39"/>
    </row>
    <row r="162" spans="1:18" ht="19.95" customHeight="1" x14ac:dyDescent="0.3">
      <c r="A162" s="39"/>
      <c r="B162" s="39"/>
      <c r="C162" s="39"/>
      <c r="D162" s="39"/>
      <c r="E162" s="39"/>
      <c r="F162" s="39"/>
      <c r="G162" s="39"/>
      <c r="H162" s="39"/>
      <c r="I162" s="39"/>
      <c r="J162" s="39"/>
      <c r="K162" s="39"/>
      <c r="L162" s="39"/>
      <c r="M162" s="39"/>
      <c r="N162" s="39"/>
      <c r="O162" s="39"/>
      <c r="P162" s="39"/>
      <c r="Q162" s="39"/>
      <c r="R162" s="39"/>
    </row>
    <row r="163" spans="1:18" ht="19.95" customHeight="1" x14ac:dyDescent="0.3">
      <c r="A163" s="39"/>
      <c r="B163" s="39"/>
      <c r="C163" s="39"/>
      <c r="D163" s="39"/>
      <c r="E163" s="39"/>
      <c r="F163" s="39"/>
      <c r="G163" s="39"/>
      <c r="H163" s="39"/>
      <c r="I163" s="39"/>
      <c r="J163" s="39"/>
      <c r="K163" s="39"/>
      <c r="L163" s="39"/>
      <c r="M163" s="39"/>
      <c r="N163" s="39"/>
      <c r="O163" s="39"/>
      <c r="P163" s="39"/>
      <c r="Q163" s="39"/>
      <c r="R163" s="39"/>
    </row>
    <row r="164" spans="1:18" ht="19.95" customHeight="1" x14ac:dyDescent="0.3">
      <c r="A164" s="39"/>
      <c r="B164" s="39"/>
      <c r="C164" s="39"/>
      <c r="D164" s="39"/>
      <c r="E164" s="39"/>
      <c r="F164" s="39"/>
      <c r="G164" s="39"/>
      <c r="H164" s="39"/>
      <c r="I164" s="39"/>
      <c r="J164" s="39"/>
      <c r="K164" s="39"/>
      <c r="L164" s="39"/>
      <c r="M164" s="39"/>
      <c r="N164" s="39"/>
      <c r="O164" s="39"/>
      <c r="P164" s="39"/>
      <c r="Q164" s="39"/>
      <c r="R164" s="39"/>
    </row>
    <row r="165" spans="1:18" ht="19.95" customHeight="1" x14ac:dyDescent="0.3">
      <c r="A165" s="39"/>
      <c r="B165" s="39"/>
      <c r="C165" s="39"/>
      <c r="D165" s="39"/>
      <c r="E165" s="39"/>
      <c r="F165" s="39"/>
      <c r="G165" s="39"/>
      <c r="H165" s="39"/>
      <c r="I165" s="39"/>
      <c r="J165" s="39"/>
      <c r="K165" s="39"/>
      <c r="L165" s="39"/>
      <c r="M165" s="39"/>
      <c r="N165" s="39"/>
      <c r="O165" s="39"/>
      <c r="P165" s="39"/>
      <c r="Q165" s="39"/>
      <c r="R165" s="39"/>
    </row>
    <row r="166" spans="1:18" ht="19.95" customHeight="1" x14ac:dyDescent="0.3">
      <c r="A166" s="39"/>
      <c r="B166" s="39"/>
      <c r="C166" s="39"/>
      <c r="D166" s="39"/>
      <c r="E166" s="39"/>
      <c r="F166" s="39"/>
      <c r="G166" s="39"/>
      <c r="H166" s="39"/>
      <c r="I166" s="39"/>
      <c r="J166" s="39"/>
      <c r="K166" s="39"/>
      <c r="L166" s="39"/>
      <c r="M166" s="39"/>
      <c r="N166" s="39"/>
      <c r="O166" s="39"/>
      <c r="P166" s="39"/>
      <c r="Q166" s="39"/>
      <c r="R166" s="39"/>
    </row>
    <row r="167" spans="1:18" ht="19.95" customHeight="1" x14ac:dyDescent="0.3">
      <c r="A167" s="39"/>
      <c r="B167" s="39"/>
      <c r="C167" s="39"/>
      <c r="D167" s="39"/>
      <c r="E167" s="39"/>
      <c r="F167" s="39"/>
      <c r="G167" s="39"/>
      <c r="H167" s="39"/>
      <c r="I167" s="39"/>
      <c r="J167" s="39"/>
      <c r="K167" s="39"/>
      <c r="L167" s="39"/>
      <c r="M167" s="39"/>
      <c r="N167" s="39"/>
      <c r="O167" s="39"/>
      <c r="P167" s="39"/>
      <c r="Q167" s="39"/>
      <c r="R167" s="39"/>
    </row>
    <row r="168" spans="1:18" ht="19.95" customHeight="1" x14ac:dyDescent="0.3">
      <c r="A168" s="39"/>
      <c r="B168" s="39"/>
      <c r="C168" s="39"/>
      <c r="D168" s="39"/>
      <c r="E168" s="39"/>
      <c r="F168" s="39"/>
      <c r="G168" s="39"/>
      <c r="H168" s="39"/>
      <c r="I168" s="39"/>
      <c r="J168" s="39"/>
      <c r="K168" s="39"/>
      <c r="L168" s="39"/>
      <c r="M168" s="39"/>
      <c r="N168" s="39"/>
      <c r="O168" s="39"/>
      <c r="P168" s="39"/>
      <c r="Q168" s="39"/>
      <c r="R168" s="39"/>
    </row>
    <row r="169" spans="1:18" ht="19.95" customHeight="1" x14ac:dyDescent="0.3">
      <c r="A169" s="39"/>
      <c r="B169" s="39"/>
      <c r="C169" s="39"/>
      <c r="D169" s="39"/>
      <c r="E169" s="39"/>
      <c r="F169" s="39"/>
      <c r="G169" s="39"/>
      <c r="H169" s="39"/>
      <c r="I169" s="39"/>
      <c r="J169" s="39"/>
      <c r="K169" s="39"/>
      <c r="L169" s="39"/>
      <c r="M169" s="39"/>
      <c r="N169" s="39"/>
      <c r="O169" s="39"/>
      <c r="P169" s="39"/>
      <c r="Q169" s="39"/>
      <c r="R169" s="39"/>
    </row>
    <row r="170" spans="1:18" ht="19.95" customHeight="1" x14ac:dyDescent="0.3">
      <c r="A170" s="39"/>
      <c r="B170" s="39"/>
      <c r="C170" s="39"/>
      <c r="D170" s="39"/>
      <c r="E170" s="39"/>
      <c r="F170" s="39"/>
      <c r="G170" s="39"/>
      <c r="H170" s="39"/>
      <c r="I170" s="39"/>
      <c r="J170" s="39"/>
      <c r="K170" s="39"/>
      <c r="L170" s="39"/>
      <c r="M170" s="39"/>
      <c r="N170" s="39"/>
      <c r="O170" s="39"/>
      <c r="P170" s="39"/>
      <c r="Q170" s="39"/>
      <c r="R170" s="39"/>
    </row>
    <row r="171" spans="1:18" ht="19.95" customHeight="1" x14ac:dyDescent="0.3">
      <c r="A171" s="39"/>
      <c r="B171" s="39"/>
      <c r="C171" s="39"/>
      <c r="D171" s="39"/>
      <c r="E171" s="39"/>
      <c r="F171" s="39"/>
      <c r="G171" s="39"/>
      <c r="H171" s="39"/>
      <c r="I171" s="39"/>
      <c r="J171" s="39"/>
      <c r="K171" s="39"/>
      <c r="L171" s="39"/>
      <c r="M171" s="39"/>
      <c r="N171" s="39"/>
      <c r="O171" s="39"/>
      <c r="P171" s="39"/>
      <c r="Q171" s="39"/>
      <c r="R171" s="39"/>
    </row>
    <row r="172" spans="1:18" ht="19.95" customHeight="1" x14ac:dyDescent="0.3">
      <c r="A172" s="39"/>
      <c r="B172" s="39"/>
      <c r="C172" s="39"/>
      <c r="D172" s="39"/>
      <c r="E172" s="39"/>
      <c r="F172" s="39"/>
      <c r="G172" s="39"/>
      <c r="H172" s="39"/>
      <c r="I172" s="39"/>
      <c r="J172" s="39"/>
      <c r="K172" s="39"/>
      <c r="L172" s="39"/>
      <c r="M172" s="39"/>
      <c r="N172" s="39"/>
      <c r="O172" s="39"/>
      <c r="P172" s="39"/>
      <c r="Q172" s="39"/>
      <c r="R172" s="39"/>
    </row>
    <row r="173" spans="1:18" ht="19.95" customHeight="1" x14ac:dyDescent="0.3">
      <c r="A173" s="39"/>
      <c r="B173" s="39"/>
      <c r="C173" s="39"/>
      <c r="D173" s="39"/>
      <c r="E173" s="39"/>
      <c r="F173" s="39"/>
      <c r="G173" s="39"/>
      <c r="H173" s="39"/>
      <c r="I173" s="39"/>
      <c r="J173" s="39"/>
      <c r="K173" s="39"/>
      <c r="L173" s="39"/>
      <c r="M173" s="39"/>
      <c r="N173" s="39"/>
      <c r="O173" s="39"/>
      <c r="P173" s="39"/>
      <c r="Q173" s="39"/>
      <c r="R173" s="39"/>
    </row>
    <row r="174" spans="1:18" ht="19.95" customHeight="1" x14ac:dyDescent="0.3">
      <c r="A174" s="39"/>
      <c r="B174" s="39"/>
      <c r="C174" s="39"/>
      <c r="D174" s="39"/>
      <c r="E174" s="39"/>
      <c r="F174" s="39"/>
      <c r="G174" s="39"/>
      <c r="H174" s="39"/>
      <c r="I174" s="39"/>
      <c r="J174" s="39"/>
      <c r="K174" s="39"/>
      <c r="L174" s="39"/>
      <c r="M174" s="39"/>
      <c r="N174" s="39"/>
      <c r="O174" s="39"/>
      <c r="P174" s="39"/>
      <c r="Q174" s="39"/>
      <c r="R174" s="39"/>
    </row>
    <row r="175" spans="1:18" ht="19.95" customHeight="1" x14ac:dyDescent="0.3">
      <c r="A175" s="39"/>
      <c r="B175" s="39"/>
      <c r="C175" s="39"/>
      <c r="D175" s="39"/>
      <c r="E175" s="39"/>
      <c r="F175" s="39"/>
      <c r="G175" s="39"/>
      <c r="H175" s="39"/>
      <c r="I175" s="39"/>
      <c r="J175" s="39"/>
      <c r="K175" s="39"/>
      <c r="L175" s="39"/>
      <c r="M175" s="39"/>
      <c r="N175" s="39"/>
      <c r="O175" s="39"/>
      <c r="P175" s="39"/>
      <c r="Q175" s="39"/>
      <c r="R175" s="39"/>
    </row>
    <row r="176" spans="1:18" ht="19.95" customHeight="1" x14ac:dyDescent="0.3">
      <c r="A176" s="39"/>
      <c r="B176" s="39"/>
      <c r="C176" s="39"/>
      <c r="D176" s="39"/>
      <c r="E176" s="39"/>
      <c r="F176" s="39"/>
      <c r="G176" s="39"/>
      <c r="H176" s="39"/>
      <c r="I176" s="39"/>
      <c r="J176" s="39"/>
      <c r="K176" s="39"/>
      <c r="L176" s="39"/>
      <c r="M176" s="39"/>
      <c r="N176" s="39"/>
      <c r="O176" s="39"/>
      <c r="P176" s="39"/>
      <c r="Q176" s="39"/>
      <c r="R176" s="39"/>
    </row>
    <row r="177" spans="1:18" ht="19.95" customHeight="1" x14ac:dyDescent="0.3">
      <c r="A177" s="39"/>
      <c r="B177" s="39"/>
      <c r="C177" s="39"/>
      <c r="D177" s="39"/>
      <c r="E177" s="39"/>
      <c r="F177" s="39"/>
      <c r="G177" s="39"/>
      <c r="H177" s="39"/>
      <c r="I177" s="39"/>
      <c r="J177" s="39"/>
      <c r="K177" s="39"/>
      <c r="L177" s="39"/>
      <c r="M177" s="39"/>
      <c r="N177" s="39"/>
      <c r="O177" s="39"/>
      <c r="P177" s="39"/>
      <c r="Q177" s="39"/>
      <c r="R177" s="39"/>
    </row>
    <row r="178" spans="1:18" ht="19.95" customHeight="1" x14ac:dyDescent="0.3">
      <c r="A178" s="39"/>
      <c r="B178" s="39"/>
      <c r="C178" s="39"/>
      <c r="D178" s="39"/>
      <c r="E178" s="39"/>
      <c r="F178" s="39"/>
      <c r="G178" s="39"/>
      <c r="H178" s="39"/>
      <c r="I178" s="39"/>
      <c r="J178" s="39"/>
      <c r="K178" s="39"/>
      <c r="L178" s="39"/>
      <c r="M178" s="39"/>
      <c r="N178" s="39"/>
      <c r="O178" s="39"/>
      <c r="P178" s="39"/>
      <c r="Q178" s="39"/>
      <c r="R178" s="39"/>
    </row>
    <row r="179" spans="1:18" ht="19.95" customHeight="1" x14ac:dyDescent="0.3">
      <c r="A179" s="39"/>
      <c r="B179" s="39"/>
      <c r="C179" s="39"/>
      <c r="D179" s="39"/>
      <c r="E179" s="39"/>
      <c r="F179" s="39"/>
      <c r="G179" s="39"/>
      <c r="H179" s="39"/>
      <c r="I179" s="39"/>
      <c r="J179" s="39"/>
      <c r="K179" s="39"/>
      <c r="L179" s="39"/>
      <c r="M179" s="39"/>
      <c r="N179" s="39"/>
      <c r="O179" s="39"/>
      <c r="P179" s="39"/>
      <c r="Q179" s="39"/>
      <c r="R179" s="39"/>
    </row>
    <row r="180" spans="1:18" ht="19.95" customHeight="1" x14ac:dyDescent="0.3">
      <c r="A180" s="39"/>
      <c r="B180" s="39"/>
      <c r="C180" s="39"/>
      <c r="D180" s="39"/>
      <c r="E180" s="39"/>
      <c r="F180" s="39"/>
      <c r="G180" s="39"/>
      <c r="H180" s="39"/>
      <c r="I180" s="39"/>
      <c r="J180" s="39"/>
      <c r="K180" s="39"/>
      <c r="L180" s="39"/>
      <c r="M180" s="39"/>
      <c r="N180" s="39"/>
      <c r="O180" s="39"/>
      <c r="P180" s="39"/>
      <c r="Q180" s="39"/>
      <c r="R180" s="39"/>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Overview</vt:lpstr>
      <vt:lpstr>KOHC</vt:lpstr>
      <vt:lpstr>LUCK</vt:lpstr>
      <vt:lpstr>DGKC</vt:lpstr>
      <vt:lpstr>MLCF</vt:lpstr>
      <vt:lpstr>FCCL</vt:lpstr>
      <vt:lpstr>Industry Averages</vt:lpstr>
      <vt:lpstr>Charts</vt:lpstr>
      <vt:lpstr>DGKC!Print_Area</vt:lpstr>
      <vt:lpstr>FCCL!Print_Area</vt:lpstr>
      <vt:lpstr>'Industry Averages'!Print_Area</vt:lpstr>
      <vt:lpstr>KOHC!Print_Area</vt:lpstr>
      <vt:lpstr>LUCK!Print_Area</vt:lpstr>
      <vt:lpstr>MLCF!Print_Area</vt:lpstr>
      <vt:lpstr>Overview!Print_Area</vt:lpstr>
      <vt:lpstr>'Industry Averages'!Print_Titles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Raahin Tajuddin</cp:lastModifiedBy>
  <dcterms:modified xsi:type="dcterms:W3CDTF">2026-10-24T10:19:58Z</dcterms:modified>
</cp:coreProperties>
</file>