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snwa\Documents\Codex\2026-10-22\mandatory-historical-share-price-verification-using\outputs\note-cleanup\"/>
    </mc:Choice>
  </mc:AlternateContent>
  <xr:revisionPtr revIDLastSave="0" documentId="13_ncr:1_{33556B71-AAAC-4D44-B32E-5EE1BE9295EC}" xr6:coauthVersionLast="47" xr6:coauthVersionMax="47" xr10:uidLastSave="{00000000-0000-0000-0000-000000000000}"/>
  <bookViews>
    <workbookView xWindow="-108" yWindow="-108" windowWidth="23256" windowHeight="13896" xr2:uid="{00000000-000D-0000-FFFF-FFFF00000000}"/>
  </bookViews>
  <sheets>
    <sheet name="Overview" sheetId="1" r:id="rId1"/>
    <sheet name="KOHC" sheetId="2" r:id="rId2"/>
    <sheet name="LUCK" sheetId="3" r:id="rId3"/>
    <sheet name="DGKC" sheetId="4" r:id="rId4"/>
    <sheet name="MLCF" sheetId="5" r:id="rId5"/>
    <sheet name="FCCL" sheetId="6" r:id="rId6"/>
    <sheet name="Industry Averages" sheetId="7" r:id="rId7"/>
    <sheet name="Charts" sheetId="8" r:id="rId8"/>
  </sheets>
  <definedNames>
    <definedName name="_xlnm.Print_Area" localSheetId="7">Charts!$A$1:$S$626</definedName>
    <definedName name="_xlnm.Print_Area" localSheetId="3">DGKC!$A$1:$H$162</definedName>
    <definedName name="_xlnm.Print_Area" localSheetId="5">FCCL!$A$1:$H$162</definedName>
    <definedName name="_xlnm.Print_Area" localSheetId="6">'Industry Averages'!$A$1:$H$226</definedName>
    <definedName name="_xlnm.Print_Area" localSheetId="1">KOHC!$A$1:$H$162</definedName>
    <definedName name="_xlnm.Print_Area" localSheetId="2">LUCK!$A$1:$H$162</definedName>
    <definedName name="_xlnm.Print_Area" localSheetId="4">MLCF!$A$1:$H$159</definedName>
    <definedName name="_xlnm.Print_Area" localSheetId="0">Overview!$A$1:$G$51</definedName>
    <definedName name="_xlnm.Print_Titles" localSheetId="7">Charts!$1:$3</definedName>
    <definedName name="_xlnm.Print_Titles" localSheetId="6">'Industry Averages'!$1:$4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8" i="6" l="1"/>
  <c r="G158" i="6"/>
  <c r="F158" i="6"/>
  <c r="E158" i="6"/>
  <c r="D158" i="6"/>
  <c r="H157" i="6"/>
  <c r="G157" i="6"/>
  <c r="F157" i="6"/>
  <c r="E157" i="6"/>
  <c r="D157" i="6"/>
  <c r="H140" i="6"/>
  <c r="G140" i="6"/>
  <c r="F140" i="6"/>
  <c r="E140" i="6"/>
  <c r="D140" i="6"/>
  <c r="D128" i="6"/>
  <c r="H125" i="6"/>
  <c r="G125" i="6"/>
  <c r="F125" i="6"/>
  <c r="E125" i="6"/>
  <c r="D125" i="6"/>
  <c r="H124" i="6"/>
  <c r="G124" i="6"/>
  <c r="F124" i="6"/>
  <c r="E124" i="6"/>
  <c r="D124" i="6"/>
  <c r="H120" i="6"/>
  <c r="G120" i="6"/>
  <c r="F120" i="6"/>
  <c r="E120" i="6"/>
  <c r="D120" i="6"/>
  <c r="H119" i="6"/>
  <c r="G119" i="6"/>
  <c r="F119" i="6"/>
  <c r="E119" i="6"/>
  <c r="D119" i="6"/>
  <c r="H118" i="6"/>
  <c r="G118" i="6"/>
  <c r="F118" i="6"/>
  <c r="E118" i="6"/>
  <c r="D118" i="6"/>
  <c r="H117" i="6"/>
  <c r="G117" i="6"/>
  <c r="F117" i="6"/>
  <c r="E117" i="6"/>
  <c r="D117" i="6"/>
  <c r="H116" i="6"/>
  <c r="G116" i="6"/>
  <c r="F116" i="6"/>
  <c r="E116" i="6"/>
  <c r="D116" i="6"/>
  <c r="H114" i="6"/>
  <c r="G114" i="6"/>
  <c r="F114" i="6"/>
  <c r="E114" i="6"/>
  <c r="D114" i="6"/>
  <c r="H113" i="6"/>
  <c r="G113" i="6"/>
  <c r="F113" i="6"/>
  <c r="E113" i="6"/>
  <c r="D113" i="6"/>
  <c r="H112" i="6"/>
  <c r="G112" i="6"/>
  <c r="H103" i="6"/>
  <c r="G103" i="6"/>
  <c r="F103" i="6"/>
  <c r="E103" i="6"/>
  <c r="D103" i="6"/>
  <c r="H85" i="6"/>
  <c r="G85" i="6"/>
  <c r="F85" i="6"/>
  <c r="E85" i="6"/>
  <c r="D85" i="6"/>
  <c r="I66" i="6"/>
  <c r="I71" i="6" s="1"/>
  <c r="I76" i="6" s="1"/>
  <c r="H66" i="6"/>
  <c r="G66" i="6"/>
  <c r="F66" i="6"/>
  <c r="E66" i="6"/>
  <c r="D66" i="6"/>
  <c r="D71" i="6" s="1"/>
  <c r="D76" i="6" s="1"/>
  <c r="I56" i="6"/>
  <c r="H56" i="6"/>
  <c r="G56" i="6"/>
  <c r="F56" i="6"/>
  <c r="E56" i="6"/>
  <c r="D56" i="6"/>
  <c r="I55" i="6"/>
  <c r="I58" i="6" s="1"/>
  <c r="H55" i="6"/>
  <c r="H58" i="6" s="1"/>
  <c r="G55" i="6"/>
  <c r="G58" i="6" s="1"/>
  <c r="F55" i="6"/>
  <c r="F58" i="6" s="1"/>
  <c r="E55" i="6"/>
  <c r="E58" i="6" s="1"/>
  <c r="D55" i="6"/>
  <c r="D58" i="6" s="1"/>
  <c r="I54" i="6"/>
  <c r="H54" i="6"/>
  <c r="G54" i="6"/>
  <c r="F54" i="6"/>
  <c r="E54" i="6"/>
  <c r="D54" i="6"/>
  <c r="I53" i="6"/>
  <c r="H53" i="6"/>
  <c r="G53" i="6"/>
  <c r="F53" i="6"/>
  <c r="E53" i="6"/>
  <c r="D53" i="6"/>
  <c r="I48" i="6"/>
  <c r="I60" i="6" s="1"/>
  <c r="H48" i="6"/>
  <c r="H60" i="6" s="1"/>
  <c r="G48" i="6"/>
  <c r="G60" i="6" s="1"/>
  <c r="F48" i="6"/>
  <c r="F60" i="6" s="1"/>
  <c r="E48" i="6"/>
  <c r="E60" i="6" s="1"/>
  <c r="D48" i="6"/>
  <c r="D60" i="6" s="1"/>
  <c r="I36" i="6"/>
  <c r="H36" i="6"/>
  <c r="G36" i="6"/>
  <c r="F36" i="6"/>
  <c r="E36" i="6"/>
  <c r="D36" i="6"/>
  <c r="D49" i="6" s="1"/>
  <c r="I29" i="6"/>
  <c r="H29" i="6"/>
  <c r="G29" i="6"/>
  <c r="F29" i="6"/>
  <c r="E29" i="6"/>
  <c r="D29" i="6"/>
  <c r="D50" i="6" s="1"/>
  <c r="I24" i="6"/>
  <c r="I59" i="6" s="1"/>
  <c r="H24" i="6"/>
  <c r="G24" i="6"/>
  <c r="F24" i="6"/>
  <c r="E24" i="6"/>
  <c r="D24" i="6"/>
  <c r="I16" i="6"/>
  <c r="I25" i="6" s="1"/>
  <c r="H16" i="6"/>
  <c r="H25" i="6" s="1"/>
  <c r="H121" i="6" s="1"/>
  <c r="G16" i="6"/>
  <c r="G25" i="6" s="1"/>
  <c r="G121" i="6" s="1"/>
  <c r="F16" i="6"/>
  <c r="F25" i="6" s="1"/>
  <c r="F121" i="6" s="1"/>
  <c r="E16" i="6"/>
  <c r="E25" i="6" s="1"/>
  <c r="E121" i="6" s="1"/>
  <c r="D16" i="6"/>
  <c r="D25" i="6" s="1"/>
  <c r="D121" i="6" s="1"/>
  <c r="H155" i="5"/>
  <c r="G155" i="5"/>
  <c r="F155" i="5"/>
  <c r="E155" i="5"/>
  <c r="D155" i="5"/>
  <c r="H154" i="5"/>
  <c r="G154" i="5"/>
  <c r="F154" i="5"/>
  <c r="E154" i="5"/>
  <c r="D154" i="5"/>
  <c r="H140" i="5"/>
  <c r="G140" i="5"/>
  <c r="F140" i="5"/>
  <c r="E140" i="5"/>
  <c r="D140" i="5"/>
  <c r="G128" i="5"/>
  <c r="F128" i="5"/>
  <c r="E128" i="5"/>
  <c r="D128" i="5"/>
  <c r="H120" i="5"/>
  <c r="G120" i="5"/>
  <c r="F120" i="5"/>
  <c r="E120" i="5"/>
  <c r="D120" i="5"/>
  <c r="H119" i="5"/>
  <c r="G119" i="5"/>
  <c r="F119" i="5"/>
  <c r="E119" i="5"/>
  <c r="D119" i="5"/>
  <c r="H118" i="5"/>
  <c r="G118" i="5"/>
  <c r="F118" i="5"/>
  <c r="E118" i="5"/>
  <c r="D118" i="5"/>
  <c r="H117" i="5"/>
  <c r="G117" i="5"/>
  <c r="F117" i="5"/>
  <c r="E117" i="5"/>
  <c r="D117" i="5"/>
  <c r="H116" i="5"/>
  <c r="G116" i="5"/>
  <c r="F116" i="5"/>
  <c r="E116" i="5"/>
  <c r="D116" i="5"/>
  <c r="H114" i="5"/>
  <c r="G114" i="5"/>
  <c r="F114" i="5"/>
  <c r="E114" i="5"/>
  <c r="D114" i="5"/>
  <c r="H113" i="5"/>
  <c r="G113" i="5"/>
  <c r="F113" i="5"/>
  <c r="E113" i="5"/>
  <c r="D113" i="5"/>
  <c r="H112" i="5"/>
  <c r="G112" i="5"/>
  <c r="F112" i="5"/>
  <c r="E112" i="5"/>
  <c r="D112" i="5"/>
  <c r="H111" i="5"/>
  <c r="G111" i="5"/>
  <c r="F111" i="5"/>
  <c r="E111" i="5"/>
  <c r="D111" i="5"/>
  <c r="H103" i="5"/>
  <c r="G103" i="5"/>
  <c r="F103" i="5"/>
  <c r="E103" i="5"/>
  <c r="D103" i="5"/>
  <c r="H85" i="5"/>
  <c r="G85" i="5"/>
  <c r="F85" i="5"/>
  <c r="E85" i="5"/>
  <c r="D85" i="5"/>
  <c r="I66" i="5"/>
  <c r="I71" i="5" s="1"/>
  <c r="I76" i="5" s="1"/>
  <c r="H66" i="5"/>
  <c r="G66" i="5"/>
  <c r="G71" i="5" s="1"/>
  <c r="G76" i="5" s="1"/>
  <c r="F66" i="5"/>
  <c r="F71" i="5" s="1"/>
  <c r="F76" i="5" s="1"/>
  <c r="E66" i="5"/>
  <c r="E71" i="5" s="1"/>
  <c r="E76" i="5" s="1"/>
  <c r="D66" i="5"/>
  <c r="D71" i="5" s="1"/>
  <c r="D76" i="5" s="1"/>
  <c r="I56" i="5"/>
  <c r="H56" i="5"/>
  <c r="G56" i="5"/>
  <c r="F56" i="5"/>
  <c r="E56" i="5"/>
  <c r="D56" i="5"/>
  <c r="I55" i="5"/>
  <c r="H55" i="5"/>
  <c r="H125" i="5" s="1"/>
  <c r="G55" i="5"/>
  <c r="G125" i="5" s="1"/>
  <c r="F55" i="5"/>
  <c r="F125" i="5" s="1"/>
  <c r="E55" i="5"/>
  <c r="E125" i="5" s="1"/>
  <c r="D55" i="5"/>
  <c r="D125" i="5" s="1"/>
  <c r="I54" i="5"/>
  <c r="H54" i="5"/>
  <c r="G54" i="5"/>
  <c r="F54" i="5"/>
  <c r="E54" i="5"/>
  <c r="D54" i="5"/>
  <c r="I53" i="5"/>
  <c r="H53" i="5"/>
  <c r="G53" i="5"/>
  <c r="F53" i="5"/>
  <c r="E53" i="5"/>
  <c r="D53" i="5"/>
  <c r="I52" i="5"/>
  <c r="H52" i="5"/>
  <c r="G52" i="5"/>
  <c r="F52" i="5"/>
  <c r="E52" i="5"/>
  <c r="D52" i="5"/>
  <c r="I48" i="5"/>
  <c r="I60" i="5" s="1"/>
  <c r="H48" i="5"/>
  <c r="H60" i="5" s="1"/>
  <c r="G48" i="5"/>
  <c r="G60" i="5" s="1"/>
  <c r="F48" i="5"/>
  <c r="F60" i="5" s="1"/>
  <c r="E48" i="5"/>
  <c r="E60" i="5" s="1"/>
  <c r="D48" i="5"/>
  <c r="D60" i="5" s="1"/>
  <c r="I36" i="5"/>
  <c r="H36" i="5"/>
  <c r="H49" i="5" s="1"/>
  <c r="G36" i="5"/>
  <c r="G49" i="5" s="1"/>
  <c r="F36" i="5"/>
  <c r="F49" i="5" s="1"/>
  <c r="E36" i="5"/>
  <c r="E49" i="5" s="1"/>
  <c r="D36" i="5"/>
  <c r="D49" i="5" s="1"/>
  <c r="I29" i="5"/>
  <c r="H29" i="5"/>
  <c r="G29" i="5"/>
  <c r="F29" i="5"/>
  <c r="E29" i="5"/>
  <c r="D29" i="5"/>
  <c r="I24" i="5"/>
  <c r="I59" i="5" s="1"/>
  <c r="H24" i="5"/>
  <c r="H59" i="5" s="1"/>
  <c r="G24" i="5"/>
  <c r="G59" i="5" s="1"/>
  <c r="F24" i="5"/>
  <c r="F59" i="5" s="1"/>
  <c r="E24" i="5"/>
  <c r="E59" i="5" s="1"/>
  <c r="D24" i="5"/>
  <c r="D59" i="5" s="1"/>
  <c r="I16" i="5"/>
  <c r="I25" i="5" s="1"/>
  <c r="H16" i="5"/>
  <c r="H25" i="5" s="1"/>
  <c r="H121" i="5" s="1"/>
  <c r="G16" i="5"/>
  <c r="G25" i="5" s="1"/>
  <c r="G121" i="5" s="1"/>
  <c r="F16" i="5"/>
  <c r="F25" i="5" s="1"/>
  <c r="F121" i="5" s="1"/>
  <c r="E16" i="5"/>
  <c r="E25" i="5" s="1"/>
  <c r="E121" i="5" s="1"/>
  <c r="D16" i="5"/>
  <c r="D25" i="5" s="1"/>
  <c r="D121" i="5" s="1"/>
  <c r="H158" i="4"/>
  <c r="G158" i="4"/>
  <c r="F158" i="4"/>
  <c r="E158" i="4"/>
  <c r="D158" i="4"/>
  <c r="H157" i="4"/>
  <c r="G157" i="4"/>
  <c r="F157" i="4"/>
  <c r="E157" i="4"/>
  <c r="D157" i="4"/>
  <c r="H140" i="4"/>
  <c r="G140" i="4"/>
  <c r="F140" i="4"/>
  <c r="E140" i="4"/>
  <c r="D140" i="4"/>
  <c r="H120" i="4"/>
  <c r="G120" i="4"/>
  <c r="F120" i="4"/>
  <c r="E120" i="4"/>
  <c r="D120" i="4"/>
  <c r="H119" i="4"/>
  <c r="G119" i="4"/>
  <c r="F119" i="4"/>
  <c r="E119" i="4"/>
  <c r="D119" i="4"/>
  <c r="H117" i="4"/>
  <c r="G117" i="4"/>
  <c r="F117" i="4"/>
  <c r="E117" i="4"/>
  <c r="D117" i="4"/>
  <c r="H103" i="4"/>
  <c r="H159" i="4" s="1"/>
  <c r="G103" i="4"/>
  <c r="G159" i="4" s="1"/>
  <c r="F103" i="4"/>
  <c r="F159" i="4" s="1"/>
  <c r="E103" i="4"/>
  <c r="E159" i="4" s="1"/>
  <c r="D103" i="4"/>
  <c r="D159" i="4" s="1"/>
  <c r="H85" i="4"/>
  <c r="G85" i="4"/>
  <c r="F85" i="4"/>
  <c r="E85" i="4"/>
  <c r="D85" i="4"/>
  <c r="I66" i="4"/>
  <c r="I71" i="4" s="1"/>
  <c r="I76" i="4" s="1"/>
  <c r="H66" i="4"/>
  <c r="G66" i="4"/>
  <c r="F66" i="4"/>
  <c r="E66" i="4"/>
  <c r="D66" i="4"/>
  <c r="I56" i="4"/>
  <c r="H56" i="4"/>
  <c r="G56" i="4"/>
  <c r="F56" i="4"/>
  <c r="E56" i="4"/>
  <c r="D56" i="4"/>
  <c r="I55" i="4"/>
  <c r="I58" i="4" s="1"/>
  <c r="H55" i="4"/>
  <c r="G55" i="4"/>
  <c r="F55" i="4"/>
  <c r="E55" i="4"/>
  <c r="D55" i="4"/>
  <c r="I54" i="4"/>
  <c r="H54" i="4"/>
  <c r="G54" i="4"/>
  <c r="F54" i="4"/>
  <c r="E54" i="4"/>
  <c r="D54" i="4"/>
  <c r="I53" i="4"/>
  <c r="H53" i="4"/>
  <c r="G53" i="4"/>
  <c r="F53" i="4"/>
  <c r="E53" i="4"/>
  <c r="D53" i="4"/>
  <c r="I48" i="4"/>
  <c r="I60" i="4" s="1"/>
  <c r="H48" i="4"/>
  <c r="G48" i="4"/>
  <c r="F48" i="4"/>
  <c r="E48" i="4"/>
  <c r="D48" i="4"/>
  <c r="I36" i="4"/>
  <c r="I49" i="4" s="1"/>
  <c r="H36" i="4"/>
  <c r="H49" i="4" s="1"/>
  <c r="G36" i="4"/>
  <c r="G49" i="4" s="1"/>
  <c r="F36" i="4"/>
  <c r="F49" i="4" s="1"/>
  <c r="E36" i="4"/>
  <c r="E49" i="4" s="1"/>
  <c r="D36" i="4"/>
  <c r="D49" i="4" s="1"/>
  <c r="I29" i="4"/>
  <c r="I50" i="4" s="1"/>
  <c r="H29" i="4"/>
  <c r="G29" i="4"/>
  <c r="F29" i="4"/>
  <c r="E29" i="4"/>
  <c r="D29" i="4"/>
  <c r="I24" i="4"/>
  <c r="I59" i="4" s="1"/>
  <c r="H24" i="4"/>
  <c r="G24" i="4"/>
  <c r="F24" i="4"/>
  <c r="E24" i="4"/>
  <c r="D24" i="4"/>
  <c r="I16" i="4"/>
  <c r="I25" i="4" s="1"/>
  <c r="H16" i="4"/>
  <c r="H25" i="4" s="1"/>
  <c r="H121" i="4" s="1"/>
  <c r="G16" i="4"/>
  <c r="G25" i="4" s="1"/>
  <c r="G121" i="4" s="1"/>
  <c r="F16" i="4"/>
  <c r="F25" i="4" s="1"/>
  <c r="F121" i="4" s="1"/>
  <c r="E16" i="4"/>
  <c r="E25" i="4" s="1"/>
  <c r="E121" i="4" s="1"/>
  <c r="D16" i="4"/>
  <c r="D25" i="4" s="1"/>
  <c r="D121" i="4" s="1"/>
  <c r="H158" i="3"/>
  <c r="G158" i="3"/>
  <c r="F158" i="3"/>
  <c r="E158" i="3"/>
  <c r="D158" i="3"/>
  <c r="H157" i="3"/>
  <c r="G157" i="3"/>
  <c r="F157" i="3"/>
  <c r="E157" i="3"/>
  <c r="D157" i="3"/>
  <c r="H140" i="3"/>
  <c r="G140" i="3"/>
  <c r="F140" i="3"/>
  <c r="E140" i="3"/>
  <c r="D140" i="3"/>
  <c r="H120" i="3"/>
  <c r="G120" i="3"/>
  <c r="F120" i="3"/>
  <c r="E120" i="3"/>
  <c r="D120" i="3"/>
  <c r="H119" i="3"/>
  <c r="G119" i="3"/>
  <c r="F119" i="3"/>
  <c r="E119" i="3"/>
  <c r="D119" i="3"/>
  <c r="H117" i="3"/>
  <c r="G117" i="3"/>
  <c r="F117" i="3"/>
  <c r="E117" i="3"/>
  <c r="D117" i="3"/>
  <c r="H103" i="3"/>
  <c r="H159" i="3" s="1"/>
  <c r="G103" i="3"/>
  <c r="G159" i="3" s="1"/>
  <c r="F103" i="3"/>
  <c r="F159" i="3" s="1"/>
  <c r="E103" i="3"/>
  <c r="E159" i="3" s="1"/>
  <c r="D103" i="3"/>
  <c r="D159" i="3" s="1"/>
  <c r="H85" i="3"/>
  <c r="G85" i="3"/>
  <c r="F85" i="3"/>
  <c r="E85" i="3"/>
  <c r="D85" i="3"/>
  <c r="I66" i="3"/>
  <c r="I71" i="3" s="1"/>
  <c r="I76" i="3" s="1"/>
  <c r="H66" i="3"/>
  <c r="G66" i="3"/>
  <c r="F66" i="3"/>
  <c r="E66" i="3"/>
  <c r="D66" i="3"/>
  <c r="I56" i="3"/>
  <c r="H56" i="3"/>
  <c r="G56" i="3"/>
  <c r="F56" i="3"/>
  <c r="E56" i="3"/>
  <c r="D56" i="3"/>
  <c r="I55" i="3"/>
  <c r="I58" i="3" s="1"/>
  <c r="H55" i="3"/>
  <c r="G55" i="3"/>
  <c r="F55" i="3"/>
  <c r="E55" i="3"/>
  <c r="D55" i="3"/>
  <c r="I54" i="3"/>
  <c r="H54" i="3"/>
  <c r="G54" i="3"/>
  <c r="F54" i="3"/>
  <c r="E54" i="3"/>
  <c r="D54" i="3"/>
  <c r="I53" i="3"/>
  <c r="H53" i="3"/>
  <c r="G53" i="3"/>
  <c r="F53" i="3"/>
  <c r="E53" i="3"/>
  <c r="D53" i="3"/>
  <c r="I48" i="3"/>
  <c r="I60" i="3" s="1"/>
  <c r="H48" i="3"/>
  <c r="G48" i="3"/>
  <c r="F48" i="3"/>
  <c r="E48" i="3"/>
  <c r="D48" i="3"/>
  <c r="I36" i="3"/>
  <c r="I49" i="3" s="1"/>
  <c r="H36" i="3"/>
  <c r="H49" i="3" s="1"/>
  <c r="G36" i="3"/>
  <c r="G49" i="3" s="1"/>
  <c r="F36" i="3"/>
  <c r="F49" i="3" s="1"/>
  <c r="E36" i="3"/>
  <c r="E49" i="3" s="1"/>
  <c r="D36" i="3"/>
  <c r="D49" i="3" s="1"/>
  <c r="I29" i="3"/>
  <c r="I50" i="3" s="1"/>
  <c r="H29" i="3"/>
  <c r="G29" i="3"/>
  <c r="F29" i="3"/>
  <c r="E29" i="3"/>
  <c r="D29" i="3"/>
  <c r="I24" i="3"/>
  <c r="I59" i="3" s="1"/>
  <c r="H24" i="3"/>
  <c r="G24" i="3"/>
  <c r="F24" i="3"/>
  <c r="E24" i="3"/>
  <c r="D24" i="3"/>
  <c r="I16" i="3"/>
  <c r="I25" i="3" s="1"/>
  <c r="H16" i="3"/>
  <c r="H25" i="3" s="1"/>
  <c r="H121" i="3" s="1"/>
  <c r="G16" i="3"/>
  <c r="G25" i="3" s="1"/>
  <c r="G121" i="3" s="1"/>
  <c r="F16" i="3"/>
  <c r="F25" i="3" s="1"/>
  <c r="F121" i="3" s="1"/>
  <c r="E16" i="3"/>
  <c r="E25" i="3" s="1"/>
  <c r="E121" i="3" s="1"/>
  <c r="D16" i="3"/>
  <c r="D25" i="3" s="1"/>
  <c r="D121" i="3" s="1"/>
  <c r="H158" i="2"/>
  <c r="G158" i="2"/>
  <c r="F158" i="2"/>
  <c r="E158" i="2"/>
  <c r="D158" i="2"/>
  <c r="H157" i="2"/>
  <c r="G157" i="2"/>
  <c r="F157" i="2"/>
  <c r="E157" i="2"/>
  <c r="D157" i="2"/>
  <c r="H140" i="2"/>
  <c r="G140" i="2"/>
  <c r="F140" i="2"/>
  <c r="E140" i="2"/>
  <c r="D140" i="2"/>
  <c r="H120" i="2"/>
  <c r="G120" i="2"/>
  <c r="F120" i="2"/>
  <c r="E120" i="2"/>
  <c r="D120" i="2"/>
  <c r="H119" i="2"/>
  <c r="G119" i="2"/>
  <c r="F119" i="2"/>
  <c r="E119" i="2"/>
  <c r="D119" i="2"/>
  <c r="H117" i="2"/>
  <c r="G117" i="2"/>
  <c r="F117" i="2"/>
  <c r="E117" i="2"/>
  <c r="D117" i="2"/>
  <c r="H103" i="2"/>
  <c r="H159" i="2" s="1"/>
  <c r="H160" i="2" s="1"/>
  <c r="G103" i="2"/>
  <c r="G159" i="2" s="1"/>
  <c r="G160" i="2" s="1"/>
  <c r="F103" i="2"/>
  <c r="F159" i="2" s="1"/>
  <c r="F160" i="2" s="1"/>
  <c r="E103" i="2"/>
  <c r="E159" i="2" s="1"/>
  <c r="E160" i="2" s="1"/>
  <c r="D103" i="2"/>
  <c r="D159" i="2" s="1"/>
  <c r="D160" i="2" s="1"/>
  <c r="H85" i="2"/>
  <c r="G85" i="2"/>
  <c r="F85" i="2"/>
  <c r="E85" i="2"/>
  <c r="D85" i="2"/>
  <c r="I66" i="2"/>
  <c r="I71" i="2" s="1"/>
  <c r="I76" i="2" s="1"/>
  <c r="H66" i="2"/>
  <c r="G66" i="2"/>
  <c r="F66" i="2"/>
  <c r="E66" i="2"/>
  <c r="D66" i="2"/>
  <c r="I56" i="2"/>
  <c r="H56" i="2"/>
  <c r="G56" i="2"/>
  <c r="F56" i="2"/>
  <c r="E56" i="2"/>
  <c r="D56" i="2"/>
  <c r="I55" i="2"/>
  <c r="H55" i="2"/>
  <c r="G55" i="2"/>
  <c r="F55" i="2"/>
  <c r="E55" i="2"/>
  <c r="D55" i="2"/>
  <c r="I54" i="2"/>
  <c r="H54" i="2"/>
  <c r="G54" i="2"/>
  <c r="F54" i="2"/>
  <c r="E54" i="2"/>
  <c r="D54" i="2"/>
  <c r="I53" i="2"/>
  <c r="H53" i="2"/>
  <c r="G53" i="2"/>
  <c r="F53" i="2"/>
  <c r="E53" i="2"/>
  <c r="D53" i="2"/>
  <c r="I48" i="2"/>
  <c r="I60" i="2" s="1"/>
  <c r="H48" i="2"/>
  <c r="H60" i="2" s="1"/>
  <c r="G48" i="2"/>
  <c r="G60" i="2" s="1"/>
  <c r="F48" i="2"/>
  <c r="F60" i="2" s="1"/>
  <c r="E48" i="2"/>
  <c r="E60" i="2" s="1"/>
  <c r="D48" i="2"/>
  <c r="D60" i="2" s="1"/>
  <c r="I36" i="2"/>
  <c r="I49" i="2" s="1"/>
  <c r="H36" i="2"/>
  <c r="H49" i="2" s="1"/>
  <c r="G36" i="2"/>
  <c r="G49" i="2" s="1"/>
  <c r="F36" i="2"/>
  <c r="F49" i="2" s="1"/>
  <c r="E36" i="2"/>
  <c r="E49" i="2" s="1"/>
  <c r="D36" i="2"/>
  <c r="D49" i="2" s="1"/>
  <c r="I29" i="2"/>
  <c r="I50" i="2" s="1"/>
  <c r="H29" i="2"/>
  <c r="G29" i="2"/>
  <c r="G139" i="2" s="1"/>
  <c r="F29" i="2"/>
  <c r="F139" i="2" s="1"/>
  <c r="E29" i="2"/>
  <c r="E139" i="2" s="1"/>
  <c r="D29" i="2"/>
  <c r="D139" i="2" s="1"/>
  <c r="I24" i="2"/>
  <c r="I59" i="2" s="1"/>
  <c r="H24" i="2"/>
  <c r="G24" i="2"/>
  <c r="F24" i="2"/>
  <c r="E24" i="2"/>
  <c r="D24" i="2"/>
  <c r="I16" i="2"/>
  <c r="I25" i="2" s="1"/>
  <c r="H16" i="2"/>
  <c r="H25" i="2" s="1"/>
  <c r="H121" i="2" s="1"/>
  <c r="G16" i="2"/>
  <c r="G25" i="2" s="1"/>
  <c r="G121" i="2" s="1"/>
  <c r="F16" i="2"/>
  <c r="F25" i="2" s="1"/>
  <c r="F121" i="2" s="1"/>
  <c r="E16" i="2"/>
  <c r="E25" i="2" s="1"/>
  <c r="E121" i="2" s="1"/>
  <c r="D16" i="2"/>
  <c r="D25" i="2" s="1"/>
  <c r="D121" i="2" s="1"/>
  <c r="I49" i="6" l="1"/>
  <c r="I50" i="6" s="1"/>
  <c r="H49" i="6"/>
  <c r="G49" i="6"/>
  <c r="F49" i="6"/>
  <c r="E49" i="6"/>
  <c r="D160" i="3"/>
  <c r="F160" i="3"/>
  <c r="I58" i="5"/>
  <c r="H58" i="5"/>
  <c r="G58" i="5"/>
  <c r="F58" i="5"/>
  <c r="E58" i="5"/>
  <c r="D58" i="5"/>
  <c r="H160" i="4"/>
  <c r="G160" i="4"/>
  <c r="F160" i="4"/>
  <c r="H160" i="3"/>
  <c r="E160" i="3"/>
  <c r="I58" i="2"/>
  <c r="I49" i="5"/>
  <c r="I50" i="5" s="1"/>
  <c r="D160" i="4"/>
  <c r="E160" i="4"/>
  <c r="G160" i="3"/>
  <c r="H113" i="2"/>
  <c r="G113" i="2"/>
  <c r="F113" i="2"/>
  <c r="E113" i="2"/>
  <c r="D113" i="2"/>
  <c r="H59" i="6"/>
  <c r="H111" i="6"/>
  <c r="G59" i="6"/>
  <c r="G111" i="6"/>
  <c r="F59" i="6"/>
  <c r="F112" i="6"/>
  <c r="F111" i="6"/>
  <c r="E59" i="6"/>
  <c r="E112" i="6"/>
  <c r="E111" i="6"/>
  <c r="D59" i="6"/>
  <c r="D112" i="6"/>
  <c r="D111" i="6"/>
  <c r="H71" i="5"/>
  <c r="H76" i="5" s="1"/>
  <c r="H128" i="5"/>
  <c r="H50" i="5"/>
  <c r="H124" i="5"/>
  <c r="G50" i="5"/>
  <c r="G124" i="5"/>
  <c r="F50" i="5"/>
  <c r="F124" i="5"/>
  <c r="E50" i="5"/>
  <c r="E124" i="5"/>
  <c r="D50" i="5"/>
  <c r="D124" i="5"/>
  <c r="W206" i="8"/>
  <c r="H213" i="7"/>
  <c r="W205" i="8"/>
  <c r="G213" i="7"/>
  <c r="W204" i="8"/>
  <c r="F213" i="7"/>
  <c r="W203" i="8"/>
  <c r="E213" i="7"/>
  <c r="W202" i="8"/>
  <c r="D213" i="7"/>
  <c r="H50" i="2"/>
  <c r="H139" i="2"/>
  <c r="H137" i="2"/>
  <c r="Y206" i="8"/>
  <c r="H215" i="7"/>
  <c r="G215" i="7"/>
  <c r="Y205" i="8"/>
  <c r="F215" i="7"/>
  <c r="Y204" i="8"/>
  <c r="E215" i="7"/>
  <c r="Y203" i="8"/>
  <c r="D215" i="7"/>
  <c r="Y202" i="8"/>
  <c r="Y114" i="8"/>
  <c r="D126" i="7"/>
  <c r="H109" i="7"/>
  <c r="Y102" i="8"/>
  <c r="G109" i="7"/>
  <c r="Y101" i="8"/>
  <c r="F109" i="7"/>
  <c r="Y100" i="8"/>
  <c r="E109" i="7"/>
  <c r="Y99" i="8"/>
  <c r="D109" i="7"/>
  <c r="Y98" i="8"/>
  <c r="H101" i="7"/>
  <c r="Y94" i="8"/>
  <c r="G101" i="7"/>
  <c r="Y93" i="8"/>
  <c r="Y92" i="8"/>
  <c r="F101" i="7"/>
  <c r="Y91" i="8"/>
  <c r="E101" i="7"/>
  <c r="Y90" i="8"/>
  <c r="D101" i="7"/>
  <c r="Y70" i="8"/>
  <c r="H76" i="7"/>
  <c r="Y69" i="8"/>
  <c r="G76" i="7"/>
  <c r="Y68" i="8"/>
  <c r="F76" i="7"/>
  <c r="Y67" i="8"/>
  <c r="E76" i="7"/>
  <c r="D76" i="7"/>
  <c r="Y66" i="8"/>
  <c r="H68" i="7"/>
  <c r="Y62" i="8"/>
  <c r="G68" i="7"/>
  <c r="Y61" i="8"/>
  <c r="F68" i="7"/>
  <c r="Y60" i="8"/>
  <c r="Y59" i="8"/>
  <c r="E68" i="7"/>
  <c r="Y58" i="8"/>
  <c r="D68" i="7"/>
  <c r="H60" i="7"/>
  <c r="Y54" i="8"/>
  <c r="Y53" i="8"/>
  <c r="G60" i="7"/>
  <c r="Y52" i="8"/>
  <c r="F60" i="7"/>
  <c r="Y51" i="8"/>
  <c r="E60" i="7"/>
  <c r="D60" i="7"/>
  <c r="Y50" i="8"/>
  <c r="Y46" i="8"/>
  <c r="H52" i="7"/>
  <c r="Y45" i="8"/>
  <c r="G52" i="7"/>
  <c r="F52" i="7"/>
  <c r="Y44" i="8"/>
  <c r="Y43" i="8"/>
  <c r="E52" i="7"/>
  <c r="D52" i="7"/>
  <c r="Y42" i="8"/>
  <c r="Y38" i="8"/>
  <c r="H44" i="7"/>
  <c r="Y37" i="8"/>
  <c r="G44" i="7"/>
  <c r="Y36" i="8"/>
  <c r="F44" i="7"/>
  <c r="E44" i="7"/>
  <c r="Y35" i="8"/>
  <c r="D44" i="7"/>
  <c r="Y34" i="8"/>
  <c r="Y30" i="8"/>
  <c r="H35" i="7"/>
  <c r="G35" i="7"/>
  <c r="Y29" i="8"/>
  <c r="F35" i="7"/>
  <c r="Y28" i="8"/>
  <c r="E35" i="7"/>
  <c r="Y27" i="8"/>
  <c r="D35" i="7"/>
  <c r="Y26" i="8"/>
  <c r="H27" i="7"/>
  <c r="Y22" i="8"/>
  <c r="G27" i="7"/>
  <c r="Y21" i="8"/>
  <c r="Y20" i="8"/>
  <c r="F27" i="7"/>
  <c r="E27" i="7"/>
  <c r="Y19" i="8"/>
  <c r="D27" i="7"/>
  <c r="Y18" i="8"/>
  <c r="Y14" i="8"/>
  <c r="H19" i="7"/>
  <c r="G19" i="7"/>
  <c r="Y13" i="8"/>
  <c r="H139" i="6"/>
  <c r="H159" i="6"/>
  <c r="H160" i="6" s="1"/>
  <c r="H137" i="6"/>
  <c r="G139" i="6"/>
  <c r="G159" i="6"/>
  <c r="G160" i="6" s="1"/>
  <c r="G137" i="6"/>
  <c r="F159" i="6"/>
  <c r="F160" i="6" s="1"/>
  <c r="F139" i="6"/>
  <c r="F104" i="6"/>
  <c r="F137" i="6"/>
  <c r="E159" i="6"/>
  <c r="E160" i="6" s="1"/>
  <c r="E139" i="6"/>
  <c r="E137" i="6"/>
  <c r="D159" i="6"/>
  <c r="D160" i="6" s="1"/>
  <c r="D137" i="6"/>
  <c r="D139" i="6"/>
  <c r="D86" i="6"/>
  <c r="D87" i="6" s="1"/>
  <c r="D79" i="6"/>
  <c r="D82" i="6"/>
  <c r="I82" i="6"/>
  <c r="I79" i="6"/>
  <c r="H128" i="6"/>
  <c r="H71" i="6"/>
  <c r="H76" i="6" s="1"/>
  <c r="G71" i="6"/>
  <c r="G76" i="6" s="1"/>
  <c r="G128" i="6"/>
  <c r="F128" i="6"/>
  <c r="F71" i="6"/>
  <c r="F76" i="6" s="1"/>
  <c r="E71" i="6"/>
  <c r="E76" i="6" s="1"/>
  <c r="E128" i="6"/>
  <c r="Y78" i="8"/>
  <c r="H84" i="7"/>
  <c r="G84" i="7"/>
  <c r="Y77" i="8"/>
  <c r="Y76" i="8"/>
  <c r="F84" i="7"/>
  <c r="Y75" i="8"/>
  <c r="E84" i="7"/>
  <c r="D84" i="7"/>
  <c r="Y74" i="8"/>
  <c r="H214" i="7"/>
  <c r="X206" i="8"/>
  <c r="G214" i="7"/>
  <c r="X205" i="8"/>
  <c r="X204" i="8"/>
  <c r="F214" i="7"/>
  <c r="E214" i="7"/>
  <c r="X203" i="8"/>
  <c r="X202" i="8"/>
  <c r="D214" i="7"/>
  <c r="X117" i="8"/>
  <c r="G125" i="7"/>
  <c r="F125" i="7"/>
  <c r="X116" i="8"/>
  <c r="E125" i="7"/>
  <c r="X115" i="8"/>
  <c r="D125" i="7"/>
  <c r="X114" i="8"/>
  <c r="X102" i="8"/>
  <c r="H108" i="7"/>
  <c r="X101" i="8"/>
  <c r="G108" i="7"/>
  <c r="X100" i="8"/>
  <c r="F108" i="7"/>
  <c r="X99" i="8"/>
  <c r="E108" i="7"/>
  <c r="X98" i="8"/>
  <c r="D108" i="7"/>
  <c r="X70" i="8"/>
  <c r="H75" i="7"/>
  <c r="X69" i="8"/>
  <c r="G75" i="7"/>
  <c r="F75" i="7"/>
  <c r="X68" i="8"/>
  <c r="E75" i="7"/>
  <c r="X67" i="8"/>
  <c r="X66" i="8"/>
  <c r="D75" i="7"/>
  <c r="H67" i="7"/>
  <c r="X62" i="8"/>
  <c r="X61" i="8"/>
  <c r="G67" i="7"/>
  <c r="F67" i="7"/>
  <c r="X60" i="8"/>
  <c r="E67" i="7"/>
  <c r="X59" i="8"/>
  <c r="D67" i="7"/>
  <c r="X58" i="8"/>
  <c r="X54" i="8"/>
  <c r="H59" i="7"/>
  <c r="X53" i="8"/>
  <c r="G59" i="7"/>
  <c r="X52" i="8"/>
  <c r="F59" i="7"/>
  <c r="X51" i="8"/>
  <c r="E59" i="7"/>
  <c r="X50" i="8"/>
  <c r="D59" i="7"/>
  <c r="H51" i="7"/>
  <c r="X46" i="8"/>
  <c r="G51" i="7"/>
  <c r="X45" i="8"/>
  <c r="F51" i="7"/>
  <c r="X44" i="8"/>
  <c r="X43" i="8"/>
  <c r="E51" i="7"/>
  <c r="D51" i="7"/>
  <c r="X42" i="8"/>
  <c r="X38" i="8"/>
  <c r="H43" i="7"/>
  <c r="X37" i="8"/>
  <c r="G43" i="7"/>
  <c r="X36" i="8"/>
  <c r="F43" i="7"/>
  <c r="E43" i="7"/>
  <c r="X35" i="8"/>
  <c r="X34" i="8"/>
  <c r="D43" i="7"/>
  <c r="H34" i="7"/>
  <c r="X30" i="8"/>
  <c r="X29" i="8"/>
  <c r="G34" i="7"/>
  <c r="X28" i="8"/>
  <c r="F34" i="7"/>
  <c r="X27" i="8"/>
  <c r="E34" i="7"/>
  <c r="X26" i="8"/>
  <c r="D34" i="7"/>
  <c r="H26" i="7"/>
  <c r="X22" i="8"/>
  <c r="X21" i="8"/>
  <c r="G26" i="7"/>
  <c r="F26" i="7"/>
  <c r="X20" i="8"/>
  <c r="X19" i="8"/>
  <c r="E26" i="7"/>
  <c r="X18" i="8"/>
  <c r="D26" i="7"/>
  <c r="X14" i="8"/>
  <c r="H18" i="7"/>
  <c r="X13" i="8"/>
  <c r="G18" i="7"/>
  <c r="X12" i="8"/>
  <c r="F18" i="7"/>
  <c r="X11" i="8"/>
  <c r="E18" i="7"/>
  <c r="X10" i="8"/>
  <c r="D18" i="7"/>
  <c r="X6" i="8"/>
  <c r="H10" i="7"/>
  <c r="X5" i="8"/>
  <c r="G10" i="7"/>
  <c r="F10" i="7"/>
  <c r="X4" i="8"/>
  <c r="E10" i="7"/>
  <c r="X3" i="8"/>
  <c r="D10" i="7"/>
  <c r="X2" i="8"/>
  <c r="H139" i="5"/>
  <c r="H156" i="5"/>
  <c r="H157" i="5" s="1"/>
  <c r="H137" i="5"/>
  <c r="G137" i="5"/>
  <c r="G156" i="5"/>
  <c r="G157" i="5" s="1"/>
  <c r="G139" i="5"/>
  <c r="F137" i="5"/>
  <c r="F156" i="5"/>
  <c r="F157" i="5" s="1"/>
  <c r="F139" i="5"/>
  <c r="E156" i="5"/>
  <c r="E157" i="5" s="1"/>
  <c r="E139" i="5"/>
  <c r="E137" i="5"/>
  <c r="D156" i="5"/>
  <c r="D157" i="5" s="1"/>
  <c r="D137" i="5"/>
  <c r="D139" i="5"/>
  <c r="I79" i="5"/>
  <c r="I82" i="5"/>
  <c r="H79" i="5"/>
  <c r="H82" i="5"/>
  <c r="H86" i="5"/>
  <c r="H87" i="5" s="1"/>
  <c r="H88" i="5" s="1"/>
  <c r="G79" i="5"/>
  <c r="G82" i="5"/>
  <c r="G86" i="5"/>
  <c r="G87" i="5" s="1"/>
  <c r="G88" i="5" s="1"/>
  <c r="F79" i="5"/>
  <c r="F82" i="5"/>
  <c r="F86" i="5"/>
  <c r="F87" i="5" s="1"/>
  <c r="F88" i="5" s="1"/>
  <c r="E79" i="5"/>
  <c r="E82" i="5"/>
  <c r="E86" i="5"/>
  <c r="E87" i="5" s="1"/>
  <c r="E88" i="5" s="1"/>
  <c r="D79" i="5"/>
  <c r="D82" i="5"/>
  <c r="D86" i="5"/>
  <c r="D87" i="5" s="1"/>
  <c r="D88" i="5" s="1"/>
  <c r="X78" i="8"/>
  <c r="H83" i="7"/>
  <c r="X77" i="8"/>
  <c r="G83" i="7"/>
  <c r="F83" i="7"/>
  <c r="X76" i="8"/>
  <c r="X75" i="8"/>
  <c r="E83" i="7"/>
  <c r="D83" i="7"/>
  <c r="X74" i="8"/>
  <c r="W70" i="8"/>
  <c r="H74" i="7"/>
  <c r="G74" i="7"/>
  <c r="W69" i="8"/>
  <c r="W68" i="8"/>
  <c r="F74" i="7"/>
  <c r="W67" i="8"/>
  <c r="E74" i="7"/>
  <c r="D74" i="7"/>
  <c r="W66" i="8"/>
  <c r="H66" i="7"/>
  <c r="W62" i="8"/>
  <c r="G66" i="7"/>
  <c r="W61" i="8"/>
  <c r="F66" i="7"/>
  <c r="W60" i="8"/>
  <c r="W59" i="8"/>
  <c r="E66" i="7"/>
  <c r="W58" i="8"/>
  <c r="D66" i="7"/>
  <c r="W46" i="8"/>
  <c r="H50" i="7"/>
  <c r="G50" i="7"/>
  <c r="W45" i="8"/>
  <c r="F50" i="7"/>
  <c r="W44" i="8"/>
  <c r="E50" i="7"/>
  <c r="W43" i="8"/>
  <c r="W42" i="8"/>
  <c r="D50" i="7"/>
  <c r="I79" i="4"/>
  <c r="I82" i="4"/>
  <c r="H71" i="4"/>
  <c r="H76" i="4" s="1"/>
  <c r="H128" i="4"/>
  <c r="G71" i="4"/>
  <c r="G76" i="4" s="1"/>
  <c r="G128" i="4"/>
  <c r="F128" i="4"/>
  <c r="F71" i="4"/>
  <c r="F76" i="4" s="1"/>
  <c r="E71" i="4"/>
  <c r="E76" i="4" s="1"/>
  <c r="E128" i="4"/>
  <c r="D71" i="4"/>
  <c r="D76" i="4" s="1"/>
  <c r="D128" i="4"/>
  <c r="H124" i="4"/>
  <c r="H58" i="4"/>
  <c r="H125" i="4"/>
  <c r="G124" i="4"/>
  <c r="G125" i="4"/>
  <c r="G58" i="4"/>
  <c r="F125" i="4"/>
  <c r="F58" i="4"/>
  <c r="F124" i="4"/>
  <c r="E58" i="4"/>
  <c r="E124" i="4"/>
  <c r="E125" i="4"/>
  <c r="D125" i="4"/>
  <c r="D124" i="4"/>
  <c r="D58" i="4"/>
  <c r="D118" i="4"/>
  <c r="D116" i="4"/>
  <c r="H118" i="4"/>
  <c r="H116" i="4"/>
  <c r="G118" i="4"/>
  <c r="G116" i="4"/>
  <c r="F116" i="4"/>
  <c r="F118" i="4"/>
  <c r="E118" i="4"/>
  <c r="E116" i="4"/>
  <c r="H113" i="4"/>
  <c r="H60" i="4"/>
  <c r="G113" i="4"/>
  <c r="G60" i="4"/>
  <c r="F113" i="4"/>
  <c r="F60" i="4"/>
  <c r="E113" i="4"/>
  <c r="E60" i="4"/>
  <c r="D60" i="4"/>
  <c r="D113" i="4"/>
  <c r="H139" i="4"/>
  <c r="H137" i="4"/>
  <c r="H50" i="4"/>
  <c r="G137" i="4"/>
  <c r="G139" i="4"/>
  <c r="G50" i="4"/>
  <c r="F139" i="4"/>
  <c r="F50" i="4"/>
  <c r="F137" i="4"/>
  <c r="E50" i="4"/>
  <c r="E139" i="4"/>
  <c r="E137" i="4"/>
  <c r="D137" i="4"/>
  <c r="D139" i="4"/>
  <c r="D50" i="4"/>
  <c r="H111" i="4"/>
  <c r="H114" i="4"/>
  <c r="H59" i="4"/>
  <c r="H112" i="4"/>
  <c r="G112" i="4"/>
  <c r="G59" i="4"/>
  <c r="G114" i="4"/>
  <c r="G111" i="4"/>
  <c r="F114" i="4"/>
  <c r="F112" i="4"/>
  <c r="F111" i="4"/>
  <c r="F59" i="4"/>
  <c r="E114" i="4"/>
  <c r="E112" i="4"/>
  <c r="E59" i="4"/>
  <c r="E111" i="4"/>
  <c r="D114" i="4"/>
  <c r="D59" i="4"/>
  <c r="D112" i="4"/>
  <c r="D111" i="4"/>
  <c r="H82" i="7"/>
  <c r="W78" i="8"/>
  <c r="G82" i="7"/>
  <c r="W77" i="8"/>
  <c r="F82" i="7"/>
  <c r="W76" i="8"/>
  <c r="E82" i="7"/>
  <c r="W75" i="8"/>
  <c r="D82" i="7"/>
  <c r="W74" i="8"/>
  <c r="V206" i="8"/>
  <c r="H212" i="7"/>
  <c r="V205" i="8"/>
  <c r="G212" i="7"/>
  <c r="F212" i="7"/>
  <c r="V204" i="8"/>
  <c r="E212" i="7"/>
  <c r="V203" i="8"/>
  <c r="D212" i="7"/>
  <c r="V202" i="8"/>
  <c r="H73" i="7"/>
  <c r="V70" i="8"/>
  <c r="G73" i="7"/>
  <c r="V69" i="8"/>
  <c r="V68" i="8"/>
  <c r="F73" i="7"/>
  <c r="V67" i="8"/>
  <c r="E73" i="7"/>
  <c r="V66" i="8"/>
  <c r="D73" i="7"/>
  <c r="H65" i="7"/>
  <c r="V62" i="8"/>
  <c r="V61" i="8"/>
  <c r="G65" i="7"/>
  <c r="V60" i="8"/>
  <c r="F65" i="7"/>
  <c r="V59" i="8"/>
  <c r="E65" i="7"/>
  <c r="V58" i="8"/>
  <c r="D65" i="7"/>
  <c r="V46" i="8"/>
  <c r="H49" i="7"/>
  <c r="V45" i="8"/>
  <c r="G49" i="7"/>
  <c r="V44" i="8"/>
  <c r="F49" i="7"/>
  <c r="V43" i="8"/>
  <c r="E49" i="7"/>
  <c r="D49" i="7"/>
  <c r="V42" i="8"/>
  <c r="I82" i="3"/>
  <c r="I79" i="3"/>
  <c r="H71" i="3"/>
  <c r="H76" i="3" s="1"/>
  <c r="H128" i="3"/>
  <c r="G128" i="3"/>
  <c r="G71" i="3"/>
  <c r="G76" i="3" s="1"/>
  <c r="F71" i="3"/>
  <c r="F76" i="3" s="1"/>
  <c r="F128" i="3"/>
  <c r="E71" i="3"/>
  <c r="E76" i="3" s="1"/>
  <c r="E128" i="3"/>
  <c r="D71" i="3"/>
  <c r="D76" i="3" s="1"/>
  <c r="D128" i="3"/>
  <c r="H125" i="3"/>
  <c r="H124" i="3"/>
  <c r="H58" i="3"/>
  <c r="G124" i="3"/>
  <c r="G125" i="3"/>
  <c r="G58" i="3"/>
  <c r="F58" i="3"/>
  <c r="F124" i="3"/>
  <c r="F125" i="3"/>
  <c r="E125" i="3"/>
  <c r="E124" i="3"/>
  <c r="E58" i="3"/>
  <c r="D124" i="3"/>
  <c r="D125" i="3"/>
  <c r="D58" i="3"/>
  <c r="D118" i="3"/>
  <c r="D116" i="3"/>
  <c r="H118" i="3"/>
  <c r="H116" i="3"/>
  <c r="G116" i="3"/>
  <c r="G118" i="3"/>
  <c r="F116" i="3"/>
  <c r="F118" i="3"/>
  <c r="E116" i="3"/>
  <c r="E118" i="3"/>
  <c r="H113" i="3"/>
  <c r="H60" i="3"/>
  <c r="G60" i="3"/>
  <c r="G113" i="3"/>
  <c r="F60" i="3"/>
  <c r="F113" i="3"/>
  <c r="E113" i="3"/>
  <c r="E60" i="3"/>
  <c r="D60" i="3"/>
  <c r="D113" i="3"/>
  <c r="H137" i="3"/>
  <c r="H139" i="3"/>
  <c r="H50" i="3"/>
  <c r="G137" i="3"/>
  <c r="G50" i="3"/>
  <c r="G139" i="3"/>
  <c r="F139" i="3"/>
  <c r="F50" i="3"/>
  <c r="F137" i="3"/>
  <c r="E139" i="3"/>
  <c r="E50" i="3"/>
  <c r="E137" i="3"/>
  <c r="D137" i="3"/>
  <c r="D139" i="3"/>
  <c r="D50" i="3"/>
  <c r="H112" i="3"/>
  <c r="H114" i="3"/>
  <c r="H59" i="3"/>
  <c r="H111" i="3"/>
  <c r="G112" i="3"/>
  <c r="G59" i="3"/>
  <c r="G114" i="3"/>
  <c r="G111" i="3"/>
  <c r="F111" i="3"/>
  <c r="F114" i="3"/>
  <c r="F59" i="3"/>
  <c r="F112" i="3"/>
  <c r="E111" i="3"/>
  <c r="E112" i="3"/>
  <c r="E114" i="3"/>
  <c r="E59" i="3"/>
  <c r="D112" i="3"/>
  <c r="D111" i="3"/>
  <c r="D59" i="3"/>
  <c r="D114" i="3"/>
  <c r="H81" i="7"/>
  <c r="V78" i="8"/>
  <c r="G81" i="7"/>
  <c r="V77" i="8"/>
  <c r="F81" i="7"/>
  <c r="V76" i="8"/>
  <c r="E81" i="7"/>
  <c r="V75" i="8"/>
  <c r="D81" i="7"/>
  <c r="V74" i="8"/>
  <c r="H211" i="7"/>
  <c r="U206" i="8"/>
  <c r="G211" i="7"/>
  <c r="U205" i="8"/>
  <c r="F211" i="7"/>
  <c r="U204" i="8"/>
  <c r="E211" i="7"/>
  <c r="U203" i="8"/>
  <c r="U202" i="8"/>
  <c r="D211" i="7"/>
  <c r="U197" i="8"/>
  <c r="G203" i="7"/>
  <c r="U196" i="8"/>
  <c r="F203" i="7"/>
  <c r="E203" i="7"/>
  <c r="U195" i="8"/>
  <c r="D203" i="7"/>
  <c r="U194" i="8"/>
  <c r="U70" i="8"/>
  <c r="H72" i="7"/>
  <c r="U69" i="8"/>
  <c r="G72" i="7"/>
  <c r="U68" i="8"/>
  <c r="F72" i="7"/>
  <c r="E72" i="7"/>
  <c r="U67" i="8"/>
  <c r="U66" i="8"/>
  <c r="D72" i="7"/>
  <c r="D77" i="7" s="1"/>
  <c r="Z66" i="8" s="1"/>
  <c r="H64" i="7"/>
  <c r="H69" i="7" s="1"/>
  <c r="Z62" i="8" s="1"/>
  <c r="U62" i="8"/>
  <c r="G64" i="7"/>
  <c r="G69" i="7" s="1"/>
  <c r="Z61" i="8" s="1"/>
  <c r="U61" i="8"/>
  <c r="F64" i="7"/>
  <c r="U60" i="8"/>
  <c r="U59" i="8"/>
  <c r="E64" i="7"/>
  <c r="D64" i="7"/>
  <c r="U58" i="8"/>
  <c r="U46" i="8"/>
  <c r="H48" i="7"/>
  <c r="G48" i="7"/>
  <c r="U45" i="8"/>
  <c r="U44" i="8"/>
  <c r="F48" i="7"/>
  <c r="U43" i="8"/>
  <c r="E48" i="7"/>
  <c r="U42" i="8"/>
  <c r="D48" i="7"/>
  <c r="I79" i="2"/>
  <c r="I82" i="2"/>
  <c r="H71" i="2"/>
  <c r="H76" i="2" s="1"/>
  <c r="H128" i="2"/>
  <c r="G128" i="2"/>
  <c r="G71" i="2"/>
  <c r="G76" i="2" s="1"/>
  <c r="F128" i="2"/>
  <c r="F71" i="2"/>
  <c r="F76" i="2" s="1"/>
  <c r="E128" i="2"/>
  <c r="E71" i="2"/>
  <c r="E76" i="2" s="1"/>
  <c r="D128" i="2"/>
  <c r="D71" i="2"/>
  <c r="D76" i="2" s="1"/>
  <c r="H125" i="2"/>
  <c r="H124" i="2"/>
  <c r="H58" i="2"/>
  <c r="G125" i="2"/>
  <c r="G124" i="2"/>
  <c r="G58" i="2"/>
  <c r="F125" i="2"/>
  <c r="F124" i="2"/>
  <c r="F58" i="2"/>
  <c r="E125" i="2"/>
  <c r="E124" i="2"/>
  <c r="E58" i="2"/>
  <c r="D125" i="2"/>
  <c r="D124" i="2"/>
  <c r="D58" i="2"/>
  <c r="D118" i="2"/>
  <c r="D116" i="2"/>
  <c r="H118" i="2"/>
  <c r="H116" i="2"/>
  <c r="G118" i="2"/>
  <c r="G116" i="2"/>
  <c r="F118" i="2"/>
  <c r="F116" i="2"/>
  <c r="E118" i="2"/>
  <c r="E116" i="2"/>
  <c r="G137" i="2"/>
  <c r="G50" i="2"/>
  <c r="F137" i="2"/>
  <c r="F50" i="2"/>
  <c r="E137" i="2"/>
  <c r="E50" i="2"/>
  <c r="D137" i="2"/>
  <c r="D50" i="2"/>
  <c r="H112" i="2"/>
  <c r="H59" i="2"/>
  <c r="H114" i="2"/>
  <c r="H111" i="2"/>
  <c r="G112" i="2"/>
  <c r="G59" i="2"/>
  <c r="G114" i="2"/>
  <c r="G111" i="2"/>
  <c r="F112" i="2"/>
  <c r="F59" i="2"/>
  <c r="F114" i="2"/>
  <c r="F111" i="2"/>
  <c r="E112" i="2"/>
  <c r="E114" i="2"/>
  <c r="E59" i="2"/>
  <c r="E111" i="2"/>
  <c r="D59" i="2"/>
  <c r="D114" i="2"/>
  <c r="D111" i="2"/>
  <c r="D112" i="2"/>
  <c r="H80" i="7"/>
  <c r="U78" i="8"/>
  <c r="G80" i="7"/>
  <c r="U77" i="8"/>
  <c r="F80" i="7"/>
  <c r="U76" i="8"/>
  <c r="E80" i="7"/>
  <c r="U75" i="8"/>
  <c r="D80" i="7"/>
  <c r="U74" i="8"/>
  <c r="D123" i="6"/>
  <c r="G123" i="5"/>
  <c r="E123" i="5"/>
  <c r="H123" i="4"/>
  <c r="G123" i="4"/>
  <c r="F123" i="4"/>
  <c r="E123" i="4"/>
  <c r="D123" i="4"/>
  <c r="H123" i="3"/>
  <c r="G123" i="3"/>
  <c r="F123" i="3"/>
  <c r="E123" i="3"/>
  <c r="D123" i="3"/>
  <c r="H123" i="5"/>
  <c r="D123" i="5"/>
  <c r="H123" i="2"/>
  <c r="G123" i="2"/>
  <c r="F123" i="2"/>
  <c r="E123" i="2"/>
  <c r="D123" i="2"/>
  <c r="F123" i="5"/>
  <c r="E133" i="5" l="1"/>
  <c r="D133" i="5"/>
  <c r="F133" i="5"/>
  <c r="H133" i="5"/>
  <c r="G133" i="5"/>
  <c r="F77" i="7"/>
  <c r="Z68" i="8" s="1"/>
  <c r="H77" i="7"/>
  <c r="Z70" i="8" s="1"/>
  <c r="G77" i="7"/>
  <c r="Z69" i="8" s="1"/>
  <c r="E77" i="7"/>
  <c r="Z67" i="8" s="1"/>
  <c r="H50" i="6"/>
  <c r="H123" i="6"/>
  <c r="G50" i="6"/>
  <c r="G123" i="6"/>
  <c r="F50" i="6"/>
  <c r="F123" i="6"/>
  <c r="E50" i="6"/>
  <c r="E123" i="6"/>
  <c r="U22" i="8"/>
  <c r="H23" i="7"/>
  <c r="U21" i="8"/>
  <c r="G23" i="7"/>
  <c r="U20" i="8"/>
  <c r="F23" i="7"/>
  <c r="U19" i="8"/>
  <c r="E23" i="7"/>
  <c r="U18" i="8"/>
  <c r="D23" i="7"/>
  <c r="H11" i="7"/>
  <c r="Y6" i="8"/>
  <c r="G11" i="7"/>
  <c r="Y5" i="8"/>
  <c r="F19" i="7"/>
  <c r="Y12" i="8"/>
  <c r="Y4" i="8"/>
  <c r="F11" i="7"/>
  <c r="Y11" i="8"/>
  <c r="E19" i="7"/>
  <c r="Y3" i="8"/>
  <c r="E11" i="7"/>
  <c r="Y10" i="8"/>
  <c r="D19" i="7"/>
  <c r="D11" i="7"/>
  <c r="Y2" i="8"/>
  <c r="H125" i="7"/>
  <c r="X118" i="8"/>
  <c r="H100" i="7"/>
  <c r="X94" i="8"/>
  <c r="G100" i="7"/>
  <c r="X93" i="8"/>
  <c r="X92" i="8"/>
  <c r="F100" i="7"/>
  <c r="X91" i="8"/>
  <c r="E100" i="7"/>
  <c r="D100" i="7"/>
  <c r="X90" i="8"/>
  <c r="H203" i="7"/>
  <c r="U198" i="8"/>
  <c r="H187" i="7"/>
  <c r="U182" i="8"/>
  <c r="H207" i="7"/>
  <c r="Y198" i="8"/>
  <c r="H191" i="7"/>
  <c r="Y182" i="8"/>
  <c r="G207" i="7"/>
  <c r="Y197" i="8"/>
  <c r="G191" i="7"/>
  <c r="Y181" i="8"/>
  <c r="F207" i="7"/>
  <c r="Y196" i="8"/>
  <c r="F191" i="7"/>
  <c r="Y180" i="8"/>
  <c r="E207" i="7"/>
  <c r="Y195" i="8"/>
  <c r="E191" i="7"/>
  <c r="Y179" i="8"/>
  <c r="D191" i="7"/>
  <c r="Y178" i="8"/>
  <c r="D207" i="7"/>
  <c r="Y194" i="8"/>
  <c r="D132" i="6"/>
  <c r="D131" i="6"/>
  <c r="D130" i="6"/>
  <c r="D136" i="6"/>
  <c r="D138" i="6"/>
  <c r="D83" i="6"/>
  <c r="D141" i="6" s="1"/>
  <c r="D126" i="6"/>
  <c r="D129" i="6"/>
  <c r="D134" i="6"/>
  <c r="Y118" i="8"/>
  <c r="H126" i="7"/>
  <c r="H79" i="6"/>
  <c r="H82" i="6"/>
  <c r="H86" i="6"/>
  <c r="H87" i="6" s="1"/>
  <c r="H88" i="6" s="1"/>
  <c r="H133" i="6" s="1"/>
  <c r="G79" i="6"/>
  <c r="G82" i="6"/>
  <c r="G86" i="6"/>
  <c r="G87" i="6" s="1"/>
  <c r="G88" i="6" s="1"/>
  <c r="G133" i="6" s="1"/>
  <c r="G126" i="7"/>
  <c r="Y117" i="8"/>
  <c r="F126" i="7"/>
  <c r="Y116" i="8"/>
  <c r="F82" i="6"/>
  <c r="F86" i="6"/>
  <c r="F87" i="6" s="1"/>
  <c r="F88" i="6" s="1"/>
  <c r="F133" i="6" s="1"/>
  <c r="F79" i="6"/>
  <c r="E82" i="6"/>
  <c r="E86" i="6"/>
  <c r="E87" i="6" s="1"/>
  <c r="E88" i="6" s="1"/>
  <c r="E133" i="6" s="1"/>
  <c r="E79" i="6"/>
  <c r="Y115" i="8"/>
  <c r="E126" i="7"/>
  <c r="H206" i="7"/>
  <c r="X198" i="8"/>
  <c r="H190" i="7"/>
  <c r="X182" i="8"/>
  <c r="G190" i="7"/>
  <c r="X181" i="8"/>
  <c r="G206" i="7"/>
  <c r="X197" i="8"/>
  <c r="F190" i="7"/>
  <c r="X180" i="8"/>
  <c r="F206" i="7"/>
  <c r="X196" i="8"/>
  <c r="E206" i="7"/>
  <c r="X195" i="8"/>
  <c r="E190" i="7"/>
  <c r="X179" i="8"/>
  <c r="D190" i="7"/>
  <c r="X178" i="8"/>
  <c r="D206" i="7"/>
  <c r="X194" i="8"/>
  <c r="H130" i="5"/>
  <c r="H131" i="5"/>
  <c r="H132" i="5"/>
  <c r="H136" i="5"/>
  <c r="H138" i="5"/>
  <c r="H83" i="5"/>
  <c r="H141" i="5" s="1"/>
  <c r="H126" i="5"/>
  <c r="H129" i="5"/>
  <c r="H134" i="5"/>
  <c r="H165" i="7"/>
  <c r="X158" i="8"/>
  <c r="G130" i="5"/>
  <c r="G131" i="5"/>
  <c r="G132" i="5"/>
  <c r="G136" i="5"/>
  <c r="G138" i="5"/>
  <c r="G83" i="5"/>
  <c r="G141" i="5" s="1"/>
  <c r="G126" i="5"/>
  <c r="G129" i="5"/>
  <c r="G134" i="5"/>
  <c r="G165" i="7"/>
  <c r="X157" i="8"/>
  <c r="F130" i="5"/>
  <c r="F131" i="5"/>
  <c r="F132" i="5"/>
  <c r="F136" i="5"/>
  <c r="F138" i="5"/>
  <c r="F83" i="5"/>
  <c r="F141" i="5" s="1"/>
  <c r="F126" i="5"/>
  <c r="F129" i="5"/>
  <c r="F134" i="5"/>
  <c r="E130" i="5"/>
  <c r="E131" i="5"/>
  <c r="E132" i="5"/>
  <c r="E136" i="5"/>
  <c r="E138" i="5"/>
  <c r="E83" i="5"/>
  <c r="E141" i="5" s="1"/>
  <c r="E126" i="5"/>
  <c r="E129" i="5"/>
  <c r="E134" i="5"/>
  <c r="E165" i="7"/>
  <c r="X155" i="8"/>
  <c r="D130" i="5"/>
  <c r="D131" i="5"/>
  <c r="D132" i="5"/>
  <c r="D136" i="5"/>
  <c r="D138" i="5"/>
  <c r="D83" i="5"/>
  <c r="D141" i="5" s="1"/>
  <c r="D126" i="5"/>
  <c r="D129" i="5"/>
  <c r="D134" i="5"/>
  <c r="D165" i="7"/>
  <c r="X154" i="8"/>
  <c r="H79" i="4"/>
  <c r="H82" i="4"/>
  <c r="H86" i="4"/>
  <c r="H87" i="4" s="1"/>
  <c r="H88" i="4" s="1"/>
  <c r="H133" i="4" s="1"/>
  <c r="H124" i="7"/>
  <c r="W118" i="8"/>
  <c r="G82" i="4"/>
  <c r="G79" i="4"/>
  <c r="G86" i="4"/>
  <c r="G87" i="4" s="1"/>
  <c r="G88" i="4" s="1"/>
  <c r="G133" i="4" s="1"/>
  <c r="G124" i="7"/>
  <c r="W117" i="8"/>
  <c r="F124" i="7"/>
  <c r="W116" i="8"/>
  <c r="F82" i="4"/>
  <c r="F79" i="4"/>
  <c r="F86" i="4"/>
  <c r="F87" i="4" s="1"/>
  <c r="F88" i="4" s="1"/>
  <c r="F133" i="4" s="1"/>
  <c r="E82" i="4"/>
  <c r="E79" i="4"/>
  <c r="E86" i="4"/>
  <c r="E87" i="4" s="1"/>
  <c r="E88" i="4" s="1"/>
  <c r="E133" i="4" s="1"/>
  <c r="E124" i="7"/>
  <c r="W115" i="8"/>
  <c r="D79" i="4"/>
  <c r="D82" i="4"/>
  <c r="D86" i="4"/>
  <c r="D87" i="4" s="1"/>
  <c r="D124" i="7"/>
  <c r="W114" i="8"/>
  <c r="H99" i="7"/>
  <c r="W94" i="8"/>
  <c r="H107" i="7"/>
  <c r="W102" i="8"/>
  <c r="G99" i="7"/>
  <c r="W93" i="8"/>
  <c r="G107" i="7"/>
  <c r="W101" i="8"/>
  <c r="F107" i="7"/>
  <c r="W100" i="8"/>
  <c r="F99" i="7"/>
  <c r="W92" i="8"/>
  <c r="E99" i="7"/>
  <c r="W91" i="8"/>
  <c r="E107" i="7"/>
  <c r="W99" i="8"/>
  <c r="D107" i="7"/>
  <c r="W98" i="8"/>
  <c r="D99" i="7"/>
  <c r="W90" i="8"/>
  <c r="D58" i="7"/>
  <c r="W50" i="8"/>
  <c r="D42" i="7"/>
  <c r="W34" i="8"/>
  <c r="H58" i="7"/>
  <c r="W54" i="8"/>
  <c r="H42" i="7"/>
  <c r="W38" i="8"/>
  <c r="G58" i="7"/>
  <c r="W53" i="8"/>
  <c r="G42" i="7"/>
  <c r="W37" i="8"/>
  <c r="F42" i="7"/>
  <c r="W36" i="8"/>
  <c r="F58" i="7"/>
  <c r="W52" i="8"/>
  <c r="E58" i="7"/>
  <c r="W51" i="8"/>
  <c r="E42" i="7"/>
  <c r="W35" i="8"/>
  <c r="H25" i="7"/>
  <c r="W22" i="8"/>
  <c r="G25" i="7"/>
  <c r="W21" i="8"/>
  <c r="F25" i="7"/>
  <c r="W20" i="8"/>
  <c r="E25" i="7"/>
  <c r="W19" i="8"/>
  <c r="D25" i="7"/>
  <c r="W18" i="8"/>
  <c r="H205" i="7"/>
  <c r="W198" i="8"/>
  <c r="H189" i="7"/>
  <c r="W182" i="8"/>
  <c r="G189" i="7"/>
  <c r="W181" i="8"/>
  <c r="G205" i="7"/>
  <c r="W197" i="8"/>
  <c r="F205" i="7"/>
  <c r="W196" i="8"/>
  <c r="F189" i="7"/>
  <c r="W180" i="8"/>
  <c r="E205" i="7"/>
  <c r="W195" i="8"/>
  <c r="E189" i="7"/>
  <c r="W179" i="8"/>
  <c r="D189" i="7"/>
  <c r="W178" i="8"/>
  <c r="D205" i="7"/>
  <c r="W194" i="8"/>
  <c r="H9" i="7"/>
  <c r="W6" i="8"/>
  <c r="H33" i="7"/>
  <c r="W30" i="8"/>
  <c r="H17" i="7"/>
  <c r="W14" i="8"/>
  <c r="G17" i="7"/>
  <c r="W13" i="8"/>
  <c r="G33" i="7"/>
  <c r="W29" i="8"/>
  <c r="G9" i="7"/>
  <c r="W5" i="8"/>
  <c r="F33" i="7"/>
  <c r="W28" i="8"/>
  <c r="F17" i="7"/>
  <c r="W12" i="8"/>
  <c r="F9" i="7"/>
  <c r="W4" i="8"/>
  <c r="E33" i="7"/>
  <c r="W27" i="8"/>
  <c r="E17" i="7"/>
  <c r="W11" i="8"/>
  <c r="E9" i="7"/>
  <c r="W3" i="8"/>
  <c r="D33" i="7"/>
  <c r="W26" i="8"/>
  <c r="D17" i="7"/>
  <c r="W10" i="8"/>
  <c r="D9" i="7"/>
  <c r="W2" i="8"/>
  <c r="H82" i="3"/>
  <c r="H86" i="3"/>
  <c r="H87" i="3" s="1"/>
  <c r="H88" i="3" s="1"/>
  <c r="H133" i="3" s="1"/>
  <c r="H79" i="3"/>
  <c r="H123" i="7"/>
  <c r="V118" i="8"/>
  <c r="G123" i="7"/>
  <c r="V117" i="8"/>
  <c r="G82" i="3"/>
  <c r="G79" i="3"/>
  <c r="G86" i="3"/>
  <c r="G87" i="3" s="1"/>
  <c r="G88" i="3" s="1"/>
  <c r="G133" i="3" s="1"/>
  <c r="F79" i="3"/>
  <c r="F82" i="3"/>
  <c r="F86" i="3"/>
  <c r="F87" i="3" s="1"/>
  <c r="F88" i="3" s="1"/>
  <c r="F133" i="3" s="1"/>
  <c r="F123" i="7"/>
  <c r="V116" i="8"/>
  <c r="E86" i="3"/>
  <c r="E87" i="3" s="1"/>
  <c r="E82" i="3"/>
  <c r="E79" i="3"/>
  <c r="E123" i="7"/>
  <c r="V115" i="8"/>
  <c r="D82" i="3"/>
  <c r="D86" i="3"/>
  <c r="D87" i="3" s="1"/>
  <c r="D88" i="3" s="1"/>
  <c r="D133" i="3" s="1"/>
  <c r="D79" i="3"/>
  <c r="D123" i="7"/>
  <c r="V114" i="8"/>
  <c r="H106" i="7"/>
  <c r="V102" i="8"/>
  <c r="H98" i="7"/>
  <c r="V94" i="8"/>
  <c r="G98" i="7"/>
  <c r="V93" i="8"/>
  <c r="G106" i="7"/>
  <c r="V101" i="8"/>
  <c r="F98" i="7"/>
  <c r="V92" i="8"/>
  <c r="F106" i="7"/>
  <c r="V100" i="8"/>
  <c r="E106" i="7"/>
  <c r="V99" i="8"/>
  <c r="E98" i="7"/>
  <c r="V91" i="8"/>
  <c r="D98" i="7"/>
  <c r="V90" i="8"/>
  <c r="D106" i="7"/>
  <c r="V98" i="8"/>
  <c r="D57" i="7"/>
  <c r="V50" i="8"/>
  <c r="D41" i="7"/>
  <c r="V34" i="8"/>
  <c r="H57" i="7"/>
  <c r="V54" i="8"/>
  <c r="H41" i="7"/>
  <c r="V38" i="8"/>
  <c r="G41" i="7"/>
  <c r="V37" i="8"/>
  <c r="G57" i="7"/>
  <c r="V53" i="8"/>
  <c r="F41" i="7"/>
  <c r="V36" i="8"/>
  <c r="F57" i="7"/>
  <c r="V52" i="8"/>
  <c r="E41" i="7"/>
  <c r="V35" i="8"/>
  <c r="E57" i="7"/>
  <c r="V51" i="8"/>
  <c r="H24" i="7"/>
  <c r="V22" i="8"/>
  <c r="G24" i="7"/>
  <c r="V21" i="8"/>
  <c r="F24" i="7"/>
  <c r="V20" i="8"/>
  <c r="E24" i="7"/>
  <c r="V19" i="8"/>
  <c r="D24" i="7"/>
  <c r="V18" i="8"/>
  <c r="H188" i="7"/>
  <c r="V182" i="8"/>
  <c r="H204" i="7"/>
  <c r="V198" i="8"/>
  <c r="G188" i="7"/>
  <c r="V181" i="8"/>
  <c r="G204" i="7"/>
  <c r="V197" i="8"/>
  <c r="F204" i="7"/>
  <c r="V196" i="8"/>
  <c r="F188" i="7"/>
  <c r="V180" i="8"/>
  <c r="E204" i="7"/>
  <c r="V195" i="8"/>
  <c r="E188" i="7"/>
  <c r="V179" i="8"/>
  <c r="D188" i="7"/>
  <c r="V178" i="8"/>
  <c r="D204" i="7"/>
  <c r="D208" i="7" s="1"/>
  <c r="Z194" i="8" s="1"/>
  <c r="V194" i="8"/>
  <c r="H16" i="7"/>
  <c r="V14" i="8"/>
  <c r="H32" i="7"/>
  <c r="V30" i="8"/>
  <c r="H8" i="7"/>
  <c r="V6" i="8"/>
  <c r="G16" i="7"/>
  <c r="V13" i="8"/>
  <c r="G32" i="7"/>
  <c r="V29" i="8"/>
  <c r="G8" i="7"/>
  <c r="V5" i="8"/>
  <c r="F8" i="7"/>
  <c r="V4" i="8"/>
  <c r="F32" i="7"/>
  <c r="V28" i="8"/>
  <c r="F16" i="7"/>
  <c r="V12" i="8"/>
  <c r="E8" i="7"/>
  <c r="V3" i="8"/>
  <c r="E16" i="7"/>
  <c r="V11" i="8"/>
  <c r="E32" i="7"/>
  <c r="V27" i="8"/>
  <c r="D16" i="7"/>
  <c r="V10" i="8"/>
  <c r="D8" i="7"/>
  <c r="V2" i="8"/>
  <c r="D32" i="7"/>
  <c r="V26" i="8"/>
  <c r="H79" i="2"/>
  <c r="H82" i="2"/>
  <c r="H86" i="2"/>
  <c r="H87" i="2" s="1"/>
  <c r="H88" i="2" s="1"/>
  <c r="H133" i="2" s="1"/>
  <c r="H122" i="7"/>
  <c r="U118" i="8"/>
  <c r="G122" i="7"/>
  <c r="U117" i="8"/>
  <c r="G79" i="2"/>
  <c r="G82" i="2"/>
  <c r="G86" i="2"/>
  <c r="G87" i="2" s="1"/>
  <c r="G88" i="2" s="1"/>
  <c r="G133" i="2" s="1"/>
  <c r="F122" i="7"/>
  <c r="U116" i="8"/>
  <c r="F79" i="2"/>
  <c r="F82" i="2"/>
  <c r="F86" i="2"/>
  <c r="F87" i="2" s="1"/>
  <c r="F88" i="2" s="1"/>
  <c r="F133" i="2" s="1"/>
  <c r="E122" i="7"/>
  <c r="U115" i="8"/>
  <c r="E79" i="2"/>
  <c r="E82" i="2"/>
  <c r="E86" i="2"/>
  <c r="E87" i="2" s="1"/>
  <c r="E88" i="2" s="1"/>
  <c r="E133" i="2" s="1"/>
  <c r="D122" i="7"/>
  <c r="U114" i="8"/>
  <c r="D79" i="2"/>
  <c r="D82" i="2"/>
  <c r="D86" i="2"/>
  <c r="D87" i="2" s="1"/>
  <c r="D88" i="2" s="1"/>
  <c r="D133" i="2" s="1"/>
  <c r="H105" i="7"/>
  <c r="U102" i="8"/>
  <c r="H97" i="7"/>
  <c r="U94" i="8"/>
  <c r="G105" i="7"/>
  <c r="U101" i="8"/>
  <c r="G97" i="7"/>
  <c r="U93" i="8"/>
  <c r="F105" i="7"/>
  <c r="U100" i="8"/>
  <c r="F97" i="7"/>
  <c r="U92" i="8"/>
  <c r="E105" i="7"/>
  <c r="U99" i="8"/>
  <c r="E97" i="7"/>
  <c r="U91" i="8"/>
  <c r="D105" i="7"/>
  <c r="U98" i="8"/>
  <c r="D97" i="7"/>
  <c r="U90" i="8"/>
  <c r="D56" i="7"/>
  <c r="U50" i="8"/>
  <c r="D40" i="7"/>
  <c r="U34" i="8"/>
  <c r="H56" i="7"/>
  <c r="U54" i="8"/>
  <c r="H40" i="7"/>
  <c r="U38" i="8"/>
  <c r="G56" i="7"/>
  <c r="U53" i="8"/>
  <c r="G40" i="7"/>
  <c r="U37" i="8"/>
  <c r="F56" i="7"/>
  <c r="U52" i="8"/>
  <c r="F40" i="7"/>
  <c r="U36" i="8"/>
  <c r="E56" i="7"/>
  <c r="U51" i="8"/>
  <c r="E40" i="7"/>
  <c r="U35" i="8"/>
  <c r="G187" i="7"/>
  <c r="U181" i="8"/>
  <c r="F187" i="7"/>
  <c r="U180" i="8"/>
  <c r="E187" i="7"/>
  <c r="U179" i="8"/>
  <c r="D187" i="7"/>
  <c r="D192" i="7" s="1"/>
  <c r="Z178" i="8" s="1"/>
  <c r="U178" i="8"/>
  <c r="H15" i="7"/>
  <c r="H20" i="7" s="1"/>
  <c r="Z14" i="8" s="1"/>
  <c r="U14" i="8"/>
  <c r="H31" i="7"/>
  <c r="H36" i="7" s="1"/>
  <c r="Z30" i="8" s="1"/>
  <c r="U30" i="8"/>
  <c r="H7" i="7"/>
  <c r="H12" i="7" s="1"/>
  <c r="Z6" i="8" s="1"/>
  <c r="U6" i="8"/>
  <c r="G15" i="7"/>
  <c r="G20" i="7" s="1"/>
  <c r="Z13" i="8" s="1"/>
  <c r="U13" i="8"/>
  <c r="G31" i="7"/>
  <c r="G36" i="7" s="1"/>
  <c r="Z29" i="8" s="1"/>
  <c r="U29" i="8"/>
  <c r="G7" i="7"/>
  <c r="G12" i="7" s="1"/>
  <c r="Z5" i="8" s="1"/>
  <c r="U5" i="8"/>
  <c r="F15" i="7"/>
  <c r="U12" i="8"/>
  <c r="F31" i="7"/>
  <c r="U28" i="8"/>
  <c r="F7" i="7"/>
  <c r="U4" i="8"/>
  <c r="E15" i="7"/>
  <c r="U11" i="8"/>
  <c r="E31" i="7"/>
  <c r="U27" i="8"/>
  <c r="E7" i="7"/>
  <c r="U3" i="8"/>
  <c r="D31" i="7"/>
  <c r="U26" i="8"/>
  <c r="D7" i="7"/>
  <c r="U2" i="8"/>
  <c r="D15" i="7"/>
  <c r="U10" i="8"/>
  <c r="Y86" i="8"/>
  <c r="H93" i="7"/>
  <c r="Y85" i="8"/>
  <c r="G93" i="7"/>
  <c r="Y84" i="8"/>
  <c r="F93" i="7"/>
  <c r="E93" i="7"/>
  <c r="Y83" i="8"/>
  <c r="D93" i="7"/>
  <c r="Y82" i="8"/>
  <c r="X85" i="8"/>
  <c r="G92" i="7"/>
  <c r="X83" i="8"/>
  <c r="E92" i="7"/>
  <c r="W86" i="8"/>
  <c r="H91" i="7"/>
  <c r="W85" i="8"/>
  <c r="G91" i="7"/>
  <c r="W84" i="8"/>
  <c r="F91" i="7"/>
  <c r="W83" i="8"/>
  <c r="E91" i="7"/>
  <c r="W82" i="8"/>
  <c r="D91" i="7"/>
  <c r="V86" i="8"/>
  <c r="H90" i="7"/>
  <c r="V85" i="8"/>
  <c r="G90" i="7"/>
  <c r="V84" i="8"/>
  <c r="F90" i="7"/>
  <c r="V83" i="8"/>
  <c r="E90" i="7"/>
  <c r="V82" i="8"/>
  <c r="D90" i="7"/>
  <c r="X86" i="8"/>
  <c r="H92" i="7"/>
  <c r="D92" i="7"/>
  <c r="X82" i="8"/>
  <c r="U86" i="8"/>
  <c r="H89" i="7"/>
  <c r="U85" i="8"/>
  <c r="G89" i="7"/>
  <c r="U84" i="8"/>
  <c r="F89" i="7"/>
  <c r="U83" i="8"/>
  <c r="E89" i="7"/>
  <c r="U82" i="8"/>
  <c r="D89" i="7"/>
  <c r="X84" i="8"/>
  <c r="F92" i="7"/>
  <c r="D88" i="6"/>
  <c r="D133" i="6" s="1"/>
  <c r="H85" i="7"/>
  <c r="Z78" i="8" s="1"/>
  <c r="E85" i="7"/>
  <c r="Z75" i="8" s="1"/>
  <c r="H216" i="7"/>
  <c r="Z206" i="8" s="1"/>
  <c r="D216" i="7"/>
  <c r="Z202" i="8" s="1"/>
  <c r="F85" i="7"/>
  <c r="Z76" i="8" s="1"/>
  <c r="D85" i="7"/>
  <c r="Z74" i="8" s="1"/>
  <c r="G216" i="7"/>
  <c r="Z205" i="8" s="1"/>
  <c r="E216" i="7"/>
  <c r="Z203" i="8" s="1"/>
  <c r="G85" i="7"/>
  <c r="Z77" i="8" s="1"/>
  <c r="F216" i="7"/>
  <c r="Z204" i="8" s="1"/>
  <c r="F69" i="7"/>
  <c r="Z60" i="8" s="1"/>
  <c r="E69" i="7"/>
  <c r="Z59" i="8" s="1"/>
  <c r="D69" i="7"/>
  <c r="Z58" i="8" s="1"/>
  <c r="H53" i="7"/>
  <c r="Z46" i="8" s="1"/>
  <c r="G53" i="7"/>
  <c r="Z45" i="8" s="1"/>
  <c r="F53" i="7"/>
  <c r="Z44" i="8" s="1"/>
  <c r="E53" i="7"/>
  <c r="Z43" i="8" s="1"/>
  <c r="D53" i="7"/>
  <c r="Z42" i="8" s="1"/>
  <c r="D88" i="4" l="1"/>
  <c r="D133" i="4" s="1"/>
  <c r="E88" i="3"/>
  <c r="E133" i="3" s="1"/>
  <c r="F20" i="7"/>
  <c r="Z12" i="8" s="1"/>
  <c r="F36" i="7"/>
  <c r="Z28" i="8" s="1"/>
  <c r="H94" i="7"/>
  <c r="Z86" i="8" s="1"/>
  <c r="G94" i="7"/>
  <c r="Z85" i="8" s="1"/>
  <c r="E94" i="7"/>
  <c r="Z83" i="8" s="1"/>
  <c r="D94" i="7"/>
  <c r="Z82" i="8" s="1"/>
  <c r="F165" i="7"/>
  <c r="X156" i="8"/>
  <c r="D158" i="7"/>
  <c r="Y146" i="8"/>
  <c r="Y138" i="8"/>
  <c r="D150" i="7"/>
  <c r="D142" i="7"/>
  <c r="Y130" i="8"/>
  <c r="D183" i="7"/>
  <c r="Y170" i="8"/>
  <c r="D199" i="7"/>
  <c r="Y186" i="8"/>
  <c r="Y210" i="8"/>
  <c r="D223" i="7"/>
  <c r="D117" i="7"/>
  <c r="Y106" i="8"/>
  <c r="D134" i="7"/>
  <c r="Y122" i="8"/>
  <c r="D174" i="7"/>
  <c r="Y162" i="8"/>
  <c r="H130" i="6"/>
  <c r="H131" i="6"/>
  <c r="H136" i="6"/>
  <c r="H138" i="6"/>
  <c r="H132" i="6"/>
  <c r="H134" i="6"/>
  <c r="H83" i="6"/>
  <c r="H141" i="6" s="1"/>
  <c r="H126" i="6"/>
  <c r="H129" i="6"/>
  <c r="H166" i="7"/>
  <c r="Y158" i="8"/>
  <c r="G130" i="6"/>
  <c r="G132" i="6"/>
  <c r="G131" i="6"/>
  <c r="G136" i="6"/>
  <c r="G138" i="6"/>
  <c r="G134" i="6"/>
  <c r="G83" i="6"/>
  <c r="G141" i="6" s="1"/>
  <c r="G129" i="6"/>
  <c r="G126" i="6"/>
  <c r="G166" i="7"/>
  <c r="Y157" i="8"/>
  <c r="F83" i="6"/>
  <c r="F141" i="6" s="1"/>
  <c r="F126" i="6"/>
  <c r="F134" i="6"/>
  <c r="F129" i="6"/>
  <c r="F166" i="7"/>
  <c r="Y156" i="8"/>
  <c r="F130" i="6"/>
  <c r="F132" i="6"/>
  <c r="F131" i="6"/>
  <c r="F136" i="6"/>
  <c r="F138" i="6"/>
  <c r="E83" i="6"/>
  <c r="E141" i="6" s="1"/>
  <c r="E126" i="6"/>
  <c r="E129" i="6"/>
  <c r="E134" i="6"/>
  <c r="E166" i="7"/>
  <c r="Y155" i="8"/>
  <c r="E132" i="6"/>
  <c r="E130" i="6"/>
  <c r="E131" i="6"/>
  <c r="E136" i="6"/>
  <c r="E138" i="6"/>
  <c r="H141" i="7"/>
  <c r="X134" i="8"/>
  <c r="H149" i="7"/>
  <c r="X142" i="8"/>
  <c r="H157" i="7"/>
  <c r="X150" i="8"/>
  <c r="H182" i="7"/>
  <c r="X174" i="8"/>
  <c r="H198" i="7"/>
  <c r="X190" i="8"/>
  <c r="X214" i="8"/>
  <c r="H222" i="7"/>
  <c r="H116" i="7"/>
  <c r="X110" i="8"/>
  <c r="H133" i="7"/>
  <c r="X126" i="8"/>
  <c r="H173" i="7"/>
  <c r="X166" i="8"/>
  <c r="G141" i="7"/>
  <c r="X133" i="8"/>
  <c r="G149" i="7"/>
  <c r="X141" i="8"/>
  <c r="G157" i="7"/>
  <c r="X149" i="8"/>
  <c r="G182" i="7"/>
  <c r="X173" i="8"/>
  <c r="G198" i="7"/>
  <c r="X189" i="8"/>
  <c r="X213" i="8"/>
  <c r="G222" i="7"/>
  <c r="G116" i="7"/>
  <c r="X109" i="8"/>
  <c r="G133" i="7"/>
  <c r="X125" i="8"/>
  <c r="G173" i="7"/>
  <c r="X165" i="8"/>
  <c r="F141" i="7"/>
  <c r="X132" i="8"/>
  <c r="F149" i="7"/>
  <c r="X140" i="8"/>
  <c r="F157" i="7"/>
  <c r="X148" i="8"/>
  <c r="F182" i="7"/>
  <c r="X172" i="8"/>
  <c r="F198" i="7"/>
  <c r="X188" i="8"/>
  <c r="X212" i="8"/>
  <c r="F222" i="7"/>
  <c r="F116" i="7"/>
  <c r="X108" i="8"/>
  <c r="F133" i="7"/>
  <c r="X124" i="8"/>
  <c r="F173" i="7"/>
  <c r="X164" i="8"/>
  <c r="E141" i="7"/>
  <c r="X131" i="8"/>
  <c r="E149" i="7"/>
  <c r="X139" i="8"/>
  <c r="E157" i="7"/>
  <c r="X147" i="8"/>
  <c r="E182" i="7"/>
  <c r="X171" i="8"/>
  <c r="E198" i="7"/>
  <c r="X187" i="8"/>
  <c r="X211" i="8"/>
  <c r="E222" i="7"/>
  <c r="E116" i="7"/>
  <c r="X107" i="8"/>
  <c r="E133" i="7"/>
  <c r="X123" i="8"/>
  <c r="E173" i="7"/>
  <c r="X163" i="8"/>
  <c r="D141" i="7"/>
  <c r="X130" i="8"/>
  <c r="D149" i="7"/>
  <c r="X138" i="8"/>
  <c r="D157" i="7"/>
  <c r="X146" i="8"/>
  <c r="D182" i="7"/>
  <c r="X170" i="8"/>
  <c r="D198" i="7"/>
  <c r="X186" i="8"/>
  <c r="X210" i="8"/>
  <c r="D222" i="7"/>
  <c r="D116" i="7"/>
  <c r="X106" i="8"/>
  <c r="D133" i="7"/>
  <c r="X122" i="8"/>
  <c r="D173" i="7"/>
  <c r="X162" i="8"/>
  <c r="H130" i="4"/>
  <c r="H131" i="4"/>
  <c r="H132" i="4"/>
  <c r="H136" i="4"/>
  <c r="H138" i="4"/>
  <c r="H83" i="4"/>
  <c r="H141" i="4" s="1"/>
  <c r="H126" i="4"/>
  <c r="H129" i="4"/>
  <c r="H134" i="4"/>
  <c r="H164" i="7"/>
  <c r="W158" i="8"/>
  <c r="G83" i="4"/>
  <c r="G141" i="4" s="1"/>
  <c r="G126" i="4"/>
  <c r="G129" i="4"/>
  <c r="G134" i="4"/>
  <c r="G130" i="4"/>
  <c r="G131" i="4"/>
  <c r="G132" i="4"/>
  <c r="G136" i="4"/>
  <c r="G138" i="4"/>
  <c r="G164" i="7"/>
  <c r="W157" i="8"/>
  <c r="F83" i="4"/>
  <c r="F141" i="4" s="1"/>
  <c r="F126" i="4"/>
  <c r="F129" i="4"/>
  <c r="F134" i="4"/>
  <c r="F130" i="4"/>
  <c r="F131" i="4"/>
  <c r="F132" i="4"/>
  <c r="F136" i="4"/>
  <c r="F138" i="4"/>
  <c r="F164" i="7"/>
  <c r="W156" i="8"/>
  <c r="E83" i="4"/>
  <c r="E141" i="4" s="1"/>
  <c r="E126" i="4"/>
  <c r="E129" i="4"/>
  <c r="E134" i="4"/>
  <c r="E130" i="4"/>
  <c r="E131" i="4"/>
  <c r="E132" i="4"/>
  <c r="E136" i="4"/>
  <c r="E138" i="4"/>
  <c r="E164" i="7"/>
  <c r="W155" i="8"/>
  <c r="D130" i="4"/>
  <c r="D131" i="4"/>
  <c r="D132" i="4"/>
  <c r="D136" i="4"/>
  <c r="D138" i="4"/>
  <c r="D126" i="4"/>
  <c r="D129" i="4"/>
  <c r="D134" i="4"/>
  <c r="D83" i="4"/>
  <c r="D141" i="4" s="1"/>
  <c r="H83" i="3"/>
  <c r="H141" i="3" s="1"/>
  <c r="H129" i="3"/>
  <c r="H134" i="3"/>
  <c r="H126" i="3"/>
  <c r="H163" i="7"/>
  <c r="V158" i="8"/>
  <c r="H138" i="3"/>
  <c r="H130" i="3"/>
  <c r="H131" i="3"/>
  <c r="H132" i="3"/>
  <c r="H136" i="3"/>
  <c r="G83" i="3"/>
  <c r="G141" i="3" s="1"/>
  <c r="G126" i="3"/>
  <c r="G129" i="3"/>
  <c r="G134" i="3"/>
  <c r="G130" i="3"/>
  <c r="G131" i="3"/>
  <c r="G132" i="3"/>
  <c r="G136" i="3"/>
  <c r="G138" i="3"/>
  <c r="G163" i="7"/>
  <c r="V157" i="8"/>
  <c r="F138" i="3"/>
  <c r="F130" i="3"/>
  <c r="F131" i="3"/>
  <c r="F132" i="3"/>
  <c r="F136" i="3"/>
  <c r="F83" i="3"/>
  <c r="F141" i="3" s="1"/>
  <c r="F129" i="3"/>
  <c r="F134" i="3"/>
  <c r="F126" i="3"/>
  <c r="F163" i="7"/>
  <c r="V156" i="8"/>
  <c r="E126" i="3"/>
  <c r="E129" i="3"/>
  <c r="E134" i="3"/>
  <c r="E83" i="3"/>
  <c r="E141" i="3" s="1"/>
  <c r="E130" i="3"/>
  <c r="E131" i="3"/>
  <c r="E132" i="3"/>
  <c r="E136" i="3"/>
  <c r="E138" i="3"/>
  <c r="D126" i="3"/>
  <c r="D83" i="3"/>
  <c r="D141" i="3" s="1"/>
  <c r="D129" i="3"/>
  <c r="D134" i="3"/>
  <c r="D163" i="7"/>
  <c r="V154" i="8"/>
  <c r="D130" i="3"/>
  <c r="D131" i="3"/>
  <c r="D132" i="3"/>
  <c r="D136" i="3"/>
  <c r="D138" i="3"/>
  <c r="H130" i="2"/>
  <c r="H131" i="2"/>
  <c r="H132" i="2"/>
  <c r="H136" i="2"/>
  <c r="H138" i="2"/>
  <c r="H83" i="2"/>
  <c r="H141" i="2" s="1"/>
  <c r="H126" i="2"/>
  <c r="H129" i="2"/>
  <c r="H134" i="2"/>
  <c r="H162" i="7"/>
  <c r="U158" i="8"/>
  <c r="G130" i="2"/>
  <c r="G131" i="2"/>
  <c r="G132" i="2"/>
  <c r="G136" i="2"/>
  <c r="G138" i="2"/>
  <c r="G83" i="2"/>
  <c r="G141" i="2" s="1"/>
  <c r="G126" i="2"/>
  <c r="G129" i="2"/>
  <c r="G134" i="2"/>
  <c r="G162" i="7"/>
  <c r="U157" i="8"/>
  <c r="F130" i="2"/>
  <c r="F131" i="2"/>
  <c r="F132" i="2"/>
  <c r="F136" i="2"/>
  <c r="F138" i="2"/>
  <c r="F83" i="2"/>
  <c r="F141" i="2" s="1"/>
  <c r="F126" i="2"/>
  <c r="F129" i="2"/>
  <c r="F134" i="2"/>
  <c r="F162" i="7"/>
  <c r="U156" i="8"/>
  <c r="E130" i="2"/>
  <c r="E131" i="2"/>
  <c r="E132" i="2"/>
  <c r="E136" i="2"/>
  <c r="E138" i="2"/>
  <c r="E83" i="2"/>
  <c r="E141" i="2" s="1"/>
  <c r="E126" i="2"/>
  <c r="E129" i="2"/>
  <c r="E134" i="2"/>
  <c r="E162" i="7"/>
  <c r="U155" i="8"/>
  <c r="D130" i="2"/>
  <c r="D131" i="2"/>
  <c r="D132" i="2"/>
  <c r="D136" i="2"/>
  <c r="D138" i="2"/>
  <c r="D83" i="2"/>
  <c r="D141" i="2" s="1"/>
  <c r="D126" i="2"/>
  <c r="D129" i="2"/>
  <c r="D134" i="2"/>
  <c r="D162" i="7"/>
  <c r="U154" i="8"/>
  <c r="C36" i="7"/>
  <c r="D36" i="7"/>
  <c r="Z26" i="8" s="1"/>
  <c r="Y154" i="8"/>
  <c r="D166" i="7"/>
  <c r="H127" i="7"/>
  <c r="Z118" i="8" s="1"/>
  <c r="D127" i="7"/>
  <c r="Z114" i="8" s="1"/>
  <c r="H110" i="7"/>
  <c r="Z102" i="8" s="1"/>
  <c r="G110" i="7"/>
  <c r="Z101" i="8" s="1"/>
  <c r="F102" i="7"/>
  <c r="Z92" i="8" s="1"/>
  <c r="D110" i="7"/>
  <c r="Z98" i="8" s="1"/>
  <c r="D102" i="7"/>
  <c r="Z90" i="8" s="1"/>
  <c r="H61" i="7"/>
  <c r="Z54" i="8" s="1"/>
  <c r="G61" i="7"/>
  <c r="Z53" i="8" s="1"/>
  <c r="G45" i="7"/>
  <c r="Z37" i="8" s="1"/>
  <c r="F61" i="7"/>
  <c r="Z52" i="8" s="1"/>
  <c r="E45" i="7"/>
  <c r="Z35" i="8" s="1"/>
  <c r="G192" i="7"/>
  <c r="Z181" i="8" s="1"/>
  <c r="H28" i="7"/>
  <c r="Z22" i="8" s="1"/>
  <c r="G28" i="7"/>
  <c r="Z21" i="8" s="1"/>
  <c r="F28" i="7"/>
  <c r="Z20" i="8" s="1"/>
  <c r="E208" i="7"/>
  <c r="Z195" i="8" s="1"/>
  <c r="F127" i="7"/>
  <c r="Z116" i="8" s="1"/>
  <c r="H102" i="7"/>
  <c r="Z94" i="8" s="1"/>
  <c r="G102" i="7"/>
  <c r="Z93" i="8" s="1"/>
  <c r="F110" i="7"/>
  <c r="Z100" i="8" s="1"/>
  <c r="E110" i="7"/>
  <c r="Z99" i="8" s="1"/>
  <c r="D45" i="7"/>
  <c r="Z34" i="8" s="1"/>
  <c r="F45" i="7"/>
  <c r="Z36" i="8" s="1"/>
  <c r="F192" i="7"/>
  <c r="Z180" i="8" s="1"/>
  <c r="E28" i="7"/>
  <c r="Z19" i="8" s="1"/>
  <c r="D28" i="7"/>
  <c r="Z18" i="8" s="1"/>
  <c r="H192" i="7"/>
  <c r="Z182" i="8" s="1"/>
  <c r="H208" i="7"/>
  <c r="Z198" i="8" s="1"/>
  <c r="G208" i="7"/>
  <c r="Z197" i="8" s="1"/>
  <c r="F208" i="7"/>
  <c r="Z196" i="8" s="1"/>
  <c r="G127" i="7"/>
  <c r="Z117" i="8" s="1"/>
  <c r="E127" i="7"/>
  <c r="Z115" i="8" s="1"/>
  <c r="E102" i="7"/>
  <c r="Z91" i="8" s="1"/>
  <c r="D61" i="7"/>
  <c r="Z50" i="8" s="1"/>
  <c r="H45" i="7"/>
  <c r="Z38" i="8" s="1"/>
  <c r="E61" i="7"/>
  <c r="Z51" i="8" s="1"/>
  <c r="E192" i="7"/>
  <c r="Z179" i="8" s="1"/>
  <c r="F12" i="7"/>
  <c r="Z4" i="8" s="1"/>
  <c r="E20" i="7"/>
  <c r="Z11" i="8" s="1"/>
  <c r="E36" i="7"/>
  <c r="Z27" i="8" s="1"/>
  <c r="E12" i="7"/>
  <c r="Z3" i="8" s="1"/>
  <c r="D12" i="7"/>
  <c r="Z2" i="8" s="1"/>
  <c r="D20" i="7"/>
  <c r="Z10" i="8" s="1"/>
  <c r="F94" i="7"/>
  <c r="Z84" i="8" s="1"/>
  <c r="D164" i="7" l="1"/>
  <c r="W154" i="8"/>
  <c r="E163" i="7"/>
  <c r="E167" i="7" s="1"/>
  <c r="Z155" i="8" s="1"/>
  <c r="V155" i="8"/>
  <c r="Y134" i="8"/>
  <c r="H142" i="7"/>
  <c r="H150" i="7"/>
  <c r="Y142" i="8"/>
  <c r="H183" i="7"/>
  <c r="Y174" i="8"/>
  <c r="H199" i="7"/>
  <c r="Y190" i="8"/>
  <c r="H158" i="7"/>
  <c r="Y150" i="8"/>
  <c r="H174" i="7"/>
  <c r="Y166" i="8"/>
  <c r="Y214" i="8"/>
  <c r="H223" i="7"/>
  <c r="H117" i="7"/>
  <c r="Y110" i="8"/>
  <c r="H134" i="7"/>
  <c r="Y126" i="8"/>
  <c r="G142" i="7"/>
  <c r="Y133" i="8"/>
  <c r="G158" i="7"/>
  <c r="Y149" i="8"/>
  <c r="G150" i="7"/>
  <c r="Y141" i="8"/>
  <c r="G183" i="7"/>
  <c r="Y173" i="8"/>
  <c r="G199" i="7"/>
  <c r="Y189" i="8"/>
  <c r="G174" i="7"/>
  <c r="Y165" i="8"/>
  <c r="Y213" i="8"/>
  <c r="G223" i="7"/>
  <c r="Y125" i="8"/>
  <c r="G134" i="7"/>
  <c r="Y109" i="8"/>
  <c r="G117" i="7"/>
  <c r="Y212" i="8"/>
  <c r="F223" i="7"/>
  <c r="F117" i="7"/>
  <c r="Y108" i="8"/>
  <c r="F174" i="7"/>
  <c r="Y164" i="8"/>
  <c r="Y124" i="8"/>
  <c r="F134" i="7"/>
  <c r="F142" i="7"/>
  <c r="Y132" i="8"/>
  <c r="F158" i="7"/>
  <c r="Y148" i="8"/>
  <c r="F150" i="7"/>
  <c r="Y140" i="8"/>
  <c r="F183" i="7"/>
  <c r="Y172" i="8"/>
  <c r="F199" i="7"/>
  <c r="Y188" i="8"/>
  <c r="Y211" i="8"/>
  <c r="E223" i="7"/>
  <c r="E117" i="7"/>
  <c r="Y107" i="8"/>
  <c r="E134" i="7"/>
  <c r="Y123" i="8"/>
  <c r="E174" i="7"/>
  <c r="Y163" i="8"/>
  <c r="E158" i="7"/>
  <c r="Y147" i="8"/>
  <c r="E142" i="7"/>
  <c r="Y131" i="8"/>
  <c r="E150" i="7"/>
  <c r="Y139" i="8"/>
  <c r="E183" i="7"/>
  <c r="Y171" i="8"/>
  <c r="E199" i="7"/>
  <c r="Y187" i="8"/>
  <c r="H140" i="7"/>
  <c r="W134" i="8"/>
  <c r="H148" i="7"/>
  <c r="W142" i="8"/>
  <c r="H156" i="7"/>
  <c r="W150" i="8"/>
  <c r="H181" i="7"/>
  <c r="W174" i="8"/>
  <c r="H197" i="7"/>
  <c r="W190" i="8"/>
  <c r="W214" i="8"/>
  <c r="H221" i="7"/>
  <c r="H115" i="7"/>
  <c r="W110" i="8"/>
  <c r="H132" i="7"/>
  <c r="W126" i="8"/>
  <c r="H172" i="7"/>
  <c r="W166" i="8"/>
  <c r="W213" i="8"/>
  <c r="G221" i="7"/>
  <c r="G115" i="7"/>
  <c r="W109" i="8"/>
  <c r="G132" i="7"/>
  <c r="W125" i="8"/>
  <c r="G172" i="7"/>
  <c r="W165" i="8"/>
  <c r="G140" i="7"/>
  <c r="W133" i="8"/>
  <c r="G148" i="7"/>
  <c r="W141" i="8"/>
  <c r="G156" i="7"/>
  <c r="W149" i="8"/>
  <c r="G181" i="7"/>
  <c r="W173" i="8"/>
  <c r="G197" i="7"/>
  <c r="W189" i="8"/>
  <c r="W212" i="8"/>
  <c r="F221" i="7"/>
  <c r="F115" i="7"/>
  <c r="W108" i="8"/>
  <c r="F132" i="7"/>
  <c r="W124" i="8"/>
  <c r="F172" i="7"/>
  <c r="W164" i="8"/>
  <c r="F140" i="7"/>
  <c r="W132" i="8"/>
  <c r="F148" i="7"/>
  <c r="W140" i="8"/>
  <c r="F156" i="7"/>
  <c r="W148" i="8"/>
  <c r="F181" i="7"/>
  <c r="W172" i="8"/>
  <c r="F197" i="7"/>
  <c r="W188" i="8"/>
  <c r="W211" i="8"/>
  <c r="E221" i="7"/>
  <c r="E115" i="7"/>
  <c r="W107" i="8"/>
  <c r="E132" i="7"/>
  <c r="W123" i="8"/>
  <c r="E172" i="7"/>
  <c r="W163" i="8"/>
  <c r="E140" i="7"/>
  <c r="W131" i="8"/>
  <c r="E148" i="7"/>
  <c r="W139" i="8"/>
  <c r="E156" i="7"/>
  <c r="W147" i="8"/>
  <c r="E181" i="7"/>
  <c r="W171" i="8"/>
  <c r="E197" i="7"/>
  <c r="W187" i="8"/>
  <c r="D140" i="7"/>
  <c r="W130" i="8"/>
  <c r="D148" i="7"/>
  <c r="W138" i="8"/>
  <c r="D156" i="7"/>
  <c r="W146" i="8"/>
  <c r="D181" i="7"/>
  <c r="W170" i="8"/>
  <c r="D197" i="7"/>
  <c r="W186" i="8"/>
  <c r="D115" i="7"/>
  <c r="W106" i="8"/>
  <c r="D132" i="7"/>
  <c r="W122" i="8"/>
  <c r="D172" i="7"/>
  <c r="W162" i="8"/>
  <c r="W210" i="8"/>
  <c r="D221" i="7"/>
  <c r="V214" i="8"/>
  <c r="H220" i="7"/>
  <c r="H131" i="7"/>
  <c r="V126" i="8"/>
  <c r="H171" i="7"/>
  <c r="V166" i="8"/>
  <c r="H114" i="7"/>
  <c r="V110" i="8"/>
  <c r="H196" i="7"/>
  <c r="V190" i="8"/>
  <c r="H139" i="7"/>
  <c r="V134" i="8"/>
  <c r="H147" i="7"/>
  <c r="V142" i="8"/>
  <c r="H155" i="7"/>
  <c r="V150" i="8"/>
  <c r="H180" i="7"/>
  <c r="V174" i="8"/>
  <c r="V213" i="8"/>
  <c r="G220" i="7"/>
  <c r="G114" i="7"/>
  <c r="V109" i="8"/>
  <c r="G131" i="7"/>
  <c r="V125" i="8"/>
  <c r="G171" i="7"/>
  <c r="V165" i="8"/>
  <c r="G139" i="7"/>
  <c r="V133" i="8"/>
  <c r="G147" i="7"/>
  <c r="V141" i="8"/>
  <c r="G155" i="7"/>
  <c r="V149" i="8"/>
  <c r="G180" i="7"/>
  <c r="V173" i="8"/>
  <c r="G196" i="7"/>
  <c r="V189" i="8"/>
  <c r="F196" i="7"/>
  <c r="V188" i="8"/>
  <c r="F139" i="7"/>
  <c r="V132" i="8"/>
  <c r="F147" i="7"/>
  <c r="V140" i="8"/>
  <c r="F155" i="7"/>
  <c r="V148" i="8"/>
  <c r="F180" i="7"/>
  <c r="V172" i="8"/>
  <c r="V212" i="8"/>
  <c r="F220" i="7"/>
  <c r="F131" i="7"/>
  <c r="V124" i="8"/>
  <c r="F171" i="7"/>
  <c r="V164" i="8"/>
  <c r="F114" i="7"/>
  <c r="V108" i="8"/>
  <c r="E114" i="7"/>
  <c r="V107" i="8"/>
  <c r="E131" i="7"/>
  <c r="V123" i="8"/>
  <c r="E171" i="7"/>
  <c r="V163" i="8"/>
  <c r="V211" i="8"/>
  <c r="E220" i="7"/>
  <c r="E139" i="7"/>
  <c r="V131" i="8"/>
  <c r="E147" i="7"/>
  <c r="V139" i="8"/>
  <c r="E155" i="7"/>
  <c r="V147" i="8"/>
  <c r="E180" i="7"/>
  <c r="V171" i="8"/>
  <c r="E196" i="7"/>
  <c r="V187" i="8"/>
  <c r="D114" i="7"/>
  <c r="V106" i="8"/>
  <c r="V210" i="8"/>
  <c r="D220" i="7"/>
  <c r="D131" i="7"/>
  <c r="V122" i="8"/>
  <c r="D171" i="7"/>
  <c r="V162" i="8"/>
  <c r="D139" i="7"/>
  <c r="V130" i="8"/>
  <c r="D147" i="7"/>
  <c r="V138" i="8"/>
  <c r="D155" i="7"/>
  <c r="V146" i="8"/>
  <c r="D180" i="7"/>
  <c r="V170" i="8"/>
  <c r="D196" i="7"/>
  <c r="V186" i="8"/>
  <c r="H138" i="7"/>
  <c r="U134" i="8"/>
  <c r="H146" i="7"/>
  <c r="U142" i="8"/>
  <c r="H154" i="7"/>
  <c r="U150" i="8"/>
  <c r="H179" i="7"/>
  <c r="U174" i="8"/>
  <c r="H195" i="7"/>
  <c r="U190" i="8"/>
  <c r="U214" i="8"/>
  <c r="H219" i="7"/>
  <c r="H113" i="7"/>
  <c r="U110" i="8"/>
  <c r="H130" i="7"/>
  <c r="U126" i="8"/>
  <c r="H170" i="7"/>
  <c r="U166" i="8"/>
  <c r="G138" i="7"/>
  <c r="U133" i="8"/>
  <c r="G146" i="7"/>
  <c r="U141" i="8"/>
  <c r="G154" i="7"/>
  <c r="U149" i="8"/>
  <c r="G179" i="7"/>
  <c r="U173" i="8"/>
  <c r="G195" i="7"/>
  <c r="U189" i="8"/>
  <c r="U213" i="8"/>
  <c r="G219" i="7"/>
  <c r="G113" i="7"/>
  <c r="U109" i="8"/>
  <c r="G130" i="7"/>
  <c r="U125" i="8"/>
  <c r="G170" i="7"/>
  <c r="U165" i="8"/>
  <c r="F138" i="7"/>
  <c r="U132" i="8"/>
  <c r="F146" i="7"/>
  <c r="U140" i="8"/>
  <c r="F154" i="7"/>
  <c r="U148" i="8"/>
  <c r="F179" i="7"/>
  <c r="U172" i="8"/>
  <c r="F195" i="7"/>
  <c r="U188" i="8"/>
  <c r="U212" i="8"/>
  <c r="F219" i="7"/>
  <c r="F113" i="7"/>
  <c r="U108" i="8"/>
  <c r="F130" i="7"/>
  <c r="U124" i="8"/>
  <c r="F170" i="7"/>
  <c r="U164" i="8"/>
  <c r="E138" i="7"/>
  <c r="U131" i="8"/>
  <c r="E146" i="7"/>
  <c r="U139" i="8"/>
  <c r="E154" i="7"/>
  <c r="U147" i="8"/>
  <c r="E179" i="7"/>
  <c r="U171" i="8"/>
  <c r="E195" i="7"/>
  <c r="U187" i="8"/>
  <c r="U211" i="8"/>
  <c r="E219" i="7"/>
  <c r="E113" i="7"/>
  <c r="U107" i="8"/>
  <c r="E130" i="7"/>
  <c r="U123" i="8"/>
  <c r="E170" i="7"/>
  <c r="U163" i="8"/>
  <c r="D138" i="7"/>
  <c r="U130" i="8"/>
  <c r="D146" i="7"/>
  <c r="U138" i="8"/>
  <c r="D154" i="7"/>
  <c r="U146" i="8"/>
  <c r="D179" i="7"/>
  <c r="U170" i="8"/>
  <c r="D195" i="7"/>
  <c r="U186" i="8"/>
  <c r="D219" i="7"/>
  <c r="U210" i="8"/>
  <c r="D113" i="7"/>
  <c r="U106" i="8"/>
  <c r="D130" i="7"/>
  <c r="U122" i="8"/>
  <c r="D170" i="7"/>
  <c r="U162" i="8"/>
  <c r="H167" i="7"/>
  <c r="Z158" i="8" s="1"/>
  <c r="G167" i="7"/>
  <c r="Z157" i="8" s="1"/>
  <c r="F167" i="7"/>
  <c r="Z156" i="8" s="1"/>
  <c r="F143" i="7" l="1"/>
  <c r="Z132" i="8" s="1"/>
  <c r="F224" i="7"/>
  <c r="Z212" i="8" s="1"/>
  <c r="F175" i="7"/>
  <c r="Z164" i="8" s="1"/>
  <c r="F151" i="7"/>
  <c r="Z140" i="8" s="1"/>
  <c r="F135" i="7"/>
  <c r="Z124" i="8" s="1"/>
  <c r="E151" i="7"/>
  <c r="Z139" i="8" s="1"/>
  <c r="F159" i="7"/>
  <c r="Z148" i="8" s="1"/>
  <c r="F184" i="7"/>
  <c r="Z172" i="8" s="1"/>
  <c r="F200" i="7"/>
  <c r="Z188" i="8" s="1"/>
  <c r="F118" i="7"/>
  <c r="Z108" i="8" s="1"/>
  <c r="E159" i="7"/>
  <c r="Z147" i="8" s="1"/>
  <c r="E184" i="7"/>
  <c r="Z171" i="8" s="1"/>
  <c r="E200" i="7"/>
  <c r="Z187" i="8" s="1"/>
  <c r="E224" i="7"/>
  <c r="Z211" i="8" s="1"/>
  <c r="E118" i="7"/>
  <c r="Z107" i="8" s="1"/>
  <c r="E135" i="7"/>
  <c r="Z123" i="8" s="1"/>
  <c r="E175" i="7"/>
  <c r="Z163" i="8" s="1"/>
  <c r="D224" i="7"/>
  <c r="Z210" i="8" s="1"/>
  <c r="D118" i="7"/>
  <c r="Z106" i="8" s="1"/>
  <c r="D135" i="7"/>
  <c r="Z122" i="8" s="1"/>
  <c r="D175" i="7"/>
  <c r="Z162" i="8" s="1"/>
  <c r="C167" i="7"/>
  <c r="D167" i="7"/>
  <c r="Z154" i="8" s="1"/>
  <c r="C143" i="7"/>
  <c r="D143" i="7"/>
  <c r="Z130" i="8" s="1"/>
  <c r="C151" i="7"/>
  <c r="D151" i="7"/>
  <c r="Z138" i="8" s="1"/>
  <c r="C159" i="7"/>
  <c r="D159" i="7"/>
  <c r="Z146" i="8" s="1"/>
  <c r="C184" i="7"/>
  <c r="D184" i="7"/>
  <c r="Z170" i="8" s="1"/>
  <c r="D200" i="7"/>
  <c r="Z186" i="8" s="1"/>
  <c r="C200" i="7"/>
  <c r="H224" i="7"/>
  <c r="Z214" i="8" s="1"/>
  <c r="H200" i="7"/>
  <c r="Z190" i="8" s="1"/>
  <c r="H135" i="7"/>
  <c r="Z126" i="8" s="1"/>
  <c r="G175" i="7"/>
  <c r="Z165" i="8" s="1"/>
  <c r="H143" i="7"/>
  <c r="Z134" i="8" s="1"/>
  <c r="H151" i="7"/>
  <c r="Z142" i="8" s="1"/>
  <c r="H159" i="7"/>
  <c r="Z150" i="8" s="1"/>
  <c r="H184" i="7"/>
  <c r="Z174" i="8" s="1"/>
  <c r="H118" i="7"/>
  <c r="Z110" i="8" s="1"/>
  <c r="H175" i="7"/>
  <c r="Z166" i="8" s="1"/>
  <c r="G143" i="7"/>
  <c r="Z133" i="8" s="1"/>
  <c r="G151" i="7"/>
  <c r="Z141" i="8" s="1"/>
  <c r="G159" i="7"/>
  <c r="Z149" i="8" s="1"/>
  <c r="G184" i="7"/>
  <c r="Z173" i="8" s="1"/>
  <c r="G200" i="7"/>
  <c r="Z189" i="8" s="1"/>
  <c r="G224" i="7"/>
  <c r="Z213" i="8" s="1"/>
  <c r="G118" i="7"/>
  <c r="Z109" i="8" s="1"/>
  <c r="G135" i="7"/>
  <c r="Z125" i="8" s="1"/>
  <c r="E143" i="7"/>
  <c r="Z131" i="8" s="1"/>
</calcChain>
</file>

<file path=xl/sharedStrings.xml><?xml version="1.0" encoding="utf-8"?>
<sst xmlns="http://schemas.openxmlformats.org/spreadsheetml/2006/main" count="1851" uniqueCount="320">
  <si>
    <t>Financial Ratio Analysis of Kohat Cement Company Limited and Its Competitors</t>
  </si>
  <si>
    <t>Course</t>
  </si>
  <si>
    <t>Introduction to Business Finance</t>
  </si>
  <si>
    <t>Instructor</t>
  </si>
  <si>
    <t>Dr. Noureen Ayaz</t>
  </si>
  <si>
    <t>Group members / ERPs</t>
  </si>
  <si>
    <t>Abdullah Khan Sherwani - ERP 27880
Immaduddin Durrani - ERP 29204
Raahin Tajuddin - ERP 29207
Zuhair Merchant - ERP 29021
Arba - ERP 32571</t>
  </si>
  <si>
    <t>Companies analysed</t>
  </si>
  <si>
    <t>Symbol</t>
  </si>
  <si>
    <t>Company</t>
  </si>
  <si>
    <t>Role</t>
  </si>
  <si>
    <t>Statements used</t>
  </si>
  <si>
    <t>Sheet</t>
  </si>
  <si>
    <t>KOHC</t>
  </si>
  <si>
    <t>Kohat Cement Company Limited</t>
  </si>
  <si>
    <t>Main company</t>
  </si>
  <si>
    <t>Open KOHC</t>
  </si>
  <si>
    <t>LUCK</t>
  </si>
  <si>
    <t>Lucky Cement Limited</t>
  </si>
  <si>
    <t>Competitor 1</t>
  </si>
  <si>
    <t>Open LUCK</t>
  </si>
  <si>
    <t>DGKC</t>
  </si>
  <si>
    <t>D.G. Khan Cement Company Limited</t>
  </si>
  <si>
    <t>Competitor 2</t>
  </si>
  <si>
    <t>Open DGKC</t>
  </si>
  <si>
    <t>MLCF</t>
  </si>
  <si>
    <t>Maple Leaf Cement Factory Limited</t>
  </si>
  <si>
    <t>Competitor 3</t>
  </si>
  <si>
    <t>Open MLCF</t>
  </si>
  <si>
    <t>FCCL</t>
  </si>
  <si>
    <t>Fauji Cement Company Limited</t>
  </si>
  <si>
    <t>Competitor 4</t>
  </si>
  <si>
    <t>Open FCCL</t>
  </si>
  <si>
    <t>Open Industry Averages</t>
  </si>
  <si>
    <t>Open Charts</t>
  </si>
  <si>
    <t>Methodology and calculation choices</t>
  </si>
  <si>
    <t>The analysis uses audited standalone or unconsolidated statements for all five companies. The 27 measures comprise all 19 guideline ratios, four further textbook measures (debt-to-capital, ROIC, BEP and EV/EBITDA), and four class-note measures (NWC, receivables turnover, DIO and BVPS).</t>
  </si>
  <si>
    <t>Inventory includes stores, spares and stock-in-trade. Net PPE includes capital work-in-progress. Debt ratio includes all liabilities. Debt-to-equity and debt-to-capital include interest-bearing principal and leases, excluding interest-free funding and accrued interest.</t>
  </si>
  <si>
    <t>EBIT equals profit before levy and tax plus expensed interest, and includes recognized other income. Bank fees and other non-interest finance charges remain expenses. ROIC uses EBIT after the actual audited effective tax rate, with closing interest-bearing debt plus common equity. The tax rate is not capped.</t>
  </si>
  <si>
    <t>Market ratios use official PSX closing prices at June 30, or the last trading session before it. Prices, EPS, dividends and shares use compatible bases. KOHC split trading began on August 25, 2025, after FY2025; its June 2025 price remains on the pre-split basis.</t>
  </si>
  <si>
    <t>The sample includes KOHC and four selected competitors, not the entire cement industry. EPS and BVPS averages are descriptive because share denominations differ. Investment income and different asset and financing structures also affect comparisons.</t>
  </si>
  <si>
    <t>Why company-published ratios may differ</t>
  </si>
  <si>
    <t>Balance and classification choices: companies may use closing instead of average balances, stock-in-trade instead of total inventory, or operating PPE instead of total net PPE. We use the definitions above consistently. MLCF freight reclassifications change gross margin; Lucky published ROE is reproduced using comprehensive income rather than our net income.</t>
  </si>
  <si>
    <t>Profit and market choices: finance cost can include bank fees as well as interest. We use expensed interest for TIE and EBIT. Some company summaries use other share counts or market-price bases. We retain the audited inputs and required PSX year-end price instead of changing a formula to match a published value.</t>
  </si>
  <si>
    <t>Remaining official differences: FCCL has eight asset-turnover table inconsistencies. The exact basis remains unconfirmed for five FCCL P/E, three FCCL DSO, FCCL FY2025 TIE and DGKC FY2021 cash ratio. For example, FCCL FY2025 TIE is (21,525.520 + 5,674.278) / 5,674.278 = 4.79x, versus published 4.84x.</t>
  </si>
  <si>
    <t>The audit records exact inputs, source notes and separate company-convention calculations for all 18 cases. Of 455 current published comparisons, 437 are numerically reconstructed. A numerical fit is not proof of an officially disclosed company formula. Unconfirmed explanations are not presented as facts.</t>
  </si>
  <si>
    <t>References and source policy</t>
  </si>
  <si>
    <t xml:space="preserve">Accounting sources: the five companies' audited FY2021-FY2025 reports and notes, including audited opening comparatives. </t>
  </si>
  <si>
    <t>Official annual-report sources</t>
  </si>
  <si>
    <t>KOHC: https://www.kohatcement.com/financial_reports.aspx</t>
  </si>
  <si>
    <t>LUCK: https://www.lucky-cement.com/investor-relations/downloads/financial-reports/</t>
  </si>
  <si>
    <t>DGKC: https://www.dgcement.com/financial-reports/DGAnnual2025.pdf</t>
  </si>
  <si>
    <t>MLCF: https://www.kmlg.com/mlcfl/financials/</t>
  </si>
  <si>
    <t>FCCL: https://fccl.com.pk/eng/financial-reports/</t>
  </si>
  <si>
    <t>Kohat Cement Company Limited (KOHC)</t>
  </si>
  <si>
    <t>Main company  |  Standalone audited financial statements  |  Years ended 30 June  |  PKR million unless stated</t>
  </si>
  <si>
    <t>1. Balance Sheet (PKR million)</t>
  </si>
  <si>
    <t>Particulars</t>
  </si>
  <si>
    <t>FY2021</t>
  </si>
  <si>
    <t>FY2022</t>
  </si>
  <si>
    <t>FY2023</t>
  </si>
  <si>
    <t>FY2024</t>
  </si>
  <si>
    <t>FY2025</t>
  </si>
  <si>
    <t>FY2020*</t>
  </si>
  <si>
    <t>Non-current assets</t>
  </si>
  <si>
    <t>Property, plant and equipment</t>
  </si>
  <si>
    <t xml:space="preserve">   of which: capital work-in-progress</t>
  </si>
  <si>
    <t>Right-of-use assets</t>
  </si>
  <si>
    <t>Intangible assets</t>
  </si>
  <si>
    <t>Investment property</t>
  </si>
  <si>
    <t>Long-term investments</t>
  </si>
  <si>
    <t>Other non-current assets</t>
  </si>
  <si>
    <t>Total non-current assets</t>
  </si>
  <si>
    <t>Current assets</t>
  </si>
  <si>
    <t>Stores, spares and loose tools</t>
  </si>
  <si>
    <t>Stock-in-trade</t>
  </si>
  <si>
    <t>Trade debts</t>
  </si>
  <si>
    <t>Short-term investments</t>
  </si>
  <si>
    <t>Cash and bank balances</t>
  </si>
  <si>
    <t>Other current assets</t>
  </si>
  <si>
    <t>Total current assets</t>
  </si>
  <si>
    <t>TOTAL ASSETS</t>
  </si>
  <si>
    <t>Equity</t>
  </si>
  <si>
    <t>Share capital</t>
  </si>
  <si>
    <t>Reserves and retained earnings</t>
  </si>
  <si>
    <t>Total equity</t>
  </si>
  <si>
    <t>Non-current liabilities</t>
  </si>
  <si>
    <t>Long-term financing</t>
  </si>
  <si>
    <t>Lease liabilities</t>
  </si>
  <si>
    <t>Deferred government grant</t>
  </si>
  <si>
    <t>Deferred taxation</t>
  </si>
  <si>
    <t>Other non-current liabilities</t>
  </si>
  <si>
    <t>Total non-current liabilities</t>
  </si>
  <si>
    <t>Current liabilities</t>
  </si>
  <si>
    <t>Trade and other payables</t>
  </si>
  <si>
    <t>Contract liabilities</t>
  </si>
  <si>
    <t>Accrued mark-up</t>
  </si>
  <si>
    <t>Short-term borrowings</t>
  </si>
  <si>
    <t>Current portion of long-term financing</t>
  </si>
  <si>
    <t>Current portion of lease liabilities</t>
  </si>
  <si>
    <t>Current portion of deferred grant</t>
  </si>
  <si>
    <t>Unclaimed / unpaid dividends</t>
  </si>
  <si>
    <t>Taxation - net</t>
  </si>
  <si>
    <t>Other current liabilities</t>
  </si>
  <si>
    <t>Total current liabilities</t>
  </si>
  <si>
    <t>Total liabilities</t>
  </si>
  <si>
    <t>TOTAL EQUITY AND LIABILITIES</t>
  </si>
  <si>
    <t>Supporting balances</t>
  </si>
  <si>
    <t>Trade creditors (payables note)</t>
  </si>
  <si>
    <t>Operating fixed assets (PPE - CWIP)</t>
  </si>
  <si>
    <t>Inventories (stores + stock-in-trade)</t>
  </si>
  <si>
    <t>Interest-bearing debt</t>
  </si>
  <si>
    <t>Long-term interest-bearing debt</t>
  </si>
  <si>
    <t>Invested capital (IBD + equity)</t>
  </si>
  <si>
    <t>Operating current assets</t>
  </si>
  <si>
    <t>Operating current liabilities</t>
  </si>
  <si>
    <t>2. Income Statement (PKR million)</t>
  </si>
  <si>
    <t>Net sales</t>
  </si>
  <si>
    <t>Cost of sales</t>
  </si>
  <si>
    <t>Gross profit</t>
  </si>
  <si>
    <t>Selling and distribution expenses</t>
  </si>
  <si>
    <t>Administrative expenses</t>
  </si>
  <si>
    <t>Impairment loss on financial assets</t>
  </si>
  <si>
    <t>Other operating expenses</t>
  </si>
  <si>
    <t>Core operating profit before other income</t>
  </si>
  <si>
    <t>Other income</t>
  </si>
  <si>
    <t>Finance income</t>
  </si>
  <si>
    <t>Share of profit of associate</t>
  </si>
  <si>
    <t>Finance cost</t>
  </si>
  <si>
    <t>Profit before levies and taxation</t>
  </si>
  <si>
    <t>Levies (final / minimum tax)</t>
  </si>
  <si>
    <t>Income tax</t>
  </si>
  <si>
    <t>Net profit after tax</t>
  </si>
  <si>
    <t>Supporting figures</t>
  </si>
  <si>
    <t>Depreciation and amortization</t>
  </si>
  <si>
    <t>EBIT (PBT plus expensed interest)</t>
  </si>
  <si>
    <t>EBITDA (EBIT plus depreciation/amortization)</t>
  </si>
  <si>
    <t>Bank charges and other non-interest finance cost</t>
  </si>
  <si>
    <t>Interest expense</t>
  </si>
  <si>
    <t>Effective tax rate</t>
  </si>
  <si>
    <t>NOPAT tax rate = actual audited ETR (no cap)</t>
  </si>
  <si>
    <t>NOPAT = EBIT x (1 - tax rate)</t>
  </si>
  <si>
    <t>3. Cash Flow Statement (PKR million)</t>
  </si>
  <si>
    <t>Cash generated from operations</t>
  </si>
  <si>
    <t>Net cash from operating activities</t>
  </si>
  <si>
    <t>Net cash from investing activities</t>
  </si>
  <si>
    <t>Net cash from financing activities</t>
  </si>
  <si>
    <t>Purchase of property, plant and equipment</t>
  </si>
  <si>
    <t>Finance cost paid</t>
  </si>
  <si>
    <t>Dividends paid</t>
  </si>
  <si>
    <t>4. Market Data</t>
  </si>
  <si>
    <t>Par value per share (Rs)</t>
  </si>
  <si>
    <t>Shares outstanding at year-end (million)</t>
  </si>
  <si>
    <t>Weighted average shares (million)</t>
  </si>
  <si>
    <t>FY-end share price (Rs; last PSX close)</t>
  </si>
  <si>
    <t>Cash dividend per share for the year (Rs)</t>
  </si>
  <si>
    <t>Treasury shares excluded (million)</t>
  </si>
  <si>
    <t>5. Ratio Analysis</t>
  </si>
  <si>
    <t>Ratio</t>
  </si>
  <si>
    <t>Formula</t>
  </si>
  <si>
    <t>Short Method Note</t>
  </si>
  <si>
    <t>Liquidity</t>
  </si>
  <si>
    <t>1. Current Ratio</t>
  </si>
  <si>
    <t>Current assets / Current liabilities</t>
  </si>
  <si>
    <t>Closing current assets and liabilities.</t>
  </si>
  <si>
    <t>2. Quick Ratio</t>
  </si>
  <si>
    <t>(Current assets - Inventory) / Current liabilities</t>
  </si>
  <si>
    <t>Stores and stock excluded from current assets.</t>
  </si>
  <si>
    <t>3. Cash Ratio</t>
  </si>
  <si>
    <t>Cash and equivalents / Current liabilities</t>
  </si>
  <si>
    <t>Available cash equivalents; borrowings remain in liabilities.</t>
  </si>
  <si>
    <t>4. Net Working Capital</t>
  </si>
  <si>
    <t>Current assets - Current liabilities</t>
  </si>
  <si>
    <t>Closing balances; signed working capital retained.</t>
  </si>
  <si>
    <t>Asset Management</t>
  </si>
  <si>
    <t>5. Inventory Turnover</t>
  </si>
  <si>
    <t>COGS / Average inventory</t>
  </si>
  <si>
    <t>Average opening and closing stores and stock.</t>
  </si>
  <si>
    <t>6. Receivables Turnover</t>
  </si>
  <si>
    <t>Sales / Average trade receivables</t>
  </si>
  <si>
    <t>Average opening and closing net trade receivables.</t>
  </si>
  <si>
    <t>7. Days Inventory Outstanding</t>
  </si>
  <si>
    <t>365 / Inventory turnover</t>
  </si>
  <si>
    <t>Average inventory; 365 days used.</t>
  </si>
  <si>
    <t>8. Days Sales Outstanding</t>
  </si>
  <si>
    <t>Receivables / (Annual sales / 365)</t>
  </si>
  <si>
    <t>Average receivables; sales proxy; 365 days.</t>
  </si>
  <si>
    <t>9. Fixed Asset Turnover</t>
  </si>
  <si>
    <t>Sales / Net fixed assets</t>
  </si>
  <si>
    <t>Closing net PPE, including CWIP.</t>
  </si>
  <si>
    <t>10. Total Asset Turnover</t>
  </si>
  <si>
    <t>Sales / Total assets</t>
  </si>
  <si>
    <t>Closing total assets used consistently.</t>
  </si>
  <si>
    <t>Debt Management</t>
  </si>
  <si>
    <t>11. Debt Ratio</t>
  </si>
  <si>
    <t>Total liabilities / Total assets</t>
  </si>
  <si>
    <t>All liabilities, including operating payables.</t>
  </si>
  <si>
    <t>12. Debt-to-Equity Ratio</t>
  </si>
  <si>
    <t>Interest-bearing debt / Common equity</t>
  </si>
  <si>
    <t>Interest-bearing principal and leases only.</t>
  </si>
  <si>
    <t>13. Total Debt-to-Total Capital</t>
  </si>
  <si>
    <t>IBD / (IBD + Common equity)</t>
  </si>
  <si>
    <t>Interest-bearing debt plus common equity.</t>
  </si>
  <si>
    <t>14. Times Interest Earned</t>
  </si>
  <si>
    <t>EBIT / Expensed interest</t>
  </si>
  <si>
    <t>Expensed interest, including lease interest.</t>
  </si>
  <si>
    <t>Profitability</t>
  </si>
  <si>
    <t>15. Gross Profit Margin</t>
  </si>
  <si>
    <t>Gross profit / Sales</t>
  </si>
  <si>
    <t>Audited cost-of-sales classification retained.</t>
  </si>
  <si>
    <t>16. Operating Margin</t>
  </si>
  <si>
    <t>EBIT / Sales</t>
  </si>
  <si>
    <t>EBIT includes recognized other income.</t>
  </si>
  <si>
    <t>17. Net Profit Margin</t>
  </si>
  <si>
    <t>Net income / Sales</t>
  </si>
  <si>
    <t>Profit after audited levy and income tax.</t>
  </si>
  <si>
    <t>18. Return on Assets</t>
  </si>
  <si>
    <t>Net income / Total assets</t>
  </si>
  <si>
    <t>Net income over closing total assets.</t>
  </si>
  <si>
    <t>19. Return on Equity</t>
  </si>
  <si>
    <t>Net income / Common equity</t>
  </si>
  <si>
    <t>Net income over closing common equity.</t>
  </si>
  <si>
    <t>20. Return on Invested Capital</t>
  </si>
  <si>
    <t>EBIT x (1 - T) / Invested capital</t>
  </si>
  <si>
    <t>Closing financed capital; actual audited tax rate.</t>
  </si>
  <si>
    <t>21. Basic Earning Power</t>
  </si>
  <si>
    <t>EBIT / Total assets</t>
  </si>
  <si>
    <t>EBIT over closing total assets.</t>
  </si>
  <si>
    <t>Market Value</t>
  </si>
  <si>
    <t>22. Earnings per Share</t>
  </si>
  <si>
    <t>Net income / Weighted ordinary shares</t>
  </si>
  <si>
    <t>Audited weighted shares on compatible price basis.</t>
  </si>
  <si>
    <t>23. Book Value per Share</t>
  </si>
  <si>
    <t>Common equity / Closing shares</t>
  </si>
  <si>
    <t>Closing ordinary shares; treasury shares excluded.</t>
  </si>
  <si>
    <t>24. Price-to-Earnings</t>
  </si>
  <si>
    <t>PSX year-end price / EPS</t>
  </si>
  <si>
    <t>Official PSX year-end price; compatible EPS.</t>
  </si>
  <si>
    <t>25. Market-to-Book</t>
  </si>
  <si>
    <t>PSX year-end price / BVPS</t>
  </si>
  <si>
    <t>Official PSX year-end price; closing BVPS.</t>
  </si>
  <si>
    <t>26. Dividend Yield</t>
  </si>
  <si>
    <t>DPS / PSX year-end price</t>
  </si>
  <si>
    <t>FY2021-FY2025:
(No dividend paid)</t>
  </si>
  <si>
    <t>27. Enterprise Value/EBITDA</t>
  </si>
  <si>
    <t>Enterprise value / (EBIT + D&amp;A)</t>
  </si>
  <si>
    <t>Book debt approximates market financing value.</t>
  </si>
  <si>
    <t>Financing classification (PKR million)</t>
  </si>
  <si>
    <t>Interest-free parent loan excluded from IBD</t>
  </si>
  <si>
    <t>Accrued interest within financing balances</t>
  </si>
  <si>
    <t>Related operating supplier payable (included above)</t>
  </si>
  <si>
    <t>Enterprise value workings (PKR million)</t>
  </si>
  <si>
    <t>Available cash and cash equivalents</t>
  </si>
  <si>
    <t>Other financing claims</t>
  </si>
  <si>
    <t>Market value of ordinary equity</t>
  </si>
  <si>
    <t>Enterprise value</t>
  </si>
  <si>
    <t>Qualifying short-term cash equivalents</t>
  </si>
  <si>
    <t>Pledged / restricted balances excluded</t>
  </si>
  <si>
    <t>Lucky Cement Limited (LUCK)</t>
  </si>
  <si>
    <t>Competitor 1  |  Unconsolidated audited financial statements  |  Years ended 30 June  |  PKR million unless stated</t>
  </si>
  <si>
    <t>FY2021-FY2022:
(No dividend paid)</t>
  </si>
  <si>
    <t>D.G. Khan Cement Company Limited (DGKC)</t>
  </si>
  <si>
    <t>Competitor 2  |  Unconsolidated audited financial statements  |  Years ended 30 June  |  PKR million unless stated</t>
  </si>
  <si>
    <t>FY2023-FY2024:
(No dividend paid)</t>
  </si>
  <si>
    <t>Maple Leaf Cement Factory Limited (MLCF)</t>
  </si>
  <si>
    <t>Competitor 3  |  Unconsolidated audited financial statements  |  Years ended 30 June  |  PKR million unless stated</t>
  </si>
  <si>
    <t>Fauji Cement Company Limited (FCCL)</t>
  </si>
  <si>
    <t>Competitor 4  |  Standalone audited financial statements  |  Years ended 30 June  |  PKR million unless stated</t>
  </si>
  <si>
    <t>FY2021-FY2023:
(No dividend paid)</t>
  </si>
  <si>
    <t>Industry Averages - 27 measures</t>
  </si>
  <si>
    <t>Sample means are equal-weight arithmetic averages of available numeric observations. n/m is excluded, so some means use fewer than five companies. These are not weighted by company size.</t>
  </si>
  <si>
    <t>LIQUIDITY</t>
  </si>
  <si>
    <t>Five-company average</t>
  </si>
  <si>
    <t>ASSET MANAGEMENT</t>
  </si>
  <si>
    <t>DEBT MANAGEMENT</t>
  </si>
  <si>
    <t>PROFITABILITY</t>
  </si>
  <si>
    <t>MARKET VALUE</t>
  </si>
  <si>
    <t>Cash dividend on matching share basis.</t>
  </si>
  <si>
    <t>Five-year comparisons for all 27 measures</t>
  </si>
  <si>
    <t>Financial year</t>
  </si>
  <si>
    <t>Industry average</t>
  </si>
  <si>
    <t>Left: all five companies. Right: KOHC and the calculated industry average (equal-weight five-company sample).</t>
  </si>
  <si>
    <t>FY2021–FY2025. Non-meaningful observations appear as gaps. Genuine zeros are plotted and included in averages.</t>
  </si>
  <si>
    <t>1. Current Ratio (x)</t>
  </si>
  <si>
    <t>2. Quick Ratio (x)</t>
  </si>
  <si>
    <t>3. Cash Ratio (x)</t>
  </si>
  <si>
    <t>4. Net Working Capital (PKR m)</t>
  </si>
  <si>
    <t>5. Inventory Turnover (x)</t>
  </si>
  <si>
    <t>6. Receivables Turnover (x)</t>
  </si>
  <si>
    <t>7. Days Inventory Outstanding (days)</t>
  </si>
  <si>
    <t>8. Days Sales Outstanding (days)</t>
  </si>
  <si>
    <t>9. Fixed Asset Turnover (x)</t>
  </si>
  <si>
    <t>10. Total Asset Turnover (x)</t>
  </si>
  <si>
    <t>11. Debt Ratio (%)</t>
  </si>
  <si>
    <t>12. Debt-to-Equity Ratio (x)</t>
  </si>
  <si>
    <t>13. Total Debt-to-Total Capital (%)</t>
  </si>
  <si>
    <t>14. Times Interest Earned (x)</t>
  </si>
  <si>
    <t>15. Gross Profit Margin (%)</t>
  </si>
  <si>
    <t>16. Operating Margin (%)</t>
  </si>
  <si>
    <t>17. Net Profit Margin (%)</t>
  </si>
  <si>
    <t>18. Return on Assets (%)</t>
  </si>
  <si>
    <t>19. Return on Equity (%)</t>
  </si>
  <si>
    <t>20. Return on Invested Capital (%)</t>
  </si>
  <si>
    <t>21. Basic Earning Power (%)</t>
  </si>
  <si>
    <t>22. Earnings per Share (Rs/share)</t>
  </si>
  <si>
    <t>23. Book Value per Share (Rs/share)</t>
  </si>
  <si>
    <t>24. Price-to-Earnings (x)</t>
  </si>
  <si>
    <t>25. Market-to-Book (x)</t>
  </si>
  <si>
    <t>26. Dividend Yield (%)</t>
  </si>
  <si>
    <t>27. Enterprise Value/EBITDA (x)</t>
  </si>
  <si>
    <t>Inventory and receivables use average opening and closing balances; asset turnover and returns use closing balances. Audited FY2020 openings are in hidden column I on every company sheet, immediately after FY2025 (H): header I7, inventory I54 and trade receivables I20. Select H:J and choose Unhide to view them. The same ratio definition applies to all companies.</t>
  </si>
  <si>
    <t>Cash includes available cash and audited qualifying equivalents before borrowing netting, excluding pledged balances. EV equals year-end market equity plus book principal and leases, plus other claims (interest-free financing and accrued interest), less available cash. Book debt approximates market debt. No preference-share or non-controlling claims arise in these standalone accounts. EBITDA adds audited depreciation and amortization once.</t>
  </si>
  <si>
    <t>Negative or non-meaningful observations display n/m under the project guidelines. Signed inputs and workings remain intact, including negative net working capital. Sample means exclude n/m, include genuine numeric zeros and give each valid company equal weight. They may cover fewer than five companies. Charts show n/m as gaps.</t>
  </si>
  <si>
    <t>Company-specific accounting notes</t>
  </si>
  <si>
    <t>KOHC: audited FY2020 openings are retained. The official source has a one-rupee asset-subtotal footing difference.</t>
  </si>
  <si>
    <t>LUCK: FY2020 deferred tax follows note 24.2, resolving the 0.400m statement-face typo. FY2021 depreciation and amortization includes 10.653m of amortization.</t>
  </si>
  <si>
    <t>DGKC: negative working capital in FY2021-FY2023 reflects current assets below current liabilities. The FY2023 loss and negative NOPAT produce n/m earnings/returns and P/E. The actual 214.97% effective tax rate is retained.</t>
  </si>
  <si>
    <t>FCCL: negative working capital in FY2023-FY2024 reflects current assets below current liabilities. The FY2022 Askari merger creates a structural break in average balances; audited standalone figures are retained.</t>
  </si>
  <si>
    <t>Financing-classification sources: KOHC FY2025 note 6.1 (PDF p89); FCCL FY2025 note 11 (PDF p268) and FY2024 note 10; MLCF trade-payable and related-party notes.</t>
  </si>
  <si>
    <t xml:space="preserve">Official PSX CLOSE sessions: June 30, 2021; June 30, 2022; June 27, 2023; June 28, 2024; June 30, 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</si>
</sst>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5" formatCode="0.0%;\(0.0%\)"/>
    <numFmt numFmtId="166" formatCode="#,##0.00;\(#,##0.00\)"/>
    <numFmt numFmtId="167" formatCode="#,##0.0"/>
    <numFmt numFmtId="168" formatCode="0.00&quot;x&quot;;\(0.00\)&quot;x&quot;;&quot;-&quot;"/>
    <numFmt numFmtId="169" formatCode="#,##0.00;\(#,##0.00\);&quot;-&quot;"/>
    <numFmt numFmtId="170" formatCode="0;[Red]\(0\);&quot;-&quot;"/>
    <numFmt numFmtId="171" formatCode="0.00%;\(0.00%\);&quot;-&quot;"/>
    <numFmt numFmtId="172" formatCode="0.00;\(0.00\);&quot;-&quot;"/>
    <numFmt numFmtId="173" formatCode="#,##0.000;\(#,##0.000\);&quot;-&quot;"/>
    <numFmt numFmtId="174" formatCode="0.00%;\(0.00%\);0.00%"/>
    <numFmt numFmtId="175" formatCode="0.00;\(0.00\);0.00"/>
  </numFmts>
  <fonts count="26" x14ac:knownFonts="1">
    <font>
      <sz val="11"/>
      <color theme="1"/>
      <name val="Calibri"/>
      <family val="2"/>
    </font>
    <font>
      <sz val="10"/>
      <name val="Arial"/>
    </font>
    <font>
      <b/>
      <sz val="16"/>
      <color rgb="FF1E4D3A"/>
      <name val="Cambria"/>
    </font>
    <font>
      <sz val="12"/>
      <color rgb="FF595959"/>
      <name val="Cambria"/>
    </font>
    <font>
      <b/>
      <sz val="10"/>
      <color rgb="FF262626"/>
      <name val="Calibri"/>
    </font>
    <font>
      <b/>
      <sz val="12"/>
      <color rgb="FFFFFFFF"/>
      <name val="Cambria"/>
    </font>
    <font>
      <u/>
      <sz val="10"/>
      <color rgb="FF1F5C99"/>
      <name val="Calibri"/>
    </font>
    <font>
      <sz val="10"/>
      <color rgb="FF262626"/>
      <name val="Calibri"/>
    </font>
    <font>
      <b/>
      <sz val="10"/>
      <color rgb="FF1E4D3A"/>
      <name val="Calibri"/>
    </font>
    <font>
      <b/>
      <sz val="11"/>
      <color rgb="FF204F3D"/>
      <name val="Calibri"/>
      <family val="2"/>
    </font>
    <font>
      <i/>
      <sz val="9"/>
      <color rgb="FF58675E"/>
      <name val="Calibri"/>
      <family val="2"/>
    </font>
    <font>
      <sz val="11"/>
      <color rgb="FF172C25"/>
      <name val="Calibri"/>
      <family val="2"/>
    </font>
    <font>
      <b/>
      <sz val="11"/>
      <color rgb="FF172C25"/>
      <name val="Calibri"/>
      <family val="2"/>
    </font>
    <font>
      <sz val="10"/>
      <color rgb="FF595959"/>
      <name val="Calibri"/>
      <family val="2"/>
    </font>
    <font>
      <i/>
      <sz val="10"/>
      <color rgb="FF58675E"/>
      <name val="Calibri"/>
      <family val="2"/>
    </font>
    <font>
      <b/>
      <sz val="16"/>
      <color rgb="FF204F3D"/>
      <name val="Calibri"/>
      <family val="2"/>
    </font>
    <font>
      <b/>
      <sz val="11"/>
      <color rgb="FFFFFFFF"/>
      <name val="Calibri"/>
      <family val="2"/>
    </font>
    <font>
      <b/>
      <sz val="10"/>
      <color rgb="FF204F3D"/>
      <name val="Calibri"/>
      <family val="2"/>
    </font>
    <font>
      <sz val="11"/>
      <color rgb="FF172C25"/>
      <name val="Calibri"/>
    </font>
    <font>
      <sz val="11"/>
      <color rgb="FF172C25"/>
      <name val="Calibri"/>
      <family val="2"/>
    </font>
    <font>
      <b/>
      <sz val="12"/>
      <color rgb="FF204F3D"/>
      <name val="Calibri"/>
    </font>
    <font>
      <b/>
      <sz val="12"/>
      <color rgb="FF204F3D"/>
      <name val="Calibri"/>
      <family val="2"/>
    </font>
    <font>
      <sz val="11"/>
      <color rgb="FF204F3D"/>
      <name val="Calibri"/>
      <family val="2"/>
    </font>
    <font>
      <sz val="11"/>
      <color rgb="FF424A46"/>
      <name val="Calibri"/>
      <family val="2"/>
    </font>
    <font>
      <sz val="10"/>
      <color rgb="FF20392F"/>
      <name val="Calibri"/>
    </font>
    <font>
      <sz val="10"/>
      <color rgb="FF20392F"/>
      <name val="Calibri"/>
      <family val="2"/>
    </font>
  </fonts>
  <fills count="15">
    <fill>
      <patternFill patternType="none"/>
    </fill>
    <fill>
      <patternFill patternType="gray125"/>
    </fill>
    <fill>
      <patternFill patternType="solid">
        <fgColor rgb="FF1E4D3A"/>
      </patternFill>
    </fill>
    <fill>
      <patternFill patternType="solid">
        <fgColor rgb="FFDCE6D7"/>
      </patternFill>
    </fill>
    <fill>
      <patternFill patternType="solid">
        <fgColor rgb="FFEEF3EC"/>
      </patternFill>
    </fill>
    <fill>
      <patternFill patternType="solid">
        <fgColor rgb="FFF2F2F2"/>
      </patternFill>
    </fill>
    <fill>
      <patternFill patternType="solid">
        <fgColor rgb="FFEDF3EC"/>
      </patternFill>
    </fill>
    <fill>
      <patternFill patternType="solid">
        <fgColor rgb="FFDDE8D8"/>
      </patternFill>
    </fill>
    <fill>
      <patternFill patternType="solid">
        <fgColor rgb="FFEDF3EC"/>
      </patternFill>
    </fill>
    <fill>
      <patternFill patternType="solid">
        <fgColor rgb="FF204F3D"/>
      </patternFill>
    </fill>
    <fill>
      <patternFill patternType="solid">
        <fgColor rgb="FFF0F5F1"/>
      </patternFill>
    </fill>
    <fill>
      <patternFill patternType="solid">
        <fgColor rgb="FFE5EDE3"/>
      </patternFill>
    </fill>
    <fill>
      <patternFill patternType="solid">
        <fgColor rgb="FFFFFFFF"/>
      </patternFill>
    </fill>
    <fill>
      <patternFill patternType="solid">
        <fgColor rgb="FFEDF3EC"/>
      </patternFill>
    </fill>
    <fill>
      <patternFill patternType="solid">
        <fgColor rgb="FFEAF0E9"/>
      </patternFill>
    </fill>
  </fills>
  <borders count="8">
    <border>
      <left/>
      <right/>
      <top/>
      <bottom/>
      <diagonal/>
    </border>
    <border>
      <left style="thin">
        <color rgb="FFC9CFC6"/>
      </left>
      <right style="thin">
        <color rgb="FFC9CFC6"/>
      </right>
      <top style="thin">
        <color rgb="FFC9CFC6"/>
      </top>
      <bottom style="thin">
        <color rgb="FFC9CFC6"/>
      </bottom>
      <diagonal/>
    </border>
    <border>
      <left style="thin">
        <color rgb="FFC9CFC6"/>
      </left>
      <right style="thin">
        <color rgb="FFC9CFC6"/>
      </right>
      <top style="hair">
        <color rgb="FFC9CFC6"/>
      </top>
      <bottom style="hair">
        <color rgb="FFC9CFC6"/>
      </bottom>
      <diagonal/>
    </border>
    <border>
      <left style="thin">
        <color rgb="FFC9CFC6"/>
      </left>
      <right/>
      <top style="thin">
        <color rgb="FFC9CFC6"/>
      </top>
      <bottom style="thin">
        <color rgb="FFC9CFC6"/>
      </bottom>
      <diagonal/>
    </border>
    <border>
      <left/>
      <right style="thin">
        <color rgb="FFC9CFC6"/>
      </right>
      <top style="thin">
        <color rgb="FFC9CFC6"/>
      </top>
      <bottom style="thin">
        <color rgb="FFC9CFC6"/>
      </bottom>
      <diagonal/>
    </border>
    <border>
      <left style="thin">
        <color rgb="FFC9CFC6"/>
      </left>
      <right/>
      <top style="hair">
        <color rgb="FFC9CFC6"/>
      </top>
      <bottom style="hair">
        <color rgb="FFC9CFC6"/>
      </bottom>
      <diagonal/>
    </border>
    <border>
      <left/>
      <right style="thin">
        <color rgb="FFC9CFC6"/>
      </right>
      <top style="hair">
        <color rgb="FFC9CFC6"/>
      </top>
      <bottom style="hair">
        <color rgb="FFC9CFC6"/>
      </bottom>
      <diagonal/>
    </border>
    <border>
      <left/>
      <right/>
      <top/>
      <bottom style="hair">
        <color rgb="FFD2DBD3"/>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98">
    <xf numFmtId="0" fontId="0" fillId="0" borderId="0" xfId="0"/>
    <xf numFmtId="0" fontId="4" fillId="0" borderId="0" xfId="0" applyFont="1"/>
    <xf numFmtId="0" fontId="5" fillId="2" borderId="0" xfId="0" applyFont="1" applyFill="1"/>
    <xf numFmtId="0" fontId="0" fillId="2" borderId="0" xfId="0" applyFill="1"/>
    <xf numFmtId="0" fontId="4" fillId="3" borderId="1" xfId="0" applyFont="1" applyFill="1" applyBorder="1"/>
    <xf numFmtId="0" fontId="4" fillId="0" borderId="2" xfId="0" applyFont="1" applyBorder="1"/>
    <xf numFmtId="0" fontId="6" fillId="0" borderId="2" xfId="0" applyFont="1" applyBorder="1"/>
    <xf numFmtId="0" fontId="7" fillId="0" borderId="2" xfId="0" applyFont="1" applyBorder="1"/>
    <xf numFmtId="0" fontId="6" fillId="0" borderId="0" xfId="0" applyFont="1"/>
    <xf numFmtId="0" fontId="4" fillId="3" borderId="1" xfId="0" applyFont="1" applyFill="1" applyBorder="1" applyAlignment="1">
      <alignment horizontal="center" vertical="center"/>
    </xf>
    <xf numFmtId="0" fontId="0" fillId="4" borderId="0" xfId="0" applyFill="1"/>
    <xf numFmtId="164" fontId="7" fillId="0" borderId="2" xfId="0" applyNumberFormat="1" applyFont="1" applyBorder="1"/>
    <xf numFmtId="164" fontId="4" fillId="5" borderId="2" xfId="0" applyNumberFormat="1" applyFont="1" applyFill="1" applyBorder="1"/>
    <xf numFmtId="0" fontId="0" fillId="5" borderId="2" xfId="0" applyFill="1" applyBorder="1"/>
    <xf numFmtId="165" fontId="7" fillId="0" borderId="2" xfId="0" applyNumberFormat="1" applyFont="1" applyBorder="1"/>
    <xf numFmtId="166" fontId="7" fillId="0" borderId="2" xfId="0" applyNumberFormat="1" applyFont="1" applyBorder="1"/>
    <xf numFmtId="167" fontId="7" fillId="0" borderId="2" xfId="0" applyNumberFormat="1" applyFont="1" applyBorder="1"/>
    <xf numFmtId="173" fontId="0" fillId="0" borderId="0" xfId="0" applyNumberFormat="1"/>
    <xf numFmtId="173" fontId="10" fillId="0" borderId="0" xfId="0" applyNumberFormat="1" applyFont="1"/>
    <xf numFmtId="49" fontId="2" fillId="0" borderId="0" xfId="0" applyNumberFormat="1" applyFont="1"/>
    <xf numFmtId="49" fontId="0" fillId="0" borderId="0" xfId="0" applyNumberFormat="1"/>
    <xf numFmtId="49" fontId="5" fillId="2" borderId="0" xfId="0" applyNumberFormat="1" applyFont="1" applyFill="1"/>
    <xf numFmtId="49" fontId="0" fillId="2" borderId="0" xfId="0" applyNumberFormat="1" applyFill="1"/>
    <xf numFmtId="49" fontId="4" fillId="3" borderId="3" xfId="0" applyNumberFormat="1" applyFont="1" applyFill="1" applyBorder="1" applyAlignment="1">
      <alignment horizontal="left" vertical="center"/>
    </xf>
    <xf numFmtId="49" fontId="4" fillId="3" borderId="4" xfId="0" applyNumberFormat="1" applyFont="1" applyFill="1" applyBorder="1" applyAlignment="1">
      <alignment horizontal="left" vertical="center"/>
    </xf>
    <xf numFmtId="49" fontId="8" fillId="4" borderId="0" xfId="0" applyNumberFormat="1" applyFont="1" applyFill="1"/>
    <xf numFmtId="49" fontId="0" fillId="4" borderId="0" xfId="0" applyNumberFormat="1" applyFill="1"/>
    <xf numFmtId="49" fontId="7" fillId="0" borderId="5" xfId="0" applyNumberFormat="1" applyFont="1" applyBorder="1"/>
    <xf numFmtId="49" fontId="0" fillId="0" borderId="6" xfId="0" applyNumberFormat="1" applyBorder="1"/>
    <xf numFmtId="49" fontId="4" fillId="5" borderId="5" xfId="0" applyNumberFormat="1" applyFont="1" applyFill="1" applyBorder="1"/>
    <xf numFmtId="49" fontId="0" fillId="5" borderId="6" xfId="0" applyNumberFormat="1" applyFill="1" applyBorder="1"/>
    <xf numFmtId="49" fontId="10" fillId="0" borderId="0" xfId="0" applyNumberFormat="1" applyFont="1"/>
    <xf numFmtId="0" fontId="11" fillId="0" borderId="0" xfId="0" applyFont="1" applyAlignment="1">
      <alignment vertical="center"/>
    </xf>
    <xf numFmtId="0" fontId="12" fillId="7" borderId="0" xfId="0" applyFont="1" applyFill="1" applyAlignment="1">
      <alignment vertical="center"/>
    </xf>
    <xf numFmtId="0" fontId="11" fillId="0" borderId="7" xfId="0" applyFont="1" applyBorder="1" applyAlignment="1">
      <alignment vertical="center"/>
    </xf>
    <xf numFmtId="0" fontId="13" fillId="0" borderId="7" xfId="0" applyFont="1" applyBorder="1" applyAlignment="1">
      <alignment vertical="center" wrapText="1"/>
    </xf>
    <xf numFmtId="0" fontId="14" fillId="0" borderId="0" xfId="0" applyFont="1" applyAlignment="1">
      <alignment vertical="center"/>
    </xf>
    <xf numFmtId="168" fontId="11" fillId="0" borderId="7" xfId="0" applyNumberFormat="1" applyFont="1" applyBorder="1" applyAlignment="1">
      <alignment horizontal="right" vertical="center"/>
    </xf>
    <xf numFmtId="169" fontId="11" fillId="0" borderId="7" xfId="0" applyNumberFormat="1" applyFont="1" applyBorder="1" applyAlignment="1">
      <alignment horizontal="right" vertical="center"/>
    </xf>
    <xf numFmtId="170" fontId="11" fillId="0" borderId="7" xfId="0" applyNumberFormat="1" applyFont="1" applyBorder="1" applyAlignment="1">
      <alignment horizontal="right" vertical="center"/>
    </xf>
    <xf numFmtId="171" fontId="11" fillId="0" borderId="7" xfId="0" applyNumberFormat="1" applyFont="1" applyBorder="1" applyAlignment="1">
      <alignment horizontal="right" vertical="center"/>
    </xf>
    <xf numFmtId="172" fontId="11" fillId="0" borderId="7" xfId="0" applyNumberFormat="1" applyFont="1" applyBorder="1" applyAlignment="1">
      <alignment horizontal="right" vertical="center"/>
    </xf>
    <xf numFmtId="0" fontId="14" fillId="0" borderId="0" xfId="0" applyFont="1"/>
    <xf numFmtId="169" fontId="0" fillId="0" borderId="0" xfId="0" applyNumberFormat="1"/>
    <xf numFmtId="0" fontId="15" fillId="0" borderId="0" xfId="0" applyFont="1" applyAlignment="1">
      <alignment vertical="center"/>
    </xf>
    <xf numFmtId="0" fontId="16" fillId="9" borderId="0" xfId="0" applyFont="1" applyFill="1" applyAlignment="1">
      <alignment vertical="center"/>
    </xf>
    <xf numFmtId="0" fontId="12" fillId="10" borderId="0" xfId="0" applyFont="1" applyFill="1" applyAlignment="1">
      <alignment vertical="center"/>
    </xf>
    <xf numFmtId="0" fontId="13" fillId="10" borderId="0" xfId="0" applyFont="1" applyFill="1" applyAlignment="1">
      <alignment vertical="center" wrapText="1"/>
    </xf>
    <xf numFmtId="0" fontId="9" fillId="11" borderId="0" xfId="0" applyFont="1" applyFill="1" applyAlignment="1">
      <alignment vertical="center"/>
    </xf>
    <xf numFmtId="0" fontId="11" fillId="10" borderId="0" xfId="0" applyFont="1" applyFill="1" applyAlignment="1">
      <alignment horizontal="right" vertical="center"/>
    </xf>
    <xf numFmtId="168" fontId="11" fillId="0" borderId="0" xfId="0" applyNumberFormat="1" applyFont="1" applyAlignment="1">
      <alignment horizontal="right" vertical="center"/>
    </xf>
    <xf numFmtId="168" fontId="9" fillId="11" borderId="0" xfId="0" applyNumberFormat="1" applyFont="1" applyFill="1" applyAlignment="1">
      <alignment horizontal="right" vertical="center"/>
    </xf>
    <xf numFmtId="0" fontId="11" fillId="0" borderId="0" xfId="0" applyFont="1" applyAlignment="1">
      <alignment horizontal="right" vertical="center"/>
    </xf>
    <xf numFmtId="169" fontId="11" fillId="0" borderId="0" xfId="0" applyNumberFormat="1" applyFont="1" applyAlignment="1">
      <alignment horizontal="right" vertical="center"/>
    </xf>
    <xf numFmtId="169" fontId="9" fillId="11" borderId="0" xfId="0" applyNumberFormat="1" applyFont="1" applyFill="1" applyAlignment="1">
      <alignment horizontal="right" vertical="center"/>
    </xf>
    <xf numFmtId="170" fontId="11" fillId="0" borderId="0" xfId="0" applyNumberFormat="1" applyFont="1" applyAlignment="1">
      <alignment horizontal="right" vertical="center"/>
    </xf>
    <xf numFmtId="170" fontId="9" fillId="11" borderId="0" xfId="0" applyNumberFormat="1" applyFont="1" applyFill="1" applyAlignment="1">
      <alignment horizontal="right" vertical="center"/>
    </xf>
    <xf numFmtId="171" fontId="11" fillId="0" borderId="0" xfId="0" applyNumberFormat="1" applyFont="1" applyAlignment="1">
      <alignment horizontal="right" vertical="center"/>
    </xf>
    <xf numFmtId="171" fontId="9" fillId="11" borderId="0" xfId="0" applyNumberFormat="1" applyFont="1" applyFill="1" applyAlignment="1">
      <alignment horizontal="right" vertical="center"/>
    </xf>
    <xf numFmtId="172" fontId="11" fillId="0" borderId="0" xfId="0" applyNumberFormat="1" applyFont="1" applyAlignment="1">
      <alignment horizontal="right" vertical="center"/>
    </xf>
    <xf numFmtId="172" fontId="9" fillId="11" borderId="0" xfId="0" applyNumberFormat="1" applyFont="1" applyFill="1" applyAlignment="1">
      <alignment horizontal="right" vertical="center"/>
    </xf>
    <xf numFmtId="0" fontId="17" fillId="11" borderId="0" xfId="0" applyFont="1" applyFill="1" applyAlignment="1">
      <alignment vertical="center" wrapText="1"/>
    </xf>
    <xf numFmtId="0" fontId="19" fillId="12" borderId="0" xfId="0" applyFont="1" applyFill="1"/>
    <xf numFmtId="0" fontId="19" fillId="12" borderId="0" xfId="0" applyFont="1" applyFill="1" applyAlignment="1">
      <alignment vertical="top" wrapText="1"/>
    </xf>
    <xf numFmtId="174" fontId="11" fillId="0" borderId="7" xfId="0" applyNumberFormat="1" applyFont="1" applyBorder="1" applyAlignment="1">
      <alignment horizontal="right" vertical="center"/>
    </xf>
    <xf numFmtId="175" fontId="7" fillId="0" borderId="2" xfId="0" applyNumberFormat="1" applyFont="1" applyBorder="1"/>
    <xf numFmtId="174" fontId="11" fillId="0" borderId="0" xfId="0" applyNumberFormat="1" applyFont="1" applyAlignment="1">
      <alignment horizontal="right" vertical="center"/>
    </xf>
    <xf numFmtId="0" fontId="13" fillId="0" borderId="0" xfId="0" applyFont="1" applyAlignment="1">
      <alignment vertical="center" wrapText="1"/>
    </xf>
    <xf numFmtId="0" fontId="4" fillId="0" borderId="0" xfId="0" applyFont="1" applyAlignment="1">
      <alignment vertical="center"/>
    </xf>
    <xf numFmtId="0" fontId="22" fillId="0" borderId="0" xfId="0" applyFont="1"/>
    <xf numFmtId="2" fontId="0" fillId="0" borderId="0" xfId="0" applyNumberFormat="1"/>
    <xf numFmtId="167" fontId="0" fillId="0" borderId="0" xfId="0" applyNumberFormat="1"/>
    <xf numFmtId="10" fontId="0" fillId="0" borderId="0" xfId="0" applyNumberFormat="1"/>
    <xf numFmtId="49" fontId="10" fillId="0" borderId="0" xfId="0" applyNumberFormat="1" applyFont="1" applyAlignment="1">
      <alignment wrapText="1"/>
    </xf>
    <xf numFmtId="0" fontId="10" fillId="0" borderId="0" xfId="0" applyFont="1" applyAlignment="1">
      <alignment wrapText="1"/>
    </xf>
    <xf numFmtId="49" fontId="24" fillId="0" borderId="0" xfId="0" applyNumberFormat="1" applyFont="1"/>
    <xf numFmtId="0" fontId="25" fillId="12" borderId="0" xfId="0" applyFont="1" applyFill="1" applyAlignment="1">
      <alignment vertical="top" wrapText="1"/>
    </xf>
    <xf numFmtId="0" fontId="19" fillId="12" borderId="0" xfId="0" applyFont="1" applyFill="1" applyAlignment="1">
      <alignment vertical="top" wrapText="1"/>
    </xf>
    <xf numFmtId="0" fontId="11" fillId="0" borderId="0" xfId="0" applyFont="1" applyAlignment="1">
      <alignment horizontal="left" vertical="center" wrapText="1"/>
    </xf>
    <xf numFmtId="0" fontId="20" fillId="6" borderId="0" xfId="0" applyFont="1" applyFill="1" applyAlignment="1">
      <alignment vertical="top" wrapText="1"/>
    </xf>
    <xf numFmtId="0" fontId="21" fillId="6" borderId="0" xfId="0" applyFont="1" applyFill="1" applyAlignment="1">
      <alignment vertical="top" wrapText="1"/>
    </xf>
    <xf numFmtId="0" fontId="11" fillId="12" borderId="0" xfId="0" applyFont="1" applyFill="1" applyAlignment="1">
      <alignment vertical="top" wrapText="1"/>
    </xf>
    <xf numFmtId="0" fontId="21" fillId="13" borderId="0" xfId="0" applyFont="1" applyFill="1" applyAlignment="1">
      <alignment vertical="top" wrapText="1"/>
    </xf>
    <xf numFmtId="0" fontId="2" fillId="0" borderId="0" xfId="0" applyFont="1" applyAlignment="1">
      <alignment wrapText="1"/>
    </xf>
    <xf numFmtId="0" fontId="0" fillId="0" borderId="0" xfId="0" applyAlignment="1">
      <alignment wrapText="1"/>
    </xf>
    <xf numFmtId="0" fontId="3" fillId="0" borderId="0" xfId="0" applyFont="1" applyAlignment="1">
      <alignment wrapText="1"/>
    </xf>
    <xf numFmtId="0" fontId="18" fillId="12" borderId="0" xfId="0" applyFont="1" applyFill="1" applyAlignment="1">
      <alignment vertical="top" wrapText="1"/>
    </xf>
    <xf numFmtId="0" fontId="20" fillId="13" borderId="0" xfId="0" applyFont="1" applyFill="1" applyAlignment="1">
      <alignment vertical="top" wrapText="1"/>
    </xf>
    <xf numFmtId="0" fontId="9" fillId="6" borderId="0" xfId="0" applyFont="1" applyFill="1"/>
    <xf numFmtId="49" fontId="9" fillId="6" borderId="0" xfId="0" applyNumberFormat="1" applyFont="1" applyFill="1"/>
    <xf numFmtId="0" fontId="9" fillId="8" borderId="0" xfId="0" applyFont="1" applyFill="1" applyAlignment="1">
      <alignment vertical="center"/>
    </xf>
    <xf numFmtId="0" fontId="9" fillId="8" borderId="0" xfId="0" applyFont="1" applyFill="1" applyAlignment="1">
      <alignment horizontal="right" vertical="center"/>
    </xf>
    <xf numFmtId="0" fontId="9" fillId="6" borderId="0" xfId="0" applyFont="1" applyFill="1" applyAlignment="1">
      <alignment horizontal="right" vertical="center"/>
    </xf>
    <xf numFmtId="0" fontId="11" fillId="0" borderId="0" xfId="0" applyFont="1" applyAlignment="1">
      <alignment vertical="center" wrapText="1"/>
    </xf>
    <xf numFmtId="0" fontId="15" fillId="0" borderId="0" xfId="0" applyFont="1"/>
    <xf numFmtId="0" fontId="22" fillId="0" borderId="0" xfId="0" applyFont="1"/>
    <xf numFmtId="0" fontId="23" fillId="0" borderId="0" xfId="0" applyFont="1"/>
    <xf numFmtId="0" fontId="21" fillId="14" borderId="0" xfId="0" applyFont="1" applyFill="1"/>
  </cellXfs>
  <cellStyles count="6">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08D57"/>
      <rgbColor rgb="FF800080"/>
      <rgbColor rgb="FF008080"/>
      <rgbColor rgb="FFC9CFC6"/>
      <rgbColor rgb="FF878787"/>
      <rgbColor rgb="FF8FA98A"/>
      <rgbColor rgb="FFA35D5D"/>
      <rgbColor rgb="FFEEF3EC"/>
      <rgbColor rgb="FFF2F2F2"/>
      <rgbColor rgb="FF660066"/>
      <rgbColor rgb="FFFF8080"/>
      <rgbColor rgb="FF1F5C99"/>
      <rgbColor rgb="FFD9D9D9"/>
      <rgbColor rgb="FF000080"/>
      <rgbColor rgb="FFFF00FF"/>
      <rgbColor rgb="FFFFFF00"/>
      <rgbColor rgb="FF00FFFF"/>
      <rgbColor rgb="FF800080"/>
      <rgbColor rgb="FF800000"/>
      <rgbColor rgb="FF008080"/>
      <rgbColor rgb="FF0000FF"/>
      <rgbColor rgb="FF00CCFF"/>
      <rgbColor rgb="FFCCFFFF"/>
      <rgbColor rgb="FFDCE6D7"/>
      <rgbColor rgb="FFFFFF99"/>
      <rgbColor rgb="FF99CCFF"/>
      <rgbColor rgb="FFFF99CC"/>
      <rgbColor rgb="FFCC99FF"/>
      <rgbColor rgb="FFFFCC99"/>
      <rgbColor rgb="FF3366FF"/>
      <rgbColor rgb="FF33CCCC"/>
      <rgbColor rgb="FF99CC00"/>
      <rgbColor rgb="FFFFCC00"/>
      <rgbColor rgb="FFFF9900"/>
      <rgbColor rgb="FFFF6600"/>
      <rgbColor rgb="FF5F7F99"/>
      <rgbColor rgb="FF8C8C8C"/>
      <rgbColor rgb="FF1E4D3A"/>
      <rgbColor rgb="FF339966"/>
      <rgbColor rgb="FF003300"/>
      <rgbColor rgb="FF333300"/>
      <rgbColor rgb="FF993300"/>
      <rgbColor rgb="FF993366"/>
      <rgbColor rgb="FF59595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Current Ratio: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Charts!$T$2:$T$6</c:f>
              <c:strCache>
                <c:ptCount val="5"/>
                <c:pt idx="0">
                  <c:v>FY2021</c:v>
                </c:pt>
                <c:pt idx="1">
                  <c:v>FY2022</c:v>
                </c:pt>
                <c:pt idx="2">
                  <c:v>FY2023</c:v>
                </c:pt>
                <c:pt idx="3">
                  <c:v>FY2024</c:v>
                </c:pt>
                <c:pt idx="4">
                  <c:v>FY2025</c:v>
                </c:pt>
              </c:strCache>
            </c:strRef>
          </c:cat>
          <c:val>
            <c:numRef>
              <c:f>Charts!$U$2:$U$6</c:f>
              <c:numCache>
                <c:formatCode>0.00</c:formatCode>
                <c:ptCount val="5"/>
                <c:pt idx="0">
                  <c:v>1.3006446691414961</c:v>
                </c:pt>
                <c:pt idx="1">
                  <c:v>1.8735085276109804</c:v>
                </c:pt>
                <c:pt idx="2">
                  <c:v>2.311570515459215</c:v>
                </c:pt>
                <c:pt idx="3">
                  <c:v>2.9031590530160019</c:v>
                </c:pt>
                <c:pt idx="4">
                  <c:v>3.311248687172772</c:v>
                </c:pt>
              </c:numCache>
            </c:numRef>
          </c:val>
          <c:smooth val="0"/>
          <c:extLst>
            <c:ext xmlns:c16="http://schemas.microsoft.com/office/drawing/2014/chart" uri="{C3380CC4-5D6E-409C-BE32-E72D297353CC}">
              <c16:uniqueId val="{00000000-EF6E-4C03-983A-AE685FAA070A}"/>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Charts!$T$2:$T$6</c:f>
              <c:strCache>
                <c:ptCount val="5"/>
                <c:pt idx="0">
                  <c:v>FY2021</c:v>
                </c:pt>
                <c:pt idx="1">
                  <c:v>FY2022</c:v>
                </c:pt>
                <c:pt idx="2">
                  <c:v>FY2023</c:v>
                </c:pt>
                <c:pt idx="3">
                  <c:v>FY2024</c:v>
                </c:pt>
                <c:pt idx="4">
                  <c:v>FY2025</c:v>
                </c:pt>
              </c:strCache>
            </c:strRef>
          </c:cat>
          <c:val>
            <c:numRef>
              <c:f>Charts!$V$2:$V$6</c:f>
              <c:numCache>
                <c:formatCode>0.00</c:formatCode>
                <c:ptCount val="5"/>
                <c:pt idx="0">
                  <c:v>1.3386079458938223</c:v>
                </c:pt>
                <c:pt idx="1">
                  <c:v>1.4760766300374313</c:v>
                </c:pt>
                <c:pt idx="2">
                  <c:v>1.290071633326858</c:v>
                </c:pt>
                <c:pt idx="3">
                  <c:v>1.2632222354743232</c:v>
                </c:pt>
                <c:pt idx="4">
                  <c:v>1.7146143875904156</c:v>
                </c:pt>
              </c:numCache>
            </c:numRef>
          </c:val>
          <c:smooth val="0"/>
          <c:extLst>
            <c:ext xmlns:c16="http://schemas.microsoft.com/office/drawing/2014/chart" uri="{C3380CC4-5D6E-409C-BE32-E72D297353CC}">
              <c16:uniqueId val="{00000001-EF6E-4C03-983A-AE685FAA070A}"/>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Charts!$T$2:$T$6</c:f>
              <c:strCache>
                <c:ptCount val="5"/>
                <c:pt idx="0">
                  <c:v>FY2021</c:v>
                </c:pt>
                <c:pt idx="1">
                  <c:v>FY2022</c:v>
                </c:pt>
                <c:pt idx="2">
                  <c:v>FY2023</c:v>
                </c:pt>
                <c:pt idx="3">
                  <c:v>FY2024</c:v>
                </c:pt>
                <c:pt idx="4">
                  <c:v>FY2025</c:v>
                </c:pt>
              </c:strCache>
            </c:strRef>
          </c:cat>
          <c:val>
            <c:numRef>
              <c:f>Charts!$W$2:$W$6</c:f>
              <c:numCache>
                <c:formatCode>0.00</c:formatCode>
                <c:ptCount val="5"/>
                <c:pt idx="0">
                  <c:v>0.91452508864509019</c:v>
                </c:pt>
                <c:pt idx="1">
                  <c:v>0.88552877147710041</c:v>
                </c:pt>
                <c:pt idx="2">
                  <c:v>0.80176749057385621</c:v>
                </c:pt>
                <c:pt idx="3">
                  <c:v>1.296185931254842</c:v>
                </c:pt>
                <c:pt idx="4">
                  <c:v>1.8489517932979607</c:v>
                </c:pt>
              </c:numCache>
            </c:numRef>
          </c:val>
          <c:smooth val="0"/>
          <c:extLst>
            <c:ext xmlns:c16="http://schemas.microsoft.com/office/drawing/2014/chart" uri="{C3380CC4-5D6E-409C-BE32-E72D297353CC}">
              <c16:uniqueId val="{00000002-EF6E-4C03-983A-AE685FAA070A}"/>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Charts!$T$2:$T$6</c:f>
              <c:strCache>
                <c:ptCount val="5"/>
                <c:pt idx="0">
                  <c:v>FY2021</c:v>
                </c:pt>
                <c:pt idx="1">
                  <c:v>FY2022</c:v>
                </c:pt>
                <c:pt idx="2">
                  <c:v>FY2023</c:v>
                </c:pt>
                <c:pt idx="3">
                  <c:v>FY2024</c:v>
                </c:pt>
                <c:pt idx="4">
                  <c:v>FY2025</c:v>
                </c:pt>
              </c:strCache>
            </c:strRef>
          </c:cat>
          <c:val>
            <c:numRef>
              <c:f>Charts!$X$2:$X$6</c:f>
              <c:numCache>
                <c:formatCode>0.00</c:formatCode>
                <c:ptCount val="5"/>
                <c:pt idx="0">
                  <c:v>1.4780988568182505</c:v>
                </c:pt>
                <c:pt idx="1">
                  <c:v>1.2549557408945418</c:v>
                </c:pt>
                <c:pt idx="2">
                  <c:v>1.3715472215546312</c:v>
                </c:pt>
                <c:pt idx="3">
                  <c:v>1.4446782415124371</c:v>
                </c:pt>
                <c:pt idx="4">
                  <c:v>1.5324411303645513</c:v>
                </c:pt>
              </c:numCache>
            </c:numRef>
          </c:val>
          <c:smooth val="0"/>
          <c:extLst>
            <c:ext xmlns:c16="http://schemas.microsoft.com/office/drawing/2014/chart" uri="{C3380CC4-5D6E-409C-BE32-E72D297353CC}">
              <c16:uniqueId val="{00000003-EF6E-4C03-983A-AE685FAA070A}"/>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Charts!$T$2:$T$6</c:f>
              <c:strCache>
                <c:ptCount val="5"/>
                <c:pt idx="0">
                  <c:v>FY2021</c:v>
                </c:pt>
                <c:pt idx="1">
                  <c:v>FY2022</c:v>
                </c:pt>
                <c:pt idx="2">
                  <c:v>FY2023</c:v>
                </c:pt>
                <c:pt idx="3">
                  <c:v>FY2024</c:v>
                </c:pt>
                <c:pt idx="4">
                  <c:v>FY2025</c:v>
                </c:pt>
              </c:strCache>
            </c:strRef>
          </c:cat>
          <c:val>
            <c:numRef>
              <c:f>Charts!$Y$2:$Y$6</c:f>
              <c:numCache>
                <c:formatCode>0.00</c:formatCode>
                <c:ptCount val="5"/>
                <c:pt idx="0">
                  <c:v>2.01862288296847</c:v>
                </c:pt>
                <c:pt idx="1">
                  <c:v>1.0559688948718087</c:v>
                </c:pt>
                <c:pt idx="2">
                  <c:v>0.81211137558007007</c:v>
                </c:pt>
                <c:pt idx="3">
                  <c:v>0.95974773116730094</c:v>
                </c:pt>
                <c:pt idx="4">
                  <c:v>1.3210140828410366</c:v>
                </c:pt>
              </c:numCache>
            </c:numRef>
          </c:val>
          <c:smooth val="0"/>
          <c:extLst>
            <c:ext xmlns:c16="http://schemas.microsoft.com/office/drawing/2014/chart" uri="{C3380CC4-5D6E-409C-BE32-E72D297353CC}">
              <c16:uniqueId val="{00000004-EF6E-4C03-983A-AE685FAA070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Current Ratio: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Charts!$T$2:$T$6</c:f>
              <c:strCache>
                <c:ptCount val="5"/>
                <c:pt idx="0">
                  <c:v>FY2021</c:v>
                </c:pt>
                <c:pt idx="1">
                  <c:v>FY2022</c:v>
                </c:pt>
                <c:pt idx="2">
                  <c:v>FY2023</c:v>
                </c:pt>
                <c:pt idx="3">
                  <c:v>FY2024</c:v>
                </c:pt>
                <c:pt idx="4">
                  <c:v>FY2025</c:v>
                </c:pt>
              </c:strCache>
            </c:strRef>
          </c:cat>
          <c:val>
            <c:numRef>
              <c:f>Charts!$U$2:$U$6</c:f>
              <c:numCache>
                <c:formatCode>0.00</c:formatCode>
                <c:ptCount val="5"/>
                <c:pt idx="0">
                  <c:v>1.3006446691414961</c:v>
                </c:pt>
                <c:pt idx="1">
                  <c:v>1.8735085276109804</c:v>
                </c:pt>
                <c:pt idx="2">
                  <c:v>2.311570515459215</c:v>
                </c:pt>
                <c:pt idx="3">
                  <c:v>2.9031590530160019</c:v>
                </c:pt>
                <c:pt idx="4">
                  <c:v>3.311248687172772</c:v>
                </c:pt>
              </c:numCache>
            </c:numRef>
          </c:val>
          <c:smooth val="0"/>
          <c:extLst>
            <c:ext xmlns:c16="http://schemas.microsoft.com/office/drawing/2014/chart" uri="{C3380CC4-5D6E-409C-BE32-E72D297353CC}">
              <c16:uniqueId val="{00000000-87E4-44D5-BBB5-B30FBA6DC386}"/>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Charts!$T$2:$T$6</c:f>
              <c:strCache>
                <c:ptCount val="5"/>
                <c:pt idx="0">
                  <c:v>FY2021</c:v>
                </c:pt>
                <c:pt idx="1">
                  <c:v>FY2022</c:v>
                </c:pt>
                <c:pt idx="2">
                  <c:v>FY2023</c:v>
                </c:pt>
                <c:pt idx="3">
                  <c:v>FY2024</c:v>
                </c:pt>
                <c:pt idx="4">
                  <c:v>FY2025</c:v>
                </c:pt>
              </c:strCache>
            </c:strRef>
          </c:cat>
          <c:val>
            <c:numRef>
              <c:f>Charts!$Z$2:$Z$6</c:f>
              <c:numCache>
                <c:formatCode>0.00</c:formatCode>
                <c:ptCount val="5"/>
                <c:pt idx="0">
                  <c:v>1.410099888693426</c:v>
                </c:pt>
                <c:pt idx="1">
                  <c:v>1.3092077129783726</c:v>
                </c:pt>
                <c:pt idx="2">
                  <c:v>1.3174136472989262</c:v>
                </c:pt>
                <c:pt idx="3">
                  <c:v>1.5733986384849812</c:v>
                </c:pt>
                <c:pt idx="4">
                  <c:v>1.9456540162533476</c:v>
                </c:pt>
              </c:numCache>
            </c:numRef>
          </c:val>
          <c:smooth val="0"/>
          <c:extLst>
            <c:ext xmlns:c16="http://schemas.microsoft.com/office/drawing/2014/chart" uri="{C3380CC4-5D6E-409C-BE32-E72D297353CC}">
              <c16:uniqueId val="{00000001-87E4-44D5-BBB5-B30FBA6DC386}"/>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Quick Ratio: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Charts!$T$10:$T$14</c:f>
              <c:strCache>
                <c:ptCount val="5"/>
                <c:pt idx="0">
                  <c:v>FY2021</c:v>
                </c:pt>
                <c:pt idx="1">
                  <c:v>FY2022</c:v>
                </c:pt>
                <c:pt idx="2">
                  <c:v>FY2023</c:v>
                </c:pt>
                <c:pt idx="3">
                  <c:v>FY2024</c:v>
                </c:pt>
                <c:pt idx="4">
                  <c:v>FY2025</c:v>
                </c:pt>
              </c:strCache>
            </c:strRef>
          </c:cat>
          <c:val>
            <c:numRef>
              <c:f>Charts!$U$10:$U$14</c:f>
              <c:numCache>
                <c:formatCode>0.00</c:formatCode>
                <c:ptCount val="5"/>
                <c:pt idx="0">
                  <c:v>0.74816043855554903</c:v>
                </c:pt>
                <c:pt idx="1">
                  <c:v>1.2758070110452304</c:v>
                </c:pt>
                <c:pt idx="2">
                  <c:v>1.5392110300634694</c:v>
                </c:pt>
                <c:pt idx="3">
                  <c:v>2.2200593399212352</c:v>
                </c:pt>
                <c:pt idx="4">
                  <c:v>2.6677003784340947</c:v>
                </c:pt>
              </c:numCache>
            </c:numRef>
          </c:val>
          <c:smooth val="0"/>
          <c:extLst>
            <c:ext xmlns:c16="http://schemas.microsoft.com/office/drawing/2014/chart" uri="{C3380CC4-5D6E-409C-BE32-E72D297353CC}">
              <c16:uniqueId val="{00000000-9FB5-4693-81DE-894C2B772BAA}"/>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Charts!$T$10:$T$14</c:f>
              <c:strCache>
                <c:ptCount val="5"/>
                <c:pt idx="0">
                  <c:v>FY2021</c:v>
                </c:pt>
                <c:pt idx="1">
                  <c:v>FY2022</c:v>
                </c:pt>
                <c:pt idx="2">
                  <c:v>FY2023</c:v>
                </c:pt>
                <c:pt idx="3">
                  <c:v>FY2024</c:v>
                </c:pt>
                <c:pt idx="4">
                  <c:v>FY2025</c:v>
                </c:pt>
              </c:strCache>
            </c:strRef>
          </c:cat>
          <c:val>
            <c:numRef>
              <c:f>Charts!$V$10:$V$14</c:f>
              <c:numCache>
                <c:formatCode>0.00</c:formatCode>
                <c:ptCount val="5"/>
                <c:pt idx="0">
                  <c:v>0.89000886100685095</c:v>
                </c:pt>
                <c:pt idx="1">
                  <c:v>0.87076091919208631</c:v>
                </c:pt>
                <c:pt idx="2">
                  <c:v>0.85412226562426408</c:v>
                </c:pt>
                <c:pt idx="3">
                  <c:v>0.83698311631700717</c:v>
                </c:pt>
                <c:pt idx="4">
                  <c:v>1.2939267138361998</c:v>
                </c:pt>
              </c:numCache>
            </c:numRef>
          </c:val>
          <c:smooth val="0"/>
          <c:extLst>
            <c:ext xmlns:c16="http://schemas.microsoft.com/office/drawing/2014/chart" uri="{C3380CC4-5D6E-409C-BE32-E72D297353CC}">
              <c16:uniqueId val="{00000001-9FB5-4693-81DE-894C2B772BAA}"/>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Charts!$T$10:$T$14</c:f>
              <c:strCache>
                <c:ptCount val="5"/>
                <c:pt idx="0">
                  <c:v>FY2021</c:v>
                </c:pt>
                <c:pt idx="1">
                  <c:v>FY2022</c:v>
                </c:pt>
                <c:pt idx="2">
                  <c:v>FY2023</c:v>
                </c:pt>
                <c:pt idx="3">
                  <c:v>FY2024</c:v>
                </c:pt>
                <c:pt idx="4">
                  <c:v>FY2025</c:v>
                </c:pt>
              </c:strCache>
            </c:strRef>
          </c:cat>
          <c:val>
            <c:numRef>
              <c:f>Charts!$W$10:$W$14</c:f>
              <c:numCache>
                <c:formatCode>0.00</c:formatCode>
                <c:ptCount val="5"/>
                <c:pt idx="0">
                  <c:v>0.52718830778210601</c:v>
                </c:pt>
                <c:pt idx="1">
                  <c:v>0.39093390789665328</c:v>
                </c:pt>
                <c:pt idx="2">
                  <c:v>0.33489936167445872</c:v>
                </c:pt>
                <c:pt idx="3">
                  <c:v>0.66771764923027133</c:v>
                </c:pt>
                <c:pt idx="4">
                  <c:v>1.0579587679634685</c:v>
                </c:pt>
              </c:numCache>
            </c:numRef>
          </c:val>
          <c:smooth val="0"/>
          <c:extLst>
            <c:ext xmlns:c16="http://schemas.microsoft.com/office/drawing/2014/chart" uri="{C3380CC4-5D6E-409C-BE32-E72D297353CC}">
              <c16:uniqueId val="{00000002-9FB5-4693-81DE-894C2B772BAA}"/>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Charts!$T$10:$T$14</c:f>
              <c:strCache>
                <c:ptCount val="5"/>
                <c:pt idx="0">
                  <c:v>FY2021</c:v>
                </c:pt>
                <c:pt idx="1">
                  <c:v>FY2022</c:v>
                </c:pt>
                <c:pt idx="2">
                  <c:v>FY2023</c:v>
                </c:pt>
                <c:pt idx="3">
                  <c:v>FY2024</c:v>
                </c:pt>
                <c:pt idx="4">
                  <c:v>FY2025</c:v>
                </c:pt>
              </c:strCache>
            </c:strRef>
          </c:cat>
          <c:val>
            <c:numRef>
              <c:f>Charts!$X$10:$X$14</c:f>
              <c:numCache>
                <c:formatCode>0.00</c:formatCode>
                <c:ptCount val="5"/>
                <c:pt idx="0">
                  <c:v>0.43971691910387301</c:v>
                </c:pt>
                <c:pt idx="1">
                  <c:v>0.29473524106223353</c:v>
                </c:pt>
                <c:pt idx="2">
                  <c:v>0.5204561252187091</c:v>
                </c:pt>
                <c:pt idx="3">
                  <c:v>0.60942670638462615</c:v>
                </c:pt>
                <c:pt idx="4">
                  <c:v>0.80788282595509864</c:v>
                </c:pt>
              </c:numCache>
            </c:numRef>
          </c:val>
          <c:smooth val="0"/>
          <c:extLst>
            <c:ext xmlns:c16="http://schemas.microsoft.com/office/drawing/2014/chart" uri="{C3380CC4-5D6E-409C-BE32-E72D297353CC}">
              <c16:uniqueId val="{00000003-9FB5-4693-81DE-894C2B772BAA}"/>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Charts!$T$10:$T$14</c:f>
              <c:strCache>
                <c:ptCount val="5"/>
                <c:pt idx="0">
                  <c:v>FY2021</c:v>
                </c:pt>
                <c:pt idx="1">
                  <c:v>FY2022</c:v>
                </c:pt>
                <c:pt idx="2">
                  <c:v>FY2023</c:v>
                </c:pt>
                <c:pt idx="3">
                  <c:v>FY2024</c:v>
                </c:pt>
                <c:pt idx="4">
                  <c:v>FY2025</c:v>
                </c:pt>
              </c:strCache>
            </c:strRef>
          </c:cat>
          <c:val>
            <c:numRef>
              <c:f>Charts!$Y$10:$Y$14</c:f>
              <c:numCache>
                <c:formatCode>0.00</c:formatCode>
                <c:ptCount val="5"/>
                <c:pt idx="0">
                  <c:v>1.1357988467684703</c:v>
                </c:pt>
                <c:pt idx="1">
                  <c:v>0.47078421060569281</c:v>
                </c:pt>
                <c:pt idx="2">
                  <c:v>0.28121710873313321</c:v>
                </c:pt>
                <c:pt idx="3">
                  <c:v>0.3420463898878065</c:v>
                </c:pt>
                <c:pt idx="4">
                  <c:v>0.67753380767364924</c:v>
                </c:pt>
              </c:numCache>
            </c:numRef>
          </c:val>
          <c:smooth val="0"/>
          <c:extLst>
            <c:ext xmlns:c16="http://schemas.microsoft.com/office/drawing/2014/chart" uri="{C3380CC4-5D6E-409C-BE32-E72D297353CC}">
              <c16:uniqueId val="{00000004-9FB5-4693-81DE-894C2B772BA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Quick Ratio: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Charts!$T$10:$T$14</c:f>
              <c:strCache>
                <c:ptCount val="5"/>
                <c:pt idx="0">
                  <c:v>FY2021</c:v>
                </c:pt>
                <c:pt idx="1">
                  <c:v>FY2022</c:v>
                </c:pt>
                <c:pt idx="2">
                  <c:v>FY2023</c:v>
                </c:pt>
                <c:pt idx="3">
                  <c:v>FY2024</c:v>
                </c:pt>
                <c:pt idx="4">
                  <c:v>FY2025</c:v>
                </c:pt>
              </c:strCache>
            </c:strRef>
          </c:cat>
          <c:val>
            <c:numRef>
              <c:f>Charts!$U$10:$U$14</c:f>
              <c:numCache>
                <c:formatCode>0.00</c:formatCode>
                <c:ptCount val="5"/>
                <c:pt idx="0">
                  <c:v>0.74816043855554903</c:v>
                </c:pt>
                <c:pt idx="1">
                  <c:v>1.2758070110452304</c:v>
                </c:pt>
                <c:pt idx="2">
                  <c:v>1.5392110300634694</c:v>
                </c:pt>
                <c:pt idx="3">
                  <c:v>2.2200593399212352</c:v>
                </c:pt>
                <c:pt idx="4">
                  <c:v>2.6677003784340947</c:v>
                </c:pt>
              </c:numCache>
            </c:numRef>
          </c:val>
          <c:smooth val="0"/>
          <c:extLst>
            <c:ext xmlns:c16="http://schemas.microsoft.com/office/drawing/2014/chart" uri="{C3380CC4-5D6E-409C-BE32-E72D297353CC}">
              <c16:uniqueId val="{00000000-89A0-4F8A-AAA7-4651EA3CF4D3}"/>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Charts!$T$10:$T$14</c:f>
              <c:strCache>
                <c:ptCount val="5"/>
                <c:pt idx="0">
                  <c:v>FY2021</c:v>
                </c:pt>
                <c:pt idx="1">
                  <c:v>FY2022</c:v>
                </c:pt>
                <c:pt idx="2">
                  <c:v>FY2023</c:v>
                </c:pt>
                <c:pt idx="3">
                  <c:v>FY2024</c:v>
                </c:pt>
                <c:pt idx="4">
                  <c:v>FY2025</c:v>
                </c:pt>
              </c:strCache>
            </c:strRef>
          </c:cat>
          <c:val>
            <c:numRef>
              <c:f>Charts!$Z$10:$Z$14</c:f>
              <c:numCache>
                <c:formatCode>0.00</c:formatCode>
                <c:ptCount val="5"/>
                <c:pt idx="0">
                  <c:v>0.74817467464336995</c:v>
                </c:pt>
                <c:pt idx="1">
                  <c:v>0.66060425796037925</c:v>
                </c:pt>
                <c:pt idx="2">
                  <c:v>0.70598117826280693</c:v>
                </c:pt>
                <c:pt idx="3">
                  <c:v>0.93524664034818927</c:v>
                </c:pt>
                <c:pt idx="4">
                  <c:v>1.3010004987725021</c:v>
                </c:pt>
              </c:numCache>
            </c:numRef>
          </c:val>
          <c:smooth val="0"/>
          <c:extLst>
            <c:ext xmlns:c16="http://schemas.microsoft.com/office/drawing/2014/chart" uri="{C3380CC4-5D6E-409C-BE32-E72D297353CC}">
              <c16:uniqueId val="{00000001-89A0-4F8A-AAA7-4651EA3CF4D3}"/>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Cash Ratio: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Charts!$T$18:$T$22</c:f>
              <c:strCache>
                <c:ptCount val="5"/>
                <c:pt idx="0">
                  <c:v>FY2021</c:v>
                </c:pt>
                <c:pt idx="1">
                  <c:v>FY2022</c:v>
                </c:pt>
                <c:pt idx="2">
                  <c:v>FY2023</c:v>
                </c:pt>
                <c:pt idx="3">
                  <c:v>FY2024</c:v>
                </c:pt>
                <c:pt idx="4">
                  <c:v>FY2025</c:v>
                </c:pt>
              </c:strCache>
            </c:strRef>
          </c:cat>
          <c:val>
            <c:numRef>
              <c:f>Charts!$U$18:$U$22</c:f>
              <c:numCache>
                <c:formatCode>0.00</c:formatCode>
                <c:ptCount val="5"/>
                <c:pt idx="0">
                  <c:v>0.15817363525137568</c:v>
                </c:pt>
                <c:pt idx="1">
                  <c:v>5.0670963775722312E-2</c:v>
                </c:pt>
                <c:pt idx="2">
                  <c:v>9.4178046452072631E-2</c:v>
                </c:pt>
                <c:pt idx="3">
                  <c:v>9.9376831489781367E-2</c:v>
                </c:pt>
                <c:pt idx="4">
                  <c:v>0.1243988942257843</c:v>
                </c:pt>
              </c:numCache>
            </c:numRef>
          </c:val>
          <c:smooth val="0"/>
          <c:extLst>
            <c:ext xmlns:c16="http://schemas.microsoft.com/office/drawing/2014/chart" uri="{C3380CC4-5D6E-409C-BE32-E72D297353CC}">
              <c16:uniqueId val="{00000000-670C-4E4E-9C97-AF9AB403B51A}"/>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Charts!$T$18:$T$22</c:f>
              <c:strCache>
                <c:ptCount val="5"/>
                <c:pt idx="0">
                  <c:v>FY2021</c:v>
                </c:pt>
                <c:pt idx="1">
                  <c:v>FY2022</c:v>
                </c:pt>
                <c:pt idx="2">
                  <c:v>FY2023</c:v>
                </c:pt>
                <c:pt idx="3">
                  <c:v>FY2024</c:v>
                </c:pt>
                <c:pt idx="4">
                  <c:v>FY2025</c:v>
                </c:pt>
              </c:strCache>
            </c:strRef>
          </c:cat>
          <c:val>
            <c:numRef>
              <c:f>Charts!$V$18:$V$22</c:f>
              <c:numCache>
                <c:formatCode>0.00</c:formatCode>
                <c:ptCount val="5"/>
                <c:pt idx="0">
                  <c:v>0.61509850934604882</c:v>
                </c:pt>
                <c:pt idx="1">
                  <c:v>0.51028731982278264</c:v>
                </c:pt>
                <c:pt idx="2">
                  <c:v>0.56303776721097065</c:v>
                </c:pt>
                <c:pt idx="3">
                  <c:v>0.59758338272421885</c:v>
                </c:pt>
                <c:pt idx="4">
                  <c:v>1.0928864859820921</c:v>
                </c:pt>
              </c:numCache>
            </c:numRef>
          </c:val>
          <c:smooth val="0"/>
          <c:extLst>
            <c:ext xmlns:c16="http://schemas.microsoft.com/office/drawing/2014/chart" uri="{C3380CC4-5D6E-409C-BE32-E72D297353CC}">
              <c16:uniqueId val="{00000001-670C-4E4E-9C97-AF9AB403B51A}"/>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Charts!$T$18:$T$22</c:f>
              <c:strCache>
                <c:ptCount val="5"/>
                <c:pt idx="0">
                  <c:v>FY2021</c:v>
                </c:pt>
                <c:pt idx="1">
                  <c:v>FY2022</c:v>
                </c:pt>
                <c:pt idx="2">
                  <c:v>FY2023</c:v>
                </c:pt>
                <c:pt idx="3">
                  <c:v>FY2024</c:v>
                </c:pt>
                <c:pt idx="4">
                  <c:v>FY2025</c:v>
                </c:pt>
              </c:strCache>
            </c:strRef>
          </c:cat>
          <c:val>
            <c:numRef>
              <c:f>Charts!$W$18:$W$22</c:f>
              <c:numCache>
                <c:formatCode>0.00</c:formatCode>
                <c:ptCount val="5"/>
                <c:pt idx="0">
                  <c:v>2.0011480184397672E-2</c:v>
                </c:pt>
                <c:pt idx="1">
                  <c:v>8.913248794490819E-3</c:v>
                </c:pt>
                <c:pt idx="2">
                  <c:v>1.3866688142092815E-2</c:v>
                </c:pt>
                <c:pt idx="3">
                  <c:v>2.2719990993528554E-2</c:v>
                </c:pt>
                <c:pt idx="4">
                  <c:v>4.7175167844291127E-2</c:v>
                </c:pt>
              </c:numCache>
            </c:numRef>
          </c:val>
          <c:smooth val="0"/>
          <c:extLst>
            <c:ext xmlns:c16="http://schemas.microsoft.com/office/drawing/2014/chart" uri="{C3380CC4-5D6E-409C-BE32-E72D297353CC}">
              <c16:uniqueId val="{00000002-670C-4E4E-9C97-AF9AB403B51A}"/>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Charts!$T$18:$T$22</c:f>
              <c:strCache>
                <c:ptCount val="5"/>
                <c:pt idx="0">
                  <c:v>FY2021</c:v>
                </c:pt>
                <c:pt idx="1">
                  <c:v>FY2022</c:v>
                </c:pt>
                <c:pt idx="2">
                  <c:v>FY2023</c:v>
                </c:pt>
                <c:pt idx="3">
                  <c:v>FY2024</c:v>
                </c:pt>
                <c:pt idx="4">
                  <c:v>FY2025</c:v>
                </c:pt>
              </c:strCache>
            </c:strRef>
          </c:cat>
          <c:val>
            <c:numRef>
              <c:f>Charts!$X$18:$X$22</c:f>
              <c:numCache>
                <c:formatCode>0.00</c:formatCode>
                <c:ptCount val="5"/>
                <c:pt idx="0">
                  <c:v>4.2825558053104403E-2</c:v>
                </c:pt>
                <c:pt idx="1">
                  <c:v>4.9006165540003331E-2</c:v>
                </c:pt>
                <c:pt idx="2">
                  <c:v>4.5680298533070048E-2</c:v>
                </c:pt>
                <c:pt idx="3">
                  <c:v>7.3767434857886421E-2</c:v>
                </c:pt>
                <c:pt idx="4">
                  <c:v>6.9243334827372452E-2</c:v>
                </c:pt>
              </c:numCache>
            </c:numRef>
          </c:val>
          <c:smooth val="0"/>
          <c:extLst>
            <c:ext xmlns:c16="http://schemas.microsoft.com/office/drawing/2014/chart" uri="{C3380CC4-5D6E-409C-BE32-E72D297353CC}">
              <c16:uniqueId val="{00000003-670C-4E4E-9C97-AF9AB403B51A}"/>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Charts!$T$18:$T$22</c:f>
              <c:strCache>
                <c:ptCount val="5"/>
                <c:pt idx="0">
                  <c:v>FY2021</c:v>
                </c:pt>
                <c:pt idx="1">
                  <c:v>FY2022</c:v>
                </c:pt>
                <c:pt idx="2">
                  <c:v>FY2023</c:v>
                </c:pt>
                <c:pt idx="3">
                  <c:v>FY2024</c:v>
                </c:pt>
                <c:pt idx="4">
                  <c:v>FY2025</c:v>
                </c:pt>
              </c:strCache>
            </c:strRef>
          </c:cat>
          <c:val>
            <c:numRef>
              <c:f>Charts!$Y$18:$Y$22</c:f>
              <c:numCache>
                <c:formatCode>0.00</c:formatCode>
                <c:ptCount val="5"/>
                <c:pt idx="0">
                  <c:v>0.14618299383526975</c:v>
                </c:pt>
                <c:pt idx="1">
                  <c:v>8.632203736853207E-2</c:v>
                </c:pt>
                <c:pt idx="2">
                  <c:v>3.0925035424233385E-2</c:v>
                </c:pt>
                <c:pt idx="3">
                  <c:v>0.10599048957533475</c:v>
                </c:pt>
                <c:pt idx="4">
                  <c:v>8.4205246923402408E-2</c:v>
                </c:pt>
              </c:numCache>
            </c:numRef>
          </c:val>
          <c:smooth val="0"/>
          <c:extLst>
            <c:ext xmlns:c16="http://schemas.microsoft.com/office/drawing/2014/chart" uri="{C3380CC4-5D6E-409C-BE32-E72D297353CC}">
              <c16:uniqueId val="{00000004-670C-4E4E-9C97-AF9AB403B51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Cash Ratio: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Charts!$T$18:$T$22</c:f>
              <c:strCache>
                <c:ptCount val="5"/>
                <c:pt idx="0">
                  <c:v>FY2021</c:v>
                </c:pt>
                <c:pt idx="1">
                  <c:v>FY2022</c:v>
                </c:pt>
                <c:pt idx="2">
                  <c:v>FY2023</c:v>
                </c:pt>
                <c:pt idx="3">
                  <c:v>FY2024</c:v>
                </c:pt>
                <c:pt idx="4">
                  <c:v>FY2025</c:v>
                </c:pt>
              </c:strCache>
            </c:strRef>
          </c:cat>
          <c:val>
            <c:numRef>
              <c:f>Charts!$U$18:$U$22</c:f>
              <c:numCache>
                <c:formatCode>0.00</c:formatCode>
                <c:ptCount val="5"/>
                <c:pt idx="0">
                  <c:v>0.15817363525137568</c:v>
                </c:pt>
                <c:pt idx="1">
                  <c:v>5.0670963775722312E-2</c:v>
                </c:pt>
                <c:pt idx="2">
                  <c:v>9.4178046452072631E-2</c:v>
                </c:pt>
                <c:pt idx="3">
                  <c:v>9.9376831489781367E-2</c:v>
                </c:pt>
                <c:pt idx="4">
                  <c:v>0.1243988942257843</c:v>
                </c:pt>
              </c:numCache>
            </c:numRef>
          </c:val>
          <c:smooth val="0"/>
          <c:extLst>
            <c:ext xmlns:c16="http://schemas.microsoft.com/office/drawing/2014/chart" uri="{C3380CC4-5D6E-409C-BE32-E72D297353CC}">
              <c16:uniqueId val="{00000000-686A-4F0A-9D58-813EF4485BF8}"/>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Charts!$T$18:$T$22</c:f>
              <c:strCache>
                <c:ptCount val="5"/>
                <c:pt idx="0">
                  <c:v>FY2021</c:v>
                </c:pt>
                <c:pt idx="1">
                  <c:v>FY2022</c:v>
                </c:pt>
                <c:pt idx="2">
                  <c:v>FY2023</c:v>
                </c:pt>
                <c:pt idx="3">
                  <c:v>FY2024</c:v>
                </c:pt>
                <c:pt idx="4">
                  <c:v>FY2025</c:v>
                </c:pt>
              </c:strCache>
            </c:strRef>
          </c:cat>
          <c:val>
            <c:numRef>
              <c:f>Charts!$Z$18:$Z$22</c:f>
              <c:numCache>
                <c:formatCode>0.00</c:formatCode>
                <c:ptCount val="5"/>
                <c:pt idx="0">
                  <c:v>0.19645843533403926</c:v>
                </c:pt>
                <c:pt idx="1">
                  <c:v>0.14103994706030626</c:v>
                </c:pt>
                <c:pt idx="2">
                  <c:v>0.14953756715248792</c:v>
                </c:pt>
                <c:pt idx="3">
                  <c:v>0.17988762592814997</c:v>
                </c:pt>
                <c:pt idx="4">
                  <c:v>0.28358182596058851</c:v>
                </c:pt>
              </c:numCache>
            </c:numRef>
          </c:val>
          <c:smooth val="0"/>
          <c:extLst>
            <c:ext xmlns:c16="http://schemas.microsoft.com/office/drawing/2014/chart" uri="{C3380CC4-5D6E-409C-BE32-E72D297353CC}">
              <c16:uniqueId val="{00000001-686A-4F0A-9D58-813EF4485BF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Net Working Capital: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Charts!$T$26:$T$30</c:f>
              <c:strCache>
                <c:ptCount val="5"/>
                <c:pt idx="0">
                  <c:v>FY2021</c:v>
                </c:pt>
                <c:pt idx="1">
                  <c:v>FY2022</c:v>
                </c:pt>
                <c:pt idx="2">
                  <c:v>FY2023</c:v>
                </c:pt>
                <c:pt idx="3">
                  <c:v>FY2024</c:v>
                </c:pt>
                <c:pt idx="4">
                  <c:v>FY2025</c:v>
                </c:pt>
              </c:strCache>
            </c:strRef>
          </c:cat>
          <c:val>
            <c:numRef>
              <c:f>Charts!$U$26:$U$30</c:f>
              <c:numCache>
                <c:formatCode>#,##0.0</c:formatCode>
                <c:ptCount val="5"/>
                <c:pt idx="0">
                  <c:v>2276.5547739999984</c:v>
                </c:pt>
                <c:pt idx="1">
                  <c:v>8287.8407679999964</c:v>
                </c:pt>
                <c:pt idx="2">
                  <c:v>13000.905238000001</c:v>
                </c:pt>
                <c:pt idx="3">
                  <c:v>21116.760542</c:v>
                </c:pt>
                <c:pt idx="4">
                  <c:v>26953.091383000003</c:v>
                </c:pt>
              </c:numCache>
            </c:numRef>
          </c:val>
          <c:smooth val="0"/>
          <c:extLst>
            <c:ext xmlns:c16="http://schemas.microsoft.com/office/drawing/2014/chart" uri="{C3380CC4-5D6E-409C-BE32-E72D297353CC}">
              <c16:uniqueId val="{00000000-D5C7-474B-B7AE-F8372A080262}"/>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Charts!$T$26:$T$30</c:f>
              <c:strCache>
                <c:ptCount val="5"/>
                <c:pt idx="0">
                  <c:v>FY2021</c:v>
                </c:pt>
                <c:pt idx="1">
                  <c:v>FY2022</c:v>
                </c:pt>
                <c:pt idx="2">
                  <c:v>FY2023</c:v>
                </c:pt>
                <c:pt idx="3">
                  <c:v>FY2024</c:v>
                </c:pt>
                <c:pt idx="4">
                  <c:v>FY2025</c:v>
                </c:pt>
              </c:strCache>
            </c:strRef>
          </c:cat>
          <c:val>
            <c:numRef>
              <c:f>Charts!$V$26:$V$30</c:f>
              <c:numCache>
                <c:formatCode>#,##0.0</c:formatCode>
                <c:ptCount val="5"/>
                <c:pt idx="0">
                  <c:v>10289.302000000007</c:v>
                </c:pt>
                <c:pt idx="1">
                  <c:v>14454.333000000006</c:v>
                </c:pt>
                <c:pt idx="2">
                  <c:v>13395.762999999999</c:v>
                </c:pt>
                <c:pt idx="3">
                  <c:v>14263.611000000004</c:v>
                </c:pt>
                <c:pt idx="4">
                  <c:v>41905.97600000001</c:v>
                </c:pt>
              </c:numCache>
            </c:numRef>
          </c:val>
          <c:smooth val="0"/>
          <c:extLst>
            <c:ext xmlns:c16="http://schemas.microsoft.com/office/drawing/2014/chart" uri="{C3380CC4-5D6E-409C-BE32-E72D297353CC}">
              <c16:uniqueId val="{00000001-D5C7-474B-B7AE-F8372A080262}"/>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Charts!$T$26:$T$30</c:f>
              <c:strCache>
                <c:ptCount val="5"/>
                <c:pt idx="0">
                  <c:v>FY2021</c:v>
                </c:pt>
                <c:pt idx="1">
                  <c:v>FY2022</c:v>
                </c:pt>
                <c:pt idx="2">
                  <c:v>FY2023</c:v>
                </c:pt>
                <c:pt idx="3">
                  <c:v>FY2024</c:v>
                </c:pt>
                <c:pt idx="4">
                  <c:v>FY2025</c:v>
                </c:pt>
              </c:strCache>
            </c:strRef>
          </c:cat>
          <c:val>
            <c:numRef>
              <c:f>Charts!$W$26:$W$30</c:f>
              <c:numCache>
                <c:formatCode>#,##0.0</c:formatCode>
                <c:ptCount val="5"/>
                <c:pt idx="0">
                  <c:v>#N/A</c:v>
                </c:pt>
                <c:pt idx="1">
                  <c:v>#N/A</c:v>
                </c:pt>
                <c:pt idx="2">
                  <c:v>#N/A</c:v>
                </c:pt>
                <c:pt idx="3">
                  <c:v>9544.8039999999928</c:v>
                </c:pt>
                <c:pt idx="4">
                  <c:v>21997.121999999999</c:v>
                </c:pt>
              </c:numCache>
            </c:numRef>
          </c:val>
          <c:smooth val="0"/>
          <c:extLst>
            <c:ext xmlns:c16="http://schemas.microsoft.com/office/drawing/2014/chart" uri="{C3380CC4-5D6E-409C-BE32-E72D297353CC}">
              <c16:uniqueId val="{00000002-D5C7-474B-B7AE-F8372A080262}"/>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Charts!$T$26:$T$30</c:f>
              <c:strCache>
                <c:ptCount val="5"/>
                <c:pt idx="0">
                  <c:v>FY2021</c:v>
                </c:pt>
                <c:pt idx="1">
                  <c:v>FY2022</c:v>
                </c:pt>
                <c:pt idx="2">
                  <c:v>FY2023</c:v>
                </c:pt>
                <c:pt idx="3">
                  <c:v>FY2024</c:v>
                </c:pt>
                <c:pt idx="4">
                  <c:v>FY2025</c:v>
                </c:pt>
              </c:strCache>
            </c:strRef>
          </c:cat>
          <c:val>
            <c:numRef>
              <c:f>Charts!$X$26:$X$30</c:f>
              <c:numCache>
                <c:formatCode>#,##0.0</c:formatCode>
                <c:ptCount val="5"/>
                <c:pt idx="0">
                  <c:v>5473.9680000000026</c:v>
                </c:pt>
                <c:pt idx="1">
                  <c:v>4128.5980000000036</c:v>
                </c:pt>
                <c:pt idx="2">
                  <c:v>6024.645999999997</c:v>
                </c:pt>
                <c:pt idx="3">
                  <c:v>8270.0370000000003</c:v>
                </c:pt>
                <c:pt idx="4">
                  <c:v>12422.112999999994</c:v>
                </c:pt>
              </c:numCache>
            </c:numRef>
          </c:val>
          <c:smooth val="0"/>
          <c:extLst>
            <c:ext xmlns:c16="http://schemas.microsoft.com/office/drawing/2014/chart" uri="{C3380CC4-5D6E-409C-BE32-E72D297353CC}">
              <c16:uniqueId val="{00000003-D5C7-474B-B7AE-F8372A080262}"/>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Charts!$T$26:$T$30</c:f>
              <c:strCache>
                <c:ptCount val="5"/>
                <c:pt idx="0">
                  <c:v>FY2021</c:v>
                </c:pt>
                <c:pt idx="1">
                  <c:v>FY2022</c:v>
                </c:pt>
                <c:pt idx="2">
                  <c:v>FY2023</c:v>
                </c:pt>
                <c:pt idx="3">
                  <c:v>FY2024</c:v>
                </c:pt>
                <c:pt idx="4">
                  <c:v>FY2025</c:v>
                </c:pt>
              </c:strCache>
            </c:strRef>
          </c:cat>
          <c:val>
            <c:numRef>
              <c:f>Charts!$Y$26:$Y$30</c:f>
              <c:numCache>
                <c:formatCode>#,##0.0</c:formatCode>
                <c:ptCount val="5"/>
                <c:pt idx="0">
                  <c:v>6276.7430000000004</c:v>
                </c:pt>
                <c:pt idx="1">
                  <c:v>1495.5590000000011</c:v>
                </c:pt>
                <c:pt idx="2">
                  <c:v>#N/A</c:v>
                </c:pt>
                <c:pt idx="3">
                  <c:v>#N/A</c:v>
                </c:pt>
                <c:pt idx="4">
                  <c:v>9835.0680000000066</c:v>
                </c:pt>
              </c:numCache>
            </c:numRef>
          </c:val>
          <c:smooth val="0"/>
          <c:extLst>
            <c:ext xmlns:c16="http://schemas.microsoft.com/office/drawing/2014/chart" uri="{C3380CC4-5D6E-409C-BE32-E72D297353CC}">
              <c16:uniqueId val="{00000004-D5C7-474B-B7AE-F8372A080262}"/>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PKR million</a:t>
                </a:r>
              </a:p>
            </c:rich>
          </c:tx>
          <c:overlay val="0"/>
        </c:title>
        <c:numFmt formatCode="#,##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Net Working Capital: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Charts!$T$26:$T$30</c:f>
              <c:strCache>
                <c:ptCount val="5"/>
                <c:pt idx="0">
                  <c:v>FY2021</c:v>
                </c:pt>
                <c:pt idx="1">
                  <c:v>FY2022</c:v>
                </c:pt>
                <c:pt idx="2">
                  <c:v>FY2023</c:v>
                </c:pt>
                <c:pt idx="3">
                  <c:v>FY2024</c:v>
                </c:pt>
                <c:pt idx="4">
                  <c:v>FY2025</c:v>
                </c:pt>
              </c:strCache>
            </c:strRef>
          </c:cat>
          <c:val>
            <c:numRef>
              <c:f>Charts!$U$26:$U$30</c:f>
              <c:numCache>
                <c:formatCode>#,##0.0</c:formatCode>
                <c:ptCount val="5"/>
                <c:pt idx="0">
                  <c:v>2276.5547739999984</c:v>
                </c:pt>
                <c:pt idx="1">
                  <c:v>8287.8407679999964</c:v>
                </c:pt>
                <c:pt idx="2">
                  <c:v>13000.905238000001</c:v>
                </c:pt>
                <c:pt idx="3">
                  <c:v>21116.760542</c:v>
                </c:pt>
                <c:pt idx="4">
                  <c:v>26953.091383000003</c:v>
                </c:pt>
              </c:numCache>
            </c:numRef>
          </c:val>
          <c:smooth val="0"/>
          <c:extLst>
            <c:ext xmlns:c16="http://schemas.microsoft.com/office/drawing/2014/chart" uri="{C3380CC4-5D6E-409C-BE32-E72D297353CC}">
              <c16:uniqueId val="{00000000-D60B-4A4B-9DF6-AE802B36D1F7}"/>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Charts!$T$26:$T$30</c:f>
              <c:strCache>
                <c:ptCount val="5"/>
                <c:pt idx="0">
                  <c:v>FY2021</c:v>
                </c:pt>
                <c:pt idx="1">
                  <c:v>FY2022</c:v>
                </c:pt>
                <c:pt idx="2">
                  <c:v>FY2023</c:v>
                </c:pt>
                <c:pt idx="3">
                  <c:v>FY2024</c:v>
                </c:pt>
                <c:pt idx="4">
                  <c:v>FY2025</c:v>
                </c:pt>
              </c:strCache>
            </c:strRef>
          </c:cat>
          <c:val>
            <c:numRef>
              <c:f>Charts!$Z$26:$Z$30</c:f>
              <c:numCache>
                <c:formatCode>#,##0.0</c:formatCode>
                <c:ptCount val="5"/>
                <c:pt idx="0">
                  <c:v>6079.1419435000025</c:v>
                </c:pt>
                <c:pt idx="1">
                  <c:v>7091.5826920000018</c:v>
                </c:pt>
                <c:pt idx="2">
                  <c:v>10807.104745999999</c:v>
                </c:pt>
                <c:pt idx="3">
                  <c:v>13298.803135499998</c:v>
                </c:pt>
                <c:pt idx="4">
                  <c:v>22622.674076600008</c:v>
                </c:pt>
              </c:numCache>
            </c:numRef>
          </c:val>
          <c:smooth val="0"/>
          <c:extLst>
            <c:ext xmlns:c16="http://schemas.microsoft.com/office/drawing/2014/chart" uri="{C3380CC4-5D6E-409C-BE32-E72D297353CC}">
              <c16:uniqueId val="{00000001-D60B-4A4B-9DF6-AE802B36D1F7}"/>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PKR million</a:t>
                </a:r>
              </a:p>
            </c:rich>
          </c:tx>
          <c:overlay val="0"/>
        </c:title>
        <c:numFmt formatCode="#,##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Inventory Turnover: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Charts!$T$34:$T$38</c:f>
              <c:strCache>
                <c:ptCount val="5"/>
                <c:pt idx="0">
                  <c:v>FY2021</c:v>
                </c:pt>
                <c:pt idx="1">
                  <c:v>FY2022</c:v>
                </c:pt>
                <c:pt idx="2">
                  <c:v>FY2023</c:v>
                </c:pt>
                <c:pt idx="3">
                  <c:v>FY2024</c:v>
                </c:pt>
                <c:pt idx="4">
                  <c:v>FY2025</c:v>
                </c:pt>
              </c:strCache>
            </c:strRef>
          </c:cat>
          <c:val>
            <c:numRef>
              <c:f>Charts!$U$34:$U$38</c:f>
              <c:numCache>
                <c:formatCode>0.00</c:formatCode>
                <c:ptCount val="5"/>
                <c:pt idx="0">
                  <c:v>4.8570986013255171</c:v>
                </c:pt>
                <c:pt idx="1">
                  <c:v>4.6811317215716919</c:v>
                </c:pt>
                <c:pt idx="2">
                  <c:v>4.2753791437713859</c:v>
                </c:pt>
                <c:pt idx="3">
                  <c:v>3.5957369645110586</c:v>
                </c:pt>
                <c:pt idx="4">
                  <c:v>3.024880626442934</c:v>
                </c:pt>
              </c:numCache>
            </c:numRef>
          </c:val>
          <c:smooth val="0"/>
          <c:extLst>
            <c:ext xmlns:c16="http://schemas.microsoft.com/office/drawing/2014/chart" uri="{C3380CC4-5D6E-409C-BE32-E72D297353CC}">
              <c16:uniqueId val="{00000000-62C7-4DEA-B6C1-3EC9162CAF76}"/>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Charts!$T$34:$T$38</c:f>
              <c:strCache>
                <c:ptCount val="5"/>
                <c:pt idx="0">
                  <c:v>FY2021</c:v>
                </c:pt>
                <c:pt idx="1">
                  <c:v>FY2022</c:v>
                </c:pt>
                <c:pt idx="2">
                  <c:v>FY2023</c:v>
                </c:pt>
                <c:pt idx="3">
                  <c:v>FY2024</c:v>
                </c:pt>
                <c:pt idx="4">
                  <c:v>FY2025</c:v>
                </c:pt>
              </c:strCache>
            </c:strRef>
          </c:cat>
          <c:val>
            <c:numRef>
              <c:f>Charts!$V$34:$V$38</c:f>
              <c:numCache>
                <c:formatCode>0.00</c:formatCode>
                <c:ptCount val="5"/>
                <c:pt idx="0">
                  <c:v>3.8136073127139278</c:v>
                </c:pt>
                <c:pt idx="1">
                  <c:v>3.657733126059421</c:v>
                </c:pt>
                <c:pt idx="2">
                  <c:v>3.6234818387767853</c:v>
                </c:pt>
                <c:pt idx="3">
                  <c:v>3.5401699550948362</c:v>
                </c:pt>
                <c:pt idx="4">
                  <c:v>3.4260949525900268</c:v>
                </c:pt>
              </c:numCache>
            </c:numRef>
          </c:val>
          <c:smooth val="0"/>
          <c:extLst>
            <c:ext xmlns:c16="http://schemas.microsoft.com/office/drawing/2014/chart" uri="{C3380CC4-5D6E-409C-BE32-E72D297353CC}">
              <c16:uniqueId val="{00000001-62C7-4DEA-B6C1-3EC9162CAF76}"/>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Charts!$T$34:$T$38</c:f>
              <c:strCache>
                <c:ptCount val="5"/>
                <c:pt idx="0">
                  <c:v>FY2021</c:v>
                </c:pt>
                <c:pt idx="1">
                  <c:v>FY2022</c:v>
                </c:pt>
                <c:pt idx="2">
                  <c:v>FY2023</c:v>
                </c:pt>
                <c:pt idx="3">
                  <c:v>FY2024</c:v>
                </c:pt>
                <c:pt idx="4">
                  <c:v>FY2025</c:v>
                </c:pt>
              </c:strCache>
            </c:strRef>
          </c:cat>
          <c:val>
            <c:numRef>
              <c:f>Charts!$W$34:$W$38</c:f>
              <c:numCache>
                <c:formatCode>0.00</c:formatCode>
                <c:ptCount val="5"/>
                <c:pt idx="0">
                  <c:v>2.6267527531726218</c:v>
                </c:pt>
                <c:pt idx="1">
                  <c:v>2.479761249901864</c:v>
                </c:pt>
                <c:pt idx="2">
                  <c:v>2.4352964976956684</c:v>
                </c:pt>
                <c:pt idx="3">
                  <c:v>2.5832010951831741</c:v>
                </c:pt>
                <c:pt idx="4">
                  <c:v>2.6203448800361673</c:v>
                </c:pt>
              </c:numCache>
            </c:numRef>
          </c:val>
          <c:smooth val="0"/>
          <c:extLst>
            <c:ext xmlns:c16="http://schemas.microsoft.com/office/drawing/2014/chart" uri="{C3380CC4-5D6E-409C-BE32-E72D297353CC}">
              <c16:uniqueId val="{00000002-62C7-4DEA-B6C1-3EC9162CAF76}"/>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Charts!$T$34:$T$38</c:f>
              <c:strCache>
                <c:ptCount val="5"/>
                <c:pt idx="0">
                  <c:v>FY2021</c:v>
                </c:pt>
                <c:pt idx="1">
                  <c:v>FY2022</c:v>
                </c:pt>
                <c:pt idx="2">
                  <c:v>FY2023</c:v>
                </c:pt>
                <c:pt idx="3">
                  <c:v>FY2024</c:v>
                </c:pt>
                <c:pt idx="4">
                  <c:v>FY2025</c:v>
                </c:pt>
              </c:strCache>
            </c:strRef>
          </c:cat>
          <c:val>
            <c:numRef>
              <c:f>Charts!$X$34:$X$38</c:f>
              <c:numCache>
                <c:formatCode>0.00</c:formatCode>
                <c:ptCount val="5"/>
                <c:pt idx="0">
                  <c:v>2.5503561154199565</c:v>
                </c:pt>
                <c:pt idx="1">
                  <c:v>2.6418827583195736</c:v>
                </c:pt>
                <c:pt idx="2">
                  <c:v>2.991643999189634</c:v>
                </c:pt>
                <c:pt idx="3">
                  <c:v>3.1013565995658121</c:v>
                </c:pt>
                <c:pt idx="4">
                  <c:v>2.7865732877055658</c:v>
                </c:pt>
              </c:numCache>
            </c:numRef>
          </c:val>
          <c:smooth val="0"/>
          <c:extLst>
            <c:ext xmlns:c16="http://schemas.microsoft.com/office/drawing/2014/chart" uri="{C3380CC4-5D6E-409C-BE32-E72D297353CC}">
              <c16:uniqueId val="{00000003-62C7-4DEA-B6C1-3EC9162CAF76}"/>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Charts!$T$34:$T$38</c:f>
              <c:strCache>
                <c:ptCount val="5"/>
                <c:pt idx="0">
                  <c:v>FY2021</c:v>
                </c:pt>
                <c:pt idx="1">
                  <c:v>FY2022</c:v>
                </c:pt>
                <c:pt idx="2">
                  <c:v>FY2023</c:v>
                </c:pt>
                <c:pt idx="3">
                  <c:v>FY2024</c:v>
                </c:pt>
                <c:pt idx="4">
                  <c:v>FY2025</c:v>
                </c:pt>
              </c:strCache>
            </c:strRef>
          </c:cat>
          <c:val>
            <c:numRef>
              <c:f>Charts!$Y$34:$Y$38</c:f>
              <c:numCache>
                <c:formatCode>0.00</c:formatCode>
                <c:ptCount val="5"/>
                <c:pt idx="0">
                  <c:v>3.593399445976929</c:v>
                </c:pt>
                <c:pt idx="1">
                  <c:v>3.6798285509863442</c:v>
                </c:pt>
                <c:pt idx="2">
                  <c:v>3.0981941833220765</c:v>
                </c:pt>
                <c:pt idx="3">
                  <c:v>3.4267755412065504</c:v>
                </c:pt>
                <c:pt idx="4">
                  <c:v>3.1608830315846066</c:v>
                </c:pt>
              </c:numCache>
            </c:numRef>
          </c:val>
          <c:smooth val="0"/>
          <c:extLst>
            <c:ext xmlns:c16="http://schemas.microsoft.com/office/drawing/2014/chart" uri="{C3380CC4-5D6E-409C-BE32-E72D297353CC}">
              <c16:uniqueId val="{00000004-62C7-4DEA-B6C1-3EC9162CAF76}"/>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Inventory Turnover: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Charts!$T$34:$T$38</c:f>
              <c:strCache>
                <c:ptCount val="5"/>
                <c:pt idx="0">
                  <c:v>FY2021</c:v>
                </c:pt>
                <c:pt idx="1">
                  <c:v>FY2022</c:v>
                </c:pt>
                <c:pt idx="2">
                  <c:v>FY2023</c:v>
                </c:pt>
                <c:pt idx="3">
                  <c:v>FY2024</c:v>
                </c:pt>
                <c:pt idx="4">
                  <c:v>FY2025</c:v>
                </c:pt>
              </c:strCache>
            </c:strRef>
          </c:cat>
          <c:val>
            <c:numRef>
              <c:f>Charts!$U$34:$U$38</c:f>
              <c:numCache>
                <c:formatCode>0.00</c:formatCode>
                <c:ptCount val="5"/>
                <c:pt idx="0">
                  <c:v>4.8570986013255171</c:v>
                </c:pt>
                <c:pt idx="1">
                  <c:v>4.6811317215716919</c:v>
                </c:pt>
                <c:pt idx="2">
                  <c:v>4.2753791437713859</c:v>
                </c:pt>
                <c:pt idx="3">
                  <c:v>3.5957369645110586</c:v>
                </c:pt>
                <c:pt idx="4">
                  <c:v>3.024880626442934</c:v>
                </c:pt>
              </c:numCache>
            </c:numRef>
          </c:val>
          <c:smooth val="0"/>
          <c:extLst>
            <c:ext xmlns:c16="http://schemas.microsoft.com/office/drawing/2014/chart" uri="{C3380CC4-5D6E-409C-BE32-E72D297353CC}">
              <c16:uniqueId val="{00000000-0085-41B3-BD51-0FCE4A218658}"/>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Charts!$T$34:$T$38</c:f>
              <c:strCache>
                <c:ptCount val="5"/>
                <c:pt idx="0">
                  <c:v>FY2021</c:v>
                </c:pt>
                <c:pt idx="1">
                  <c:v>FY2022</c:v>
                </c:pt>
                <c:pt idx="2">
                  <c:v>FY2023</c:v>
                </c:pt>
                <c:pt idx="3">
                  <c:v>FY2024</c:v>
                </c:pt>
                <c:pt idx="4">
                  <c:v>FY2025</c:v>
                </c:pt>
              </c:strCache>
            </c:strRef>
          </c:cat>
          <c:val>
            <c:numRef>
              <c:f>Charts!$Z$34:$Z$38</c:f>
              <c:numCache>
                <c:formatCode>0.00</c:formatCode>
                <c:ptCount val="5"/>
                <c:pt idx="0">
                  <c:v>3.4882428457217904</c:v>
                </c:pt>
                <c:pt idx="1">
                  <c:v>3.4280674813677789</c:v>
                </c:pt>
                <c:pt idx="2">
                  <c:v>3.2847991325511101</c:v>
                </c:pt>
                <c:pt idx="3">
                  <c:v>3.2494480311122858</c:v>
                </c:pt>
                <c:pt idx="4">
                  <c:v>3.0037553556718599</c:v>
                </c:pt>
              </c:numCache>
            </c:numRef>
          </c:val>
          <c:smooth val="0"/>
          <c:extLst>
            <c:ext xmlns:c16="http://schemas.microsoft.com/office/drawing/2014/chart" uri="{C3380CC4-5D6E-409C-BE32-E72D297353CC}">
              <c16:uniqueId val="{00000001-0085-41B3-BD51-0FCE4A21865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Receivables Turnover: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Charts!$T$42:$T$46</c:f>
              <c:strCache>
                <c:ptCount val="5"/>
                <c:pt idx="0">
                  <c:v>FY2021</c:v>
                </c:pt>
                <c:pt idx="1">
                  <c:v>FY2022</c:v>
                </c:pt>
                <c:pt idx="2">
                  <c:v>FY2023</c:v>
                </c:pt>
                <c:pt idx="3">
                  <c:v>FY2024</c:v>
                </c:pt>
                <c:pt idx="4">
                  <c:v>FY2025</c:v>
                </c:pt>
              </c:strCache>
            </c:strRef>
          </c:cat>
          <c:val>
            <c:numRef>
              <c:f>Charts!$U$42:$U$46</c:f>
              <c:numCache>
                <c:formatCode>0.00</c:formatCode>
                <c:ptCount val="5"/>
                <c:pt idx="0">
                  <c:v>32.556527152183129</c:v>
                </c:pt>
                <c:pt idx="1">
                  <c:v>34.614462046513971</c:v>
                </c:pt>
                <c:pt idx="2">
                  <c:v>36.690956476472735</c:v>
                </c:pt>
                <c:pt idx="3">
                  <c:v>23.311269128267483</c:v>
                </c:pt>
                <c:pt idx="4">
                  <c:v>19.742821104933064</c:v>
                </c:pt>
              </c:numCache>
            </c:numRef>
          </c:val>
          <c:smooth val="0"/>
          <c:extLst>
            <c:ext xmlns:c16="http://schemas.microsoft.com/office/drawing/2014/chart" uri="{C3380CC4-5D6E-409C-BE32-E72D297353CC}">
              <c16:uniqueId val="{00000000-AD91-4FB2-B545-727988E1EB45}"/>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Charts!$T$42:$T$46</c:f>
              <c:strCache>
                <c:ptCount val="5"/>
                <c:pt idx="0">
                  <c:v>FY2021</c:v>
                </c:pt>
                <c:pt idx="1">
                  <c:v>FY2022</c:v>
                </c:pt>
                <c:pt idx="2">
                  <c:v>FY2023</c:v>
                </c:pt>
                <c:pt idx="3">
                  <c:v>FY2024</c:v>
                </c:pt>
                <c:pt idx="4">
                  <c:v>FY2025</c:v>
                </c:pt>
              </c:strCache>
            </c:strRef>
          </c:cat>
          <c:val>
            <c:numRef>
              <c:f>Charts!$V$42:$V$46</c:f>
              <c:numCache>
                <c:formatCode>0.00</c:formatCode>
                <c:ptCount val="5"/>
                <c:pt idx="0">
                  <c:v>20.525799758937445</c:v>
                </c:pt>
                <c:pt idx="1">
                  <c:v>26.020654219821807</c:v>
                </c:pt>
                <c:pt idx="2">
                  <c:v>22.253946370189343</c:v>
                </c:pt>
                <c:pt idx="3">
                  <c:v>19.185416979630755</c:v>
                </c:pt>
                <c:pt idx="4">
                  <c:v>18.743761644592638</c:v>
                </c:pt>
              </c:numCache>
            </c:numRef>
          </c:val>
          <c:smooth val="0"/>
          <c:extLst>
            <c:ext xmlns:c16="http://schemas.microsoft.com/office/drawing/2014/chart" uri="{C3380CC4-5D6E-409C-BE32-E72D297353CC}">
              <c16:uniqueId val="{00000001-AD91-4FB2-B545-727988E1EB45}"/>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Charts!$T$42:$T$46</c:f>
              <c:strCache>
                <c:ptCount val="5"/>
                <c:pt idx="0">
                  <c:v>FY2021</c:v>
                </c:pt>
                <c:pt idx="1">
                  <c:v>FY2022</c:v>
                </c:pt>
                <c:pt idx="2">
                  <c:v>FY2023</c:v>
                </c:pt>
                <c:pt idx="3">
                  <c:v>FY2024</c:v>
                </c:pt>
                <c:pt idx="4">
                  <c:v>FY2025</c:v>
                </c:pt>
              </c:strCache>
            </c:strRef>
          </c:cat>
          <c:val>
            <c:numRef>
              <c:f>Charts!$W$42:$W$46</c:f>
              <c:numCache>
                <c:formatCode>0.00</c:formatCode>
                <c:ptCount val="5"/>
                <c:pt idx="0">
                  <c:v>22.768270883109405</c:v>
                </c:pt>
                <c:pt idx="1">
                  <c:v>36.922320391767833</c:v>
                </c:pt>
                <c:pt idx="2">
                  <c:v>48.836111797909446</c:v>
                </c:pt>
                <c:pt idx="3">
                  <c:v>64.453707869774377</c:v>
                </c:pt>
                <c:pt idx="4">
                  <c:v>61.216079379365482</c:v>
                </c:pt>
              </c:numCache>
            </c:numRef>
          </c:val>
          <c:smooth val="0"/>
          <c:extLst>
            <c:ext xmlns:c16="http://schemas.microsoft.com/office/drawing/2014/chart" uri="{C3380CC4-5D6E-409C-BE32-E72D297353CC}">
              <c16:uniqueId val="{00000002-AD91-4FB2-B545-727988E1EB45}"/>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Charts!$T$42:$T$46</c:f>
              <c:strCache>
                <c:ptCount val="5"/>
                <c:pt idx="0">
                  <c:v>FY2021</c:v>
                </c:pt>
                <c:pt idx="1">
                  <c:v>FY2022</c:v>
                </c:pt>
                <c:pt idx="2">
                  <c:v>FY2023</c:v>
                </c:pt>
                <c:pt idx="3">
                  <c:v>FY2024</c:v>
                </c:pt>
                <c:pt idx="4">
                  <c:v>FY2025</c:v>
                </c:pt>
              </c:strCache>
            </c:strRef>
          </c:cat>
          <c:val>
            <c:numRef>
              <c:f>Charts!$X$42:$X$46</c:f>
              <c:numCache>
                <c:formatCode>0.00</c:formatCode>
                <c:ptCount val="5"/>
                <c:pt idx="0">
                  <c:v>15.020941563038772</c:v>
                </c:pt>
                <c:pt idx="1">
                  <c:v>25.905344380386534</c:v>
                </c:pt>
                <c:pt idx="2">
                  <c:v>26.600659453629234</c:v>
                </c:pt>
                <c:pt idx="3">
                  <c:v>19.574371293114748</c:v>
                </c:pt>
                <c:pt idx="4">
                  <c:v>15.67064847793373</c:v>
                </c:pt>
              </c:numCache>
            </c:numRef>
          </c:val>
          <c:smooth val="0"/>
          <c:extLst>
            <c:ext xmlns:c16="http://schemas.microsoft.com/office/drawing/2014/chart" uri="{C3380CC4-5D6E-409C-BE32-E72D297353CC}">
              <c16:uniqueId val="{00000003-AD91-4FB2-B545-727988E1EB45}"/>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Charts!$T$42:$T$46</c:f>
              <c:strCache>
                <c:ptCount val="5"/>
                <c:pt idx="0">
                  <c:v>FY2021</c:v>
                </c:pt>
                <c:pt idx="1">
                  <c:v>FY2022</c:v>
                </c:pt>
                <c:pt idx="2">
                  <c:v>FY2023</c:v>
                </c:pt>
                <c:pt idx="3">
                  <c:v>FY2024</c:v>
                </c:pt>
                <c:pt idx="4">
                  <c:v>FY2025</c:v>
                </c:pt>
              </c:strCache>
            </c:strRef>
          </c:cat>
          <c:val>
            <c:numRef>
              <c:f>Charts!$Y$42:$Y$46</c:f>
              <c:numCache>
                <c:formatCode>0.00</c:formatCode>
                <c:ptCount val="5"/>
                <c:pt idx="0">
                  <c:v>19.415164144242155</c:v>
                </c:pt>
                <c:pt idx="1">
                  <c:v>28.088084014998095</c:v>
                </c:pt>
                <c:pt idx="2">
                  <c:v>22.745855737892271</c:v>
                </c:pt>
                <c:pt idx="3">
                  <c:v>17.554064923929165</c:v>
                </c:pt>
                <c:pt idx="4">
                  <c:v>14.282644096931071</c:v>
                </c:pt>
              </c:numCache>
            </c:numRef>
          </c:val>
          <c:smooth val="0"/>
          <c:extLst>
            <c:ext xmlns:c16="http://schemas.microsoft.com/office/drawing/2014/chart" uri="{C3380CC4-5D6E-409C-BE32-E72D297353CC}">
              <c16:uniqueId val="{00000004-AD91-4FB2-B545-727988E1EB45}"/>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Receivables Turnover: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Charts!$T$42:$T$46</c:f>
              <c:strCache>
                <c:ptCount val="5"/>
                <c:pt idx="0">
                  <c:v>FY2021</c:v>
                </c:pt>
                <c:pt idx="1">
                  <c:v>FY2022</c:v>
                </c:pt>
                <c:pt idx="2">
                  <c:v>FY2023</c:v>
                </c:pt>
                <c:pt idx="3">
                  <c:v>FY2024</c:v>
                </c:pt>
                <c:pt idx="4">
                  <c:v>FY2025</c:v>
                </c:pt>
              </c:strCache>
            </c:strRef>
          </c:cat>
          <c:val>
            <c:numRef>
              <c:f>Charts!$U$42:$U$46</c:f>
              <c:numCache>
                <c:formatCode>0.00</c:formatCode>
                <c:ptCount val="5"/>
                <c:pt idx="0">
                  <c:v>32.556527152183129</c:v>
                </c:pt>
                <c:pt idx="1">
                  <c:v>34.614462046513971</c:v>
                </c:pt>
                <c:pt idx="2">
                  <c:v>36.690956476472735</c:v>
                </c:pt>
                <c:pt idx="3">
                  <c:v>23.311269128267483</c:v>
                </c:pt>
                <c:pt idx="4">
                  <c:v>19.742821104933064</c:v>
                </c:pt>
              </c:numCache>
            </c:numRef>
          </c:val>
          <c:smooth val="0"/>
          <c:extLst>
            <c:ext xmlns:c16="http://schemas.microsoft.com/office/drawing/2014/chart" uri="{C3380CC4-5D6E-409C-BE32-E72D297353CC}">
              <c16:uniqueId val="{00000000-4D0C-4F05-ADC6-12A17F4A9A7C}"/>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Charts!$T$42:$T$46</c:f>
              <c:strCache>
                <c:ptCount val="5"/>
                <c:pt idx="0">
                  <c:v>FY2021</c:v>
                </c:pt>
                <c:pt idx="1">
                  <c:v>FY2022</c:v>
                </c:pt>
                <c:pt idx="2">
                  <c:v>FY2023</c:v>
                </c:pt>
                <c:pt idx="3">
                  <c:v>FY2024</c:v>
                </c:pt>
                <c:pt idx="4">
                  <c:v>FY2025</c:v>
                </c:pt>
              </c:strCache>
            </c:strRef>
          </c:cat>
          <c:val>
            <c:numRef>
              <c:f>Charts!$Z$42:$Z$46</c:f>
              <c:numCache>
                <c:formatCode>0.00</c:formatCode>
                <c:ptCount val="5"/>
                <c:pt idx="0">
                  <c:v>22.057340700302184</c:v>
                </c:pt>
                <c:pt idx="1">
                  <c:v>30.31017301069765</c:v>
                </c:pt>
                <c:pt idx="2">
                  <c:v>31.425505967218601</c:v>
                </c:pt>
                <c:pt idx="3">
                  <c:v>28.815766038943309</c:v>
                </c:pt>
                <c:pt idx="4">
                  <c:v>25.931190940751197</c:v>
                </c:pt>
              </c:numCache>
            </c:numRef>
          </c:val>
          <c:smooth val="0"/>
          <c:extLst>
            <c:ext xmlns:c16="http://schemas.microsoft.com/office/drawing/2014/chart" uri="{C3380CC4-5D6E-409C-BE32-E72D297353CC}">
              <c16:uniqueId val="{00000001-4D0C-4F05-ADC6-12A17F4A9A7C}"/>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Days Inventory Outstanding: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Charts!$T$50:$T$54</c:f>
              <c:strCache>
                <c:ptCount val="5"/>
                <c:pt idx="0">
                  <c:v>FY2021</c:v>
                </c:pt>
                <c:pt idx="1">
                  <c:v>FY2022</c:v>
                </c:pt>
                <c:pt idx="2">
                  <c:v>FY2023</c:v>
                </c:pt>
                <c:pt idx="3">
                  <c:v>FY2024</c:v>
                </c:pt>
                <c:pt idx="4">
                  <c:v>FY2025</c:v>
                </c:pt>
              </c:strCache>
            </c:strRef>
          </c:cat>
          <c:val>
            <c:numRef>
              <c:f>Charts!$U$50:$U$54</c:f>
              <c:numCache>
                <c:formatCode>0.00</c:formatCode>
                <c:ptCount val="5"/>
                <c:pt idx="0">
                  <c:v>75.147743531578783</c:v>
                </c:pt>
                <c:pt idx="1">
                  <c:v>77.972597591731756</c:v>
                </c:pt>
                <c:pt idx="2">
                  <c:v>85.372545387407953</c:v>
                </c:pt>
                <c:pt idx="3">
                  <c:v>101.50909357454404</c:v>
                </c:pt>
                <c:pt idx="4">
                  <c:v>120.66591878345184</c:v>
                </c:pt>
              </c:numCache>
            </c:numRef>
          </c:val>
          <c:smooth val="0"/>
          <c:extLst>
            <c:ext xmlns:c16="http://schemas.microsoft.com/office/drawing/2014/chart" uri="{C3380CC4-5D6E-409C-BE32-E72D297353CC}">
              <c16:uniqueId val="{00000000-BFBC-4012-B127-A13C33736659}"/>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Charts!$T$50:$T$54</c:f>
              <c:strCache>
                <c:ptCount val="5"/>
                <c:pt idx="0">
                  <c:v>FY2021</c:v>
                </c:pt>
                <c:pt idx="1">
                  <c:v>FY2022</c:v>
                </c:pt>
                <c:pt idx="2">
                  <c:v>FY2023</c:v>
                </c:pt>
                <c:pt idx="3">
                  <c:v>FY2024</c:v>
                </c:pt>
                <c:pt idx="4">
                  <c:v>FY2025</c:v>
                </c:pt>
              </c:strCache>
            </c:strRef>
          </c:cat>
          <c:val>
            <c:numRef>
              <c:f>Charts!$V$50:$V$54</c:f>
              <c:numCache>
                <c:formatCode>0.00</c:formatCode>
                <c:ptCount val="5"/>
                <c:pt idx="0">
                  <c:v>95.709906676324849</c:v>
                </c:pt>
                <c:pt idx="1">
                  <c:v>99.788581457615734</c:v>
                </c:pt>
                <c:pt idx="2">
                  <c:v>100.73184197970664</c:v>
                </c:pt>
                <c:pt idx="3">
                  <c:v>103.10239469568691</c:v>
                </c:pt>
                <c:pt idx="4">
                  <c:v>106.53528435458882</c:v>
                </c:pt>
              </c:numCache>
            </c:numRef>
          </c:val>
          <c:smooth val="0"/>
          <c:extLst>
            <c:ext xmlns:c16="http://schemas.microsoft.com/office/drawing/2014/chart" uri="{C3380CC4-5D6E-409C-BE32-E72D297353CC}">
              <c16:uniqueId val="{00000001-BFBC-4012-B127-A13C33736659}"/>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Charts!$T$50:$T$54</c:f>
              <c:strCache>
                <c:ptCount val="5"/>
                <c:pt idx="0">
                  <c:v>FY2021</c:v>
                </c:pt>
                <c:pt idx="1">
                  <c:v>FY2022</c:v>
                </c:pt>
                <c:pt idx="2">
                  <c:v>FY2023</c:v>
                </c:pt>
                <c:pt idx="3">
                  <c:v>FY2024</c:v>
                </c:pt>
                <c:pt idx="4">
                  <c:v>FY2025</c:v>
                </c:pt>
              </c:strCache>
            </c:strRef>
          </c:cat>
          <c:val>
            <c:numRef>
              <c:f>Charts!$W$50:$W$54</c:f>
              <c:numCache>
                <c:formatCode>0.00</c:formatCode>
                <c:ptCount val="5"/>
                <c:pt idx="0">
                  <c:v>138.95483675010863</c:v>
                </c:pt>
                <c:pt idx="1">
                  <c:v>147.19158951872677</c:v>
                </c:pt>
                <c:pt idx="2">
                  <c:v>149.87908057411946</c:v>
                </c:pt>
                <c:pt idx="3">
                  <c:v>141.29755545575051</c:v>
                </c:pt>
                <c:pt idx="4">
                  <c:v>139.29464124392746</c:v>
                </c:pt>
              </c:numCache>
            </c:numRef>
          </c:val>
          <c:smooth val="0"/>
          <c:extLst>
            <c:ext xmlns:c16="http://schemas.microsoft.com/office/drawing/2014/chart" uri="{C3380CC4-5D6E-409C-BE32-E72D297353CC}">
              <c16:uniqueId val="{00000002-BFBC-4012-B127-A13C33736659}"/>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Charts!$T$50:$T$54</c:f>
              <c:strCache>
                <c:ptCount val="5"/>
                <c:pt idx="0">
                  <c:v>FY2021</c:v>
                </c:pt>
                <c:pt idx="1">
                  <c:v>FY2022</c:v>
                </c:pt>
                <c:pt idx="2">
                  <c:v>FY2023</c:v>
                </c:pt>
                <c:pt idx="3">
                  <c:v>FY2024</c:v>
                </c:pt>
                <c:pt idx="4">
                  <c:v>FY2025</c:v>
                </c:pt>
              </c:strCache>
            </c:strRef>
          </c:cat>
          <c:val>
            <c:numRef>
              <c:f>Charts!$X$50:$X$54</c:f>
              <c:numCache>
                <c:formatCode>0.00</c:formatCode>
                <c:ptCount val="5"/>
                <c:pt idx="0">
                  <c:v>143.11726813096334</c:v>
                </c:pt>
                <c:pt idx="1">
                  <c:v>138.1590454196257</c:v>
                </c:pt>
                <c:pt idx="2">
                  <c:v>122.0064954583065</c:v>
                </c:pt>
                <c:pt idx="3">
                  <c:v>117.69043264844159</c:v>
                </c:pt>
                <c:pt idx="4">
                  <c:v>130.98525045452405</c:v>
                </c:pt>
              </c:numCache>
            </c:numRef>
          </c:val>
          <c:smooth val="0"/>
          <c:extLst>
            <c:ext xmlns:c16="http://schemas.microsoft.com/office/drawing/2014/chart" uri="{C3380CC4-5D6E-409C-BE32-E72D297353CC}">
              <c16:uniqueId val="{00000003-BFBC-4012-B127-A13C33736659}"/>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Charts!$T$50:$T$54</c:f>
              <c:strCache>
                <c:ptCount val="5"/>
                <c:pt idx="0">
                  <c:v>FY2021</c:v>
                </c:pt>
                <c:pt idx="1">
                  <c:v>FY2022</c:v>
                </c:pt>
                <c:pt idx="2">
                  <c:v>FY2023</c:v>
                </c:pt>
                <c:pt idx="3">
                  <c:v>FY2024</c:v>
                </c:pt>
                <c:pt idx="4">
                  <c:v>FY2025</c:v>
                </c:pt>
              </c:strCache>
            </c:strRef>
          </c:cat>
          <c:val>
            <c:numRef>
              <c:f>Charts!$Y$50:$Y$54</c:f>
              <c:numCache>
                <c:formatCode>0.00</c:formatCode>
                <c:ptCount val="5"/>
                <c:pt idx="0">
                  <c:v>101.57512558439446</c:v>
                </c:pt>
                <c:pt idx="1">
                  <c:v>99.189403784088</c:v>
                </c:pt>
                <c:pt idx="2">
                  <c:v>117.81056267061489</c:v>
                </c:pt>
                <c:pt idx="3">
                  <c:v>106.51412548353994</c:v>
                </c:pt>
                <c:pt idx="4">
                  <c:v>115.47406099903009</c:v>
                </c:pt>
              </c:numCache>
            </c:numRef>
          </c:val>
          <c:smooth val="0"/>
          <c:extLst>
            <c:ext xmlns:c16="http://schemas.microsoft.com/office/drawing/2014/chart" uri="{C3380CC4-5D6E-409C-BE32-E72D297353CC}">
              <c16:uniqueId val="{00000004-BFBC-4012-B127-A13C33736659}"/>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Days</a:t>
                </a:r>
              </a:p>
            </c:rich>
          </c:tx>
          <c:overlay val="0"/>
        </c:title>
        <c:numFmt formatCode="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Days Inventory Outstanding: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Charts!$T$50:$T$54</c:f>
              <c:strCache>
                <c:ptCount val="5"/>
                <c:pt idx="0">
                  <c:v>FY2021</c:v>
                </c:pt>
                <c:pt idx="1">
                  <c:v>FY2022</c:v>
                </c:pt>
                <c:pt idx="2">
                  <c:v>FY2023</c:v>
                </c:pt>
                <c:pt idx="3">
                  <c:v>FY2024</c:v>
                </c:pt>
                <c:pt idx="4">
                  <c:v>FY2025</c:v>
                </c:pt>
              </c:strCache>
            </c:strRef>
          </c:cat>
          <c:val>
            <c:numRef>
              <c:f>Charts!$U$50:$U$54</c:f>
              <c:numCache>
                <c:formatCode>0.00</c:formatCode>
                <c:ptCount val="5"/>
                <c:pt idx="0">
                  <c:v>75.147743531578783</c:v>
                </c:pt>
                <c:pt idx="1">
                  <c:v>77.972597591731756</c:v>
                </c:pt>
                <c:pt idx="2">
                  <c:v>85.372545387407953</c:v>
                </c:pt>
                <c:pt idx="3">
                  <c:v>101.50909357454404</c:v>
                </c:pt>
                <c:pt idx="4">
                  <c:v>120.66591878345184</c:v>
                </c:pt>
              </c:numCache>
            </c:numRef>
          </c:val>
          <c:smooth val="0"/>
          <c:extLst>
            <c:ext xmlns:c16="http://schemas.microsoft.com/office/drawing/2014/chart" uri="{C3380CC4-5D6E-409C-BE32-E72D297353CC}">
              <c16:uniqueId val="{00000000-21B2-4C2C-A788-028B7AB62856}"/>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Charts!$T$50:$T$54</c:f>
              <c:strCache>
                <c:ptCount val="5"/>
                <c:pt idx="0">
                  <c:v>FY2021</c:v>
                </c:pt>
                <c:pt idx="1">
                  <c:v>FY2022</c:v>
                </c:pt>
                <c:pt idx="2">
                  <c:v>FY2023</c:v>
                </c:pt>
                <c:pt idx="3">
                  <c:v>FY2024</c:v>
                </c:pt>
                <c:pt idx="4">
                  <c:v>FY2025</c:v>
                </c:pt>
              </c:strCache>
            </c:strRef>
          </c:cat>
          <c:val>
            <c:numRef>
              <c:f>Charts!$Z$50:$Z$54</c:f>
              <c:numCache>
                <c:formatCode>0.00</c:formatCode>
                <c:ptCount val="5"/>
                <c:pt idx="0">
                  <c:v>110.90097613467401</c:v>
                </c:pt>
                <c:pt idx="1">
                  <c:v>112.46024355435759</c:v>
                </c:pt>
                <c:pt idx="2">
                  <c:v>115.16010521403109</c:v>
                </c:pt>
                <c:pt idx="3">
                  <c:v>114.0227203715926</c:v>
                </c:pt>
                <c:pt idx="4">
                  <c:v>122.59103116710443</c:v>
                </c:pt>
              </c:numCache>
            </c:numRef>
          </c:val>
          <c:smooth val="0"/>
          <c:extLst>
            <c:ext xmlns:c16="http://schemas.microsoft.com/office/drawing/2014/chart" uri="{C3380CC4-5D6E-409C-BE32-E72D297353CC}">
              <c16:uniqueId val="{00000001-21B2-4C2C-A788-028B7AB62856}"/>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Days</a:t>
                </a:r>
              </a:p>
            </c:rich>
          </c:tx>
          <c:overlay val="0"/>
        </c:title>
        <c:numFmt formatCode="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Days Sales Outstanding: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Charts!$T$58:$T$62</c:f>
              <c:strCache>
                <c:ptCount val="5"/>
                <c:pt idx="0">
                  <c:v>FY2021</c:v>
                </c:pt>
                <c:pt idx="1">
                  <c:v>FY2022</c:v>
                </c:pt>
                <c:pt idx="2">
                  <c:v>FY2023</c:v>
                </c:pt>
                <c:pt idx="3">
                  <c:v>FY2024</c:v>
                </c:pt>
                <c:pt idx="4">
                  <c:v>FY2025</c:v>
                </c:pt>
              </c:strCache>
            </c:strRef>
          </c:cat>
          <c:val>
            <c:numRef>
              <c:f>Charts!$U$58:$U$62</c:f>
              <c:numCache>
                <c:formatCode>0.00</c:formatCode>
                <c:ptCount val="5"/>
                <c:pt idx="0">
                  <c:v>11.211269503464973</c:v>
                </c:pt>
                <c:pt idx="1">
                  <c:v>10.544725482358297</c:v>
                </c:pt>
                <c:pt idx="2">
                  <c:v>9.9479554378487851</c:v>
                </c:pt>
                <c:pt idx="3">
                  <c:v>15.657663166755571</c:v>
                </c:pt>
                <c:pt idx="4">
                  <c:v>18.487732733839078</c:v>
                </c:pt>
              </c:numCache>
            </c:numRef>
          </c:val>
          <c:smooth val="0"/>
          <c:extLst>
            <c:ext xmlns:c16="http://schemas.microsoft.com/office/drawing/2014/chart" uri="{C3380CC4-5D6E-409C-BE32-E72D297353CC}">
              <c16:uniqueId val="{00000000-A96C-4214-95D5-5B9F33801371}"/>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Charts!$T$58:$T$62</c:f>
              <c:strCache>
                <c:ptCount val="5"/>
                <c:pt idx="0">
                  <c:v>FY2021</c:v>
                </c:pt>
                <c:pt idx="1">
                  <c:v>FY2022</c:v>
                </c:pt>
                <c:pt idx="2">
                  <c:v>FY2023</c:v>
                </c:pt>
                <c:pt idx="3">
                  <c:v>FY2024</c:v>
                </c:pt>
                <c:pt idx="4">
                  <c:v>FY2025</c:v>
                </c:pt>
              </c:strCache>
            </c:strRef>
          </c:cat>
          <c:val>
            <c:numRef>
              <c:f>Charts!$V$58:$V$62</c:f>
              <c:numCache>
                <c:formatCode>0.00</c:formatCode>
                <c:ptCount val="5"/>
                <c:pt idx="0">
                  <c:v>17.782498333156049</c:v>
                </c:pt>
                <c:pt idx="1">
                  <c:v>14.027318333985361</c:v>
                </c:pt>
                <c:pt idx="2">
                  <c:v>16.401585315624828</c:v>
                </c:pt>
                <c:pt idx="3">
                  <c:v>19.024866667611246</c:v>
                </c:pt>
                <c:pt idx="4">
                  <c:v>19.473145621508603</c:v>
                </c:pt>
              </c:numCache>
            </c:numRef>
          </c:val>
          <c:smooth val="0"/>
          <c:extLst>
            <c:ext xmlns:c16="http://schemas.microsoft.com/office/drawing/2014/chart" uri="{C3380CC4-5D6E-409C-BE32-E72D297353CC}">
              <c16:uniqueId val="{00000001-A96C-4214-95D5-5B9F33801371}"/>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Charts!$T$58:$T$62</c:f>
              <c:strCache>
                <c:ptCount val="5"/>
                <c:pt idx="0">
                  <c:v>FY2021</c:v>
                </c:pt>
                <c:pt idx="1">
                  <c:v>FY2022</c:v>
                </c:pt>
                <c:pt idx="2">
                  <c:v>FY2023</c:v>
                </c:pt>
                <c:pt idx="3">
                  <c:v>FY2024</c:v>
                </c:pt>
                <c:pt idx="4">
                  <c:v>FY2025</c:v>
                </c:pt>
              </c:strCache>
            </c:strRef>
          </c:cat>
          <c:val>
            <c:numRef>
              <c:f>Charts!$W$58:$W$62</c:f>
              <c:numCache>
                <c:formatCode>0.00</c:formatCode>
                <c:ptCount val="5"/>
                <c:pt idx="0">
                  <c:v>16.031081230273596</c:v>
                </c:pt>
                <c:pt idx="1">
                  <c:v>9.8856192169704489</c:v>
                </c:pt>
                <c:pt idx="2">
                  <c:v>7.4739774843341396</c:v>
                </c:pt>
                <c:pt idx="3">
                  <c:v>5.6629790909386459</c:v>
                </c:pt>
                <c:pt idx="4">
                  <c:v>5.9624857341490083</c:v>
                </c:pt>
              </c:numCache>
            </c:numRef>
          </c:val>
          <c:smooth val="0"/>
          <c:extLst>
            <c:ext xmlns:c16="http://schemas.microsoft.com/office/drawing/2014/chart" uri="{C3380CC4-5D6E-409C-BE32-E72D297353CC}">
              <c16:uniqueId val="{00000002-A96C-4214-95D5-5B9F33801371}"/>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Charts!$T$58:$T$62</c:f>
              <c:strCache>
                <c:ptCount val="5"/>
                <c:pt idx="0">
                  <c:v>FY2021</c:v>
                </c:pt>
                <c:pt idx="1">
                  <c:v>FY2022</c:v>
                </c:pt>
                <c:pt idx="2">
                  <c:v>FY2023</c:v>
                </c:pt>
                <c:pt idx="3">
                  <c:v>FY2024</c:v>
                </c:pt>
                <c:pt idx="4">
                  <c:v>FY2025</c:v>
                </c:pt>
              </c:strCache>
            </c:strRef>
          </c:cat>
          <c:val>
            <c:numRef>
              <c:f>Charts!$X$58:$X$62</c:f>
              <c:numCache>
                <c:formatCode>0.00</c:formatCode>
                <c:ptCount val="5"/>
                <c:pt idx="0">
                  <c:v>24.299408826550263</c:v>
                </c:pt>
                <c:pt idx="1">
                  <c:v>14.089756717395696</c:v>
                </c:pt>
                <c:pt idx="2">
                  <c:v>13.72146433573479</c:v>
                </c:pt>
                <c:pt idx="3">
                  <c:v>18.646831335440545</c:v>
                </c:pt>
                <c:pt idx="4">
                  <c:v>23.291952500495849</c:v>
                </c:pt>
              </c:numCache>
            </c:numRef>
          </c:val>
          <c:smooth val="0"/>
          <c:extLst>
            <c:ext xmlns:c16="http://schemas.microsoft.com/office/drawing/2014/chart" uri="{C3380CC4-5D6E-409C-BE32-E72D297353CC}">
              <c16:uniqueId val="{00000003-A96C-4214-95D5-5B9F33801371}"/>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Charts!$T$58:$T$62</c:f>
              <c:strCache>
                <c:ptCount val="5"/>
                <c:pt idx="0">
                  <c:v>FY2021</c:v>
                </c:pt>
                <c:pt idx="1">
                  <c:v>FY2022</c:v>
                </c:pt>
                <c:pt idx="2">
                  <c:v>FY2023</c:v>
                </c:pt>
                <c:pt idx="3">
                  <c:v>FY2024</c:v>
                </c:pt>
                <c:pt idx="4">
                  <c:v>FY2025</c:v>
                </c:pt>
              </c:strCache>
            </c:strRef>
          </c:cat>
          <c:val>
            <c:numRef>
              <c:f>Charts!$Y$58:$Y$62</c:f>
              <c:numCache>
                <c:formatCode>0.00</c:formatCode>
                <c:ptCount val="5"/>
                <c:pt idx="0">
                  <c:v>18.799738044359827</c:v>
                </c:pt>
                <c:pt idx="1">
                  <c:v>12.994834386179642</c:v>
                </c:pt>
                <c:pt idx="2">
                  <c:v>16.046879229606091</c:v>
                </c:pt>
                <c:pt idx="3">
                  <c:v>20.792904753499183</c:v>
                </c:pt>
                <c:pt idx="4">
                  <c:v>25.555492212987932</c:v>
                </c:pt>
              </c:numCache>
            </c:numRef>
          </c:val>
          <c:smooth val="0"/>
          <c:extLst>
            <c:ext xmlns:c16="http://schemas.microsoft.com/office/drawing/2014/chart" uri="{C3380CC4-5D6E-409C-BE32-E72D297353CC}">
              <c16:uniqueId val="{00000004-A96C-4214-95D5-5B9F3380137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Days</a:t>
                </a:r>
              </a:p>
            </c:rich>
          </c:tx>
          <c:overlay val="0"/>
        </c:title>
        <c:numFmt formatCode="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Days Sales Outstanding: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Charts!$T$58:$T$62</c:f>
              <c:strCache>
                <c:ptCount val="5"/>
                <c:pt idx="0">
                  <c:v>FY2021</c:v>
                </c:pt>
                <c:pt idx="1">
                  <c:v>FY2022</c:v>
                </c:pt>
                <c:pt idx="2">
                  <c:v>FY2023</c:v>
                </c:pt>
                <c:pt idx="3">
                  <c:v>FY2024</c:v>
                </c:pt>
                <c:pt idx="4">
                  <c:v>FY2025</c:v>
                </c:pt>
              </c:strCache>
            </c:strRef>
          </c:cat>
          <c:val>
            <c:numRef>
              <c:f>Charts!$U$58:$U$62</c:f>
              <c:numCache>
                <c:formatCode>0.00</c:formatCode>
                <c:ptCount val="5"/>
                <c:pt idx="0">
                  <c:v>11.211269503464973</c:v>
                </c:pt>
                <c:pt idx="1">
                  <c:v>10.544725482358297</c:v>
                </c:pt>
                <c:pt idx="2">
                  <c:v>9.9479554378487851</c:v>
                </c:pt>
                <c:pt idx="3">
                  <c:v>15.657663166755571</c:v>
                </c:pt>
                <c:pt idx="4">
                  <c:v>18.487732733839078</c:v>
                </c:pt>
              </c:numCache>
            </c:numRef>
          </c:val>
          <c:smooth val="0"/>
          <c:extLst>
            <c:ext xmlns:c16="http://schemas.microsoft.com/office/drawing/2014/chart" uri="{C3380CC4-5D6E-409C-BE32-E72D297353CC}">
              <c16:uniqueId val="{00000000-01AC-4998-858D-47D3CA5CEAF1}"/>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Charts!$T$58:$T$62</c:f>
              <c:strCache>
                <c:ptCount val="5"/>
                <c:pt idx="0">
                  <c:v>FY2021</c:v>
                </c:pt>
                <c:pt idx="1">
                  <c:v>FY2022</c:v>
                </c:pt>
                <c:pt idx="2">
                  <c:v>FY2023</c:v>
                </c:pt>
                <c:pt idx="3">
                  <c:v>FY2024</c:v>
                </c:pt>
                <c:pt idx="4">
                  <c:v>FY2025</c:v>
                </c:pt>
              </c:strCache>
            </c:strRef>
          </c:cat>
          <c:val>
            <c:numRef>
              <c:f>Charts!$Z$58:$Z$62</c:f>
              <c:numCache>
                <c:formatCode>0.00</c:formatCode>
                <c:ptCount val="5"/>
                <c:pt idx="0">
                  <c:v>17.624799187560942</c:v>
                </c:pt>
                <c:pt idx="1">
                  <c:v>12.308450827377888</c:v>
                </c:pt>
                <c:pt idx="2">
                  <c:v>12.718372360629726</c:v>
                </c:pt>
                <c:pt idx="3">
                  <c:v>15.957049002849038</c:v>
                </c:pt>
                <c:pt idx="4">
                  <c:v>18.554161760596095</c:v>
                </c:pt>
              </c:numCache>
            </c:numRef>
          </c:val>
          <c:smooth val="0"/>
          <c:extLst>
            <c:ext xmlns:c16="http://schemas.microsoft.com/office/drawing/2014/chart" uri="{C3380CC4-5D6E-409C-BE32-E72D297353CC}">
              <c16:uniqueId val="{00000001-01AC-4998-858D-47D3CA5CEAF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Days</a:t>
                </a:r>
              </a:p>
            </c:rich>
          </c:tx>
          <c:overlay val="0"/>
        </c:title>
        <c:numFmt formatCode="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Fixed Asset Turnover: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Charts!$T$66:$T$70</c:f>
              <c:strCache>
                <c:ptCount val="5"/>
                <c:pt idx="0">
                  <c:v>FY2021</c:v>
                </c:pt>
                <c:pt idx="1">
                  <c:v>FY2022</c:v>
                </c:pt>
                <c:pt idx="2">
                  <c:v>FY2023</c:v>
                </c:pt>
                <c:pt idx="3">
                  <c:v>FY2024</c:v>
                </c:pt>
                <c:pt idx="4">
                  <c:v>FY2025</c:v>
                </c:pt>
              </c:strCache>
            </c:strRef>
          </c:cat>
          <c:val>
            <c:numRef>
              <c:f>Charts!$U$66:$U$70</c:f>
              <c:numCache>
                <c:formatCode>0.00</c:formatCode>
                <c:ptCount val="5"/>
                <c:pt idx="0">
                  <c:v>1.0921496738296084</c:v>
                </c:pt>
                <c:pt idx="1">
                  <c:v>1.5412541563844033</c:v>
                </c:pt>
                <c:pt idx="2">
                  <c:v>1.7509053329621809</c:v>
                </c:pt>
                <c:pt idx="3">
                  <c:v>1.7442972870565909</c:v>
                </c:pt>
                <c:pt idx="4">
                  <c:v>1.606837829232711</c:v>
                </c:pt>
              </c:numCache>
            </c:numRef>
          </c:val>
          <c:smooth val="0"/>
          <c:extLst>
            <c:ext xmlns:c16="http://schemas.microsoft.com/office/drawing/2014/chart" uri="{C3380CC4-5D6E-409C-BE32-E72D297353CC}">
              <c16:uniqueId val="{00000000-CAD7-4DF1-8DA4-BAC1442B67D2}"/>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Charts!$T$66:$T$70</c:f>
              <c:strCache>
                <c:ptCount val="5"/>
                <c:pt idx="0">
                  <c:v>FY2021</c:v>
                </c:pt>
                <c:pt idx="1">
                  <c:v>FY2022</c:v>
                </c:pt>
                <c:pt idx="2">
                  <c:v>FY2023</c:v>
                </c:pt>
                <c:pt idx="3">
                  <c:v>FY2024</c:v>
                </c:pt>
                <c:pt idx="4">
                  <c:v>FY2025</c:v>
                </c:pt>
              </c:strCache>
            </c:strRef>
          </c:cat>
          <c:val>
            <c:numRef>
              <c:f>Charts!$V$66:$V$70</c:f>
              <c:numCache>
                <c:formatCode>0.00</c:formatCode>
                <c:ptCount val="5"/>
                <c:pt idx="0">
                  <c:v>1.0088292750112451</c:v>
                </c:pt>
                <c:pt idx="1">
                  <c:v>0.98532795146598973</c:v>
                </c:pt>
                <c:pt idx="2">
                  <c:v>1.0022154394695202</c:v>
                </c:pt>
                <c:pt idx="3">
                  <c:v>1.0752008785316265</c:v>
                </c:pt>
                <c:pt idx="4">
                  <c:v>1.1592237370838812</c:v>
                </c:pt>
              </c:numCache>
            </c:numRef>
          </c:val>
          <c:smooth val="0"/>
          <c:extLst>
            <c:ext xmlns:c16="http://schemas.microsoft.com/office/drawing/2014/chart" uri="{C3380CC4-5D6E-409C-BE32-E72D297353CC}">
              <c16:uniqueId val="{00000001-CAD7-4DF1-8DA4-BAC1442B67D2}"/>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Charts!$T$66:$T$70</c:f>
              <c:strCache>
                <c:ptCount val="5"/>
                <c:pt idx="0">
                  <c:v>FY2021</c:v>
                </c:pt>
                <c:pt idx="1">
                  <c:v>FY2022</c:v>
                </c:pt>
                <c:pt idx="2">
                  <c:v>FY2023</c:v>
                </c:pt>
                <c:pt idx="3">
                  <c:v>FY2024</c:v>
                </c:pt>
                <c:pt idx="4">
                  <c:v>FY2025</c:v>
                </c:pt>
              </c:strCache>
            </c:strRef>
          </c:cat>
          <c:val>
            <c:numRef>
              <c:f>Charts!$W$66:$W$70</c:f>
              <c:numCache>
                <c:formatCode>0.00</c:formatCode>
                <c:ptCount val="5"/>
                <c:pt idx="0">
                  <c:v>0.53055318948132613</c:v>
                </c:pt>
                <c:pt idx="1">
                  <c:v>0.70098015962057802</c:v>
                </c:pt>
                <c:pt idx="2">
                  <c:v>0.79011863849334296</c:v>
                </c:pt>
                <c:pt idx="3">
                  <c:v>0.82674606407416695</c:v>
                </c:pt>
                <c:pt idx="4">
                  <c:v>0.93062078370763102</c:v>
                </c:pt>
              </c:numCache>
            </c:numRef>
          </c:val>
          <c:smooth val="0"/>
          <c:extLst>
            <c:ext xmlns:c16="http://schemas.microsoft.com/office/drawing/2014/chart" uri="{C3380CC4-5D6E-409C-BE32-E72D297353CC}">
              <c16:uniqueId val="{00000002-CAD7-4DF1-8DA4-BAC1442B67D2}"/>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Charts!$T$66:$T$70</c:f>
              <c:strCache>
                <c:ptCount val="5"/>
                <c:pt idx="0">
                  <c:v>FY2021</c:v>
                </c:pt>
                <c:pt idx="1">
                  <c:v>FY2022</c:v>
                </c:pt>
                <c:pt idx="2">
                  <c:v>FY2023</c:v>
                </c:pt>
                <c:pt idx="3">
                  <c:v>FY2024</c:v>
                </c:pt>
                <c:pt idx="4">
                  <c:v>FY2025</c:v>
                </c:pt>
              </c:strCache>
            </c:strRef>
          </c:cat>
          <c:val>
            <c:numRef>
              <c:f>Charts!$X$66:$X$70</c:f>
              <c:numCache>
                <c:formatCode>0.00</c:formatCode>
                <c:ptCount val="5"/>
                <c:pt idx="0">
                  <c:v>0.8037513915639477</c:v>
                </c:pt>
                <c:pt idx="1">
                  <c:v>0.85444675022417971</c:v>
                </c:pt>
                <c:pt idx="2">
                  <c:v>0.99551999428815263</c:v>
                </c:pt>
                <c:pt idx="3">
                  <c:v>1.0069209161495893</c:v>
                </c:pt>
                <c:pt idx="4">
                  <c:v>1.0971769908727151</c:v>
                </c:pt>
              </c:numCache>
            </c:numRef>
          </c:val>
          <c:smooth val="0"/>
          <c:extLst>
            <c:ext xmlns:c16="http://schemas.microsoft.com/office/drawing/2014/chart" uri="{C3380CC4-5D6E-409C-BE32-E72D297353CC}">
              <c16:uniqueId val="{00000003-CAD7-4DF1-8DA4-BAC1442B67D2}"/>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Charts!$T$66:$T$70</c:f>
              <c:strCache>
                <c:ptCount val="5"/>
                <c:pt idx="0">
                  <c:v>FY2021</c:v>
                </c:pt>
                <c:pt idx="1">
                  <c:v>FY2022</c:v>
                </c:pt>
                <c:pt idx="2">
                  <c:v>FY2023</c:v>
                </c:pt>
                <c:pt idx="3">
                  <c:v>FY2024</c:v>
                </c:pt>
                <c:pt idx="4">
                  <c:v>FY2025</c:v>
                </c:pt>
              </c:strCache>
            </c:strRef>
          </c:cat>
          <c:val>
            <c:numRef>
              <c:f>Charts!$Y$66:$Y$70</c:f>
              <c:numCache>
                <c:formatCode>0.00</c:formatCode>
                <c:ptCount val="5"/>
                <c:pt idx="0">
                  <c:v>1.1329960510619466</c:v>
                </c:pt>
                <c:pt idx="1">
                  <c:v>0.73176601318978285</c:v>
                </c:pt>
                <c:pt idx="2">
                  <c:v>0.65184739301529204</c:v>
                </c:pt>
                <c:pt idx="3">
                  <c:v>0.72196082222901214</c:v>
                </c:pt>
                <c:pt idx="4">
                  <c:v>0.81180021491144161</c:v>
                </c:pt>
              </c:numCache>
            </c:numRef>
          </c:val>
          <c:smooth val="0"/>
          <c:extLst>
            <c:ext xmlns:c16="http://schemas.microsoft.com/office/drawing/2014/chart" uri="{C3380CC4-5D6E-409C-BE32-E72D297353CC}">
              <c16:uniqueId val="{00000004-CAD7-4DF1-8DA4-BAC1442B67D2}"/>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Fixed Asset Turnover: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Charts!$T$66:$T$70</c:f>
              <c:strCache>
                <c:ptCount val="5"/>
                <c:pt idx="0">
                  <c:v>FY2021</c:v>
                </c:pt>
                <c:pt idx="1">
                  <c:v>FY2022</c:v>
                </c:pt>
                <c:pt idx="2">
                  <c:v>FY2023</c:v>
                </c:pt>
                <c:pt idx="3">
                  <c:v>FY2024</c:v>
                </c:pt>
                <c:pt idx="4">
                  <c:v>FY2025</c:v>
                </c:pt>
              </c:strCache>
            </c:strRef>
          </c:cat>
          <c:val>
            <c:numRef>
              <c:f>Charts!$U$66:$U$70</c:f>
              <c:numCache>
                <c:formatCode>0.00</c:formatCode>
                <c:ptCount val="5"/>
                <c:pt idx="0">
                  <c:v>1.0921496738296084</c:v>
                </c:pt>
                <c:pt idx="1">
                  <c:v>1.5412541563844033</c:v>
                </c:pt>
                <c:pt idx="2">
                  <c:v>1.7509053329621809</c:v>
                </c:pt>
                <c:pt idx="3">
                  <c:v>1.7442972870565909</c:v>
                </c:pt>
                <c:pt idx="4">
                  <c:v>1.606837829232711</c:v>
                </c:pt>
              </c:numCache>
            </c:numRef>
          </c:val>
          <c:smooth val="0"/>
          <c:extLst>
            <c:ext xmlns:c16="http://schemas.microsoft.com/office/drawing/2014/chart" uri="{C3380CC4-5D6E-409C-BE32-E72D297353CC}">
              <c16:uniqueId val="{00000000-616A-4968-92CB-A7353042AF18}"/>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Charts!$T$66:$T$70</c:f>
              <c:strCache>
                <c:ptCount val="5"/>
                <c:pt idx="0">
                  <c:v>FY2021</c:v>
                </c:pt>
                <c:pt idx="1">
                  <c:v>FY2022</c:v>
                </c:pt>
                <c:pt idx="2">
                  <c:v>FY2023</c:v>
                </c:pt>
                <c:pt idx="3">
                  <c:v>FY2024</c:v>
                </c:pt>
                <c:pt idx="4">
                  <c:v>FY2025</c:v>
                </c:pt>
              </c:strCache>
            </c:strRef>
          </c:cat>
          <c:val>
            <c:numRef>
              <c:f>Charts!$Z$66:$Z$70</c:f>
              <c:numCache>
                <c:formatCode>0.00</c:formatCode>
                <c:ptCount val="5"/>
                <c:pt idx="0">
                  <c:v>0.91365591618961484</c:v>
                </c:pt>
                <c:pt idx="1">
                  <c:v>0.96275500617698673</c:v>
                </c:pt>
                <c:pt idx="2">
                  <c:v>1.038121359645698</c:v>
                </c:pt>
                <c:pt idx="3">
                  <c:v>1.0750251936081971</c:v>
                </c:pt>
                <c:pt idx="4">
                  <c:v>1.121131911161676</c:v>
                </c:pt>
              </c:numCache>
            </c:numRef>
          </c:val>
          <c:smooth val="0"/>
          <c:extLst>
            <c:ext xmlns:c16="http://schemas.microsoft.com/office/drawing/2014/chart" uri="{C3380CC4-5D6E-409C-BE32-E72D297353CC}">
              <c16:uniqueId val="{00000001-616A-4968-92CB-A7353042AF1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Total Asset Turnover: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Charts!$T$74:$T$78</c:f>
              <c:strCache>
                <c:ptCount val="5"/>
                <c:pt idx="0">
                  <c:v>FY2021</c:v>
                </c:pt>
                <c:pt idx="1">
                  <c:v>FY2022</c:v>
                </c:pt>
                <c:pt idx="2">
                  <c:v>FY2023</c:v>
                </c:pt>
                <c:pt idx="3">
                  <c:v>FY2024</c:v>
                </c:pt>
                <c:pt idx="4">
                  <c:v>FY2025</c:v>
                </c:pt>
              </c:strCache>
            </c:strRef>
          </c:cat>
          <c:val>
            <c:numRef>
              <c:f>Charts!$U$74:$U$78</c:f>
              <c:numCache>
                <c:formatCode>0.00</c:formatCode>
                <c:ptCount val="5"/>
                <c:pt idx="0">
                  <c:v>0.66665082622797289</c:v>
                </c:pt>
                <c:pt idx="1">
                  <c:v>0.7583954484233022</c:v>
                </c:pt>
                <c:pt idx="2">
                  <c:v>0.78581821088962756</c:v>
                </c:pt>
                <c:pt idx="3">
                  <c:v>0.65679136157504614</c:v>
                </c:pt>
                <c:pt idx="4">
                  <c:v>0.56195953485342598</c:v>
                </c:pt>
              </c:numCache>
            </c:numRef>
          </c:val>
          <c:smooth val="0"/>
          <c:extLst>
            <c:ext xmlns:c16="http://schemas.microsoft.com/office/drawing/2014/chart" uri="{C3380CC4-5D6E-409C-BE32-E72D297353CC}">
              <c16:uniqueId val="{00000000-08E6-4D09-BB3E-862865443E71}"/>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Charts!$T$74:$T$78</c:f>
              <c:strCache>
                <c:ptCount val="5"/>
                <c:pt idx="0">
                  <c:v>FY2021</c:v>
                </c:pt>
                <c:pt idx="1">
                  <c:v>FY2022</c:v>
                </c:pt>
                <c:pt idx="2">
                  <c:v>FY2023</c:v>
                </c:pt>
                <c:pt idx="3">
                  <c:v>FY2024</c:v>
                </c:pt>
                <c:pt idx="4">
                  <c:v>FY2025</c:v>
                </c:pt>
              </c:strCache>
            </c:strRef>
          </c:cat>
          <c:val>
            <c:numRef>
              <c:f>Charts!$V$74:$V$78</c:f>
              <c:numCache>
                <c:formatCode>0.00</c:formatCode>
                <c:ptCount val="5"/>
                <c:pt idx="0">
                  <c:v>0.40251701143421476</c:v>
                </c:pt>
                <c:pt idx="1">
                  <c:v>0.4384325626713429</c:v>
                </c:pt>
                <c:pt idx="2">
                  <c:v>0.44974923322711935</c:v>
                </c:pt>
                <c:pt idx="3">
                  <c:v>0.49280353497458251</c:v>
                </c:pt>
                <c:pt idx="4">
                  <c:v>0.46677662061834158</c:v>
                </c:pt>
              </c:numCache>
            </c:numRef>
          </c:val>
          <c:smooth val="0"/>
          <c:extLst>
            <c:ext xmlns:c16="http://schemas.microsoft.com/office/drawing/2014/chart" uri="{C3380CC4-5D6E-409C-BE32-E72D297353CC}">
              <c16:uniqueId val="{00000001-08E6-4D09-BB3E-862865443E71}"/>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Charts!$T$74:$T$78</c:f>
              <c:strCache>
                <c:ptCount val="5"/>
                <c:pt idx="0">
                  <c:v>FY2021</c:v>
                </c:pt>
                <c:pt idx="1">
                  <c:v>FY2022</c:v>
                </c:pt>
                <c:pt idx="2">
                  <c:v>FY2023</c:v>
                </c:pt>
                <c:pt idx="3">
                  <c:v>FY2024</c:v>
                </c:pt>
                <c:pt idx="4">
                  <c:v>FY2025</c:v>
                </c:pt>
              </c:strCache>
            </c:strRef>
          </c:cat>
          <c:val>
            <c:numRef>
              <c:f>Charts!$W$74:$W$78</c:f>
              <c:numCache>
                <c:formatCode>0.00</c:formatCode>
                <c:ptCount val="5"/>
                <c:pt idx="0">
                  <c:v>0.32711693039218176</c:v>
                </c:pt>
                <c:pt idx="1">
                  <c:v>0.42503666813991675</c:v>
                </c:pt>
                <c:pt idx="2">
                  <c:v>0.4823862468647665</c:v>
                </c:pt>
                <c:pt idx="3">
                  <c:v>0.47720727814222835</c:v>
                </c:pt>
                <c:pt idx="4">
                  <c:v>0.49267235836459933</c:v>
                </c:pt>
              </c:numCache>
            </c:numRef>
          </c:val>
          <c:smooth val="0"/>
          <c:extLst>
            <c:ext xmlns:c16="http://schemas.microsoft.com/office/drawing/2014/chart" uri="{C3380CC4-5D6E-409C-BE32-E72D297353CC}">
              <c16:uniqueId val="{00000002-08E6-4D09-BB3E-862865443E71}"/>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Charts!$T$74:$T$78</c:f>
              <c:strCache>
                <c:ptCount val="5"/>
                <c:pt idx="0">
                  <c:v>FY2021</c:v>
                </c:pt>
                <c:pt idx="1">
                  <c:v>FY2022</c:v>
                </c:pt>
                <c:pt idx="2">
                  <c:v>FY2023</c:v>
                </c:pt>
                <c:pt idx="3">
                  <c:v>FY2024</c:v>
                </c:pt>
                <c:pt idx="4">
                  <c:v>FY2025</c:v>
                </c:pt>
              </c:strCache>
            </c:strRef>
          </c:cat>
          <c:val>
            <c:numRef>
              <c:f>Charts!$X$74:$X$78</c:f>
              <c:numCache>
                <c:formatCode>0.00</c:formatCode>
                <c:ptCount val="5"/>
                <c:pt idx="0">
                  <c:v>0.53651401514370378</c:v>
                </c:pt>
                <c:pt idx="1">
                  <c:v>0.59016101960962719</c:v>
                </c:pt>
                <c:pt idx="2">
                  <c:v>0.69197238797008198</c:v>
                </c:pt>
                <c:pt idx="3">
                  <c:v>0.66876558045462819</c:v>
                </c:pt>
                <c:pt idx="4">
                  <c:v>0.57883136984449801</c:v>
                </c:pt>
              </c:numCache>
            </c:numRef>
          </c:val>
          <c:smooth val="0"/>
          <c:extLst>
            <c:ext xmlns:c16="http://schemas.microsoft.com/office/drawing/2014/chart" uri="{C3380CC4-5D6E-409C-BE32-E72D297353CC}">
              <c16:uniqueId val="{00000003-08E6-4D09-BB3E-862865443E71}"/>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Charts!$T$74:$T$78</c:f>
              <c:strCache>
                <c:ptCount val="5"/>
                <c:pt idx="0">
                  <c:v>FY2021</c:v>
                </c:pt>
                <c:pt idx="1">
                  <c:v>FY2022</c:v>
                </c:pt>
                <c:pt idx="2">
                  <c:v>FY2023</c:v>
                </c:pt>
                <c:pt idx="3">
                  <c:v>FY2024</c:v>
                </c:pt>
                <c:pt idx="4">
                  <c:v>FY2025</c:v>
                </c:pt>
              </c:strCache>
            </c:strRef>
          </c:cat>
          <c:val>
            <c:numRef>
              <c:f>Charts!$Y$74:$Y$78</c:f>
              <c:numCache>
                <c:formatCode>0.00</c:formatCode>
                <c:ptCount val="5"/>
                <c:pt idx="0">
                  <c:v>0.71276636764269574</c:v>
                </c:pt>
                <c:pt idx="1">
                  <c:v>0.4770803467502796</c:v>
                </c:pt>
                <c:pt idx="2">
                  <c:v>0.49031202866080159</c:v>
                </c:pt>
                <c:pt idx="3">
                  <c:v>0.54204979765850125</c:v>
                </c:pt>
                <c:pt idx="4">
                  <c:v>0.55305556508680442</c:v>
                </c:pt>
              </c:numCache>
            </c:numRef>
          </c:val>
          <c:smooth val="0"/>
          <c:extLst>
            <c:ext xmlns:c16="http://schemas.microsoft.com/office/drawing/2014/chart" uri="{C3380CC4-5D6E-409C-BE32-E72D297353CC}">
              <c16:uniqueId val="{00000004-08E6-4D09-BB3E-862865443E7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Total Asset Turnover: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Charts!$T$74:$T$78</c:f>
              <c:strCache>
                <c:ptCount val="5"/>
                <c:pt idx="0">
                  <c:v>FY2021</c:v>
                </c:pt>
                <c:pt idx="1">
                  <c:v>FY2022</c:v>
                </c:pt>
                <c:pt idx="2">
                  <c:v>FY2023</c:v>
                </c:pt>
                <c:pt idx="3">
                  <c:v>FY2024</c:v>
                </c:pt>
                <c:pt idx="4">
                  <c:v>FY2025</c:v>
                </c:pt>
              </c:strCache>
            </c:strRef>
          </c:cat>
          <c:val>
            <c:numRef>
              <c:f>Charts!$U$74:$U$78</c:f>
              <c:numCache>
                <c:formatCode>0.00</c:formatCode>
                <c:ptCount val="5"/>
                <c:pt idx="0">
                  <c:v>0.66665082622797289</c:v>
                </c:pt>
                <c:pt idx="1">
                  <c:v>0.7583954484233022</c:v>
                </c:pt>
                <c:pt idx="2">
                  <c:v>0.78581821088962756</c:v>
                </c:pt>
                <c:pt idx="3">
                  <c:v>0.65679136157504614</c:v>
                </c:pt>
                <c:pt idx="4">
                  <c:v>0.56195953485342598</c:v>
                </c:pt>
              </c:numCache>
            </c:numRef>
          </c:val>
          <c:smooth val="0"/>
          <c:extLst>
            <c:ext xmlns:c16="http://schemas.microsoft.com/office/drawing/2014/chart" uri="{C3380CC4-5D6E-409C-BE32-E72D297353CC}">
              <c16:uniqueId val="{00000000-43BE-4E69-9597-BD39D0128377}"/>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Charts!$T$74:$T$78</c:f>
              <c:strCache>
                <c:ptCount val="5"/>
                <c:pt idx="0">
                  <c:v>FY2021</c:v>
                </c:pt>
                <c:pt idx="1">
                  <c:v>FY2022</c:v>
                </c:pt>
                <c:pt idx="2">
                  <c:v>FY2023</c:v>
                </c:pt>
                <c:pt idx="3">
                  <c:v>FY2024</c:v>
                </c:pt>
                <c:pt idx="4">
                  <c:v>FY2025</c:v>
                </c:pt>
              </c:strCache>
            </c:strRef>
          </c:cat>
          <c:val>
            <c:numRef>
              <c:f>Charts!$Z$74:$Z$78</c:f>
              <c:numCache>
                <c:formatCode>0.00</c:formatCode>
                <c:ptCount val="5"/>
                <c:pt idx="0">
                  <c:v>0.5291130301681537</c:v>
                </c:pt>
                <c:pt idx="1">
                  <c:v>0.53782120911889375</c:v>
                </c:pt>
                <c:pt idx="2">
                  <c:v>0.58004762152247946</c:v>
                </c:pt>
                <c:pt idx="3">
                  <c:v>0.56752351056099726</c:v>
                </c:pt>
                <c:pt idx="4">
                  <c:v>0.53065908975353382</c:v>
                </c:pt>
              </c:numCache>
            </c:numRef>
          </c:val>
          <c:smooth val="0"/>
          <c:extLst>
            <c:ext xmlns:c16="http://schemas.microsoft.com/office/drawing/2014/chart" uri="{C3380CC4-5D6E-409C-BE32-E72D297353CC}">
              <c16:uniqueId val="{00000001-43BE-4E69-9597-BD39D0128377}"/>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Debt Ratio: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Charts!$T$82:$T$86</c:f>
              <c:strCache>
                <c:ptCount val="5"/>
                <c:pt idx="0">
                  <c:v>FY2021</c:v>
                </c:pt>
                <c:pt idx="1">
                  <c:v>FY2022</c:v>
                </c:pt>
                <c:pt idx="2">
                  <c:v>FY2023</c:v>
                </c:pt>
                <c:pt idx="3">
                  <c:v>FY2024</c:v>
                </c:pt>
                <c:pt idx="4">
                  <c:v>FY2025</c:v>
                </c:pt>
              </c:strCache>
            </c:strRef>
          </c:cat>
          <c:val>
            <c:numRef>
              <c:f>Charts!$U$82:$U$86</c:f>
              <c:numCache>
                <c:formatCode>0.00%</c:formatCode>
                <c:ptCount val="5"/>
                <c:pt idx="0">
                  <c:v>0.38416638255503399</c:v>
                </c:pt>
                <c:pt idx="1">
                  <c:v>0.37149249167170456</c:v>
                </c:pt>
                <c:pt idx="2">
                  <c:v>0.34161124098483342</c:v>
                </c:pt>
                <c:pt idx="3">
                  <c:v>0.30169945185029512</c:v>
                </c:pt>
                <c:pt idx="4">
                  <c:v>0.28204672647028445</c:v>
                </c:pt>
              </c:numCache>
            </c:numRef>
          </c:val>
          <c:smooth val="0"/>
          <c:extLst>
            <c:ext xmlns:c16="http://schemas.microsoft.com/office/drawing/2014/chart" uri="{C3380CC4-5D6E-409C-BE32-E72D297353CC}">
              <c16:uniqueId val="{00000000-B987-451B-AB26-47763E07614F}"/>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Charts!$T$82:$T$86</c:f>
              <c:strCache>
                <c:ptCount val="5"/>
                <c:pt idx="0">
                  <c:v>FY2021</c:v>
                </c:pt>
                <c:pt idx="1">
                  <c:v>FY2022</c:v>
                </c:pt>
                <c:pt idx="2">
                  <c:v>FY2023</c:v>
                </c:pt>
                <c:pt idx="3">
                  <c:v>FY2024</c:v>
                </c:pt>
                <c:pt idx="4">
                  <c:v>FY2025</c:v>
                </c:pt>
              </c:strCache>
            </c:strRef>
          </c:cat>
          <c:val>
            <c:numRef>
              <c:f>Charts!$V$82:$V$86</c:f>
              <c:numCache>
                <c:formatCode>0.00%</c:formatCode>
                <c:ptCount val="5"/>
                <c:pt idx="0">
                  <c:v>0.27606535150381284</c:v>
                </c:pt>
                <c:pt idx="1">
                  <c:v>0.30504607293955061</c:v>
                </c:pt>
                <c:pt idx="2">
                  <c:v>0.35532697822447284</c:v>
                </c:pt>
                <c:pt idx="3">
                  <c:v>0.36859036410390322</c:v>
                </c:pt>
                <c:pt idx="4">
                  <c:v>0.34053721034041001</c:v>
                </c:pt>
              </c:numCache>
            </c:numRef>
          </c:val>
          <c:smooth val="0"/>
          <c:extLst>
            <c:ext xmlns:c16="http://schemas.microsoft.com/office/drawing/2014/chart" uri="{C3380CC4-5D6E-409C-BE32-E72D297353CC}">
              <c16:uniqueId val="{00000001-B987-451B-AB26-47763E07614F}"/>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Charts!$T$82:$T$86</c:f>
              <c:strCache>
                <c:ptCount val="5"/>
                <c:pt idx="0">
                  <c:v>FY2021</c:v>
                </c:pt>
                <c:pt idx="1">
                  <c:v>FY2022</c:v>
                </c:pt>
                <c:pt idx="2">
                  <c:v>FY2023</c:v>
                </c:pt>
                <c:pt idx="3">
                  <c:v>FY2024</c:v>
                </c:pt>
                <c:pt idx="4">
                  <c:v>FY2025</c:v>
                </c:pt>
              </c:strCache>
            </c:strRef>
          </c:cat>
          <c:val>
            <c:numRef>
              <c:f>Charts!$W$82:$W$86</c:f>
              <c:numCache>
                <c:formatCode>0.00%</c:formatCode>
                <c:ptCount val="5"/>
                <c:pt idx="0">
                  <c:v>0.46714504184305206</c:v>
                </c:pt>
                <c:pt idx="1">
                  <c:v>0.48801207258126744</c:v>
                </c:pt>
                <c:pt idx="2">
                  <c:v>0.52348952241922664</c:v>
                </c:pt>
                <c:pt idx="3">
                  <c:v>0.45191223946360831</c:v>
                </c:pt>
                <c:pt idx="4">
                  <c:v>0.35125595827177031</c:v>
                </c:pt>
              </c:numCache>
            </c:numRef>
          </c:val>
          <c:smooth val="0"/>
          <c:extLst>
            <c:ext xmlns:c16="http://schemas.microsoft.com/office/drawing/2014/chart" uri="{C3380CC4-5D6E-409C-BE32-E72D297353CC}">
              <c16:uniqueId val="{00000002-B987-451B-AB26-47763E07614F}"/>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Charts!$T$82:$T$86</c:f>
              <c:strCache>
                <c:ptCount val="5"/>
                <c:pt idx="0">
                  <c:v>FY2021</c:v>
                </c:pt>
                <c:pt idx="1">
                  <c:v>FY2022</c:v>
                </c:pt>
                <c:pt idx="2">
                  <c:v>FY2023</c:v>
                </c:pt>
                <c:pt idx="3">
                  <c:v>FY2024</c:v>
                </c:pt>
                <c:pt idx="4">
                  <c:v>FY2025</c:v>
                </c:pt>
              </c:strCache>
            </c:strRef>
          </c:cat>
          <c:val>
            <c:numRef>
              <c:f>Charts!$X$82:$X$86</c:f>
              <c:numCache>
                <c:formatCode>0.00%</c:formatCode>
                <c:ptCount val="5"/>
                <c:pt idx="0">
                  <c:v>0.43322840867921292</c:v>
                </c:pt>
                <c:pt idx="1">
                  <c:v>0.50666660909348882</c:v>
                </c:pt>
                <c:pt idx="2">
                  <c:v>0.49933942690835115</c:v>
                </c:pt>
                <c:pt idx="3">
                  <c:v>0.4704820926001394</c:v>
                </c:pt>
                <c:pt idx="4">
                  <c:v>0.40001822406143511</c:v>
                </c:pt>
              </c:numCache>
            </c:numRef>
          </c:val>
          <c:smooth val="0"/>
          <c:extLst>
            <c:ext xmlns:c16="http://schemas.microsoft.com/office/drawing/2014/chart" uri="{C3380CC4-5D6E-409C-BE32-E72D297353CC}">
              <c16:uniqueId val="{00000003-B987-451B-AB26-47763E07614F}"/>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Charts!$T$82:$T$86</c:f>
              <c:strCache>
                <c:ptCount val="5"/>
                <c:pt idx="0">
                  <c:v>FY2021</c:v>
                </c:pt>
                <c:pt idx="1">
                  <c:v>FY2022</c:v>
                </c:pt>
                <c:pt idx="2">
                  <c:v>FY2023</c:v>
                </c:pt>
                <c:pt idx="3">
                  <c:v>FY2024</c:v>
                </c:pt>
                <c:pt idx="4">
                  <c:v>FY2025</c:v>
                </c:pt>
              </c:strCache>
            </c:strRef>
          </c:cat>
          <c:val>
            <c:numRef>
              <c:f>Charts!$Y$82:$Y$86</c:f>
              <c:numCache>
                <c:formatCode>0.00%</c:formatCode>
                <c:ptCount val="5"/>
                <c:pt idx="0">
                  <c:v>0.31647148170702821</c:v>
                </c:pt>
                <c:pt idx="1">
                  <c:v>0.49219848282922141</c:v>
                </c:pt>
                <c:pt idx="2">
                  <c:v>0.53053055814614203</c:v>
                </c:pt>
                <c:pt idx="3">
                  <c:v>0.5028400637434024</c:v>
                </c:pt>
                <c:pt idx="4">
                  <c:v>0.4760663500346739</c:v>
                </c:pt>
              </c:numCache>
            </c:numRef>
          </c:val>
          <c:smooth val="0"/>
          <c:extLst>
            <c:ext xmlns:c16="http://schemas.microsoft.com/office/drawing/2014/chart" uri="{C3380CC4-5D6E-409C-BE32-E72D297353CC}">
              <c16:uniqueId val="{00000004-B987-451B-AB26-47763E07614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Debt Ratio: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Charts!$T$82:$T$86</c:f>
              <c:strCache>
                <c:ptCount val="5"/>
                <c:pt idx="0">
                  <c:v>FY2021</c:v>
                </c:pt>
                <c:pt idx="1">
                  <c:v>FY2022</c:v>
                </c:pt>
                <c:pt idx="2">
                  <c:v>FY2023</c:v>
                </c:pt>
                <c:pt idx="3">
                  <c:v>FY2024</c:v>
                </c:pt>
                <c:pt idx="4">
                  <c:v>FY2025</c:v>
                </c:pt>
              </c:strCache>
            </c:strRef>
          </c:cat>
          <c:val>
            <c:numRef>
              <c:f>Charts!$U$82:$U$86</c:f>
              <c:numCache>
                <c:formatCode>0.00%</c:formatCode>
                <c:ptCount val="5"/>
                <c:pt idx="0">
                  <c:v>0.38416638255503399</c:v>
                </c:pt>
                <c:pt idx="1">
                  <c:v>0.37149249167170456</c:v>
                </c:pt>
                <c:pt idx="2">
                  <c:v>0.34161124098483342</c:v>
                </c:pt>
                <c:pt idx="3">
                  <c:v>0.30169945185029512</c:v>
                </c:pt>
                <c:pt idx="4">
                  <c:v>0.28204672647028445</c:v>
                </c:pt>
              </c:numCache>
            </c:numRef>
          </c:val>
          <c:smooth val="0"/>
          <c:extLst>
            <c:ext xmlns:c16="http://schemas.microsoft.com/office/drawing/2014/chart" uri="{C3380CC4-5D6E-409C-BE32-E72D297353CC}">
              <c16:uniqueId val="{00000000-F928-4F8C-8567-AD35F78A0B49}"/>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Charts!$T$82:$T$86</c:f>
              <c:strCache>
                <c:ptCount val="5"/>
                <c:pt idx="0">
                  <c:v>FY2021</c:v>
                </c:pt>
                <c:pt idx="1">
                  <c:v>FY2022</c:v>
                </c:pt>
                <c:pt idx="2">
                  <c:v>FY2023</c:v>
                </c:pt>
                <c:pt idx="3">
                  <c:v>FY2024</c:v>
                </c:pt>
                <c:pt idx="4">
                  <c:v>FY2025</c:v>
                </c:pt>
              </c:strCache>
            </c:strRef>
          </c:cat>
          <c:val>
            <c:numRef>
              <c:f>Charts!$Z$82:$Z$86</c:f>
              <c:numCache>
                <c:formatCode>0.00%</c:formatCode>
                <c:ptCount val="5"/>
                <c:pt idx="0">
                  <c:v>0.37541533325762799</c:v>
                </c:pt>
                <c:pt idx="1">
                  <c:v>0.43268314582304657</c:v>
                </c:pt>
                <c:pt idx="2">
                  <c:v>0.45005954533660519</c:v>
                </c:pt>
                <c:pt idx="3">
                  <c:v>0.41910484235226975</c:v>
                </c:pt>
                <c:pt idx="4">
                  <c:v>0.36998489383571476</c:v>
                </c:pt>
              </c:numCache>
            </c:numRef>
          </c:val>
          <c:smooth val="0"/>
          <c:extLst>
            <c:ext xmlns:c16="http://schemas.microsoft.com/office/drawing/2014/chart" uri="{C3380CC4-5D6E-409C-BE32-E72D297353CC}">
              <c16:uniqueId val="{00000001-F928-4F8C-8567-AD35F78A0B49}"/>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Debt-to-Equity Ratio: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Charts!$T$90:$T$94</c:f>
              <c:strCache>
                <c:ptCount val="5"/>
                <c:pt idx="0">
                  <c:v>FY2021</c:v>
                </c:pt>
                <c:pt idx="1">
                  <c:v>FY2022</c:v>
                </c:pt>
                <c:pt idx="2">
                  <c:v>FY2023</c:v>
                </c:pt>
                <c:pt idx="3">
                  <c:v>FY2024</c:v>
                </c:pt>
                <c:pt idx="4">
                  <c:v>FY2025</c:v>
                </c:pt>
              </c:strCache>
            </c:strRef>
          </c:cat>
          <c:val>
            <c:numRef>
              <c:f>Charts!$U$90:$U$94</c:f>
              <c:numCache>
                <c:formatCode>0.00</c:formatCode>
                <c:ptCount val="5"/>
                <c:pt idx="0">
                  <c:v>0.2722692388457173</c:v>
                </c:pt>
                <c:pt idx="1">
                  <c:v>0.15603310983895571</c:v>
                </c:pt>
                <c:pt idx="2">
                  <c:v>9.7619406864766459E-2</c:v>
                </c:pt>
                <c:pt idx="3">
                  <c:v>5.2398238191517746E-2</c:v>
                </c:pt>
                <c:pt idx="4">
                  <c:v>4.6764934517749976E-2</c:v>
                </c:pt>
              </c:numCache>
            </c:numRef>
          </c:val>
          <c:smooth val="0"/>
          <c:extLst>
            <c:ext xmlns:c16="http://schemas.microsoft.com/office/drawing/2014/chart" uri="{C3380CC4-5D6E-409C-BE32-E72D297353CC}">
              <c16:uniqueId val="{00000000-D791-4258-97F3-8D7552F6D047}"/>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Charts!$T$90:$T$94</c:f>
              <c:strCache>
                <c:ptCount val="5"/>
                <c:pt idx="0">
                  <c:v>FY2021</c:v>
                </c:pt>
                <c:pt idx="1">
                  <c:v>FY2022</c:v>
                </c:pt>
                <c:pt idx="2">
                  <c:v>FY2023</c:v>
                </c:pt>
                <c:pt idx="3">
                  <c:v>FY2024</c:v>
                </c:pt>
                <c:pt idx="4">
                  <c:v>FY2025</c:v>
                </c:pt>
              </c:strCache>
            </c:strRef>
          </c:cat>
          <c:val>
            <c:numRef>
              <c:f>Charts!$V$90:$V$94</c:f>
              <c:numCache>
                <c:formatCode>0.00</c:formatCode>
                <c:ptCount val="5"/>
                <c:pt idx="0">
                  <c:v>9.267604319417716E-2</c:v>
                </c:pt>
                <c:pt idx="1">
                  <c:v>0.12132883685589589</c:v>
                </c:pt>
                <c:pt idx="2">
                  <c:v>0.15318126074071459</c:v>
                </c:pt>
                <c:pt idx="3">
                  <c:v>0.13768684470695258</c:v>
                </c:pt>
                <c:pt idx="4">
                  <c:v>9.9684879347667912E-2</c:v>
                </c:pt>
              </c:numCache>
            </c:numRef>
          </c:val>
          <c:smooth val="0"/>
          <c:extLst>
            <c:ext xmlns:c16="http://schemas.microsoft.com/office/drawing/2014/chart" uri="{C3380CC4-5D6E-409C-BE32-E72D297353CC}">
              <c16:uniqueId val="{00000001-D791-4258-97F3-8D7552F6D047}"/>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Charts!$T$90:$T$94</c:f>
              <c:strCache>
                <c:ptCount val="5"/>
                <c:pt idx="0">
                  <c:v>FY2021</c:v>
                </c:pt>
                <c:pt idx="1">
                  <c:v>FY2022</c:v>
                </c:pt>
                <c:pt idx="2">
                  <c:v>FY2023</c:v>
                </c:pt>
                <c:pt idx="3">
                  <c:v>FY2024</c:v>
                </c:pt>
                <c:pt idx="4">
                  <c:v>FY2025</c:v>
                </c:pt>
              </c:strCache>
            </c:strRef>
          </c:cat>
          <c:val>
            <c:numRef>
              <c:f>Charts!$W$90:$W$94</c:f>
              <c:numCache>
                <c:formatCode>0.00</c:formatCode>
                <c:ptCount val="5"/>
                <c:pt idx="0">
                  <c:v>0.59600006385595838</c:v>
                </c:pt>
                <c:pt idx="1">
                  <c:v>0.66471914526512743</c:v>
                </c:pt>
                <c:pt idx="2">
                  <c:v>0.66251390334697124</c:v>
                </c:pt>
                <c:pt idx="3">
                  <c:v>0.45251048227827784</c:v>
                </c:pt>
                <c:pt idx="4">
                  <c:v>0.23141104487858016</c:v>
                </c:pt>
              </c:numCache>
            </c:numRef>
          </c:val>
          <c:smooth val="0"/>
          <c:extLst>
            <c:ext xmlns:c16="http://schemas.microsoft.com/office/drawing/2014/chart" uri="{C3380CC4-5D6E-409C-BE32-E72D297353CC}">
              <c16:uniqueId val="{00000002-D791-4258-97F3-8D7552F6D047}"/>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Charts!$T$90:$T$94</c:f>
              <c:strCache>
                <c:ptCount val="5"/>
                <c:pt idx="0">
                  <c:v>FY2021</c:v>
                </c:pt>
                <c:pt idx="1">
                  <c:v>FY2022</c:v>
                </c:pt>
                <c:pt idx="2">
                  <c:v>FY2023</c:v>
                </c:pt>
                <c:pt idx="3">
                  <c:v>FY2024</c:v>
                </c:pt>
                <c:pt idx="4">
                  <c:v>FY2025</c:v>
                </c:pt>
              </c:strCache>
            </c:strRef>
          </c:cat>
          <c:val>
            <c:numRef>
              <c:f>Charts!$X$90:$X$94</c:f>
              <c:numCache>
                <c:formatCode>0.00</c:formatCode>
                <c:ptCount val="5"/>
                <c:pt idx="0">
                  <c:v>0.43245543768601064</c:v>
                </c:pt>
                <c:pt idx="1">
                  <c:v>0.61573768495117542</c:v>
                </c:pt>
                <c:pt idx="2">
                  <c:v>0.44250779404874935</c:v>
                </c:pt>
                <c:pt idx="3">
                  <c:v>0.36846998820204724</c:v>
                </c:pt>
                <c:pt idx="4">
                  <c:v>0.20402666092297522</c:v>
                </c:pt>
              </c:numCache>
            </c:numRef>
          </c:val>
          <c:smooth val="0"/>
          <c:extLst>
            <c:ext xmlns:c16="http://schemas.microsoft.com/office/drawing/2014/chart" uri="{C3380CC4-5D6E-409C-BE32-E72D297353CC}">
              <c16:uniqueId val="{00000003-D791-4258-97F3-8D7552F6D047}"/>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Charts!$T$90:$T$94</c:f>
              <c:strCache>
                <c:ptCount val="5"/>
                <c:pt idx="0">
                  <c:v>FY2021</c:v>
                </c:pt>
                <c:pt idx="1">
                  <c:v>FY2022</c:v>
                </c:pt>
                <c:pt idx="2">
                  <c:v>FY2023</c:v>
                </c:pt>
                <c:pt idx="3">
                  <c:v>FY2024</c:v>
                </c:pt>
                <c:pt idx="4">
                  <c:v>FY2025</c:v>
                </c:pt>
              </c:strCache>
            </c:strRef>
          </c:cat>
          <c:val>
            <c:numRef>
              <c:f>Charts!$Y$90:$Y$94</c:f>
              <c:numCache>
                <c:formatCode>0.00</c:formatCode>
                <c:ptCount val="5"/>
                <c:pt idx="0">
                  <c:v>0.11033361830900601</c:v>
                </c:pt>
                <c:pt idx="1">
                  <c:v>0.44889851845785944</c:v>
                </c:pt>
                <c:pt idx="2">
                  <c:v>0.62375966688339879</c:v>
                </c:pt>
                <c:pt idx="3">
                  <c:v>0.49850573278032018</c:v>
                </c:pt>
                <c:pt idx="4">
                  <c:v>0.47508509566997464</c:v>
                </c:pt>
              </c:numCache>
            </c:numRef>
          </c:val>
          <c:smooth val="0"/>
          <c:extLst>
            <c:ext xmlns:c16="http://schemas.microsoft.com/office/drawing/2014/chart" uri="{C3380CC4-5D6E-409C-BE32-E72D297353CC}">
              <c16:uniqueId val="{00000004-D791-4258-97F3-8D7552F6D047}"/>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Debt-to-Equity Ratio: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Charts!$T$90:$T$94</c:f>
              <c:strCache>
                <c:ptCount val="5"/>
                <c:pt idx="0">
                  <c:v>FY2021</c:v>
                </c:pt>
                <c:pt idx="1">
                  <c:v>FY2022</c:v>
                </c:pt>
                <c:pt idx="2">
                  <c:v>FY2023</c:v>
                </c:pt>
                <c:pt idx="3">
                  <c:v>FY2024</c:v>
                </c:pt>
                <c:pt idx="4">
                  <c:v>FY2025</c:v>
                </c:pt>
              </c:strCache>
            </c:strRef>
          </c:cat>
          <c:val>
            <c:numRef>
              <c:f>Charts!$U$90:$U$94</c:f>
              <c:numCache>
                <c:formatCode>0.00</c:formatCode>
                <c:ptCount val="5"/>
                <c:pt idx="0">
                  <c:v>0.2722692388457173</c:v>
                </c:pt>
                <c:pt idx="1">
                  <c:v>0.15603310983895571</c:v>
                </c:pt>
                <c:pt idx="2">
                  <c:v>9.7619406864766459E-2</c:v>
                </c:pt>
                <c:pt idx="3">
                  <c:v>5.2398238191517746E-2</c:v>
                </c:pt>
                <c:pt idx="4">
                  <c:v>4.6764934517749976E-2</c:v>
                </c:pt>
              </c:numCache>
            </c:numRef>
          </c:val>
          <c:smooth val="0"/>
          <c:extLst>
            <c:ext xmlns:c16="http://schemas.microsoft.com/office/drawing/2014/chart" uri="{C3380CC4-5D6E-409C-BE32-E72D297353CC}">
              <c16:uniqueId val="{00000000-F65B-4360-966A-74BC25B2CE91}"/>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Charts!$T$90:$T$94</c:f>
              <c:strCache>
                <c:ptCount val="5"/>
                <c:pt idx="0">
                  <c:v>FY2021</c:v>
                </c:pt>
                <c:pt idx="1">
                  <c:v>FY2022</c:v>
                </c:pt>
                <c:pt idx="2">
                  <c:v>FY2023</c:v>
                </c:pt>
                <c:pt idx="3">
                  <c:v>FY2024</c:v>
                </c:pt>
                <c:pt idx="4">
                  <c:v>FY2025</c:v>
                </c:pt>
              </c:strCache>
            </c:strRef>
          </c:cat>
          <c:val>
            <c:numRef>
              <c:f>Charts!$Z$90:$Z$94</c:f>
              <c:numCache>
                <c:formatCode>0.00</c:formatCode>
                <c:ptCount val="5"/>
                <c:pt idx="0">
                  <c:v>0.30074688037817388</c:v>
                </c:pt>
                <c:pt idx="1">
                  <c:v>0.40134345907380276</c:v>
                </c:pt>
                <c:pt idx="2">
                  <c:v>0.3959164063769201</c:v>
                </c:pt>
                <c:pt idx="3">
                  <c:v>0.30191425723182308</c:v>
                </c:pt>
                <c:pt idx="4">
                  <c:v>0.21139452306738957</c:v>
                </c:pt>
              </c:numCache>
            </c:numRef>
          </c:val>
          <c:smooth val="0"/>
          <c:extLst>
            <c:ext xmlns:c16="http://schemas.microsoft.com/office/drawing/2014/chart" uri="{C3380CC4-5D6E-409C-BE32-E72D297353CC}">
              <c16:uniqueId val="{00000001-F65B-4360-966A-74BC25B2CE9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Total Debt-to-Total Capital: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Charts!$T$98:$T$102</c:f>
              <c:strCache>
                <c:ptCount val="5"/>
                <c:pt idx="0">
                  <c:v>FY2021</c:v>
                </c:pt>
                <c:pt idx="1">
                  <c:v>FY2022</c:v>
                </c:pt>
                <c:pt idx="2">
                  <c:v>FY2023</c:v>
                </c:pt>
                <c:pt idx="3">
                  <c:v>FY2024</c:v>
                </c:pt>
                <c:pt idx="4">
                  <c:v>FY2025</c:v>
                </c:pt>
              </c:strCache>
            </c:strRef>
          </c:cat>
          <c:val>
            <c:numRef>
              <c:f>Charts!$U$98:$U$102</c:f>
              <c:numCache>
                <c:formatCode>0.00%</c:formatCode>
                <c:ptCount val="5"/>
                <c:pt idx="0">
                  <c:v>0.21400284667161887</c:v>
                </c:pt>
                <c:pt idx="1">
                  <c:v>0.13497287275854264</c:v>
                </c:pt>
                <c:pt idx="2">
                  <c:v>8.8937391462133447E-2</c:v>
                </c:pt>
                <c:pt idx="3">
                  <c:v>4.9789363275218823E-2</c:v>
                </c:pt>
                <c:pt idx="4">
                  <c:v>4.4675679300715997E-2</c:v>
                </c:pt>
              </c:numCache>
            </c:numRef>
          </c:val>
          <c:smooth val="0"/>
          <c:extLst>
            <c:ext xmlns:c16="http://schemas.microsoft.com/office/drawing/2014/chart" uri="{C3380CC4-5D6E-409C-BE32-E72D297353CC}">
              <c16:uniqueId val="{00000000-0146-47E3-9052-B8D9593502D9}"/>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Charts!$T$98:$T$102</c:f>
              <c:strCache>
                <c:ptCount val="5"/>
                <c:pt idx="0">
                  <c:v>FY2021</c:v>
                </c:pt>
                <c:pt idx="1">
                  <c:v>FY2022</c:v>
                </c:pt>
                <c:pt idx="2">
                  <c:v>FY2023</c:v>
                </c:pt>
                <c:pt idx="3">
                  <c:v>FY2024</c:v>
                </c:pt>
                <c:pt idx="4">
                  <c:v>FY2025</c:v>
                </c:pt>
              </c:strCache>
            </c:strRef>
          </c:cat>
          <c:val>
            <c:numRef>
              <c:f>Charts!$V$98:$V$102</c:f>
              <c:numCache>
                <c:formatCode>0.00%</c:formatCode>
                <c:ptCount val="5"/>
                <c:pt idx="0">
                  <c:v>8.4815663134025443E-2</c:v>
                </c:pt>
                <c:pt idx="1">
                  <c:v>0.10820094237127705</c:v>
                </c:pt>
                <c:pt idx="2">
                  <c:v>0.13283363678865434</c:v>
                </c:pt>
                <c:pt idx="3">
                  <c:v>0.12102350075289672</c:v>
                </c:pt>
                <c:pt idx="4">
                  <c:v>9.0648585990198302E-2</c:v>
                </c:pt>
              </c:numCache>
            </c:numRef>
          </c:val>
          <c:smooth val="0"/>
          <c:extLst>
            <c:ext xmlns:c16="http://schemas.microsoft.com/office/drawing/2014/chart" uri="{C3380CC4-5D6E-409C-BE32-E72D297353CC}">
              <c16:uniqueId val="{00000001-0146-47E3-9052-B8D9593502D9}"/>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Charts!$T$98:$T$102</c:f>
              <c:strCache>
                <c:ptCount val="5"/>
                <c:pt idx="0">
                  <c:v>FY2021</c:v>
                </c:pt>
                <c:pt idx="1">
                  <c:v>FY2022</c:v>
                </c:pt>
                <c:pt idx="2">
                  <c:v>FY2023</c:v>
                </c:pt>
                <c:pt idx="3">
                  <c:v>FY2024</c:v>
                </c:pt>
                <c:pt idx="4">
                  <c:v>FY2025</c:v>
                </c:pt>
              </c:strCache>
            </c:strRef>
          </c:cat>
          <c:val>
            <c:numRef>
              <c:f>Charts!$W$98:$W$102</c:f>
              <c:numCache>
                <c:formatCode>0.00%</c:formatCode>
                <c:ptCount val="5"/>
                <c:pt idx="0">
                  <c:v>0.37343360902882045</c:v>
                </c:pt>
                <c:pt idx="1">
                  <c:v>0.39929807208366225</c:v>
                </c:pt>
                <c:pt idx="2">
                  <c:v>0.39850127088453147</c:v>
                </c:pt>
                <c:pt idx="3">
                  <c:v>0.31153681009483003</c:v>
                </c:pt>
                <c:pt idx="4">
                  <c:v>0.18792347676351873</c:v>
                </c:pt>
              </c:numCache>
            </c:numRef>
          </c:val>
          <c:smooth val="0"/>
          <c:extLst>
            <c:ext xmlns:c16="http://schemas.microsoft.com/office/drawing/2014/chart" uri="{C3380CC4-5D6E-409C-BE32-E72D297353CC}">
              <c16:uniqueId val="{00000002-0146-47E3-9052-B8D9593502D9}"/>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Charts!$T$98:$T$102</c:f>
              <c:strCache>
                <c:ptCount val="5"/>
                <c:pt idx="0">
                  <c:v>FY2021</c:v>
                </c:pt>
                <c:pt idx="1">
                  <c:v>FY2022</c:v>
                </c:pt>
                <c:pt idx="2">
                  <c:v>FY2023</c:v>
                </c:pt>
                <c:pt idx="3">
                  <c:v>FY2024</c:v>
                </c:pt>
                <c:pt idx="4">
                  <c:v>FY2025</c:v>
                </c:pt>
              </c:strCache>
            </c:strRef>
          </c:cat>
          <c:val>
            <c:numRef>
              <c:f>Charts!$X$98:$X$102</c:f>
              <c:numCache>
                <c:formatCode>0.00%</c:formatCode>
                <c:ptCount val="5"/>
                <c:pt idx="0">
                  <c:v>0.30189800416032447</c:v>
                </c:pt>
                <c:pt idx="1">
                  <c:v>0.381087654689308</c:v>
                </c:pt>
                <c:pt idx="2">
                  <c:v>0.30676284445350793</c:v>
                </c:pt>
                <c:pt idx="3">
                  <c:v>0.2692569010491479</c:v>
                </c:pt>
                <c:pt idx="4">
                  <c:v>0.1694536072536581</c:v>
                </c:pt>
              </c:numCache>
            </c:numRef>
          </c:val>
          <c:smooth val="0"/>
          <c:extLst>
            <c:ext xmlns:c16="http://schemas.microsoft.com/office/drawing/2014/chart" uri="{C3380CC4-5D6E-409C-BE32-E72D297353CC}">
              <c16:uniqueId val="{00000003-0146-47E3-9052-B8D9593502D9}"/>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Charts!$T$98:$T$102</c:f>
              <c:strCache>
                <c:ptCount val="5"/>
                <c:pt idx="0">
                  <c:v>FY2021</c:v>
                </c:pt>
                <c:pt idx="1">
                  <c:v>FY2022</c:v>
                </c:pt>
                <c:pt idx="2">
                  <c:v>FY2023</c:v>
                </c:pt>
                <c:pt idx="3">
                  <c:v>FY2024</c:v>
                </c:pt>
                <c:pt idx="4">
                  <c:v>FY2025</c:v>
                </c:pt>
              </c:strCache>
            </c:strRef>
          </c:cat>
          <c:val>
            <c:numRef>
              <c:f>Charts!$Y$98:$Y$102</c:f>
              <c:numCache>
                <c:formatCode>0.00%</c:formatCode>
                <c:ptCount val="5"/>
                <c:pt idx="0">
                  <c:v>9.9369789844821352E-2</c:v>
                </c:pt>
                <c:pt idx="1">
                  <c:v>0.30982053797366449</c:v>
                </c:pt>
                <c:pt idx="2">
                  <c:v>0.38414531386940193</c:v>
                </c:pt>
                <c:pt idx="3">
                  <c:v>0.33266855232872222</c:v>
                </c:pt>
                <c:pt idx="4">
                  <c:v>0.3220730092552348</c:v>
                </c:pt>
              </c:numCache>
            </c:numRef>
          </c:val>
          <c:smooth val="0"/>
          <c:extLst>
            <c:ext xmlns:c16="http://schemas.microsoft.com/office/drawing/2014/chart" uri="{C3380CC4-5D6E-409C-BE32-E72D297353CC}">
              <c16:uniqueId val="{00000004-0146-47E3-9052-B8D9593502D9}"/>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Total Debt-to-Total Capital: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Charts!$T$98:$T$102</c:f>
              <c:strCache>
                <c:ptCount val="5"/>
                <c:pt idx="0">
                  <c:v>FY2021</c:v>
                </c:pt>
                <c:pt idx="1">
                  <c:v>FY2022</c:v>
                </c:pt>
                <c:pt idx="2">
                  <c:v>FY2023</c:v>
                </c:pt>
                <c:pt idx="3">
                  <c:v>FY2024</c:v>
                </c:pt>
                <c:pt idx="4">
                  <c:v>FY2025</c:v>
                </c:pt>
              </c:strCache>
            </c:strRef>
          </c:cat>
          <c:val>
            <c:numRef>
              <c:f>Charts!$U$98:$U$102</c:f>
              <c:numCache>
                <c:formatCode>0.00%</c:formatCode>
                <c:ptCount val="5"/>
                <c:pt idx="0">
                  <c:v>0.21400284667161887</c:v>
                </c:pt>
                <c:pt idx="1">
                  <c:v>0.13497287275854264</c:v>
                </c:pt>
                <c:pt idx="2">
                  <c:v>8.8937391462133447E-2</c:v>
                </c:pt>
                <c:pt idx="3">
                  <c:v>4.9789363275218823E-2</c:v>
                </c:pt>
                <c:pt idx="4">
                  <c:v>4.4675679300715997E-2</c:v>
                </c:pt>
              </c:numCache>
            </c:numRef>
          </c:val>
          <c:smooth val="0"/>
          <c:extLst>
            <c:ext xmlns:c16="http://schemas.microsoft.com/office/drawing/2014/chart" uri="{C3380CC4-5D6E-409C-BE32-E72D297353CC}">
              <c16:uniqueId val="{00000000-DBB1-40DC-BBD0-FF0F5FA0C8BB}"/>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Charts!$T$98:$T$102</c:f>
              <c:strCache>
                <c:ptCount val="5"/>
                <c:pt idx="0">
                  <c:v>FY2021</c:v>
                </c:pt>
                <c:pt idx="1">
                  <c:v>FY2022</c:v>
                </c:pt>
                <c:pt idx="2">
                  <c:v>FY2023</c:v>
                </c:pt>
                <c:pt idx="3">
                  <c:v>FY2024</c:v>
                </c:pt>
                <c:pt idx="4">
                  <c:v>FY2025</c:v>
                </c:pt>
              </c:strCache>
            </c:strRef>
          </c:cat>
          <c:val>
            <c:numRef>
              <c:f>Charts!$Z$98:$Z$102</c:f>
              <c:numCache>
                <c:formatCode>0.00%</c:formatCode>
                <c:ptCount val="5"/>
                <c:pt idx="0">
                  <c:v>0.21470398256792214</c:v>
                </c:pt>
                <c:pt idx="1">
                  <c:v>0.26667601597529089</c:v>
                </c:pt>
                <c:pt idx="2">
                  <c:v>0.26223609149164584</c:v>
                </c:pt>
                <c:pt idx="3">
                  <c:v>0.21685502550016317</c:v>
                </c:pt>
                <c:pt idx="4">
                  <c:v>0.16295487171266518</c:v>
                </c:pt>
              </c:numCache>
            </c:numRef>
          </c:val>
          <c:smooth val="0"/>
          <c:extLst>
            <c:ext xmlns:c16="http://schemas.microsoft.com/office/drawing/2014/chart" uri="{C3380CC4-5D6E-409C-BE32-E72D297353CC}">
              <c16:uniqueId val="{00000001-DBB1-40DC-BBD0-FF0F5FA0C8BB}"/>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Times Interest Earned: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Charts!$T$106:$T$110</c:f>
              <c:strCache>
                <c:ptCount val="5"/>
                <c:pt idx="0">
                  <c:v>FY2021</c:v>
                </c:pt>
                <c:pt idx="1">
                  <c:v>FY2022</c:v>
                </c:pt>
                <c:pt idx="2">
                  <c:v>FY2023</c:v>
                </c:pt>
                <c:pt idx="3">
                  <c:v>FY2024</c:v>
                </c:pt>
                <c:pt idx="4">
                  <c:v>FY2025</c:v>
                </c:pt>
              </c:strCache>
            </c:strRef>
          </c:cat>
          <c:val>
            <c:numRef>
              <c:f>Charts!$U$106:$U$110</c:f>
              <c:numCache>
                <c:formatCode>0.00</c:formatCode>
                <c:ptCount val="5"/>
                <c:pt idx="0">
                  <c:v>10.965146742707439</c:v>
                </c:pt>
                <c:pt idx="1">
                  <c:v>18.319735243438064</c:v>
                </c:pt>
                <c:pt idx="2">
                  <c:v>16.315812571917526</c:v>
                </c:pt>
                <c:pt idx="3">
                  <c:v>22.319441864662931</c:v>
                </c:pt>
                <c:pt idx="4">
                  <c:v>58.956241100348862</c:v>
                </c:pt>
              </c:numCache>
            </c:numRef>
          </c:val>
          <c:smooth val="0"/>
          <c:extLst>
            <c:ext xmlns:c16="http://schemas.microsoft.com/office/drawing/2014/chart" uri="{C3380CC4-5D6E-409C-BE32-E72D297353CC}">
              <c16:uniqueId val="{00000000-D49E-413B-97CD-367D13FAE405}"/>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Charts!$T$106:$T$110</c:f>
              <c:strCache>
                <c:ptCount val="5"/>
                <c:pt idx="0">
                  <c:v>FY2021</c:v>
                </c:pt>
                <c:pt idx="1">
                  <c:v>FY2022</c:v>
                </c:pt>
                <c:pt idx="2">
                  <c:v>FY2023</c:v>
                </c:pt>
                <c:pt idx="3">
                  <c:v>FY2024</c:v>
                </c:pt>
                <c:pt idx="4">
                  <c:v>FY2025</c:v>
                </c:pt>
              </c:strCache>
            </c:strRef>
          </c:cat>
          <c:val>
            <c:numRef>
              <c:f>Charts!$V$106:$V$110</c:f>
              <c:numCache>
                <c:formatCode>0.00</c:formatCode>
                <c:ptCount val="5"/>
                <c:pt idx="0">
                  <c:v>52.042228263318378</c:v>
                </c:pt>
                <c:pt idx="1">
                  <c:v>55.297361076962446</c:v>
                </c:pt>
                <c:pt idx="2">
                  <c:v>19.418491261619813</c:v>
                </c:pt>
                <c:pt idx="3">
                  <c:v>27.521394265428206</c:v>
                </c:pt>
                <c:pt idx="4">
                  <c:v>36.687316512913945</c:v>
                </c:pt>
              </c:numCache>
            </c:numRef>
          </c:val>
          <c:smooth val="0"/>
          <c:extLst>
            <c:ext xmlns:c16="http://schemas.microsoft.com/office/drawing/2014/chart" uri="{C3380CC4-5D6E-409C-BE32-E72D297353CC}">
              <c16:uniqueId val="{00000001-D49E-413B-97CD-367D13FAE405}"/>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Charts!$T$106:$T$110</c:f>
              <c:strCache>
                <c:ptCount val="5"/>
                <c:pt idx="0">
                  <c:v>FY2021</c:v>
                </c:pt>
                <c:pt idx="1">
                  <c:v>FY2022</c:v>
                </c:pt>
                <c:pt idx="2">
                  <c:v>FY2023</c:v>
                </c:pt>
                <c:pt idx="3">
                  <c:v>FY2024</c:v>
                </c:pt>
                <c:pt idx="4">
                  <c:v>FY2025</c:v>
                </c:pt>
              </c:strCache>
            </c:strRef>
          </c:cat>
          <c:val>
            <c:numRef>
              <c:f>Charts!$W$106:$W$110</c:f>
              <c:numCache>
                <c:formatCode>0.00</c:formatCode>
                <c:ptCount val="5"/>
                <c:pt idx="0">
                  <c:v>2.6532310456742976</c:v>
                </c:pt>
                <c:pt idx="1">
                  <c:v>2.6982633298510965</c:v>
                </c:pt>
                <c:pt idx="2">
                  <c:v>1.4717538518085045</c:v>
                </c:pt>
                <c:pt idx="3">
                  <c:v>1.3582230764552283</c:v>
                </c:pt>
                <c:pt idx="4">
                  <c:v>4.4072600253200633</c:v>
                </c:pt>
              </c:numCache>
            </c:numRef>
          </c:val>
          <c:smooth val="0"/>
          <c:extLst>
            <c:ext xmlns:c16="http://schemas.microsoft.com/office/drawing/2014/chart" uri="{C3380CC4-5D6E-409C-BE32-E72D297353CC}">
              <c16:uniqueId val="{00000002-D49E-413B-97CD-367D13FAE405}"/>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Charts!$T$106:$T$110</c:f>
              <c:strCache>
                <c:ptCount val="5"/>
                <c:pt idx="0">
                  <c:v>FY2021</c:v>
                </c:pt>
                <c:pt idx="1">
                  <c:v>FY2022</c:v>
                </c:pt>
                <c:pt idx="2">
                  <c:v>FY2023</c:v>
                </c:pt>
                <c:pt idx="3">
                  <c:v>FY2024</c:v>
                </c:pt>
                <c:pt idx="4">
                  <c:v>FY2025</c:v>
                </c:pt>
              </c:strCache>
            </c:strRef>
          </c:cat>
          <c:val>
            <c:numRef>
              <c:f>Charts!$X$106:$X$110</c:f>
              <c:numCache>
                <c:formatCode>0.00</c:formatCode>
                <c:ptCount val="5"/>
                <c:pt idx="0">
                  <c:v>6.0367662605249279</c:v>
                </c:pt>
                <c:pt idx="1">
                  <c:v>5.2505359388174728</c:v>
                </c:pt>
                <c:pt idx="2">
                  <c:v>4.4476569735481268</c:v>
                </c:pt>
                <c:pt idx="3">
                  <c:v>3.2023484620581835</c:v>
                </c:pt>
                <c:pt idx="4">
                  <c:v>7.3457905408215804</c:v>
                </c:pt>
              </c:numCache>
            </c:numRef>
          </c:val>
          <c:smooth val="0"/>
          <c:extLst>
            <c:ext xmlns:c16="http://schemas.microsoft.com/office/drawing/2014/chart" uri="{C3380CC4-5D6E-409C-BE32-E72D297353CC}">
              <c16:uniqueId val="{00000003-D49E-413B-97CD-367D13FAE405}"/>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Charts!$T$106:$T$110</c:f>
              <c:strCache>
                <c:ptCount val="5"/>
                <c:pt idx="0">
                  <c:v>FY2021</c:v>
                </c:pt>
                <c:pt idx="1">
                  <c:v>FY2022</c:v>
                </c:pt>
                <c:pt idx="2">
                  <c:v>FY2023</c:v>
                </c:pt>
                <c:pt idx="3">
                  <c:v>FY2024</c:v>
                </c:pt>
                <c:pt idx="4">
                  <c:v>FY2025</c:v>
                </c:pt>
              </c:strCache>
            </c:strRef>
          </c:cat>
          <c:val>
            <c:numRef>
              <c:f>Charts!$Y$106:$Y$110</c:f>
              <c:numCache>
                <c:formatCode>0.00</c:formatCode>
                <c:ptCount val="5"/>
                <c:pt idx="0">
                  <c:v>56.450885878061477</c:v>
                </c:pt>
                <c:pt idx="1">
                  <c:v>12.583415391911771</c:v>
                </c:pt>
                <c:pt idx="2">
                  <c:v>5.9146829675290808</c:v>
                </c:pt>
                <c:pt idx="3">
                  <c:v>3.7798126521954241</c:v>
                </c:pt>
                <c:pt idx="4">
                  <c:v>4.7935258018729412</c:v>
                </c:pt>
              </c:numCache>
            </c:numRef>
          </c:val>
          <c:smooth val="0"/>
          <c:extLst>
            <c:ext xmlns:c16="http://schemas.microsoft.com/office/drawing/2014/chart" uri="{C3380CC4-5D6E-409C-BE32-E72D297353CC}">
              <c16:uniqueId val="{00000004-D49E-413B-97CD-367D13FAE405}"/>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Times Interest Earned: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Charts!$T$106:$T$110</c:f>
              <c:strCache>
                <c:ptCount val="5"/>
                <c:pt idx="0">
                  <c:v>FY2021</c:v>
                </c:pt>
                <c:pt idx="1">
                  <c:v>FY2022</c:v>
                </c:pt>
                <c:pt idx="2">
                  <c:v>FY2023</c:v>
                </c:pt>
                <c:pt idx="3">
                  <c:v>FY2024</c:v>
                </c:pt>
                <c:pt idx="4">
                  <c:v>FY2025</c:v>
                </c:pt>
              </c:strCache>
            </c:strRef>
          </c:cat>
          <c:val>
            <c:numRef>
              <c:f>Charts!$U$106:$U$110</c:f>
              <c:numCache>
                <c:formatCode>0.00</c:formatCode>
                <c:ptCount val="5"/>
                <c:pt idx="0">
                  <c:v>10.965146742707439</c:v>
                </c:pt>
                <c:pt idx="1">
                  <c:v>18.319735243438064</c:v>
                </c:pt>
                <c:pt idx="2">
                  <c:v>16.315812571917526</c:v>
                </c:pt>
                <c:pt idx="3">
                  <c:v>22.319441864662931</c:v>
                </c:pt>
                <c:pt idx="4">
                  <c:v>58.956241100348862</c:v>
                </c:pt>
              </c:numCache>
            </c:numRef>
          </c:val>
          <c:smooth val="0"/>
          <c:extLst>
            <c:ext xmlns:c16="http://schemas.microsoft.com/office/drawing/2014/chart" uri="{C3380CC4-5D6E-409C-BE32-E72D297353CC}">
              <c16:uniqueId val="{00000000-E4CA-4485-977B-9D98A44EC046}"/>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Charts!$T$106:$T$110</c:f>
              <c:strCache>
                <c:ptCount val="5"/>
                <c:pt idx="0">
                  <c:v>FY2021</c:v>
                </c:pt>
                <c:pt idx="1">
                  <c:v>FY2022</c:v>
                </c:pt>
                <c:pt idx="2">
                  <c:v>FY2023</c:v>
                </c:pt>
                <c:pt idx="3">
                  <c:v>FY2024</c:v>
                </c:pt>
                <c:pt idx="4">
                  <c:v>FY2025</c:v>
                </c:pt>
              </c:strCache>
            </c:strRef>
          </c:cat>
          <c:val>
            <c:numRef>
              <c:f>Charts!$Z$106:$Z$110</c:f>
              <c:numCache>
                <c:formatCode>0.00</c:formatCode>
                <c:ptCount val="5"/>
                <c:pt idx="0">
                  <c:v>25.629651638057304</c:v>
                </c:pt>
                <c:pt idx="1">
                  <c:v>18.829862196196171</c:v>
                </c:pt>
                <c:pt idx="2">
                  <c:v>9.513679525284612</c:v>
                </c:pt>
                <c:pt idx="3">
                  <c:v>11.636244064159992</c:v>
                </c:pt>
                <c:pt idx="4">
                  <c:v>22.438026796255478</c:v>
                </c:pt>
              </c:numCache>
            </c:numRef>
          </c:val>
          <c:smooth val="0"/>
          <c:extLst>
            <c:ext xmlns:c16="http://schemas.microsoft.com/office/drawing/2014/chart" uri="{C3380CC4-5D6E-409C-BE32-E72D297353CC}">
              <c16:uniqueId val="{00000001-E4CA-4485-977B-9D98A44EC046}"/>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Gross Profit Margin: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Charts!$T$114:$T$118</c:f>
              <c:strCache>
                <c:ptCount val="5"/>
                <c:pt idx="0">
                  <c:v>FY2021</c:v>
                </c:pt>
                <c:pt idx="1">
                  <c:v>FY2022</c:v>
                </c:pt>
                <c:pt idx="2">
                  <c:v>FY2023</c:v>
                </c:pt>
                <c:pt idx="3">
                  <c:v>FY2024</c:v>
                </c:pt>
                <c:pt idx="4">
                  <c:v>FY2025</c:v>
                </c:pt>
              </c:strCache>
            </c:strRef>
          </c:cat>
          <c:val>
            <c:numRef>
              <c:f>Charts!$U$114:$U$118</c:f>
              <c:numCache>
                <c:formatCode>0.00%</c:formatCode>
                <c:ptCount val="5"/>
                <c:pt idx="0">
                  <c:v>0.24796341300828931</c:v>
                </c:pt>
                <c:pt idx="1">
                  <c:v>0.29843914213509881</c:v>
                </c:pt>
                <c:pt idx="2">
                  <c:v>0.26804356818989611</c:v>
                </c:pt>
                <c:pt idx="3">
                  <c:v>0.29125851467425595</c:v>
                </c:pt>
                <c:pt idx="4">
                  <c:v>0.39220278175445145</c:v>
                </c:pt>
              </c:numCache>
            </c:numRef>
          </c:val>
          <c:smooth val="0"/>
          <c:extLst>
            <c:ext xmlns:c16="http://schemas.microsoft.com/office/drawing/2014/chart" uri="{C3380CC4-5D6E-409C-BE32-E72D297353CC}">
              <c16:uniqueId val="{00000000-205D-4B04-ACFB-6CD6F9DFB48D}"/>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Charts!$T$114:$T$118</c:f>
              <c:strCache>
                <c:ptCount val="5"/>
                <c:pt idx="0">
                  <c:v>FY2021</c:v>
                </c:pt>
                <c:pt idx="1">
                  <c:v>FY2022</c:v>
                </c:pt>
                <c:pt idx="2">
                  <c:v>FY2023</c:v>
                </c:pt>
                <c:pt idx="3">
                  <c:v>FY2024</c:v>
                </c:pt>
                <c:pt idx="4">
                  <c:v>FY2025</c:v>
                </c:pt>
              </c:strCache>
            </c:strRef>
          </c:cat>
          <c:val>
            <c:numRef>
              <c:f>Charts!$V$114:$V$118</c:f>
              <c:numCache>
                <c:formatCode>0.00%</c:formatCode>
                <c:ptCount val="5"/>
                <c:pt idx="0">
                  <c:v>0.30117079055471246</c:v>
                </c:pt>
                <c:pt idx="1">
                  <c:v>0.27809669144361399</c:v>
                </c:pt>
                <c:pt idx="2">
                  <c:v>0.27194087595679139</c:v>
                </c:pt>
                <c:pt idx="3">
                  <c:v>0.33648030796321582</c:v>
                </c:pt>
                <c:pt idx="4">
                  <c:v>0.34281652982067301</c:v>
                </c:pt>
              </c:numCache>
            </c:numRef>
          </c:val>
          <c:smooth val="0"/>
          <c:extLst>
            <c:ext xmlns:c16="http://schemas.microsoft.com/office/drawing/2014/chart" uri="{C3380CC4-5D6E-409C-BE32-E72D297353CC}">
              <c16:uniqueId val="{00000001-205D-4B04-ACFB-6CD6F9DFB48D}"/>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Charts!$T$114:$T$118</c:f>
              <c:strCache>
                <c:ptCount val="5"/>
                <c:pt idx="0">
                  <c:v>FY2021</c:v>
                </c:pt>
                <c:pt idx="1">
                  <c:v>FY2022</c:v>
                </c:pt>
                <c:pt idx="2">
                  <c:v>FY2023</c:v>
                </c:pt>
                <c:pt idx="3">
                  <c:v>FY2024</c:v>
                </c:pt>
                <c:pt idx="4">
                  <c:v>FY2025</c:v>
                </c:pt>
              </c:strCache>
            </c:strRef>
          </c:cat>
          <c:val>
            <c:numRef>
              <c:f>Charts!$W$114:$W$118</c:f>
              <c:numCache>
                <c:formatCode>0.00%</c:formatCode>
                <c:ptCount val="5"/>
                <c:pt idx="0">
                  <c:v>0.17894713739497631</c:v>
                </c:pt>
                <c:pt idx="1">
                  <c:v>0.17966261135996409</c:v>
                </c:pt>
                <c:pt idx="2">
                  <c:v>0.14704852458583501</c:v>
                </c:pt>
                <c:pt idx="3">
                  <c:v>0.15942563608432631</c:v>
                </c:pt>
                <c:pt idx="4">
                  <c:v>0.25740632547300923</c:v>
                </c:pt>
              </c:numCache>
            </c:numRef>
          </c:val>
          <c:smooth val="0"/>
          <c:extLst>
            <c:ext xmlns:c16="http://schemas.microsoft.com/office/drawing/2014/chart" uri="{C3380CC4-5D6E-409C-BE32-E72D297353CC}">
              <c16:uniqueId val="{00000002-205D-4B04-ACFB-6CD6F9DFB48D}"/>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Charts!$T$114:$T$118</c:f>
              <c:strCache>
                <c:ptCount val="5"/>
                <c:pt idx="0">
                  <c:v>FY2021</c:v>
                </c:pt>
                <c:pt idx="1">
                  <c:v>FY2022</c:v>
                </c:pt>
                <c:pt idx="2">
                  <c:v>FY2023</c:v>
                </c:pt>
                <c:pt idx="3">
                  <c:v>FY2024</c:v>
                </c:pt>
                <c:pt idx="4">
                  <c:v>FY2025</c:v>
                </c:pt>
              </c:strCache>
            </c:strRef>
          </c:cat>
          <c:val>
            <c:numRef>
              <c:f>Charts!$X$114:$X$118</c:f>
              <c:numCache>
                <c:formatCode>0.00%</c:formatCode>
                <c:ptCount val="5"/>
                <c:pt idx="0">
                  <c:v>0.20830714445240356</c:v>
                </c:pt>
                <c:pt idx="1">
                  <c:v>0.25300003367709667</c:v>
                </c:pt>
                <c:pt idx="2">
                  <c:v>0.29276322471727417</c:v>
                </c:pt>
                <c:pt idx="3">
                  <c:v>0.31547845382378364</c:v>
                </c:pt>
                <c:pt idx="4">
                  <c:v>0.34444405990469212</c:v>
                </c:pt>
              </c:numCache>
            </c:numRef>
          </c:val>
          <c:smooth val="0"/>
          <c:extLst>
            <c:ext xmlns:c16="http://schemas.microsoft.com/office/drawing/2014/chart" uri="{C3380CC4-5D6E-409C-BE32-E72D297353CC}">
              <c16:uniqueId val="{00000003-205D-4B04-ACFB-6CD6F9DFB48D}"/>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Charts!$T$114:$T$118</c:f>
              <c:strCache>
                <c:ptCount val="5"/>
                <c:pt idx="0">
                  <c:v>FY2021</c:v>
                </c:pt>
                <c:pt idx="1">
                  <c:v>FY2022</c:v>
                </c:pt>
                <c:pt idx="2">
                  <c:v>FY2023</c:v>
                </c:pt>
                <c:pt idx="3">
                  <c:v>FY2024</c:v>
                </c:pt>
                <c:pt idx="4">
                  <c:v>FY2025</c:v>
                </c:pt>
              </c:strCache>
            </c:strRef>
          </c:cat>
          <c:val>
            <c:numRef>
              <c:f>Charts!$Y$114:$Y$118</c:f>
              <c:numCache>
                <c:formatCode>0.00%</c:formatCode>
                <c:ptCount val="5"/>
                <c:pt idx="0">
                  <c:v>0.24985924725452316</c:v>
                </c:pt>
                <c:pt idx="1">
                  <c:v>0.28507903988852556</c:v>
                </c:pt>
                <c:pt idx="2">
                  <c:v>0.29996604048210768</c:v>
                </c:pt>
                <c:pt idx="3">
                  <c:v>0.32089986350224731</c:v>
                </c:pt>
                <c:pt idx="4">
                  <c:v>0.35490842202929052</c:v>
                </c:pt>
              </c:numCache>
            </c:numRef>
          </c:val>
          <c:smooth val="0"/>
          <c:extLst>
            <c:ext xmlns:c16="http://schemas.microsoft.com/office/drawing/2014/chart" uri="{C3380CC4-5D6E-409C-BE32-E72D297353CC}">
              <c16:uniqueId val="{00000004-205D-4B04-ACFB-6CD6F9DFB48D}"/>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Gross Profit Margin: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Charts!$T$114:$T$118</c:f>
              <c:strCache>
                <c:ptCount val="5"/>
                <c:pt idx="0">
                  <c:v>FY2021</c:v>
                </c:pt>
                <c:pt idx="1">
                  <c:v>FY2022</c:v>
                </c:pt>
                <c:pt idx="2">
                  <c:v>FY2023</c:v>
                </c:pt>
                <c:pt idx="3">
                  <c:v>FY2024</c:v>
                </c:pt>
                <c:pt idx="4">
                  <c:v>FY2025</c:v>
                </c:pt>
              </c:strCache>
            </c:strRef>
          </c:cat>
          <c:val>
            <c:numRef>
              <c:f>Charts!$U$114:$U$118</c:f>
              <c:numCache>
                <c:formatCode>0.00%</c:formatCode>
                <c:ptCount val="5"/>
                <c:pt idx="0">
                  <c:v>0.24796341300828931</c:v>
                </c:pt>
                <c:pt idx="1">
                  <c:v>0.29843914213509881</c:v>
                </c:pt>
                <c:pt idx="2">
                  <c:v>0.26804356818989611</c:v>
                </c:pt>
                <c:pt idx="3">
                  <c:v>0.29125851467425595</c:v>
                </c:pt>
                <c:pt idx="4">
                  <c:v>0.39220278175445145</c:v>
                </c:pt>
              </c:numCache>
            </c:numRef>
          </c:val>
          <c:smooth val="0"/>
          <c:extLst>
            <c:ext xmlns:c16="http://schemas.microsoft.com/office/drawing/2014/chart" uri="{C3380CC4-5D6E-409C-BE32-E72D297353CC}">
              <c16:uniqueId val="{00000000-9BA8-4618-9D6A-3CBCFCB1898E}"/>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Charts!$T$114:$T$118</c:f>
              <c:strCache>
                <c:ptCount val="5"/>
                <c:pt idx="0">
                  <c:v>FY2021</c:v>
                </c:pt>
                <c:pt idx="1">
                  <c:v>FY2022</c:v>
                </c:pt>
                <c:pt idx="2">
                  <c:v>FY2023</c:v>
                </c:pt>
                <c:pt idx="3">
                  <c:v>FY2024</c:v>
                </c:pt>
                <c:pt idx="4">
                  <c:v>FY2025</c:v>
                </c:pt>
              </c:strCache>
            </c:strRef>
          </c:cat>
          <c:val>
            <c:numRef>
              <c:f>Charts!$Z$114:$Z$118</c:f>
              <c:numCache>
                <c:formatCode>0.00%</c:formatCode>
                <c:ptCount val="5"/>
                <c:pt idx="0">
                  <c:v>0.23724954653298097</c:v>
                </c:pt>
                <c:pt idx="1">
                  <c:v>0.25885550370085986</c:v>
                </c:pt>
                <c:pt idx="2">
                  <c:v>0.25595244678638085</c:v>
                </c:pt>
                <c:pt idx="3">
                  <c:v>0.28470855520956578</c:v>
                </c:pt>
                <c:pt idx="4">
                  <c:v>0.33835562379642325</c:v>
                </c:pt>
              </c:numCache>
            </c:numRef>
          </c:val>
          <c:smooth val="0"/>
          <c:extLst>
            <c:ext xmlns:c16="http://schemas.microsoft.com/office/drawing/2014/chart" uri="{C3380CC4-5D6E-409C-BE32-E72D297353CC}">
              <c16:uniqueId val="{00000001-9BA8-4618-9D6A-3CBCFCB1898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Operating Margin: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Charts!$T$122:$T$126</c:f>
              <c:strCache>
                <c:ptCount val="5"/>
                <c:pt idx="0">
                  <c:v>FY2021</c:v>
                </c:pt>
                <c:pt idx="1">
                  <c:v>FY2022</c:v>
                </c:pt>
                <c:pt idx="2">
                  <c:v>FY2023</c:v>
                </c:pt>
                <c:pt idx="3">
                  <c:v>FY2024</c:v>
                </c:pt>
                <c:pt idx="4">
                  <c:v>FY2025</c:v>
                </c:pt>
              </c:strCache>
            </c:strRef>
          </c:cat>
          <c:val>
            <c:numRef>
              <c:f>Charts!$U$122:$U$126</c:f>
              <c:numCache>
                <c:formatCode>0.00%</c:formatCode>
                <c:ptCount val="5"/>
                <c:pt idx="0">
                  <c:v>0.223476531263751</c:v>
                </c:pt>
                <c:pt idx="1">
                  <c:v>0.28715637280086448</c:v>
                </c:pt>
                <c:pt idx="2">
                  <c:v>0.28654734202991289</c:v>
                </c:pt>
                <c:pt idx="3">
                  <c:v>0.37317728789535698</c:v>
                </c:pt>
                <c:pt idx="4">
                  <c:v>0.48095636892569549</c:v>
                </c:pt>
              </c:numCache>
            </c:numRef>
          </c:val>
          <c:smooth val="0"/>
          <c:extLst>
            <c:ext xmlns:c16="http://schemas.microsoft.com/office/drawing/2014/chart" uri="{C3380CC4-5D6E-409C-BE32-E72D297353CC}">
              <c16:uniqueId val="{00000000-6390-4445-AB4B-A4EBDFF03BB2}"/>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Charts!$T$122:$T$126</c:f>
              <c:strCache>
                <c:ptCount val="5"/>
                <c:pt idx="0">
                  <c:v>FY2021</c:v>
                </c:pt>
                <c:pt idx="1">
                  <c:v>FY2022</c:v>
                </c:pt>
                <c:pt idx="2">
                  <c:v>FY2023</c:v>
                </c:pt>
                <c:pt idx="3">
                  <c:v>FY2024</c:v>
                </c:pt>
                <c:pt idx="4">
                  <c:v>FY2025</c:v>
                </c:pt>
              </c:strCache>
            </c:strRef>
          </c:cat>
          <c:val>
            <c:numRef>
              <c:f>Charts!$V$122:$V$126</c:f>
              <c:numCache>
                <c:formatCode>0.00%</c:formatCode>
                <c:ptCount val="5"/>
                <c:pt idx="0">
                  <c:v>0.27526050866365631</c:v>
                </c:pt>
                <c:pt idx="1">
                  <c:v>0.26901961654768358</c:v>
                </c:pt>
                <c:pt idx="2">
                  <c:v>0.23480711540356072</c:v>
                </c:pt>
                <c:pt idx="3">
                  <c:v>0.37240945675047471</c:v>
                </c:pt>
                <c:pt idx="4">
                  <c:v>0.39071901522799324</c:v>
                </c:pt>
              </c:numCache>
            </c:numRef>
          </c:val>
          <c:smooth val="0"/>
          <c:extLst>
            <c:ext xmlns:c16="http://schemas.microsoft.com/office/drawing/2014/chart" uri="{C3380CC4-5D6E-409C-BE32-E72D297353CC}">
              <c16:uniqueId val="{00000001-6390-4445-AB4B-A4EBDFF03BB2}"/>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Charts!$T$122:$T$126</c:f>
              <c:strCache>
                <c:ptCount val="5"/>
                <c:pt idx="0">
                  <c:v>FY2021</c:v>
                </c:pt>
                <c:pt idx="1">
                  <c:v>FY2022</c:v>
                </c:pt>
                <c:pt idx="2">
                  <c:v>FY2023</c:v>
                </c:pt>
                <c:pt idx="3">
                  <c:v>FY2024</c:v>
                </c:pt>
                <c:pt idx="4">
                  <c:v>FY2025</c:v>
                </c:pt>
              </c:strCache>
            </c:strRef>
          </c:cat>
          <c:val>
            <c:numRef>
              <c:f>Charts!$W$122:$W$126</c:f>
              <c:numCache>
                <c:formatCode>0.00%</c:formatCode>
                <c:ptCount val="5"/>
                <c:pt idx="0">
                  <c:v>0.16976072150890459</c:v>
                </c:pt>
                <c:pt idx="1">
                  <c:v>0.1647791429733062</c:v>
                </c:pt>
                <c:pt idx="2">
                  <c:v>0.15182766799754666</c:v>
                </c:pt>
                <c:pt idx="3">
                  <c:v>0.16299366572828242</c:v>
                </c:pt>
                <c:pt idx="4">
                  <c:v>0.23397808045883622</c:v>
                </c:pt>
              </c:numCache>
            </c:numRef>
          </c:val>
          <c:smooth val="0"/>
          <c:extLst>
            <c:ext xmlns:c16="http://schemas.microsoft.com/office/drawing/2014/chart" uri="{C3380CC4-5D6E-409C-BE32-E72D297353CC}">
              <c16:uniqueId val="{00000002-6390-4445-AB4B-A4EBDFF03BB2}"/>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Charts!$T$122:$T$126</c:f>
              <c:strCache>
                <c:ptCount val="5"/>
                <c:pt idx="0">
                  <c:v>FY2021</c:v>
                </c:pt>
                <c:pt idx="1">
                  <c:v>FY2022</c:v>
                </c:pt>
                <c:pt idx="2">
                  <c:v>FY2023</c:v>
                </c:pt>
                <c:pt idx="3">
                  <c:v>FY2024</c:v>
                </c:pt>
                <c:pt idx="4">
                  <c:v>FY2025</c:v>
                </c:pt>
              </c:strCache>
            </c:strRef>
          </c:cat>
          <c:val>
            <c:numRef>
              <c:f>Charts!$X$122:$X$126</c:f>
              <c:numCache>
                <c:formatCode>0.00%</c:formatCode>
                <c:ptCount val="5"/>
                <c:pt idx="0">
                  <c:v>0.24584402613957254</c:v>
                </c:pt>
                <c:pt idx="1">
                  <c:v>0.18288553443388325</c:v>
                </c:pt>
                <c:pt idx="2">
                  <c:v>0.19224796146239193</c:v>
                </c:pt>
                <c:pt idx="3">
                  <c:v>0.19543128859795894</c:v>
                </c:pt>
                <c:pt idx="4">
                  <c:v>0.36375545770453227</c:v>
                </c:pt>
              </c:numCache>
            </c:numRef>
          </c:val>
          <c:smooth val="0"/>
          <c:extLst>
            <c:ext xmlns:c16="http://schemas.microsoft.com/office/drawing/2014/chart" uri="{C3380CC4-5D6E-409C-BE32-E72D297353CC}">
              <c16:uniqueId val="{00000003-6390-4445-AB4B-A4EBDFF03BB2}"/>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Charts!$T$122:$T$126</c:f>
              <c:strCache>
                <c:ptCount val="5"/>
                <c:pt idx="0">
                  <c:v>FY2021</c:v>
                </c:pt>
                <c:pt idx="1">
                  <c:v>FY2022</c:v>
                </c:pt>
                <c:pt idx="2">
                  <c:v>FY2023</c:v>
                </c:pt>
                <c:pt idx="3">
                  <c:v>FY2024</c:v>
                </c:pt>
                <c:pt idx="4">
                  <c:v>FY2025</c:v>
                </c:pt>
              </c:strCache>
            </c:strRef>
          </c:cat>
          <c:val>
            <c:numRef>
              <c:f>Charts!$Y$122:$Y$126</c:f>
              <c:numCache>
                <c:formatCode>0.00%</c:formatCode>
                <c:ptCount val="5"/>
                <c:pt idx="0">
                  <c:v>0.2142368646736256</c:v>
                </c:pt>
                <c:pt idx="1">
                  <c:v>0.23087384099122032</c:v>
                </c:pt>
                <c:pt idx="2">
                  <c:v>0.22807525720632701</c:v>
                </c:pt>
                <c:pt idx="3">
                  <c:v>0.26089810857755552</c:v>
                </c:pt>
                <c:pt idx="4">
                  <c:v>0.3057657460861018</c:v>
                </c:pt>
              </c:numCache>
            </c:numRef>
          </c:val>
          <c:smooth val="0"/>
          <c:extLst>
            <c:ext xmlns:c16="http://schemas.microsoft.com/office/drawing/2014/chart" uri="{C3380CC4-5D6E-409C-BE32-E72D297353CC}">
              <c16:uniqueId val="{00000004-6390-4445-AB4B-A4EBDFF03BB2}"/>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Operating Margin: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Charts!$T$122:$T$126</c:f>
              <c:strCache>
                <c:ptCount val="5"/>
                <c:pt idx="0">
                  <c:v>FY2021</c:v>
                </c:pt>
                <c:pt idx="1">
                  <c:v>FY2022</c:v>
                </c:pt>
                <c:pt idx="2">
                  <c:v>FY2023</c:v>
                </c:pt>
                <c:pt idx="3">
                  <c:v>FY2024</c:v>
                </c:pt>
                <c:pt idx="4">
                  <c:v>FY2025</c:v>
                </c:pt>
              </c:strCache>
            </c:strRef>
          </c:cat>
          <c:val>
            <c:numRef>
              <c:f>Charts!$U$122:$U$126</c:f>
              <c:numCache>
                <c:formatCode>0.00%</c:formatCode>
                <c:ptCount val="5"/>
                <c:pt idx="0">
                  <c:v>0.223476531263751</c:v>
                </c:pt>
                <c:pt idx="1">
                  <c:v>0.28715637280086448</c:v>
                </c:pt>
                <c:pt idx="2">
                  <c:v>0.28654734202991289</c:v>
                </c:pt>
                <c:pt idx="3">
                  <c:v>0.37317728789535698</c:v>
                </c:pt>
                <c:pt idx="4">
                  <c:v>0.48095636892569549</c:v>
                </c:pt>
              </c:numCache>
            </c:numRef>
          </c:val>
          <c:smooth val="0"/>
          <c:extLst>
            <c:ext xmlns:c16="http://schemas.microsoft.com/office/drawing/2014/chart" uri="{C3380CC4-5D6E-409C-BE32-E72D297353CC}">
              <c16:uniqueId val="{00000000-839D-442E-ABA9-CD41A7BA7A22}"/>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Charts!$T$122:$T$126</c:f>
              <c:strCache>
                <c:ptCount val="5"/>
                <c:pt idx="0">
                  <c:v>FY2021</c:v>
                </c:pt>
                <c:pt idx="1">
                  <c:v>FY2022</c:v>
                </c:pt>
                <c:pt idx="2">
                  <c:v>FY2023</c:v>
                </c:pt>
                <c:pt idx="3">
                  <c:v>FY2024</c:v>
                </c:pt>
                <c:pt idx="4">
                  <c:v>FY2025</c:v>
                </c:pt>
              </c:strCache>
            </c:strRef>
          </c:cat>
          <c:val>
            <c:numRef>
              <c:f>Charts!$Z$122:$Z$126</c:f>
              <c:numCache>
                <c:formatCode>0.00%</c:formatCode>
                <c:ptCount val="5"/>
                <c:pt idx="0">
                  <c:v>0.22571573044990201</c:v>
                </c:pt>
                <c:pt idx="1">
                  <c:v>0.22694290154939156</c:v>
                </c:pt>
                <c:pt idx="2">
                  <c:v>0.21870106881994783</c:v>
                </c:pt>
                <c:pt idx="3">
                  <c:v>0.27298196150992571</c:v>
                </c:pt>
                <c:pt idx="4">
                  <c:v>0.35503493368063183</c:v>
                </c:pt>
              </c:numCache>
            </c:numRef>
          </c:val>
          <c:smooth val="0"/>
          <c:extLst>
            <c:ext xmlns:c16="http://schemas.microsoft.com/office/drawing/2014/chart" uri="{C3380CC4-5D6E-409C-BE32-E72D297353CC}">
              <c16:uniqueId val="{00000001-839D-442E-ABA9-CD41A7BA7A22}"/>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Net Profit Margin: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Charts!$T$130:$T$134</c:f>
              <c:strCache>
                <c:ptCount val="5"/>
                <c:pt idx="0">
                  <c:v>FY2021</c:v>
                </c:pt>
                <c:pt idx="1">
                  <c:v>FY2022</c:v>
                </c:pt>
                <c:pt idx="2">
                  <c:v>FY2023</c:v>
                </c:pt>
                <c:pt idx="3">
                  <c:v>FY2024</c:v>
                </c:pt>
                <c:pt idx="4">
                  <c:v>FY2025</c:v>
                </c:pt>
              </c:strCache>
            </c:strRef>
          </c:cat>
          <c:val>
            <c:numRef>
              <c:f>Charts!$U$130:$U$134</c:f>
              <c:numCache>
                <c:formatCode>0.00%</c:formatCode>
                <c:ptCount val="5"/>
                <c:pt idx="0">
                  <c:v>0.1453819089897026</c:v>
                </c:pt>
                <c:pt idx="1">
                  <c:v>0.15282075695786385</c:v>
                </c:pt>
                <c:pt idx="2">
                  <c:v>0.14955052871384544</c:v>
                </c:pt>
                <c:pt idx="3">
                  <c:v>0.23011561219895646</c:v>
                </c:pt>
                <c:pt idx="4">
                  <c:v>0.30837719707594857</c:v>
                </c:pt>
              </c:numCache>
            </c:numRef>
          </c:val>
          <c:smooth val="0"/>
          <c:extLst>
            <c:ext xmlns:c16="http://schemas.microsoft.com/office/drawing/2014/chart" uri="{C3380CC4-5D6E-409C-BE32-E72D297353CC}">
              <c16:uniqueId val="{00000000-E665-49AF-93E4-694A3CE3B841}"/>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Charts!$T$130:$T$134</c:f>
              <c:strCache>
                <c:ptCount val="5"/>
                <c:pt idx="0">
                  <c:v>FY2021</c:v>
                </c:pt>
                <c:pt idx="1">
                  <c:v>FY2022</c:v>
                </c:pt>
                <c:pt idx="2">
                  <c:v>FY2023</c:v>
                </c:pt>
                <c:pt idx="3">
                  <c:v>FY2024</c:v>
                </c:pt>
                <c:pt idx="4">
                  <c:v>FY2025</c:v>
                </c:pt>
              </c:strCache>
            </c:strRef>
          </c:cat>
          <c:val>
            <c:numRef>
              <c:f>Charts!$V$130:$V$134</c:f>
              <c:numCache>
                <c:formatCode>0.00%</c:formatCode>
                <c:ptCount val="5"/>
                <c:pt idx="0">
                  <c:v>0.22354637821997994</c:v>
                </c:pt>
                <c:pt idx="1">
                  <c:v>0.18865400166042842</c:v>
                </c:pt>
                <c:pt idx="2">
                  <c:v>0.14322765825125466</c:v>
                </c:pt>
                <c:pt idx="3">
                  <c:v>0.24371604713228476</c:v>
                </c:pt>
                <c:pt idx="4">
                  <c:v>0.26577542757733763</c:v>
                </c:pt>
              </c:numCache>
            </c:numRef>
          </c:val>
          <c:smooth val="0"/>
          <c:extLst>
            <c:ext xmlns:c16="http://schemas.microsoft.com/office/drawing/2014/chart" uri="{C3380CC4-5D6E-409C-BE32-E72D297353CC}">
              <c16:uniqueId val="{00000001-E665-49AF-93E4-694A3CE3B841}"/>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Charts!$T$130:$T$134</c:f>
              <c:strCache>
                <c:ptCount val="5"/>
                <c:pt idx="0">
                  <c:v>FY2021</c:v>
                </c:pt>
                <c:pt idx="1">
                  <c:v>FY2022</c:v>
                </c:pt>
                <c:pt idx="2">
                  <c:v>FY2023</c:v>
                </c:pt>
                <c:pt idx="3">
                  <c:v>FY2024</c:v>
                </c:pt>
                <c:pt idx="4">
                  <c:v>FY2025</c:v>
                </c:pt>
              </c:strCache>
            </c:strRef>
          </c:cat>
          <c:val>
            <c:numRef>
              <c:f>Charts!$W$130:$W$134</c:f>
              <c:numCache>
                <c:formatCode>0.00%</c:formatCode>
                <c:ptCount val="5"/>
                <c:pt idx="0">
                  <c:v>8.2497529800351119E-2</c:v>
                </c:pt>
                <c:pt idx="1">
                  <c:v>5.120493100192175E-2</c:v>
                </c:pt>
                <c:pt idx="2">
                  <c:v>#N/A</c:v>
                </c:pt>
                <c:pt idx="3">
                  <c:v>8.2133065966830711E-3</c:v>
                </c:pt>
                <c:pt idx="4">
                  <c:v>0.12066652759857006</c:v>
                </c:pt>
              </c:numCache>
            </c:numRef>
          </c:val>
          <c:smooth val="0"/>
          <c:extLst>
            <c:ext xmlns:c16="http://schemas.microsoft.com/office/drawing/2014/chart" uri="{C3380CC4-5D6E-409C-BE32-E72D297353CC}">
              <c16:uniqueId val="{00000002-E665-49AF-93E4-694A3CE3B841}"/>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Charts!$T$130:$T$134</c:f>
              <c:strCache>
                <c:ptCount val="5"/>
                <c:pt idx="0">
                  <c:v>FY2021</c:v>
                </c:pt>
                <c:pt idx="1">
                  <c:v>FY2022</c:v>
                </c:pt>
                <c:pt idx="2">
                  <c:v>FY2023</c:v>
                </c:pt>
                <c:pt idx="3">
                  <c:v>FY2024</c:v>
                </c:pt>
                <c:pt idx="4">
                  <c:v>FY2025</c:v>
                </c:pt>
              </c:strCache>
            </c:strRef>
          </c:cat>
          <c:val>
            <c:numRef>
              <c:f>Charts!$X$130:$X$134</c:f>
              <c:numCache>
                <c:formatCode>0.00%</c:formatCode>
                <c:ptCount val="5"/>
                <c:pt idx="0">
                  <c:v>0.1759822170452098</c:v>
                </c:pt>
                <c:pt idx="1">
                  <c:v>7.4739658936337147E-2</c:v>
                </c:pt>
                <c:pt idx="2">
                  <c:v>7.2358441549152441E-2</c:v>
                </c:pt>
                <c:pt idx="3">
                  <c:v>7.9342975209845082E-2</c:v>
                </c:pt>
                <c:pt idx="4">
                  <c:v>0.24711008947956384</c:v>
                </c:pt>
              </c:numCache>
            </c:numRef>
          </c:val>
          <c:smooth val="0"/>
          <c:extLst>
            <c:ext xmlns:c16="http://schemas.microsoft.com/office/drawing/2014/chart" uri="{C3380CC4-5D6E-409C-BE32-E72D297353CC}">
              <c16:uniqueId val="{00000003-E665-49AF-93E4-694A3CE3B841}"/>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Charts!$T$130:$T$134</c:f>
              <c:strCache>
                <c:ptCount val="5"/>
                <c:pt idx="0">
                  <c:v>FY2021</c:v>
                </c:pt>
                <c:pt idx="1">
                  <c:v>FY2022</c:v>
                </c:pt>
                <c:pt idx="2">
                  <c:v>FY2023</c:v>
                </c:pt>
                <c:pt idx="3">
                  <c:v>FY2024</c:v>
                </c:pt>
                <c:pt idx="4">
                  <c:v>FY2025</c:v>
                </c:pt>
              </c:strCache>
            </c:strRef>
          </c:cat>
          <c:val>
            <c:numRef>
              <c:f>Charts!$Y$130:$Y$134</c:f>
              <c:numCache>
                <c:formatCode>0.00%</c:formatCode>
                <c:ptCount val="5"/>
                <c:pt idx="0">
                  <c:v>0.14302295902338913</c:v>
                </c:pt>
                <c:pt idx="1">
                  <c:v>0.13112336204567002</c:v>
                </c:pt>
                <c:pt idx="2">
                  <c:v>0.10929571726641699</c:v>
                </c:pt>
                <c:pt idx="3">
                  <c:v>0.10275526425549537</c:v>
                </c:pt>
                <c:pt idx="4">
                  <c:v>0.14980611609777766</c:v>
                </c:pt>
              </c:numCache>
            </c:numRef>
          </c:val>
          <c:smooth val="0"/>
          <c:extLst>
            <c:ext xmlns:c16="http://schemas.microsoft.com/office/drawing/2014/chart" uri="{C3380CC4-5D6E-409C-BE32-E72D297353CC}">
              <c16:uniqueId val="{00000004-E665-49AF-93E4-694A3CE3B84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Net Profit Margin: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Charts!$T$130:$T$134</c:f>
              <c:strCache>
                <c:ptCount val="5"/>
                <c:pt idx="0">
                  <c:v>FY2021</c:v>
                </c:pt>
                <c:pt idx="1">
                  <c:v>FY2022</c:v>
                </c:pt>
                <c:pt idx="2">
                  <c:v>FY2023</c:v>
                </c:pt>
                <c:pt idx="3">
                  <c:v>FY2024</c:v>
                </c:pt>
                <c:pt idx="4">
                  <c:v>FY2025</c:v>
                </c:pt>
              </c:strCache>
            </c:strRef>
          </c:cat>
          <c:val>
            <c:numRef>
              <c:f>Charts!$U$130:$U$134</c:f>
              <c:numCache>
                <c:formatCode>0.00%</c:formatCode>
                <c:ptCount val="5"/>
                <c:pt idx="0">
                  <c:v>0.1453819089897026</c:v>
                </c:pt>
                <c:pt idx="1">
                  <c:v>0.15282075695786385</c:v>
                </c:pt>
                <c:pt idx="2">
                  <c:v>0.14955052871384544</c:v>
                </c:pt>
                <c:pt idx="3">
                  <c:v>0.23011561219895646</c:v>
                </c:pt>
                <c:pt idx="4">
                  <c:v>0.30837719707594857</c:v>
                </c:pt>
              </c:numCache>
            </c:numRef>
          </c:val>
          <c:smooth val="0"/>
          <c:extLst>
            <c:ext xmlns:c16="http://schemas.microsoft.com/office/drawing/2014/chart" uri="{C3380CC4-5D6E-409C-BE32-E72D297353CC}">
              <c16:uniqueId val="{00000000-C96C-43A6-8051-E3714CA23653}"/>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Charts!$T$130:$T$134</c:f>
              <c:strCache>
                <c:ptCount val="5"/>
                <c:pt idx="0">
                  <c:v>FY2021</c:v>
                </c:pt>
                <c:pt idx="1">
                  <c:v>FY2022</c:v>
                </c:pt>
                <c:pt idx="2">
                  <c:v>FY2023</c:v>
                </c:pt>
                <c:pt idx="3">
                  <c:v>FY2024</c:v>
                </c:pt>
                <c:pt idx="4">
                  <c:v>FY2025</c:v>
                </c:pt>
              </c:strCache>
            </c:strRef>
          </c:cat>
          <c:val>
            <c:numRef>
              <c:f>Charts!$Z$130:$Z$134</c:f>
              <c:numCache>
                <c:formatCode>0.00%</c:formatCode>
                <c:ptCount val="5"/>
                <c:pt idx="0">
                  <c:v>0.15408619861572653</c:v>
                </c:pt>
                <c:pt idx="1">
                  <c:v>0.11970854212044424</c:v>
                </c:pt>
                <c:pt idx="2">
                  <c:v>0.11860808644516738</c:v>
                </c:pt>
                <c:pt idx="3">
                  <c:v>0.13282864107865294</c:v>
                </c:pt>
                <c:pt idx="4">
                  <c:v>0.21834707156583955</c:v>
                </c:pt>
              </c:numCache>
            </c:numRef>
          </c:val>
          <c:smooth val="0"/>
          <c:extLst>
            <c:ext xmlns:c16="http://schemas.microsoft.com/office/drawing/2014/chart" uri="{C3380CC4-5D6E-409C-BE32-E72D297353CC}">
              <c16:uniqueId val="{00000001-C96C-43A6-8051-E3714CA23653}"/>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Return on Assets: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Charts!$T$138:$T$142</c:f>
              <c:strCache>
                <c:ptCount val="5"/>
                <c:pt idx="0">
                  <c:v>FY2021</c:v>
                </c:pt>
                <c:pt idx="1">
                  <c:v>FY2022</c:v>
                </c:pt>
                <c:pt idx="2">
                  <c:v>FY2023</c:v>
                </c:pt>
                <c:pt idx="3">
                  <c:v>FY2024</c:v>
                </c:pt>
                <c:pt idx="4">
                  <c:v>FY2025</c:v>
                </c:pt>
              </c:strCache>
            </c:strRef>
          </c:cat>
          <c:val>
            <c:numRef>
              <c:f>Charts!$U$138:$U$142</c:f>
              <c:numCache>
                <c:formatCode>0.00%</c:formatCode>
                <c:ptCount val="5"/>
                <c:pt idx="0">
                  <c:v>9.6918969746585204E-2</c:v>
                </c:pt>
                <c:pt idx="1">
                  <c:v>0.11589856650144761</c:v>
                </c:pt>
                <c:pt idx="2">
                  <c:v>0.11751952891151191</c:v>
                </c:pt>
                <c:pt idx="3">
                  <c:v>0.15113794625582791</c:v>
                </c:pt>
                <c:pt idx="4">
                  <c:v>0.17329550622820336</c:v>
                </c:pt>
              </c:numCache>
            </c:numRef>
          </c:val>
          <c:smooth val="0"/>
          <c:extLst>
            <c:ext xmlns:c16="http://schemas.microsoft.com/office/drawing/2014/chart" uri="{C3380CC4-5D6E-409C-BE32-E72D297353CC}">
              <c16:uniqueId val="{00000000-D411-4251-8741-D7D8AC9448A4}"/>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Charts!$T$138:$T$142</c:f>
              <c:strCache>
                <c:ptCount val="5"/>
                <c:pt idx="0">
                  <c:v>FY2021</c:v>
                </c:pt>
                <c:pt idx="1">
                  <c:v>FY2022</c:v>
                </c:pt>
                <c:pt idx="2">
                  <c:v>FY2023</c:v>
                </c:pt>
                <c:pt idx="3">
                  <c:v>FY2024</c:v>
                </c:pt>
                <c:pt idx="4">
                  <c:v>FY2025</c:v>
                </c:pt>
              </c:strCache>
            </c:strRef>
          </c:cat>
          <c:val>
            <c:numRef>
              <c:f>Charts!$V$138:$V$142</c:f>
              <c:numCache>
                <c:formatCode>0.00%</c:formatCode>
                <c:ptCount val="5"/>
                <c:pt idx="0">
                  <c:v>8.9981220078048957E-2</c:v>
                </c:pt>
                <c:pt idx="1">
                  <c:v>8.271205740618541E-2</c:v>
                </c:pt>
                <c:pt idx="2">
                  <c:v>6.4416529475417678E-2</c:v>
                </c:pt>
                <c:pt idx="3">
                  <c:v>0.12010412955682188</c:v>
                </c:pt>
                <c:pt idx="4">
                  <c:v>0.12405775592794444</c:v>
                </c:pt>
              </c:numCache>
            </c:numRef>
          </c:val>
          <c:smooth val="0"/>
          <c:extLst>
            <c:ext xmlns:c16="http://schemas.microsoft.com/office/drawing/2014/chart" uri="{C3380CC4-5D6E-409C-BE32-E72D297353CC}">
              <c16:uniqueId val="{00000001-D411-4251-8741-D7D8AC9448A4}"/>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Charts!$T$138:$T$142</c:f>
              <c:strCache>
                <c:ptCount val="5"/>
                <c:pt idx="0">
                  <c:v>FY2021</c:v>
                </c:pt>
                <c:pt idx="1">
                  <c:v>FY2022</c:v>
                </c:pt>
                <c:pt idx="2">
                  <c:v>FY2023</c:v>
                </c:pt>
                <c:pt idx="3">
                  <c:v>FY2024</c:v>
                </c:pt>
                <c:pt idx="4">
                  <c:v>FY2025</c:v>
                </c:pt>
              </c:strCache>
            </c:strRef>
          </c:cat>
          <c:val>
            <c:numRef>
              <c:f>Charts!$W$138:$W$142</c:f>
              <c:numCache>
                <c:formatCode>0.00%</c:formatCode>
                <c:ptCount val="5"/>
                <c:pt idx="0">
                  <c:v>2.6986338713228402E-2</c:v>
                </c:pt>
                <c:pt idx="1">
                  <c:v>2.1763973265391149E-2</c:v>
                </c:pt>
                <c:pt idx="2">
                  <c:v>#N/A</c:v>
                </c:pt>
                <c:pt idx="3">
                  <c:v>3.9194496855507379E-3</c:v>
                </c:pt>
                <c:pt idx="4">
                  <c:v>5.9449062727654524E-2</c:v>
                </c:pt>
              </c:numCache>
            </c:numRef>
          </c:val>
          <c:smooth val="0"/>
          <c:extLst>
            <c:ext xmlns:c16="http://schemas.microsoft.com/office/drawing/2014/chart" uri="{C3380CC4-5D6E-409C-BE32-E72D297353CC}">
              <c16:uniqueId val="{00000002-D411-4251-8741-D7D8AC9448A4}"/>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Charts!$T$138:$T$142</c:f>
              <c:strCache>
                <c:ptCount val="5"/>
                <c:pt idx="0">
                  <c:v>FY2021</c:v>
                </c:pt>
                <c:pt idx="1">
                  <c:v>FY2022</c:v>
                </c:pt>
                <c:pt idx="2">
                  <c:v>FY2023</c:v>
                </c:pt>
                <c:pt idx="3">
                  <c:v>FY2024</c:v>
                </c:pt>
                <c:pt idx="4">
                  <c:v>FY2025</c:v>
                </c:pt>
              </c:strCache>
            </c:strRef>
          </c:cat>
          <c:val>
            <c:numRef>
              <c:f>Charts!$X$138:$X$142</c:f>
              <c:numCache>
                <c:formatCode>0.00%</c:formatCode>
                <c:ptCount val="5"/>
                <c:pt idx="0">
                  <c:v>9.4416925860816264E-2</c:v>
                </c:pt>
                <c:pt idx="1">
                  <c:v>4.4108433323144514E-2</c:v>
                </c:pt>
                <c:pt idx="2">
                  <c:v>5.0070043588560612E-2</c:v>
                </c:pt>
                <c:pt idx="3">
                  <c:v>5.3061850871209217E-2</c:v>
                </c:pt>
                <c:pt idx="4">
                  <c:v>0.14303507159585241</c:v>
                </c:pt>
              </c:numCache>
            </c:numRef>
          </c:val>
          <c:smooth val="0"/>
          <c:extLst>
            <c:ext xmlns:c16="http://schemas.microsoft.com/office/drawing/2014/chart" uri="{C3380CC4-5D6E-409C-BE32-E72D297353CC}">
              <c16:uniqueId val="{00000003-D411-4251-8741-D7D8AC9448A4}"/>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Charts!$T$138:$T$142</c:f>
              <c:strCache>
                <c:ptCount val="5"/>
                <c:pt idx="0">
                  <c:v>FY2021</c:v>
                </c:pt>
                <c:pt idx="1">
                  <c:v>FY2022</c:v>
                </c:pt>
                <c:pt idx="2">
                  <c:v>FY2023</c:v>
                </c:pt>
                <c:pt idx="3">
                  <c:v>FY2024</c:v>
                </c:pt>
                <c:pt idx="4">
                  <c:v>FY2025</c:v>
                </c:pt>
              </c:strCache>
            </c:strRef>
          </c:cat>
          <c:val>
            <c:numRef>
              <c:f>Charts!$Y$138:$Y$142</c:f>
              <c:numCache>
                <c:formatCode>0.00%</c:formatCode>
                <c:ptCount val="5"/>
                <c:pt idx="0">
                  <c:v>0.10194195499261118</c:v>
                </c:pt>
                <c:pt idx="1">
                  <c:v>6.2556379031810716E-2</c:v>
                </c:pt>
                <c:pt idx="2">
                  <c:v>5.3589004856834314E-2</c:v>
                </c:pt>
                <c:pt idx="3">
                  <c:v>5.5698470198037101E-2</c:v>
                </c:pt>
                <c:pt idx="4">
                  <c:v>8.2851106191915852E-2</c:v>
                </c:pt>
              </c:numCache>
            </c:numRef>
          </c:val>
          <c:smooth val="0"/>
          <c:extLst>
            <c:ext xmlns:c16="http://schemas.microsoft.com/office/drawing/2014/chart" uri="{C3380CC4-5D6E-409C-BE32-E72D297353CC}">
              <c16:uniqueId val="{00000004-D411-4251-8741-D7D8AC9448A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Return on Assets: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Charts!$T$138:$T$142</c:f>
              <c:strCache>
                <c:ptCount val="5"/>
                <c:pt idx="0">
                  <c:v>FY2021</c:v>
                </c:pt>
                <c:pt idx="1">
                  <c:v>FY2022</c:v>
                </c:pt>
                <c:pt idx="2">
                  <c:v>FY2023</c:v>
                </c:pt>
                <c:pt idx="3">
                  <c:v>FY2024</c:v>
                </c:pt>
                <c:pt idx="4">
                  <c:v>FY2025</c:v>
                </c:pt>
              </c:strCache>
            </c:strRef>
          </c:cat>
          <c:val>
            <c:numRef>
              <c:f>Charts!$U$138:$U$142</c:f>
              <c:numCache>
                <c:formatCode>0.00%</c:formatCode>
                <c:ptCount val="5"/>
                <c:pt idx="0">
                  <c:v>9.6918969746585204E-2</c:v>
                </c:pt>
                <c:pt idx="1">
                  <c:v>0.11589856650144761</c:v>
                </c:pt>
                <c:pt idx="2">
                  <c:v>0.11751952891151191</c:v>
                </c:pt>
                <c:pt idx="3">
                  <c:v>0.15113794625582791</c:v>
                </c:pt>
                <c:pt idx="4">
                  <c:v>0.17329550622820336</c:v>
                </c:pt>
              </c:numCache>
            </c:numRef>
          </c:val>
          <c:smooth val="0"/>
          <c:extLst>
            <c:ext xmlns:c16="http://schemas.microsoft.com/office/drawing/2014/chart" uri="{C3380CC4-5D6E-409C-BE32-E72D297353CC}">
              <c16:uniqueId val="{00000000-E777-4091-BDF8-01926EE20F6B}"/>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Charts!$T$138:$T$142</c:f>
              <c:strCache>
                <c:ptCount val="5"/>
                <c:pt idx="0">
                  <c:v>FY2021</c:v>
                </c:pt>
                <c:pt idx="1">
                  <c:v>FY2022</c:v>
                </c:pt>
                <c:pt idx="2">
                  <c:v>FY2023</c:v>
                </c:pt>
                <c:pt idx="3">
                  <c:v>FY2024</c:v>
                </c:pt>
                <c:pt idx="4">
                  <c:v>FY2025</c:v>
                </c:pt>
              </c:strCache>
            </c:strRef>
          </c:cat>
          <c:val>
            <c:numRef>
              <c:f>Charts!$Z$138:$Z$142</c:f>
              <c:numCache>
                <c:formatCode>0.00%</c:formatCode>
                <c:ptCount val="5"/>
                <c:pt idx="0">
                  <c:v>8.204908187825799E-2</c:v>
                </c:pt>
                <c:pt idx="1">
                  <c:v>6.5407881905595877E-2</c:v>
                </c:pt>
                <c:pt idx="2">
                  <c:v>7.1398776708081133E-2</c:v>
                </c:pt>
                <c:pt idx="3">
                  <c:v>7.6784369313489378E-2</c:v>
                </c:pt>
                <c:pt idx="4">
                  <c:v>0.11653770053431411</c:v>
                </c:pt>
              </c:numCache>
            </c:numRef>
          </c:val>
          <c:smooth val="0"/>
          <c:extLst>
            <c:ext xmlns:c16="http://schemas.microsoft.com/office/drawing/2014/chart" uri="{C3380CC4-5D6E-409C-BE32-E72D297353CC}">
              <c16:uniqueId val="{00000001-E777-4091-BDF8-01926EE20F6B}"/>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Return on Equity: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Charts!$T$146:$T$150</c:f>
              <c:strCache>
                <c:ptCount val="5"/>
                <c:pt idx="0">
                  <c:v>FY2021</c:v>
                </c:pt>
                <c:pt idx="1">
                  <c:v>FY2022</c:v>
                </c:pt>
                <c:pt idx="2">
                  <c:v>FY2023</c:v>
                </c:pt>
                <c:pt idx="3">
                  <c:v>FY2024</c:v>
                </c:pt>
                <c:pt idx="4">
                  <c:v>FY2025</c:v>
                </c:pt>
              </c:strCache>
            </c:strRef>
          </c:cat>
          <c:val>
            <c:numRef>
              <c:f>Charts!$U$146:$U$150</c:f>
              <c:numCache>
                <c:formatCode>0.00%</c:formatCode>
                <c:ptCount val="5"/>
                <c:pt idx="0">
                  <c:v>0.15737849802466555</c:v>
                </c:pt>
                <c:pt idx="1">
                  <c:v>0.18440283523376622</c:v>
                </c:pt>
                <c:pt idx="2">
                  <c:v>0.17849564911664104</c:v>
                </c:pt>
                <c:pt idx="3">
                  <c:v>0.21643681457260755</c:v>
                </c:pt>
                <c:pt idx="4">
                  <c:v>0.24137435208870983</c:v>
                </c:pt>
              </c:numCache>
            </c:numRef>
          </c:val>
          <c:smooth val="0"/>
          <c:extLst>
            <c:ext xmlns:c16="http://schemas.microsoft.com/office/drawing/2014/chart" uri="{C3380CC4-5D6E-409C-BE32-E72D297353CC}">
              <c16:uniqueId val="{00000000-5EC0-439C-B21E-2C3A041D69D4}"/>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Charts!$T$146:$T$150</c:f>
              <c:strCache>
                <c:ptCount val="5"/>
                <c:pt idx="0">
                  <c:v>FY2021</c:v>
                </c:pt>
                <c:pt idx="1">
                  <c:v>FY2022</c:v>
                </c:pt>
                <c:pt idx="2">
                  <c:v>FY2023</c:v>
                </c:pt>
                <c:pt idx="3">
                  <c:v>FY2024</c:v>
                </c:pt>
                <c:pt idx="4">
                  <c:v>FY2025</c:v>
                </c:pt>
              </c:strCache>
            </c:strRef>
          </c:cat>
          <c:val>
            <c:numRef>
              <c:f>Charts!$V$146:$V$150</c:f>
              <c:numCache>
                <c:formatCode>0.00%</c:formatCode>
                <c:ptCount val="5"/>
                <c:pt idx="0">
                  <c:v>0.12429467254394423</c:v>
                </c:pt>
                <c:pt idx="1">
                  <c:v>0.11901804448540206</c:v>
                </c:pt>
                <c:pt idx="2">
                  <c:v>9.9921242706891636E-2</c:v>
                </c:pt>
                <c:pt idx="3">
                  <c:v>0.19021586420101122</c:v>
                </c:pt>
                <c:pt idx="4">
                  <c:v>0.18811941761260281</c:v>
                </c:pt>
              </c:numCache>
            </c:numRef>
          </c:val>
          <c:smooth val="0"/>
          <c:extLst>
            <c:ext xmlns:c16="http://schemas.microsoft.com/office/drawing/2014/chart" uri="{C3380CC4-5D6E-409C-BE32-E72D297353CC}">
              <c16:uniqueId val="{00000001-5EC0-439C-B21E-2C3A041D69D4}"/>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Charts!$T$146:$T$150</c:f>
              <c:strCache>
                <c:ptCount val="5"/>
                <c:pt idx="0">
                  <c:v>FY2021</c:v>
                </c:pt>
                <c:pt idx="1">
                  <c:v>FY2022</c:v>
                </c:pt>
                <c:pt idx="2">
                  <c:v>FY2023</c:v>
                </c:pt>
                <c:pt idx="3">
                  <c:v>FY2024</c:v>
                </c:pt>
                <c:pt idx="4">
                  <c:v>FY2025</c:v>
                </c:pt>
              </c:strCache>
            </c:strRef>
          </c:cat>
          <c:val>
            <c:numRef>
              <c:f>Charts!$W$146:$W$150</c:f>
              <c:numCache>
                <c:formatCode>0.00%</c:formatCode>
                <c:ptCount val="5"/>
                <c:pt idx="0">
                  <c:v>5.0644811125656837E-2</c:v>
                </c:pt>
                <c:pt idx="1">
                  <c:v>4.2508762609145177E-2</c:v>
                </c:pt>
                <c:pt idx="2">
                  <c:v>#N/A</c:v>
                </c:pt>
                <c:pt idx="3">
                  <c:v>7.1511352154898129E-3</c:v>
                </c:pt>
                <c:pt idx="4">
                  <c:v>9.1637161813901913E-2</c:v>
                </c:pt>
              </c:numCache>
            </c:numRef>
          </c:val>
          <c:smooth val="0"/>
          <c:extLst>
            <c:ext xmlns:c16="http://schemas.microsoft.com/office/drawing/2014/chart" uri="{C3380CC4-5D6E-409C-BE32-E72D297353CC}">
              <c16:uniqueId val="{00000002-5EC0-439C-B21E-2C3A041D69D4}"/>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Charts!$T$146:$T$150</c:f>
              <c:strCache>
                <c:ptCount val="5"/>
                <c:pt idx="0">
                  <c:v>FY2021</c:v>
                </c:pt>
                <c:pt idx="1">
                  <c:v>FY2022</c:v>
                </c:pt>
                <c:pt idx="2">
                  <c:v>FY2023</c:v>
                </c:pt>
                <c:pt idx="3">
                  <c:v>FY2024</c:v>
                </c:pt>
                <c:pt idx="4">
                  <c:v>FY2025</c:v>
                </c:pt>
              </c:strCache>
            </c:strRef>
          </c:cat>
          <c:val>
            <c:numRef>
              <c:f>Charts!$X$146:$X$150</c:f>
              <c:numCache>
                <c:formatCode>0.00%</c:formatCode>
                <c:ptCount val="5"/>
                <c:pt idx="0">
                  <c:v>0.16658725897109622</c:v>
                </c:pt>
                <c:pt idx="1">
                  <c:v>8.9408976031592494E-2</c:v>
                </c:pt>
                <c:pt idx="2">
                  <c:v>0.10000796203977304</c:v>
                </c:pt>
                <c:pt idx="3">
                  <c:v>0.10020784968682853</c:v>
                </c:pt>
                <c:pt idx="4">
                  <c:v>0.2383990269906105</c:v>
                </c:pt>
              </c:numCache>
            </c:numRef>
          </c:val>
          <c:smooth val="0"/>
          <c:extLst>
            <c:ext xmlns:c16="http://schemas.microsoft.com/office/drawing/2014/chart" uri="{C3380CC4-5D6E-409C-BE32-E72D297353CC}">
              <c16:uniqueId val="{00000003-5EC0-439C-B21E-2C3A041D69D4}"/>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Charts!$T$146:$T$150</c:f>
              <c:strCache>
                <c:ptCount val="5"/>
                <c:pt idx="0">
                  <c:v>FY2021</c:v>
                </c:pt>
                <c:pt idx="1">
                  <c:v>FY2022</c:v>
                </c:pt>
                <c:pt idx="2">
                  <c:v>FY2023</c:v>
                </c:pt>
                <c:pt idx="3">
                  <c:v>FY2024</c:v>
                </c:pt>
                <c:pt idx="4">
                  <c:v>FY2025</c:v>
                </c:pt>
              </c:strCache>
            </c:strRef>
          </c:cat>
          <c:val>
            <c:numRef>
              <c:f>Charts!$Y$146:$Y$150</c:f>
              <c:numCache>
                <c:formatCode>0.00%</c:formatCode>
                <c:ptCount val="5"/>
                <c:pt idx="0">
                  <c:v>0.14914074872427949</c:v>
                </c:pt>
                <c:pt idx="1">
                  <c:v>0.12319061073378482</c:v>
                </c:pt>
                <c:pt idx="2">
                  <c:v>0.11414801492770245</c:v>
                </c:pt>
                <c:pt idx="3">
                  <c:v>0.1120333038446799</c:v>
                </c:pt>
                <c:pt idx="4">
                  <c:v>0.15813282120245373</c:v>
                </c:pt>
              </c:numCache>
            </c:numRef>
          </c:val>
          <c:smooth val="0"/>
          <c:extLst>
            <c:ext xmlns:c16="http://schemas.microsoft.com/office/drawing/2014/chart" uri="{C3380CC4-5D6E-409C-BE32-E72D297353CC}">
              <c16:uniqueId val="{00000004-5EC0-439C-B21E-2C3A041D69D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Return on Equity: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Charts!$T$146:$T$150</c:f>
              <c:strCache>
                <c:ptCount val="5"/>
                <c:pt idx="0">
                  <c:v>FY2021</c:v>
                </c:pt>
                <c:pt idx="1">
                  <c:v>FY2022</c:v>
                </c:pt>
                <c:pt idx="2">
                  <c:v>FY2023</c:v>
                </c:pt>
                <c:pt idx="3">
                  <c:v>FY2024</c:v>
                </c:pt>
                <c:pt idx="4">
                  <c:v>FY2025</c:v>
                </c:pt>
              </c:strCache>
            </c:strRef>
          </c:cat>
          <c:val>
            <c:numRef>
              <c:f>Charts!$U$146:$U$150</c:f>
              <c:numCache>
                <c:formatCode>0.00%</c:formatCode>
                <c:ptCount val="5"/>
                <c:pt idx="0">
                  <c:v>0.15737849802466555</c:v>
                </c:pt>
                <c:pt idx="1">
                  <c:v>0.18440283523376622</c:v>
                </c:pt>
                <c:pt idx="2">
                  <c:v>0.17849564911664104</c:v>
                </c:pt>
                <c:pt idx="3">
                  <c:v>0.21643681457260755</c:v>
                </c:pt>
                <c:pt idx="4">
                  <c:v>0.24137435208870983</c:v>
                </c:pt>
              </c:numCache>
            </c:numRef>
          </c:val>
          <c:smooth val="0"/>
          <c:extLst>
            <c:ext xmlns:c16="http://schemas.microsoft.com/office/drawing/2014/chart" uri="{C3380CC4-5D6E-409C-BE32-E72D297353CC}">
              <c16:uniqueId val="{00000000-CB86-47F1-87C4-F684BC02E82B}"/>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Charts!$T$146:$T$150</c:f>
              <c:strCache>
                <c:ptCount val="5"/>
                <c:pt idx="0">
                  <c:v>FY2021</c:v>
                </c:pt>
                <c:pt idx="1">
                  <c:v>FY2022</c:v>
                </c:pt>
                <c:pt idx="2">
                  <c:v>FY2023</c:v>
                </c:pt>
                <c:pt idx="3">
                  <c:v>FY2024</c:v>
                </c:pt>
                <c:pt idx="4">
                  <c:v>FY2025</c:v>
                </c:pt>
              </c:strCache>
            </c:strRef>
          </c:cat>
          <c:val>
            <c:numRef>
              <c:f>Charts!$Z$146:$Z$150</c:f>
              <c:numCache>
                <c:formatCode>0.00%</c:formatCode>
                <c:ptCount val="5"/>
                <c:pt idx="0">
                  <c:v>0.12960919787792846</c:v>
                </c:pt>
                <c:pt idx="1">
                  <c:v>0.11170584581873814</c:v>
                </c:pt>
                <c:pt idx="2">
                  <c:v>0.12314321719775204</c:v>
                </c:pt>
                <c:pt idx="3">
                  <c:v>0.1252089935041234</c:v>
                </c:pt>
                <c:pt idx="4">
                  <c:v>0.18353255594165577</c:v>
                </c:pt>
              </c:numCache>
            </c:numRef>
          </c:val>
          <c:smooth val="0"/>
          <c:extLst>
            <c:ext xmlns:c16="http://schemas.microsoft.com/office/drawing/2014/chart" uri="{C3380CC4-5D6E-409C-BE32-E72D297353CC}">
              <c16:uniqueId val="{00000001-CB86-47F1-87C4-F684BC02E82B}"/>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Return on Invested Capital: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Charts!$T$154:$T$158</c:f>
              <c:strCache>
                <c:ptCount val="5"/>
                <c:pt idx="0">
                  <c:v>FY2021</c:v>
                </c:pt>
                <c:pt idx="1">
                  <c:v>FY2022</c:v>
                </c:pt>
                <c:pt idx="2">
                  <c:v>FY2023</c:v>
                </c:pt>
                <c:pt idx="3">
                  <c:v>FY2024</c:v>
                </c:pt>
                <c:pt idx="4">
                  <c:v>FY2025</c:v>
                </c:pt>
              </c:strCache>
            </c:strRef>
          </c:cat>
          <c:val>
            <c:numRef>
              <c:f>Charts!$U$154:$U$158</c:f>
              <c:numCache>
                <c:formatCode>0.00%</c:formatCode>
                <c:ptCount val="5"/>
                <c:pt idx="0">
                  <c:v>0.13611222052431424</c:v>
                </c:pt>
                <c:pt idx="1">
                  <c:v>0.16872337936741016</c:v>
                </c:pt>
                <c:pt idx="2">
                  <c:v>0.17323854283924056</c:v>
                </c:pt>
                <c:pt idx="3">
                  <c:v>0.21530718381280636</c:v>
                </c:pt>
                <c:pt idx="4">
                  <c:v>0.23456949398989801</c:v>
                </c:pt>
              </c:numCache>
            </c:numRef>
          </c:val>
          <c:smooth val="0"/>
          <c:extLst>
            <c:ext xmlns:c16="http://schemas.microsoft.com/office/drawing/2014/chart" uri="{C3380CC4-5D6E-409C-BE32-E72D297353CC}">
              <c16:uniqueId val="{00000000-43C9-45BA-8BEB-D176091B4C0D}"/>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Charts!$T$154:$T$158</c:f>
              <c:strCache>
                <c:ptCount val="5"/>
                <c:pt idx="0">
                  <c:v>FY2021</c:v>
                </c:pt>
                <c:pt idx="1">
                  <c:v>FY2022</c:v>
                </c:pt>
                <c:pt idx="2">
                  <c:v>FY2023</c:v>
                </c:pt>
                <c:pt idx="3">
                  <c:v>FY2024</c:v>
                </c:pt>
                <c:pt idx="4">
                  <c:v>FY2025</c:v>
                </c:pt>
              </c:strCache>
            </c:strRef>
          </c:cat>
          <c:val>
            <c:numRef>
              <c:f>Charts!$V$154:$V$158</c:f>
              <c:numCache>
                <c:formatCode>0.00%</c:formatCode>
                <c:ptCount val="5"/>
                <c:pt idx="0">
                  <c:v>0.11598113408973314</c:v>
                </c:pt>
                <c:pt idx="1">
                  <c:v>0.10809497435976413</c:v>
                </c:pt>
                <c:pt idx="2">
                  <c:v>9.1352761839314733E-2</c:v>
                </c:pt>
                <c:pt idx="3">
                  <c:v>0.17349944050776198</c:v>
                </c:pt>
                <c:pt idx="4">
                  <c:v>0.17586014458599655</c:v>
                </c:pt>
              </c:numCache>
            </c:numRef>
          </c:val>
          <c:smooth val="0"/>
          <c:extLst>
            <c:ext xmlns:c16="http://schemas.microsoft.com/office/drawing/2014/chart" uri="{C3380CC4-5D6E-409C-BE32-E72D297353CC}">
              <c16:uniqueId val="{00000001-43C9-45BA-8BEB-D176091B4C0D}"/>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Charts!$T$154:$T$158</c:f>
              <c:strCache>
                <c:ptCount val="5"/>
                <c:pt idx="0">
                  <c:v>FY2021</c:v>
                </c:pt>
                <c:pt idx="1">
                  <c:v>FY2022</c:v>
                </c:pt>
                <c:pt idx="2">
                  <c:v>FY2023</c:v>
                </c:pt>
                <c:pt idx="3">
                  <c:v>FY2024</c:v>
                </c:pt>
                <c:pt idx="4">
                  <c:v>FY2025</c:v>
                </c:pt>
              </c:strCache>
            </c:strRef>
          </c:cat>
          <c:val>
            <c:numRef>
              <c:f>Charts!$W$154:$W$158</c:f>
              <c:numCache>
                <c:formatCode>0.00%</c:formatCode>
                <c:ptCount val="5"/>
                <c:pt idx="0">
                  <c:v>5.0926469503026137E-2</c:v>
                </c:pt>
                <c:pt idx="1">
                  <c:v>4.0571100495840479E-2</c:v>
                </c:pt>
                <c:pt idx="2">
                  <c:v>#N/A</c:v>
                </c:pt>
                <c:pt idx="3">
                  <c:v>1.8666945531428475E-2</c:v>
                </c:pt>
                <c:pt idx="4">
                  <c:v>9.6256924504903307E-2</c:v>
                </c:pt>
              </c:numCache>
            </c:numRef>
          </c:val>
          <c:smooth val="0"/>
          <c:extLst>
            <c:ext xmlns:c16="http://schemas.microsoft.com/office/drawing/2014/chart" uri="{C3380CC4-5D6E-409C-BE32-E72D297353CC}">
              <c16:uniqueId val="{00000002-43C9-45BA-8BEB-D176091B4C0D}"/>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Charts!$T$154:$T$158</c:f>
              <c:strCache>
                <c:ptCount val="5"/>
                <c:pt idx="0">
                  <c:v>FY2021</c:v>
                </c:pt>
                <c:pt idx="1">
                  <c:v>FY2022</c:v>
                </c:pt>
                <c:pt idx="2">
                  <c:v>FY2023</c:v>
                </c:pt>
                <c:pt idx="3">
                  <c:v>FY2024</c:v>
                </c:pt>
                <c:pt idx="4">
                  <c:v>FY2025</c:v>
                </c:pt>
              </c:strCache>
            </c:strRef>
          </c:cat>
          <c:val>
            <c:numRef>
              <c:f>Charts!$X$154:$X$158</c:f>
              <c:numCache>
                <c:formatCode>0.00%</c:formatCode>
                <c:ptCount val="5"/>
                <c:pt idx="0">
                  <c:v>0.13938409686265396</c:v>
                </c:pt>
                <c:pt idx="1">
                  <c:v>6.8354987715222609E-2</c:v>
                </c:pt>
                <c:pt idx="2">
                  <c:v>8.9438322458184685E-2</c:v>
                </c:pt>
                <c:pt idx="3">
                  <c:v>0.10647533565261356</c:v>
                </c:pt>
                <c:pt idx="4">
                  <c:v>0.22920346694221672</c:v>
                </c:pt>
              </c:numCache>
            </c:numRef>
          </c:val>
          <c:smooth val="0"/>
          <c:extLst>
            <c:ext xmlns:c16="http://schemas.microsoft.com/office/drawing/2014/chart" uri="{C3380CC4-5D6E-409C-BE32-E72D297353CC}">
              <c16:uniqueId val="{00000003-43C9-45BA-8BEB-D176091B4C0D}"/>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Charts!$T$154:$T$158</c:f>
              <c:strCache>
                <c:ptCount val="5"/>
                <c:pt idx="0">
                  <c:v>FY2021</c:v>
                </c:pt>
                <c:pt idx="1">
                  <c:v>FY2022</c:v>
                </c:pt>
                <c:pt idx="2">
                  <c:v>FY2023</c:v>
                </c:pt>
                <c:pt idx="3">
                  <c:v>FY2024</c:v>
                </c:pt>
                <c:pt idx="4">
                  <c:v>FY2025</c:v>
                </c:pt>
              </c:strCache>
            </c:strRef>
          </c:cat>
          <c:val>
            <c:numRef>
              <c:f>Charts!$Y$154:$Y$158</c:f>
              <c:numCache>
                <c:formatCode>0.00%</c:formatCode>
                <c:ptCount val="5"/>
                <c:pt idx="0">
                  <c:v>0.13674299962769382</c:v>
                </c:pt>
                <c:pt idx="1">
                  <c:v>9.2363746892435927E-2</c:v>
                </c:pt>
                <c:pt idx="2">
                  <c:v>8.4602379259019547E-2</c:v>
                </c:pt>
                <c:pt idx="3">
                  <c:v>0.10165844956887071</c:v>
                </c:pt>
                <c:pt idx="4">
                  <c:v>0.13546184028270253</c:v>
                </c:pt>
              </c:numCache>
            </c:numRef>
          </c:val>
          <c:smooth val="0"/>
          <c:extLst>
            <c:ext xmlns:c16="http://schemas.microsoft.com/office/drawing/2014/chart" uri="{C3380CC4-5D6E-409C-BE32-E72D297353CC}">
              <c16:uniqueId val="{00000004-43C9-45BA-8BEB-D176091B4C0D}"/>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Return on Invested Capital: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Charts!$T$154:$T$158</c:f>
              <c:strCache>
                <c:ptCount val="5"/>
                <c:pt idx="0">
                  <c:v>FY2021</c:v>
                </c:pt>
                <c:pt idx="1">
                  <c:v>FY2022</c:v>
                </c:pt>
                <c:pt idx="2">
                  <c:v>FY2023</c:v>
                </c:pt>
                <c:pt idx="3">
                  <c:v>FY2024</c:v>
                </c:pt>
                <c:pt idx="4">
                  <c:v>FY2025</c:v>
                </c:pt>
              </c:strCache>
            </c:strRef>
          </c:cat>
          <c:val>
            <c:numRef>
              <c:f>Charts!$U$154:$U$158</c:f>
              <c:numCache>
                <c:formatCode>0.00%</c:formatCode>
                <c:ptCount val="5"/>
                <c:pt idx="0">
                  <c:v>0.13611222052431424</c:v>
                </c:pt>
                <c:pt idx="1">
                  <c:v>0.16872337936741016</c:v>
                </c:pt>
                <c:pt idx="2">
                  <c:v>0.17323854283924056</c:v>
                </c:pt>
                <c:pt idx="3">
                  <c:v>0.21530718381280636</c:v>
                </c:pt>
                <c:pt idx="4">
                  <c:v>0.23456949398989801</c:v>
                </c:pt>
              </c:numCache>
            </c:numRef>
          </c:val>
          <c:smooth val="0"/>
          <c:extLst>
            <c:ext xmlns:c16="http://schemas.microsoft.com/office/drawing/2014/chart" uri="{C3380CC4-5D6E-409C-BE32-E72D297353CC}">
              <c16:uniqueId val="{00000000-1D97-494C-AF64-F932CAD58B8C}"/>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Charts!$T$154:$T$158</c:f>
              <c:strCache>
                <c:ptCount val="5"/>
                <c:pt idx="0">
                  <c:v>FY2021</c:v>
                </c:pt>
                <c:pt idx="1">
                  <c:v>FY2022</c:v>
                </c:pt>
                <c:pt idx="2">
                  <c:v>FY2023</c:v>
                </c:pt>
                <c:pt idx="3">
                  <c:v>FY2024</c:v>
                </c:pt>
                <c:pt idx="4">
                  <c:v>FY2025</c:v>
                </c:pt>
              </c:strCache>
            </c:strRef>
          </c:cat>
          <c:val>
            <c:numRef>
              <c:f>Charts!$Z$154:$Z$158</c:f>
              <c:numCache>
                <c:formatCode>0.00%</c:formatCode>
                <c:ptCount val="5"/>
                <c:pt idx="0">
                  <c:v>0.11582938412148427</c:v>
                </c:pt>
                <c:pt idx="1">
                  <c:v>9.5621637766134665E-2</c:v>
                </c:pt>
                <c:pt idx="2">
                  <c:v>0.10965800159893987</c:v>
                </c:pt>
                <c:pt idx="3">
                  <c:v>0.12312147101469621</c:v>
                </c:pt>
                <c:pt idx="4">
                  <c:v>0.1742703740611434</c:v>
                </c:pt>
              </c:numCache>
            </c:numRef>
          </c:val>
          <c:smooth val="0"/>
          <c:extLst>
            <c:ext xmlns:c16="http://schemas.microsoft.com/office/drawing/2014/chart" uri="{C3380CC4-5D6E-409C-BE32-E72D297353CC}">
              <c16:uniqueId val="{00000001-1D97-494C-AF64-F932CAD58B8C}"/>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Basic Earning Power: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Charts!$T$162:$T$166</c:f>
              <c:strCache>
                <c:ptCount val="5"/>
                <c:pt idx="0">
                  <c:v>FY2021</c:v>
                </c:pt>
                <c:pt idx="1">
                  <c:v>FY2022</c:v>
                </c:pt>
                <c:pt idx="2">
                  <c:v>FY2023</c:v>
                </c:pt>
                <c:pt idx="3">
                  <c:v>FY2024</c:v>
                </c:pt>
                <c:pt idx="4">
                  <c:v>FY2025</c:v>
                </c:pt>
              </c:strCache>
            </c:strRef>
          </c:cat>
          <c:val>
            <c:numRef>
              <c:f>Charts!$U$162:$U$166</c:f>
              <c:numCache>
                <c:formatCode>0.00%</c:formatCode>
                <c:ptCount val="5"/>
                <c:pt idx="0">
                  <c:v>0.14898081420954101</c:v>
                </c:pt>
                <c:pt idx="1">
                  <c:v>0.21777808611792054</c:v>
                </c:pt>
                <c:pt idx="2">
                  <c:v>0.22517411964912432</c:v>
                </c:pt>
                <c:pt idx="3">
                  <c:v>0.24509961902567451</c:v>
                </c:pt>
                <c:pt idx="4">
                  <c:v>0.2702780173662766</c:v>
                </c:pt>
              </c:numCache>
            </c:numRef>
          </c:val>
          <c:smooth val="0"/>
          <c:extLst>
            <c:ext xmlns:c16="http://schemas.microsoft.com/office/drawing/2014/chart" uri="{C3380CC4-5D6E-409C-BE32-E72D297353CC}">
              <c16:uniqueId val="{00000000-3404-4032-AF1E-979F25B6526D}"/>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Charts!$T$162:$T$166</c:f>
              <c:strCache>
                <c:ptCount val="5"/>
                <c:pt idx="0">
                  <c:v>FY2021</c:v>
                </c:pt>
                <c:pt idx="1">
                  <c:v>FY2022</c:v>
                </c:pt>
                <c:pt idx="2">
                  <c:v>FY2023</c:v>
                </c:pt>
                <c:pt idx="3">
                  <c:v>FY2024</c:v>
                </c:pt>
                <c:pt idx="4">
                  <c:v>FY2025</c:v>
                </c:pt>
              </c:strCache>
            </c:strRef>
          </c:cat>
          <c:val>
            <c:numRef>
              <c:f>Charts!$V$162:$V$166</c:f>
              <c:numCache>
                <c:formatCode>0.00%</c:formatCode>
                <c:ptCount val="5"/>
                <c:pt idx="0">
                  <c:v>0.11079703731315671</c:v>
                </c:pt>
                <c:pt idx="1">
                  <c:v>0.11794695989186292</c:v>
                </c:pt>
                <c:pt idx="2">
                  <c:v>0.10560432010902317</c:v>
                </c:pt>
                <c:pt idx="3">
                  <c:v>0.18352469674459784</c:v>
                </c:pt>
                <c:pt idx="4">
                  <c:v>0.18237850153944901</c:v>
                </c:pt>
              </c:numCache>
            </c:numRef>
          </c:val>
          <c:smooth val="0"/>
          <c:extLst>
            <c:ext xmlns:c16="http://schemas.microsoft.com/office/drawing/2014/chart" uri="{C3380CC4-5D6E-409C-BE32-E72D297353CC}">
              <c16:uniqueId val="{00000001-3404-4032-AF1E-979F25B6526D}"/>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Charts!$T$162:$T$166</c:f>
              <c:strCache>
                <c:ptCount val="5"/>
                <c:pt idx="0">
                  <c:v>FY2021</c:v>
                </c:pt>
                <c:pt idx="1">
                  <c:v>FY2022</c:v>
                </c:pt>
                <c:pt idx="2">
                  <c:v>FY2023</c:v>
                </c:pt>
                <c:pt idx="3">
                  <c:v>FY2024</c:v>
                </c:pt>
                <c:pt idx="4">
                  <c:v>FY2025</c:v>
                </c:pt>
              </c:strCache>
            </c:strRef>
          </c:cat>
          <c:val>
            <c:numRef>
              <c:f>Charts!$W$162:$W$166</c:f>
              <c:numCache>
                <c:formatCode>0.00%</c:formatCode>
                <c:ptCount val="5"/>
                <c:pt idx="0">
                  <c:v>5.5531606121154903E-2</c:v>
                </c:pt>
                <c:pt idx="1">
                  <c:v>7.0037177908325046E-2</c:v>
                </c:pt>
                <c:pt idx="2">
                  <c:v>7.3239578935566346E-2</c:v>
                </c:pt>
                <c:pt idx="3">
                  <c:v>7.7781763576617868E-2</c:v>
                </c:pt>
                <c:pt idx="4">
                  <c:v>0.11527453270527682</c:v>
                </c:pt>
              </c:numCache>
            </c:numRef>
          </c:val>
          <c:smooth val="0"/>
          <c:extLst>
            <c:ext xmlns:c16="http://schemas.microsoft.com/office/drawing/2014/chart" uri="{C3380CC4-5D6E-409C-BE32-E72D297353CC}">
              <c16:uniqueId val="{00000002-3404-4032-AF1E-979F25B6526D}"/>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Charts!$T$162:$T$166</c:f>
              <c:strCache>
                <c:ptCount val="5"/>
                <c:pt idx="0">
                  <c:v>FY2021</c:v>
                </c:pt>
                <c:pt idx="1">
                  <c:v>FY2022</c:v>
                </c:pt>
                <c:pt idx="2">
                  <c:v>FY2023</c:v>
                </c:pt>
                <c:pt idx="3">
                  <c:v>FY2024</c:v>
                </c:pt>
                <c:pt idx="4">
                  <c:v>FY2025</c:v>
                </c:pt>
              </c:strCache>
            </c:strRef>
          </c:cat>
          <c:val>
            <c:numRef>
              <c:f>Charts!$X$162:$X$166</c:f>
              <c:numCache>
                <c:formatCode>0.00%</c:formatCode>
                <c:ptCount val="5"/>
                <c:pt idx="0">
                  <c:v>0.13189876556323574</c:v>
                </c:pt>
                <c:pt idx="1">
                  <c:v>0.10793191347335213</c:v>
                </c:pt>
                <c:pt idx="2">
                  <c:v>0.13303028097551164</c:v>
                </c:pt>
                <c:pt idx="3">
                  <c:v>0.13069771915820996</c:v>
                </c:pt>
                <c:pt idx="4">
                  <c:v>0.21055306987152678</c:v>
                </c:pt>
              </c:numCache>
            </c:numRef>
          </c:val>
          <c:smooth val="0"/>
          <c:extLst>
            <c:ext xmlns:c16="http://schemas.microsoft.com/office/drawing/2014/chart" uri="{C3380CC4-5D6E-409C-BE32-E72D297353CC}">
              <c16:uniqueId val="{00000003-3404-4032-AF1E-979F25B6526D}"/>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Charts!$T$162:$T$166</c:f>
              <c:strCache>
                <c:ptCount val="5"/>
                <c:pt idx="0">
                  <c:v>FY2021</c:v>
                </c:pt>
                <c:pt idx="1">
                  <c:v>FY2022</c:v>
                </c:pt>
                <c:pt idx="2">
                  <c:v>FY2023</c:v>
                </c:pt>
                <c:pt idx="3">
                  <c:v>FY2024</c:v>
                </c:pt>
                <c:pt idx="4">
                  <c:v>FY2025</c:v>
                </c:pt>
              </c:strCache>
            </c:strRef>
          </c:cat>
          <c:val>
            <c:numRef>
              <c:f>Charts!$Y$162:$Y$166</c:f>
              <c:numCache>
                <c:formatCode>0.00%</c:formatCode>
                <c:ptCount val="5"/>
                <c:pt idx="0">
                  <c:v>0.15270083184857988</c:v>
                </c:pt>
                <c:pt idx="1">
                  <c:v>0.11014537211566031</c:v>
                </c:pt>
                <c:pt idx="2">
                  <c:v>0.11182804204816831</c:v>
                </c:pt>
                <c:pt idx="3">
                  <c:v>0.14141976696394967</c:v>
                </c:pt>
                <c:pt idx="4">
                  <c:v>0.16910544748583739</c:v>
                </c:pt>
              </c:numCache>
            </c:numRef>
          </c:val>
          <c:smooth val="0"/>
          <c:extLst>
            <c:ext xmlns:c16="http://schemas.microsoft.com/office/drawing/2014/chart" uri="{C3380CC4-5D6E-409C-BE32-E72D297353CC}">
              <c16:uniqueId val="{00000004-3404-4032-AF1E-979F25B6526D}"/>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Basic Earning Power: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Charts!$T$162:$T$166</c:f>
              <c:strCache>
                <c:ptCount val="5"/>
                <c:pt idx="0">
                  <c:v>FY2021</c:v>
                </c:pt>
                <c:pt idx="1">
                  <c:v>FY2022</c:v>
                </c:pt>
                <c:pt idx="2">
                  <c:v>FY2023</c:v>
                </c:pt>
                <c:pt idx="3">
                  <c:v>FY2024</c:v>
                </c:pt>
                <c:pt idx="4">
                  <c:v>FY2025</c:v>
                </c:pt>
              </c:strCache>
            </c:strRef>
          </c:cat>
          <c:val>
            <c:numRef>
              <c:f>Charts!$U$162:$U$166</c:f>
              <c:numCache>
                <c:formatCode>0.00%</c:formatCode>
                <c:ptCount val="5"/>
                <c:pt idx="0">
                  <c:v>0.14898081420954101</c:v>
                </c:pt>
                <c:pt idx="1">
                  <c:v>0.21777808611792054</c:v>
                </c:pt>
                <c:pt idx="2">
                  <c:v>0.22517411964912432</c:v>
                </c:pt>
                <c:pt idx="3">
                  <c:v>0.24509961902567451</c:v>
                </c:pt>
                <c:pt idx="4">
                  <c:v>0.2702780173662766</c:v>
                </c:pt>
              </c:numCache>
            </c:numRef>
          </c:val>
          <c:smooth val="0"/>
          <c:extLst>
            <c:ext xmlns:c16="http://schemas.microsoft.com/office/drawing/2014/chart" uri="{C3380CC4-5D6E-409C-BE32-E72D297353CC}">
              <c16:uniqueId val="{00000000-4DCA-4B24-9EF6-64019A7FD5A1}"/>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Charts!$T$162:$T$166</c:f>
              <c:strCache>
                <c:ptCount val="5"/>
                <c:pt idx="0">
                  <c:v>FY2021</c:v>
                </c:pt>
                <c:pt idx="1">
                  <c:v>FY2022</c:v>
                </c:pt>
                <c:pt idx="2">
                  <c:v>FY2023</c:v>
                </c:pt>
                <c:pt idx="3">
                  <c:v>FY2024</c:v>
                </c:pt>
                <c:pt idx="4">
                  <c:v>FY2025</c:v>
                </c:pt>
              </c:strCache>
            </c:strRef>
          </c:cat>
          <c:val>
            <c:numRef>
              <c:f>Charts!$Z$162:$Z$166</c:f>
              <c:numCache>
                <c:formatCode>0.00%</c:formatCode>
                <c:ptCount val="5"/>
                <c:pt idx="0">
                  <c:v>0.11998181101113366</c:v>
                </c:pt>
                <c:pt idx="1">
                  <c:v>0.1247679019014242</c:v>
                </c:pt>
                <c:pt idx="2">
                  <c:v>0.12977526834347874</c:v>
                </c:pt>
                <c:pt idx="3">
                  <c:v>0.15570471309380998</c:v>
                </c:pt>
                <c:pt idx="4">
                  <c:v>0.18951791379367333</c:v>
                </c:pt>
              </c:numCache>
            </c:numRef>
          </c:val>
          <c:smooth val="0"/>
          <c:extLst>
            <c:ext xmlns:c16="http://schemas.microsoft.com/office/drawing/2014/chart" uri="{C3380CC4-5D6E-409C-BE32-E72D297353CC}">
              <c16:uniqueId val="{00000001-4DCA-4B24-9EF6-64019A7FD5A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Earnings per Share: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Charts!$T$170:$T$174</c:f>
              <c:strCache>
                <c:ptCount val="5"/>
                <c:pt idx="0">
                  <c:v>FY2021</c:v>
                </c:pt>
                <c:pt idx="1">
                  <c:v>FY2022</c:v>
                </c:pt>
                <c:pt idx="2">
                  <c:v>FY2023</c:v>
                </c:pt>
                <c:pt idx="3">
                  <c:v>FY2024</c:v>
                </c:pt>
                <c:pt idx="4">
                  <c:v>FY2025</c:v>
                </c:pt>
              </c:strCache>
            </c:strRef>
          </c:cat>
          <c:val>
            <c:numRef>
              <c:f>Charts!$U$170:$U$174</c:f>
              <c:numCache>
                <c:formatCode>0.00</c:formatCode>
                <c:ptCount val="5"/>
                <c:pt idx="0">
                  <c:v>17.412549352402124</c:v>
                </c:pt>
                <c:pt idx="1">
                  <c:v>25.013680261160516</c:v>
                </c:pt>
                <c:pt idx="2">
                  <c:v>28.978958275869324</c:v>
                </c:pt>
                <c:pt idx="3">
                  <c:v>45.274272678614977</c:v>
                </c:pt>
                <c:pt idx="4">
                  <c:v>59.842054600869929</c:v>
                </c:pt>
              </c:numCache>
            </c:numRef>
          </c:val>
          <c:smooth val="0"/>
          <c:extLst>
            <c:ext xmlns:c16="http://schemas.microsoft.com/office/drawing/2014/chart" uri="{C3380CC4-5D6E-409C-BE32-E72D297353CC}">
              <c16:uniqueId val="{00000000-C38E-4AB0-AB5C-11B43D7E28A1}"/>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Charts!$T$170:$T$174</c:f>
              <c:strCache>
                <c:ptCount val="5"/>
                <c:pt idx="0">
                  <c:v>FY2021</c:v>
                </c:pt>
                <c:pt idx="1">
                  <c:v>FY2022</c:v>
                </c:pt>
                <c:pt idx="2">
                  <c:v>FY2023</c:v>
                </c:pt>
                <c:pt idx="3">
                  <c:v>FY2024</c:v>
                </c:pt>
                <c:pt idx="4">
                  <c:v>FY2025</c:v>
                </c:pt>
              </c:strCache>
            </c:strRef>
          </c:cat>
          <c:val>
            <c:numRef>
              <c:f>Charts!$V$170:$V$174</c:f>
              <c:numCache>
                <c:formatCode>0.00</c:formatCode>
                <c:ptCount val="5"/>
                <c:pt idx="0">
                  <c:v>43.510441437959038</c:v>
                </c:pt>
                <c:pt idx="1">
                  <c:v>47.309216853498242</c:v>
                </c:pt>
                <c:pt idx="2">
                  <c:v>43.061512349842658</c:v>
                </c:pt>
                <c:pt idx="3">
                  <c:v>94.540589177116431</c:v>
                </c:pt>
                <c:pt idx="4">
                  <c:v>22.588506484641641</c:v>
                </c:pt>
              </c:numCache>
            </c:numRef>
          </c:val>
          <c:smooth val="0"/>
          <c:extLst>
            <c:ext xmlns:c16="http://schemas.microsoft.com/office/drawing/2014/chart" uri="{C3380CC4-5D6E-409C-BE32-E72D297353CC}">
              <c16:uniqueId val="{00000001-C38E-4AB0-AB5C-11B43D7E28A1}"/>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Charts!$T$170:$T$174</c:f>
              <c:strCache>
                <c:ptCount val="5"/>
                <c:pt idx="0">
                  <c:v>FY2021</c:v>
                </c:pt>
                <c:pt idx="1">
                  <c:v>FY2022</c:v>
                </c:pt>
                <c:pt idx="2">
                  <c:v>FY2023</c:v>
                </c:pt>
                <c:pt idx="3">
                  <c:v>FY2024</c:v>
                </c:pt>
                <c:pt idx="4">
                  <c:v>FY2025</c:v>
                </c:pt>
              </c:strCache>
            </c:strRef>
          </c:cat>
          <c:val>
            <c:numRef>
              <c:f>Charts!$W$170:$W$174</c:f>
              <c:numCache>
                <c:formatCode>0.00</c:formatCode>
                <c:ptCount val="5"/>
                <c:pt idx="0">
                  <c:v>8.4937471274650029</c:v>
                </c:pt>
                <c:pt idx="1">
                  <c:v>6.7838445707817723</c:v>
                </c:pt>
                <c:pt idx="2">
                  <c:v>#N/A</c:v>
                </c:pt>
                <c:pt idx="3">
                  <c:v>1.2380103440270365</c:v>
                </c:pt>
                <c:pt idx="4">
                  <c:v>19.800685803443983</c:v>
                </c:pt>
              </c:numCache>
            </c:numRef>
          </c:val>
          <c:smooth val="0"/>
          <c:extLst>
            <c:ext xmlns:c16="http://schemas.microsoft.com/office/drawing/2014/chart" uri="{C3380CC4-5D6E-409C-BE32-E72D297353CC}">
              <c16:uniqueId val="{00000002-C38E-4AB0-AB5C-11B43D7E28A1}"/>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Charts!$T$170:$T$174</c:f>
              <c:strCache>
                <c:ptCount val="5"/>
                <c:pt idx="0">
                  <c:v>FY2021</c:v>
                </c:pt>
                <c:pt idx="1">
                  <c:v>FY2022</c:v>
                </c:pt>
                <c:pt idx="2">
                  <c:v>FY2023</c:v>
                </c:pt>
                <c:pt idx="3">
                  <c:v>FY2024</c:v>
                </c:pt>
                <c:pt idx="4">
                  <c:v>FY2025</c:v>
                </c:pt>
              </c:strCache>
            </c:strRef>
          </c:cat>
          <c:val>
            <c:numRef>
              <c:f>Charts!$X$170:$X$174</c:f>
              <c:numCache>
                <c:formatCode>0.00</c:formatCode>
                <c:ptCount val="5"/>
                <c:pt idx="0">
                  <c:v>5.6941155155115029</c:v>
                </c:pt>
                <c:pt idx="1">
                  <c:v>3.3041099784606085</c:v>
                </c:pt>
                <c:pt idx="2">
                  <c:v>4.1845053824045904</c:v>
                </c:pt>
                <c:pt idx="3">
                  <c:v>4.9791974962957211</c:v>
                </c:pt>
                <c:pt idx="4">
                  <c:v>16.262863426829693</c:v>
                </c:pt>
              </c:numCache>
            </c:numRef>
          </c:val>
          <c:smooth val="0"/>
          <c:extLst>
            <c:ext xmlns:c16="http://schemas.microsoft.com/office/drawing/2014/chart" uri="{C3380CC4-5D6E-409C-BE32-E72D297353CC}">
              <c16:uniqueId val="{00000003-C38E-4AB0-AB5C-11B43D7E28A1}"/>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Charts!$T$170:$T$174</c:f>
              <c:strCache>
                <c:ptCount val="5"/>
                <c:pt idx="0">
                  <c:v>FY2021</c:v>
                </c:pt>
                <c:pt idx="1">
                  <c:v>FY2022</c:v>
                </c:pt>
                <c:pt idx="2">
                  <c:v>FY2023</c:v>
                </c:pt>
                <c:pt idx="3">
                  <c:v>FY2024</c:v>
                </c:pt>
                <c:pt idx="4">
                  <c:v>FY2025</c:v>
                </c:pt>
              </c:strCache>
            </c:strRef>
          </c:cat>
          <c:val>
            <c:numRef>
              <c:f>Charts!$Y$170:$Y$174</c:f>
              <c:numCache>
                <c:formatCode>0.00</c:formatCode>
                <c:ptCount val="5"/>
                <c:pt idx="0">
                  <c:v>2.5158090033808875</c:v>
                </c:pt>
                <c:pt idx="1">
                  <c:v>3.2621706372812294</c:v>
                </c:pt>
                <c:pt idx="2">
                  <c:v>3.0330791851886794</c:v>
                </c:pt>
                <c:pt idx="3">
                  <c:v>3.3524781610919856</c:v>
                </c:pt>
                <c:pt idx="4">
                  <c:v>5.4329528095311241</c:v>
                </c:pt>
              </c:numCache>
            </c:numRef>
          </c:val>
          <c:smooth val="0"/>
          <c:extLst>
            <c:ext xmlns:c16="http://schemas.microsoft.com/office/drawing/2014/chart" uri="{C3380CC4-5D6E-409C-BE32-E72D297353CC}">
              <c16:uniqueId val="{00000004-C38E-4AB0-AB5C-11B43D7E28A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Rs per share</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Earnings per Share: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Charts!$T$170:$T$174</c:f>
              <c:strCache>
                <c:ptCount val="5"/>
                <c:pt idx="0">
                  <c:v>FY2021</c:v>
                </c:pt>
                <c:pt idx="1">
                  <c:v>FY2022</c:v>
                </c:pt>
                <c:pt idx="2">
                  <c:v>FY2023</c:v>
                </c:pt>
                <c:pt idx="3">
                  <c:v>FY2024</c:v>
                </c:pt>
                <c:pt idx="4">
                  <c:v>FY2025</c:v>
                </c:pt>
              </c:strCache>
            </c:strRef>
          </c:cat>
          <c:val>
            <c:numRef>
              <c:f>Charts!$U$170:$U$174</c:f>
              <c:numCache>
                <c:formatCode>0.00</c:formatCode>
                <c:ptCount val="5"/>
                <c:pt idx="0">
                  <c:v>17.412549352402124</c:v>
                </c:pt>
                <c:pt idx="1">
                  <c:v>25.013680261160516</c:v>
                </c:pt>
                <c:pt idx="2">
                  <c:v>28.978958275869324</c:v>
                </c:pt>
                <c:pt idx="3">
                  <c:v>45.274272678614977</c:v>
                </c:pt>
                <c:pt idx="4">
                  <c:v>59.842054600869929</c:v>
                </c:pt>
              </c:numCache>
            </c:numRef>
          </c:val>
          <c:smooth val="0"/>
          <c:extLst>
            <c:ext xmlns:c16="http://schemas.microsoft.com/office/drawing/2014/chart" uri="{C3380CC4-5D6E-409C-BE32-E72D297353CC}">
              <c16:uniqueId val="{00000000-3A9C-49AC-94DD-76EE00285FC3}"/>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Charts!$T$170:$T$174</c:f>
              <c:strCache>
                <c:ptCount val="5"/>
                <c:pt idx="0">
                  <c:v>FY2021</c:v>
                </c:pt>
                <c:pt idx="1">
                  <c:v>FY2022</c:v>
                </c:pt>
                <c:pt idx="2">
                  <c:v>FY2023</c:v>
                </c:pt>
                <c:pt idx="3">
                  <c:v>FY2024</c:v>
                </c:pt>
                <c:pt idx="4">
                  <c:v>FY2025</c:v>
                </c:pt>
              </c:strCache>
            </c:strRef>
          </c:cat>
          <c:val>
            <c:numRef>
              <c:f>Charts!$Z$170:$Z$174</c:f>
              <c:numCache>
                <c:formatCode>0.00</c:formatCode>
                <c:ptCount val="5"/>
                <c:pt idx="0">
                  <c:v>15.525332487343713</c:v>
                </c:pt>
                <c:pt idx="1">
                  <c:v>17.134604460236471</c:v>
                </c:pt>
                <c:pt idx="2">
                  <c:v>19.814513798326313</c:v>
                </c:pt>
                <c:pt idx="3">
                  <c:v>29.876909571429231</c:v>
                </c:pt>
                <c:pt idx="4">
                  <c:v>24.785412625063277</c:v>
                </c:pt>
              </c:numCache>
            </c:numRef>
          </c:val>
          <c:smooth val="0"/>
          <c:extLst>
            <c:ext xmlns:c16="http://schemas.microsoft.com/office/drawing/2014/chart" uri="{C3380CC4-5D6E-409C-BE32-E72D297353CC}">
              <c16:uniqueId val="{00000001-3A9C-49AC-94DD-76EE00285FC3}"/>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Rs per share</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Book Value per Share: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Charts!$T$178:$T$182</c:f>
              <c:strCache>
                <c:ptCount val="5"/>
                <c:pt idx="0">
                  <c:v>FY2021</c:v>
                </c:pt>
                <c:pt idx="1">
                  <c:v>FY2022</c:v>
                </c:pt>
                <c:pt idx="2">
                  <c:v>FY2023</c:v>
                </c:pt>
                <c:pt idx="3">
                  <c:v>FY2024</c:v>
                </c:pt>
                <c:pt idx="4">
                  <c:v>FY2025</c:v>
                </c:pt>
              </c:strCache>
            </c:strRef>
          </c:cat>
          <c:val>
            <c:numRef>
              <c:f>Charts!$U$178:$U$182</c:f>
              <c:numCache>
                <c:formatCode>0.00</c:formatCode>
                <c:ptCount val="5"/>
                <c:pt idx="0">
                  <c:v>110.64122209168052</c:v>
                </c:pt>
                <c:pt idx="1">
                  <c:v>135.64693964412666</c:v>
                </c:pt>
                <c:pt idx="2">
                  <c:v>162.35106244484723</c:v>
                </c:pt>
                <c:pt idx="3">
                  <c:v>209.79287853383309</c:v>
                </c:pt>
                <c:pt idx="4">
                  <c:v>260.8226721418157</c:v>
                </c:pt>
              </c:numCache>
            </c:numRef>
          </c:val>
          <c:smooth val="0"/>
          <c:extLst>
            <c:ext xmlns:c16="http://schemas.microsoft.com/office/drawing/2014/chart" uri="{C3380CC4-5D6E-409C-BE32-E72D297353CC}">
              <c16:uniqueId val="{00000000-6A95-4D8F-9FBC-58FEC9DC418B}"/>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Charts!$T$178:$T$182</c:f>
              <c:strCache>
                <c:ptCount val="5"/>
                <c:pt idx="0">
                  <c:v>FY2021</c:v>
                </c:pt>
                <c:pt idx="1">
                  <c:v>FY2022</c:v>
                </c:pt>
                <c:pt idx="2">
                  <c:v>FY2023</c:v>
                </c:pt>
                <c:pt idx="3">
                  <c:v>FY2024</c:v>
                </c:pt>
                <c:pt idx="4">
                  <c:v>FY2025</c:v>
                </c:pt>
              </c:strCache>
            </c:strRef>
          </c:cat>
          <c:val>
            <c:numRef>
              <c:f>Charts!$V$178:$V$182</c:f>
              <c:numCache>
                <c:formatCode>0.00</c:formatCode>
                <c:ptCount val="5"/>
                <c:pt idx="0">
                  <c:v>350.05878005411677</c:v>
                </c:pt>
                <c:pt idx="1">
                  <c:v>397.49617008117508</c:v>
                </c:pt>
                <c:pt idx="2">
                  <c:v>440.50456229600826</c:v>
                </c:pt>
                <c:pt idx="3">
                  <c:v>504.3046996587031</c:v>
                </c:pt>
                <c:pt idx="4">
                  <c:v>120.07535836177475</c:v>
                </c:pt>
              </c:numCache>
            </c:numRef>
          </c:val>
          <c:smooth val="0"/>
          <c:extLst>
            <c:ext xmlns:c16="http://schemas.microsoft.com/office/drawing/2014/chart" uri="{C3380CC4-5D6E-409C-BE32-E72D297353CC}">
              <c16:uniqueId val="{00000001-6A95-4D8F-9FBC-58FEC9DC418B}"/>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Charts!$T$178:$T$182</c:f>
              <c:strCache>
                <c:ptCount val="5"/>
                <c:pt idx="0">
                  <c:v>FY2021</c:v>
                </c:pt>
                <c:pt idx="1">
                  <c:v>FY2022</c:v>
                </c:pt>
                <c:pt idx="2">
                  <c:v>FY2023</c:v>
                </c:pt>
                <c:pt idx="3">
                  <c:v>FY2024</c:v>
                </c:pt>
                <c:pt idx="4">
                  <c:v>FY2025</c:v>
                </c:pt>
              </c:strCache>
            </c:strRef>
          </c:cat>
          <c:val>
            <c:numRef>
              <c:f>Charts!$W$178:$W$182</c:f>
              <c:numCache>
                <c:formatCode>0.00</c:formatCode>
                <c:ptCount val="5"/>
                <c:pt idx="0">
                  <c:v>167.71209700741193</c:v>
                </c:pt>
                <c:pt idx="1">
                  <c:v>159.58697532246367</c:v>
                </c:pt>
                <c:pt idx="2">
                  <c:v>146.51786922779672</c:v>
                </c:pt>
                <c:pt idx="3">
                  <c:v>173.12082034314415</c:v>
                </c:pt>
                <c:pt idx="4">
                  <c:v>216.07703932560804</c:v>
                </c:pt>
              </c:numCache>
            </c:numRef>
          </c:val>
          <c:smooth val="0"/>
          <c:extLst>
            <c:ext xmlns:c16="http://schemas.microsoft.com/office/drawing/2014/chart" uri="{C3380CC4-5D6E-409C-BE32-E72D297353CC}">
              <c16:uniqueId val="{00000002-6A95-4D8F-9FBC-58FEC9DC418B}"/>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Charts!$T$178:$T$182</c:f>
              <c:strCache>
                <c:ptCount val="5"/>
                <c:pt idx="0">
                  <c:v>FY2021</c:v>
                </c:pt>
                <c:pt idx="1">
                  <c:v>FY2022</c:v>
                </c:pt>
                <c:pt idx="2">
                  <c:v>FY2023</c:v>
                </c:pt>
                <c:pt idx="3">
                  <c:v>FY2024</c:v>
                </c:pt>
                <c:pt idx="4">
                  <c:v>FY2025</c:v>
                </c:pt>
              </c:strCache>
            </c:strRef>
          </c:cat>
          <c:val>
            <c:numRef>
              <c:f>Charts!$X$178:$X$182</c:f>
              <c:numCache>
                <c:formatCode>0.00</c:formatCode>
                <c:ptCount val="5"/>
                <c:pt idx="0">
                  <c:v>34.180972265393187</c:v>
                </c:pt>
                <c:pt idx="1">
                  <c:v>37.561557627459578</c:v>
                </c:pt>
                <c:pt idx="2">
                  <c:v>41.844014540695262</c:v>
                </c:pt>
                <c:pt idx="3">
                  <c:v>50.226982139301263</c:v>
                </c:pt>
                <c:pt idx="4">
                  <c:v>68.217013474898792</c:v>
                </c:pt>
              </c:numCache>
            </c:numRef>
          </c:val>
          <c:smooth val="0"/>
          <c:extLst>
            <c:ext xmlns:c16="http://schemas.microsoft.com/office/drawing/2014/chart" uri="{C3380CC4-5D6E-409C-BE32-E72D297353CC}">
              <c16:uniqueId val="{00000003-6A95-4D8F-9FBC-58FEC9DC418B}"/>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Charts!$T$178:$T$182</c:f>
              <c:strCache>
                <c:ptCount val="5"/>
                <c:pt idx="0">
                  <c:v>FY2021</c:v>
                </c:pt>
                <c:pt idx="1">
                  <c:v>FY2022</c:v>
                </c:pt>
                <c:pt idx="2">
                  <c:v>FY2023</c:v>
                </c:pt>
                <c:pt idx="3">
                  <c:v>FY2024</c:v>
                </c:pt>
                <c:pt idx="4">
                  <c:v>FY2025</c:v>
                </c:pt>
              </c:strCache>
            </c:strRef>
          </c:cat>
          <c:val>
            <c:numRef>
              <c:f>Charts!$Y$178:$Y$182</c:f>
              <c:numCache>
                <c:formatCode>0.00</c:formatCode>
                <c:ptCount val="5"/>
                <c:pt idx="0">
                  <c:v>16.868689643176804</c:v>
                </c:pt>
                <c:pt idx="1">
                  <c:v>26.480675904195227</c:v>
                </c:pt>
                <c:pt idx="2">
                  <c:v>26.571458006604239</c:v>
                </c:pt>
                <c:pt idx="3">
                  <c:v>29.923935347634316</c:v>
                </c:pt>
                <c:pt idx="4">
                  <c:v>34.356887072804682</c:v>
                </c:pt>
              </c:numCache>
            </c:numRef>
          </c:val>
          <c:smooth val="0"/>
          <c:extLst>
            <c:ext xmlns:c16="http://schemas.microsoft.com/office/drawing/2014/chart" uri="{C3380CC4-5D6E-409C-BE32-E72D297353CC}">
              <c16:uniqueId val="{00000004-6A95-4D8F-9FBC-58FEC9DC418B}"/>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Rs per share</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Book Value per Share: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Charts!$T$178:$T$182</c:f>
              <c:strCache>
                <c:ptCount val="5"/>
                <c:pt idx="0">
                  <c:v>FY2021</c:v>
                </c:pt>
                <c:pt idx="1">
                  <c:v>FY2022</c:v>
                </c:pt>
                <c:pt idx="2">
                  <c:v>FY2023</c:v>
                </c:pt>
                <c:pt idx="3">
                  <c:v>FY2024</c:v>
                </c:pt>
                <c:pt idx="4">
                  <c:v>FY2025</c:v>
                </c:pt>
              </c:strCache>
            </c:strRef>
          </c:cat>
          <c:val>
            <c:numRef>
              <c:f>Charts!$U$178:$U$182</c:f>
              <c:numCache>
                <c:formatCode>0.00</c:formatCode>
                <c:ptCount val="5"/>
                <c:pt idx="0">
                  <c:v>110.64122209168052</c:v>
                </c:pt>
                <c:pt idx="1">
                  <c:v>135.64693964412666</c:v>
                </c:pt>
                <c:pt idx="2">
                  <c:v>162.35106244484723</c:v>
                </c:pt>
                <c:pt idx="3">
                  <c:v>209.79287853383309</c:v>
                </c:pt>
                <c:pt idx="4">
                  <c:v>260.8226721418157</c:v>
                </c:pt>
              </c:numCache>
            </c:numRef>
          </c:val>
          <c:smooth val="0"/>
          <c:extLst>
            <c:ext xmlns:c16="http://schemas.microsoft.com/office/drawing/2014/chart" uri="{C3380CC4-5D6E-409C-BE32-E72D297353CC}">
              <c16:uniqueId val="{00000000-EE15-41C2-8D7C-57924EAC08D0}"/>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Charts!$T$178:$T$182</c:f>
              <c:strCache>
                <c:ptCount val="5"/>
                <c:pt idx="0">
                  <c:v>FY2021</c:v>
                </c:pt>
                <c:pt idx="1">
                  <c:v>FY2022</c:v>
                </c:pt>
                <c:pt idx="2">
                  <c:v>FY2023</c:v>
                </c:pt>
                <c:pt idx="3">
                  <c:v>FY2024</c:v>
                </c:pt>
                <c:pt idx="4">
                  <c:v>FY2025</c:v>
                </c:pt>
              </c:strCache>
            </c:strRef>
          </c:cat>
          <c:val>
            <c:numRef>
              <c:f>Charts!$Z$178:$Z$182</c:f>
              <c:numCache>
                <c:formatCode>0.00</c:formatCode>
                <c:ptCount val="5"/>
                <c:pt idx="0">
                  <c:v>135.89235221235583</c:v>
                </c:pt>
                <c:pt idx="1">
                  <c:v>151.35446371588404</c:v>
                </c:pt>
                <c:pt idx="2">
                  <c:v>163.55779330319035</c:v>
                </c:pt>
                <c:pt idx="3">
                  <c:v>193.47386320452318</c:v>
                </c:pt>
                <c:pt idx="4">
                  <c:v>139.90979407538038</c:v>
                </c:pt>
              </c:numCache>
            </c:numRef>
          </c:val>
          <c:smooth val="0"/>
          <c:extLst>
            <c:ext xmlns:c16="http://schemas.microsoft.com/office/drawing/2014/chart" uri="{C3380CC4-5D6E-409C-BE32-E72D297353CC}">
              <c16:uniqueId val="{00000001-EE15-41C2-8D7C-57924EAC08D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Rs per share</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Price-to-Earnings: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Charts!$T$186:$T$190</c:f>
              <c:strCache>
                <c:ptCount val="5"/>
                <c:pt idx="0">
                  <c:v>FY2021</c:v>
                </c:pt>
                <c:pt idx="1">
                  <c:v>FY2022</c:v>
                </c:pt>
                <c:pt idx="2">
                  <c:v>FY2023</c:v>
                </c:pt>
                <c:pt idx="3">
                  <c:v>FY2024</c:v>
                </c:pt>
                <c:pt idx="4">
                  <c:v>FY2025</c:v>
                </c:pt>
              </c:strCache>
            </c:strRef>
          </c:cat>
          <c:val>
            <c:numRef>
              <c:f>Charts!$U$186:$U$190</c:f>
              <c:numCache>
                <c:formatCode>0.00</c:formatCode>
                <c:ptCount val="5"/>
                <c:pt idx="0">
                  <c:v>11.858688571154802</c:v>
                </c:pt>
                <c:pt idx="1">
                  <c:v>5.2023532179731546</c:v>
                </c:pt>
                <c:pt idx="2">
                  <c:v>5.9860674889907219</c:v>
                </c:pt>
                <c:pt idx="3">
                  <c:v>5.5313975285193058</c:v>
                </c:pt>
                <c:pt idx="4">
                  <c:v>6.3393545313613817</c:v>
                </c:pt>
              </c:numCache>
            </c:numRef>
          </c:val>
          <c:smooth val="0"/>
          <c:extLst>
            <c:ext xmlns:c16="http://schemas.microsoft.com/office/drawing/2014/chart" uri="{C3380CC4-5D6E-409C-BE32-E72D297353CC}">
              <c16:uniqueId val="{00000000-B275-4760-9811-80AF189CDB45}"/>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Charts!$T$186:$T$190</c:f>
              <c:strCache>
                <c:ptCount val="5"/>
                <c:pt idx="0">
                  <c:v>FY2021</c:v>
                </c:pt>
                <c:pt idx="1">
                  <c:v>FY2022</c:v>
                </c:pt>
                <c:pt idx="2">
                  <c:v>FY2023</c:v>
                </c:pt>
                <c:pt idx="3">
                  <c:v>FY2024</c:v>
                </c:pt>
                <c:pt idx="4">
                  <c:v>FY2025</c:v>
                </c:pt>
              </c:strCache>
            </c:strRef>
          </c:cat>
          <c:val>
            <c:numRef>
              <c:f>Charts!$V$186:$V$190</c:f>
              <c:numCache>
                <c:formatCode>0.00</c:formatCode>
                <c:ptCount val="5"/>
                <c:pt idx="0">
                  <c:v>19.844432082610968</c:v>
                </c:pt>
                <c:pt idx="1">
                  <c:v>9.7029718632101325</c:v>
                </c:pt>
                <c:pt idx="2">
                  <c:v>12.124283879265743</c:v>
                </c:pt>
                <c:pt idx="3">
                  <c:v>9.5909070156236584</c:v>
                </c:pt>
                <c:pt idx="4">
                  <c:v>15.726582022655393</c:v>
                </c:pt>
              </c:numCache>
            </c:numRef>
          </c:val>
          <c:smooth val="0"/>
          <c:extLst>
            <c:ext xmlns:c16="http://schemas.microsoft.com/office/drawing/2014/chart" uri="{C3380CC4-5D6E-409C-BE32-E72D297353CC}">
              <c16:uniqueId val="{00000001-B275-4760-9811-80AF189CDB45}"/>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Charts!$T$186:$T$190</c:f>
              <c:strCache>
                <c:ptCount val="5"/>
                <c:pt idx="0">
                  <c:v>FY2021</c:v>
                </c:pt>
                <c:pt idx="1">
                  <c:v>FY2022</c:v>
                </c:pt>
                <c:pt idx="2">
                  <c:v>FY2023</c:v>
                </c:pt>
                <c:pt idx="3">
                  <c:v>FY2024</c:v>
                </c:pt>
                <c:pt idx="4">
                  <c:v>FY2025</c:v>
                </c:pt>
              </c:strCache>
            </c:strRef>
          </c:cat>
          <c:val>
            <c:numRef>
              <c:f>Charts!$W$186:$W$190</c:f>
              <c:numCache>
                <c:formatCode>0.00</c:formatCode>
                <c:ptCount val="5"/>
                <c:pt idx="0">
                  <c:v>13.883154069739035</c:v>
                </c:pt>
                <c:pt idx="1">
                  <c:v>9.2130648554640278</c:v>
                </c:pt>
                <c:pt idx="2">
                  <c:v>#N/A</c:v>
                </c:pt>
                <c:pt idx="3">
                  <c:v>72.91538429829842</c:v>
                </c:pt>
                <c:pt idx="4">
                  <c:v>8.3613265542147914</c:v>
                </c:pt>
              </c:numCache>
            </c:numRef>
          </c:val>
          <c:smooth val="0"/>
          <c:extLst>
            <c:ext xmlns:c16="http://schemas.microsoft.com/office/drawing/2014/chart" uri="{C3380CC4-5D6E-409C-BE32-E72D297353CC}">
              <c16:uniqueId val="{00000002-B275-4760-9811-80AF189CDB45}"/>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Charts!$T$186:$T$190</c:f>
              <c:strCache>
                <c:ptCount val="5"/>
                <c:pt idx="0">
                  <c:v>FY2021</c:v>
                </c:pt>
                <c:pt idx="1">
                  <c:v>FY2022</c:v>
                </c:pt>
                <c:pt idx="2">
                  <c:v>FY2023</c:v>
                </c:pt>
                <c:pt idx="3">
                  <c:v>FY2024</c:v>
                </c:pt>
                <c:pt idx="4">
                  <c:v>FY2025</c:v>
                </c:pt>
              </c:strCache>
            </c:strRef>
          </c:cat>
          <c:val>
            <c:numRef>
              <c:f>Charts!$X$186:$X$190</c:f>
              <c:numCache>
                <c:formatCode>0.00</c:formatCode>
                <c:ptCount val="5"/>
                <c:pt idx="0">
                  <c:v>8.2506229232653325</c:v>
                </c:pt>
                <c:pt idx="1">
                  <c:v>8.2775695053414715</c:v>
                </c:pt>
                <c:pt idx="2">
                  <c:v>6.7702147353244424</c:v>
                </c:pt>
                <c:pt idx="3">
                  <c:v>7.6317519094733912</c:v>
                </c:pt>
                <c:pt idx="4">
                  <c:v>5.1823592062489379</c:v>
                </c:pt>
              </c:numCache>
            </c:numRef>
          </c:val>
          <c:smooth val="0"/>
          <c:extLst>
            <c:ext xmlns:c16="http://schemas.microsoft.com/office/drawing/2014/chart" uri="{C3380CC4-5D6E-409C-BE32-E72D297353CC}">
              <c16:uniqueId val="{00000003-B275-4760-9811-80AF189CDB45}"/>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Charts!$T$186:$T$190</c:f>
              <c:strCache>
                <c:ptCount val="5"/>
                <c:pt idx="0">
                  <c:v>FY2021</c:v>
                </c:pt>
                <c:pt idx="1">
                  <c:v>FY2022</c:v>
                </c:pt>
                <c:pt idx="2">
                  <c:v>FY2023</c:v>
                </c:pt>
                <c:pt idx="3">
                  <c:v>FY2024</c:v>
                </c:pt>
                <c:pt idx="4">
                  <c:v>FY2025</c:v>
                </c:pt>
              </c:strCache>
            </c:strRef>
          </c:cat>
          <c:val>
            <c:numRef>
              <c:f>Charts!$Y$186:$Y$190</c:f>
              <c:numCache>
                <c:formatCode>0.00</c:formatCode>
                <c:ptCount val="5"/>
                <c:pt idx="0">
                  <c:v>9.1421884447870596</c:v>
                </c:pt>
                <c:pt idx="1">
                  <c:v>4.3437335368236942</c:v>
                </c:pt>
                <c:pt idx="2">
                  <c:v>3.877247932539039</c:v>
                </c:pt>
                <c:pt idx="3">
                  <c:v>6.8337507059367812</c:v>
                </c:pt>
                <c:pt idx="4">
                  <c:v>8.2220482242427426</c:v>
                </c:pt>
              </c:numCache>
            </c:numRef>
          </c:val>
          <c:smooth val="0"/>
          <c:extLst>
            <c:ext xmlns:c16="http://schemas.microsoft.com/office/drawing/2014/chart" uri="{C3380CC4-5D6E-409C-BE32-E72D297353CC}">
              <c16:uniqueId val="{00000004-B275-4760-9811-80AF189CDB45}"/>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Price-to-Earnings: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Charts!$T$186:$T$190</c:f>
              <c:strCache>
                <c:ptCount val="5"/>
                <c:pt idx="0">
                  <c:v>FY2021</c:v>
                </c:pt>
                <c:pt idx="1">
                  <c:v>FY2022</c:v>
                </c:pt>
                <c:pt idx="2">
                  <c:v>FY2023</c:v>
                </c:pt>
                <c:pt idx="3">
                  <c:v>FY2024</c:v>
                </c:pt>
                <c:pt idx="4">
                  <c:v>FY2025</c:v>
                </c:pt>
              </c:strCache>
            </c:strRef>
          </c:cat>
          <c:val>
            <c:numRef>
              <c:f>Charts!$U$186:$U$190</c:f>
              <c:numCache>
                <c:formatCode>0.00</c:formatCode>
                <c:ptCount val="5"/>
                <c:pt idx="0">
                  <c:v>11.858688571154802</c:v>
                </c:pt>
                <c:pt idx="1">
                  <c:v>5.2023532179731546</c:v>
                </c:pt>
                <c:pt idx="2">
                  <c:v>5.9860674889907219</c:v>
                </c:pt>
                <c:pt idx="3">
                  <c:v>5.5313975285193058</c:v>
                </c:pt>
                <c:pt idx="4">
                  <c:v>6.3393545313613817</c:v>
                </c:pt>
              </c:numCache>
            </c:numRef>
          </c:val>
          <c:smooth val="0"/>
          <c:extLst>
            <c:ext xmlns:c16="http://schemas.microsoft.com/office/drawing/2014/chart" uri="{C3380CC4-5D6E-409C-BE32-E72D297353CC}">
              <c16:uniqueId val="{00000000-C45B-40AA-A590-1389E0A5B6DF}"/>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Charts!$T$186:$T$190</c:f>
              <c:strCache>
                <c:ptCount val="5"/>
                <c:pt idx="0">
                  <c:v>FY2021</c:v>
                </c:pt>
                <c:pt idx="1">
                  <c:v>FY2022</c:v>
                </c:pt>
                <c:pt idx="2">
                  <c:v>FY2023</c:v>
                </c:pt>
                <c:pt idx="3">
                  <c:v>FY2024</c:v>
                </c:pt>
                <c:pt idx="4">
                  <c:v>FY2025</c:v>
                </c:pt>
              </c:strCache>
            </c:strRef>
          </c:cat>
          <c:val>
            <c:numRef>
              <c:f>Charts!$Z$186:$Z$190</c:f>
              <c:numCache>
                <c:formatCode>0.00</c:formatCode>
                <c:ptCount val="5"/>
                <c:pt idx="0">
                  <c:v>12.59581721831144</c:v>
                </c:pt>
                <c:pt idx="1">
                  <c:v>7.3479385957624954</c:v>
                </c:pt>
                <c:pt idx="2">
                  <c:v>7.1894535090299874</c:v>
                </c:pt>
                <c:pt idx="3">
                  <c:v>20.500638291570311</c:v>
                </c:pt>
                <c:pt idx="4">
                  <c:v>8.7663341077446493</c:v>
                </c:pt>
              </c:numCache>
            </c:numRef>
          </c:val>
          <c:smooth val="0"/>
          <c:extLst>
            <c:ext xmlns:c16="http://schemas.microsoft.com/office/drawing/2014/chart" uri="{C3380CC4-5D6E-409C-BE32-E72D297353CC}">
              <c16:uniqueId val="{00000001-C45B-40AA-A590-1389E0A5B6D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Market-to-Book: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Charts!$T$194:$T$198</c:f>
              <c:strCache>
                <c:ptCount val="5"/>
                <c:pt idx="0">
                  <c:v>FY2021</c:v>
                </c:pt>
                <c:pt idx="1">
                  <c:v>FY2022</c:v>
                </c:pt>
                <c:pt idx="2">
                  <c:v>FY2023</c:v>
                </c:pt>
                <c:pt idx="3">
                  <c:v>FY2024</c:v>
                </c:pt>
                <c:pt idx="4">
                  <c:v>FY2025</c:v>
                </c:pt>
              </c:strCache>
            </c:strRef>
          </c:cat>
          <c:val>
            <c:numRef>
              <c:f>Charts!$U$194:$U$198</c:f>
              <c:numCache>
                <c:formatCode>0.00</c:formatCode>
                <c:ptCount val="5"/>
                <c:pt idx="0">
                  <c:v>1.8663025958706099</c:v>
                </c:pt>
                <c:pt idx="1">
                  <c:v>0.95932868328175702</c:v>
                </c:pt>
                <c:pt idx="2">
                  <c:v>1.0684870021034203</c:v>
                </c:pt>
                <c:pt idx="3">
                  <c:v>1.1937011482475723</c:v>
                </c:pt>
                <c:pt idx="4">
                  <c:v>1.4544747850514033</c:v>
                </c:pt>
              </c:numCache>
            </c:numRef>
          </c:val>
          <c:smooth val="0"/>
          <c:extLst>
            <c:ext xmlns:c16="http://schemas.microsoft.com/office/drawing/2014/chart" uri="{C3380CC4-5D6E-409C-BE32-E72D297353CC}">
              <c16:uniqueId val="{00000000-575B-4402-99FD-D21F9C6552D5}"/>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Charts!$T$194:$T$198</c:f>
              <c:strCache>
                <c:ptCount val="5"/>
                <c:pt idx="0">
                  <c:v>FY2021</c:v>
                </c:pt>
                <c:pt idx="1">
                  <c:v>FY2022</c:v>
                </c:pt>
                <c:pt idx="2">
                  <c:v>FY2023</c:v>
                </c:pt>
                <c:pt idx="3">
                  <c:v>FY2024</c:v>
                </c:pt>
                <c:pt idx="4">
                  <c:v>FY2025</c:v>
                </c:pt>
              </c:strCache>
            </c:strRef>
          </c:cat>
          <c:val>
            <c:numRef>
              <c:f>Charts!$V$194:$V$198</c:f>
              <c:numCache>
                <c:formatCode>0.00</c:formatCode>
                <c:ptCount val="5"/>
                <c:pt idx="0">
                  <c:v>2.4665571875286716</c:v>
                </c:pt>
                <c:pt idx="1">
                  <c:v>1.1548287368561481</c:v>
                </c:pt>
                <c:pt idx="2">
                  <c:v>1.1852090640758639</c:v>
                </c:pt>
                <c:pt idx="3">
                  <c:v>1.7979804681845026</c:v>
                </c:pt>
                <c:pt idx="4">
                  <c:v>2.9584754511387614</c:v>
                </c:pt>
              </c:numCache>
            </c:numRef>
          </c:val>
          <c:smooth val="0"/>
          <c:extLst>
            <c:ext xmlns:c16="http://schemas.microsoft.com/office/drawing/2014/chart" uri="{C3380CC4-5D6E-409C-BE32-E72D297353CC}">
              <c16:uniqueId val="{00000001-575B-4402-99FD-D21F9C6552D5}"/>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Charts!$T$194:$T$198</c:f>
              <c:strCache>
                <c:ptCount val="5"/>
                <c:pt idx="0">
                  <c:v>FY2021</c:v>
                </c:pt>
                <c:pt idx="1">
                  <c:v>FY2022</c:v>
                </c:pt>
                <c:pt idx="2">
                  <c:v>FY2023</c:v>
                </c:pt>
                <c:pt idx="3">
                  <c:v>FY2024</c:v>
                </c:pt>
                <c:pt idx="4">
                  <c:v>FY2025</c:v>
                </c:pt>
              </c:strCache>
            </c:strRef>
          </c:cat>
          <c:val>
            <c:numRef>
              <c:f>Charts!$W$194:$W$198</c:f>
              <c:numCache>
                <c:formatCode>0.00</c:formatCode>
                <c:ptCount val="5"/>
                <c:pt idx="0">
                  <c:v>0.7031096868032638</c:v>
                </c:pt>
                <c:pt idx="1">
                  <c:v>0.39163597075332512</c:v>
                </c:pt>
                <c:pt idx="2">
                  <c:v>0.35012794187063967</c:v>
                </c:pt>
                <c:pt idx="3">
                  <c:v>0.52142775098382221</c:v>
                </c:pt>
                <c:pt idx="4">
                  <c:v>0.76620820294800718</c:v>
                </c:pt>
              </c:numCache>
            </c:numRef>
          </c:val>
          <c:smooth val="0"/>
          <c:extLst>
            <c:ext xmlns:c16="http://schemas.microsoft.com/office/drawing/2014/chart" uri="{C3380CC4-5D6E-409C-BE32-E72D297353CC}">
              <c16:uniqueId val="{00000002-575B-4402-99FD-D21F9C6552D5}"/>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Charts!$T$194:$T$198</c:f>
              <c:strCache>
                <c:ptCount val="5"/>
                <c:pt idx="0">
                  <c:v>FY2021</c:v>
                </c:pt>
                <c:pt idx="1">
                  <c:v>FY2022</c:v>
                </c:pt>
                <c:pt idx="2">
                  <c:v>FY2023</c:v>
                </c:pt>
                <c:pt idx="3">
                  <c:v>FY2024</c:v>
                </c:pt>
                <c:pt idx="4">
                  <c:v>FY2025</c:v>
                </c:pt>
              </c:strCache>
            </c:strRef>
          </c:cat>
          <c:val>
            <c:numRef>
              <c:f>Charts!$X$194:$X$198</c:f>
              <c:numCache>
                <c:formatCode>0.00</c:formatCode>
                <c:ptCount val="5"/>
                <c:pt idx="0">
                  <c:v>1.3744489078669448</c:v>
                </c:pt>
                <c:pt idx="1">
                  <c:v>0.72813806794864222</c:v>
                </c:pt>
                <c:pt idx="2">
                  <c:v>0.67703828877240613</c:v>
                </c:pt>
                <c:pt idx="3">
                  <c:v>0.75656546305349337</c:v>
                </c:pt>
                <c:pt idx="4">
                  <c:v>1.2354689205356633</c:v>
                </c:pt>
              </c:numCache>
            </c:numRef>
          </c:val>
          <c:smooth val="0"/>
          <c:extLst>
            <c:ext xmlns:c16="http://schemas.microsoft.com/office/drawing/2014/chart" uri="{C3380CC4-5D6E-409C-BE32-E72D297353CC}">
              <c16:uniqueId val="{00000003-575B-4402-99FD-D21F9C6552D5}"/>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Charts!$T$194:$T$198</c:f>
              <c:strCache>
                <c:ptCount val="5"/>
                <c:pt idx="0">
                  <c:v>FY2021</c:v>
                </c:pt>
                <c:pt idx="1">
                  <c:v>FY2022</c:v>
                </c:pt>
                <c:pt idx="2">
                  <c:v>FY2023</c:v>
                </c:pt>
                <c:pt idx="3">
                  <c:v>FY2024</c:v>
                </c:pt>
                <c:pt idx="4">
                  <c:v>FY2025</c:v>
                </c:pt>
              </c:strCache>
            </c:strRef>
          </c:cat>
          <c:val>
            <c:numRef>
              <c:f>Charts!$Y$194:$Y$198</c:f>
              <c:numCache>
                <c:formatCode>0.00</c:formatCode>
                <c:ptCount val="5"/>
                <c:pt idx="0">
                  <c:v>1.3634728296339984</c:v>
                </c:pt>
                <c:pt idx="1">
                  <c:v>0.53510718726613404</c:v>
                </c:pt>
                <c:pt idx="2">
                  <c:v>0.44258015488186969</c:v>
                </c:pt>
                <c:pt idx="3">
                  <c:v>0.76560785651514207</c:v>
                </c:pt>
                <c:pt idx="4">
                  <c:v>1.3001759998029245</c:v>
                </c:pt>
              </c:numCache>
            </c:numRef>
          </c:val>
          <c:smooth val="0"/>
          <c:extLst>
            <c:ext xmlns:c16="http://schemas.microsoft.com/office/drawing/2014/chart" uri="{C3380CC4-5D6E-409C-BE32-E72D297353CC}">
              <c16:uniqueId val="{00000004-575B-4402-99FD-D21F9C6552D5}"/>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Market-to-Book: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Charts!$T$194:$T$198</c:f>
              <c:strCache>
                <c:ptCount val="5"/>
                <c:pt idx="0">
                  <c:v>FY2021</c:v>
                </c:pt>
                <c:pt idx="1">
                  <c:v>FY2022</c:v>
                </c:pt>
                <c:pt idx="2">
                  <c:v>FY2023</c:v>
                </c:pt>
                <c:pt idx="3">
                  <c:v>FY2024</c:v>
                </c:pt>
                <c:pt idx="4">
                  <c:v>FY2025</c:v>
                </c:pt>
              </c:strCache>
            </c:strRef>
          </c:cat>
          <c:val>
            <c:numRef>
              <c:f>Charts!$U$194:$U$198</c:f>
              <c:numCache>
                <c:formatCode>0.00</c:formatCode>
                <c:ptCount val="5"/>
                <c:pt idx="0">
                  <c:v>1.8663025958706099</c:v>
                </c:pt>
                <c:pt idx="1">
                  <c:v>0.95932868328175702</c:v>
                </c:pt>
                <c:pt idx="2">
                  <c:v>1.0684870021034203</c:v>
                </c:pt>
                <c:pt idx="3">
                  <c:v>1.1937011482475723</c:v>
                </c:pt>
                <c:pt idx="4">
                  <c:v>1.4544747850514033</c:v>
                </c:pt>
              </c:numCache>
            </c:numRef>
          </c:val>
          <c:smooth val="0"/>
          <c:extLst>
            <c:ext xmlns:c16="http://schemas.microsoft.com/office/drawing/2014/chart" uri="{C3380CC4-5D6E-409C-BE32-E72D297353CC}">
              <c16:uniqueId val="{00000000-4750-49EC-8A2F-6032453B8D6A}"/>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Charts!$T$194:$T$198</c:f>
              <c:strCache>
                <c:ptCount val="5"/>
                <c:pt idx="0">
                  <c:v>FY2021</c:v>
                </c:pt>
                <c:pt idx="1">
                  <c:v>FY2022</c:v>
                </c:pt>
                <c:pt idx="2">
                  <c:v>FY2023</c:v>
                </c:pt>
                <c:pt idx="3">
                  <c:v>FY2024</c:v>
                </c:pt>
                <c:pt idx="4">
                  <c:v>FY2025</c:v>
                </c:pt>
              </c:strCache>
            </c:strRef>
          </c:cat>
          <c:val>
            <c:numRef>
              <c:f>Charts!$Z$194:$Z$198</c:f>
              <c:numCache>
                <c:formatCode>0.00</c:formatCode>
                <c:ptCount val="5"/>
                <c:pt idx="0">
                  <c:v>1.5547782415406979</c:v>
                </c:pt>
                <c:pt idx="1">
                  <c:v>0.75380772922120132</c:v>
                </c:pt>
                <c:pt idx="2">
                  <c:v>0.74468849034083984</c:v>
                </c:pt>
                <c:pt idx="3">
                  <c:v>1.0070565373969065</c:v>
                </c:pt>
                <c:pt idx="4">
                  <c:v>1.5429606718953519</c:v>
                </c:pt>
              </c:numCache>
            </c:numRef>
          </c:val>
          <c:smooth val="0"/>
          <c:extLst>
            <c:ext xmlns:c16="http://schemas.microsoft.com/office/drawing/2014/chart" uri="{C3380CC4-5D6E-409C-BE32-E72D297353CC}">
              <c16:uniqueId val="{00000001-4750-49EC-8A2F-6032453B8D6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Dividend Yield: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Charts!$T$202:$T$206</c:f>
              <c:strCache>
                <c:ptCount val="5"/>
                <c:pt idx="0">
                  <c:v>FY2021</c:v>
                </c:pt>
                <c:pt idx="1">
                  <c:v>FY2022</c:v>
                </c:pt>
                <c:pt idx="2">
                  <c:v>FY2023</c:v>
                </c:pt>
                <c:pt idx="3">
                  <c:v>FY2024</c:v>
                </c:pt>
                <c:pt idx="4">
                  <c:v>FY2025</c:v>
                </c:pt>
              </c:strCache>
            </c:strRef>
          </c:cat>
          <c:val>
            <c:numRef>
              <c:f>Charts!$U$202:$U$206</c:f>
              <c:numCache>
                <c:formatCode>0.00%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0-FFC5-4632-9B77-A4F1B63621EB}"/>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Charts!$T$202:$T$206</c:f>
              <c:strCache>
                <c:ptCount val="5"/>
                <c:pt idx="0">
                  <c:v>FY2021</c:v>
                </c:pt>
                <c:pt idx="1">
                  <c:v>FY2022</c:v>
                </c:pt>
                <c:pt idx="2">
                  <c:v>FY2023</c:v>
                </c:pt>
                <c:pt idx="3">
                  <c:v>FY2024</c:v>
                </c:pt>
                <c:pt idx="4">
                  <c:v>FY2025</c:v>
                </c:pt>
              </c:strCache>
            </c:strRef>
          </c:cat>
          <c:val>
            <c:numRef>
              <c:f>Charts!$V$202:$V$206</c:f>
              <c:numCache>
                <c:formatCode>0.00%</c:formatCode>
                <c:ptCount val="5"/>
                <c:pt idx="0">
                  <c:v>0</c:v>
                </c:pt>
                <c:pt idx="1">
                  <c:v>0</c:v>
                </c:pt>
                <c:pt idx="2">
                  <c:v>3.4476814342354764E-2</c:v>
                </c:pt>
                <c:pt idx="3">
                  <c:v>1.6542962072502287E-2</c:v>
                </c:pt>
                <c:pt idx="4">
                  <c:v>1.1259993244004052E-2</c:v>
                </c:pt>
              </c:numCache>
            </c:numRef>
          </c:val>
          <c:smooth val="0"/>
          <c:extLst>
            <c:ext xmlns:c16="http://schemas.microsoft.com/office/drawing/2014/chart" uri="{C3380CC4-5D6E-409C-BE32-E72D297353CC}">
              <c16:uniqueId val="{00000001-FFC5-4632-9B77-A4F1B63621EB}"/>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Charts!$T$202:$T$206</c:f>
              <c:strCache>
                <c:ptCount val="5"/>
                <c:pt idx="0">
                  <c:v>FY2021</c:v>
                </c:pt>
                <c:pt idx="1">
                  <c:v>FY2022</c:v>
                </c:pt>
                <c:pt idx="2">
                  <c:v>FY2023</c:v>
                </c:pt>
                <c:pt idx="3">
                  <c:v>FY2024</c:v>
                </c:pt>
                <c:pt idx="4">
                  <c:v>FY2025</c:v>
                </c:pt>
              </c:strCache>
            </c:strRef>
          </c:cat>
          <c:val>
            <c:numRef>
              <c:f>Charts!$W$202:$W$206</c:f>
              <c:numCache>
                <c:formatCode>0.00%</c:formatCode>
                <c:ptCount val="5"/>
                <c:pt idx="0">
                  <c:v>8.4803256445047485E-3</c:v>
                </c:pt>
                <c:pt idx="1">
                  <c:v>1.6E-2</c:v>
                </c:pt>
                <c:pt idx="2">
                  <c:v>0</c:v>
                </c:pt>
                <c:pt idx="3">
                  <c:v>0</c:v>
                </c:pt>
                <c:pt idx="4">
                  <c:v>1.2080212611741966E-2</c:v>
                </c:pt>
              </c:numCache>
            </c:numRef>
          </c:val>
          <c:smooth val="0"/>
          <c:extLst>
            <c:ext xmlns:c16="http://schemas.microsoft.com/office/drawing/2014/chart" uri="{C3380CC4-5D6E-409C-BE32-E72D297353CC}">
              <c16:uniqueId val="{00000002-FFC5-4632-9B77-A4F1B63621EB}"/>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Charts!$T$202:$T$206</c:f>
              <c:strCache>
                <c:ptCount val="5"/>
                <c:pt idx="0">
                  <c:v>FY2021</c:v>
                </c:pt>
                <c:pt idx="1">
                  <c:v>FY2022</c:v>
                </c:pt>
                <c:pt idx="2">
                  <c:v>FY2023</c:v>
                </c:pt>
                <c:pt idx="3">
                  <c:v>FY2024</c:v>
                </c:pt>
                <c:pt idx="4">
                  <c:v>FY2025</c:v>
                </c:pt>
              </c:strCache>
            </c:strRef>
          </c:cat>
          <c:val>
            <c:numRef>
              <c:f>Charts!$X$202:$X$206</c:f>
              <c:numCache>
                <c:formatCode>0.00%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3-FFC5-4632-9B77-A4F1B63621EB}"/>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Charts!$T$202:$T$206</c:f>
              <c:strCache>
                <c:ptCount val="5"/>
                <c:pt idx="0">
                  <c:v>FY2021</c:v>
                </c:pt>
                <c:pt idx="1">
                  <c:v>FY2022</c:v>
                </c:pt>
                <c:pt idx="2">
                  <c:v>FY2023</c:v>
                </c:pt>
                <c:pt idx="3">
                  <c:v>FY2024</c:v>
                </c:pt>
                <c:pt idx="4">
                  <c:v>FY2025</c:v>
                </c:pt>
              </c:strCache>
            </c:strRef>
          </c:cat>
          <c:val>
            <c:numRef>
              <c:f>Charts!$Y$202:$Y$206</c:f>
              <c:numCache>
                <c:formatCode>0.00%</c:formatCode>
                <c:ptCount val="5"/>
                <c:pt idx="0">
                  <c:v>0</c:v>
                </c:pt>
                <c:pt idx="1">
                  <c:v>0</c:v>
                </c:pt>
                <c:pt idx="2">
                  <c:v>0</c:v>
                </c:pt>
                <c:pt idx="3">
                  <c:v>4.3649061545176782E-2</c:v>
                </c:pt>
                <c:pt idx="4">
                  <c:v>2.7982986344302664E-2</c:v>
                </c:pt>
              </c:numCache>
            </c:numRef>
          </c:val>
          <c:smooth val="0"/>
          <c:extLst>
            <c:ext xmlns:c16="http://schemas.microsoft.com/office/drawing/2014/chart" uri="{C3380CC4-5D6E-409C-BE32-E72D297353CC}">
              <c16:uniqueId val="{00000004-FFC5-4632-9B77-A4F1B63621EB}"/>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Dividend Yield: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Charts!$T$202:$T$206</c:f>
              <c:strCache>
                <c:ptCount val="5"/>
                <c:pt idx="0">
                  <c:v>FY2021</c:v>
                </c:pt>
                <c:pt idx="1">
                  <c:v>FY2022</c:v>
                </c:pt>
                <c:pt idx="2">
                  <c:v>FY2023</c:v>
                </c:pt>
                <c:pt idx="3">
                  <c:v>FY2024</c:v>
                </c:pt>
                <c:pt idx="4">
                  <c:v>FY2025</c:v>
                </c:pt>
              </c:strCache>
            </c:strRef>
          </c:cat>
          <c:val>
            <c:numRef>
              <c:f>Charts!$U$202:$U$206</c:f>
              <c:numCache>
                <c:formatCode>0.00%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0-50EB-4932-98DA-0D071906B8A6}"/>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Charts!$T$202:$T$206</c:f>
              <c:strCache>
                <c:ptCount val="5"/>
                <c:pt idx="0">
                  <c:v>FY2021</c:v>
                </c:pt>
                <c:pt idx="1">
                  <c:v>FY2022</c:v>
                </c:pt>
                <c:pt idx="2">
                  <c:v>FY2023</c:v>
                </c:pt>
                <c:pt idx="3">
                  <c:v>FY2024</c:v>
                </c:pt>
                <c:pt idx="4">
                  <c:v>FY2025</c:v>
                </c:pt>
              </c:strCache>
            </c:strRef>
          </c:cat>
          <c:val>
            <c:numRef>
              <c:f>Charts!$Z$202:$Z$206</c:f>
              <c:numCache>
                <c:formatCode>0.00%</c:formatCode>
                <c:ptCount val="5"/>
                <c:pt idx="0">
                  <c:v>1.6960651289009497E-3</c:v>
                </c:pt>
                <c:pt idx="1">
                  <c:v>3.2000000000000002E-3</c:v>
                </c:pt>
                <c:pt idx="2">
                  <c:v>6.8953628684709526E-3</c:v>
                </c:pt>
                <c:pt idx="3">
                  <c:v>1.2038404723535814E-2</c:v>
                </c:pt>
                <c:pt idx="4">
                  <c:v>1.0264638440009737E-2</c:v>
                </c:pt>
              </c:numCache>
            </c:numRef>
          </c:val>
          <c:smooth val="0"/>
          <c:extLst>
            <c:ext xmlns:c16="http://schemas.microsoft.com/office/drawing/2014/chart" uri="{C3380CC4-5D6E-409C-BE32-E72D297353CC}">
              <c16:uniqueId val="{00000001-50EB-4932-98DA-0D071906B8A6}"/>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Percent</a:t>
                </a:r>
              </a:p>
            </c:rich>
          </c:tx>
          <c:overlay val="0"/>
        </c:title>
        <c:numFmt formatCode="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Enterprise Value/EBITDA: five companies</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Charts!$T$210:$T$214</c:f>
              <c:strCache>
                <c:ptCount val="5"/>
                <c:pt idx="0">
                  <c:v>FY2021</c:v>
                </c:pt>
                <c:pt idx="1">
                  <c:v>FY2022</c:v>
                </c:pt>
                <c:pt idx="2">
                  <c:v>FY2023</c:v>
                </c:pt>
                <c:pt idx="3">
                  <c:v>FY2024</c:v>
                </c:pt>
                <c:pt idx="4">
                  <c:v>FY2025</c:v>
                </c:pt>
              </c:strCache>
            </c:strRef>
          </c:cat>
          <c:val>
            <c:numRef>
              <c:f>Charts!$U$210:$U$214</c:f>
              <c:numCache>
                <c:formatCode>0.00</c:formatCode>
                <c:ptCount val="5"/>
                <c:pt idx="0">
                  <c:v>7.030703799061059</c:v>
                </c:pt>
                <c:pt idx="1">
                  <c:v>2.8460065892461768</c:v>
                </c:pt>
                <c:pt idx="2">
                  <c:v>3.0390586129963157</c:v>
                </c:pt>
                <c:pt idx="3">
                  <c:v>3.2191008909496732</c:v>
                </c:pt>
                <c:pt idx="4">
                  <c:v>3.6540457208322041</c:v>
                </c:pt>
              </c:numCache>
            </c:numRef>
          </c:val>
          <c:smooth val="0"/>
          <c:extLst>
            <c:ext xmlns:c16="http://schemas.microsoft.com/office/drawing/2014/chart" uri="{C3380CC4-5D6E-409C-BE32-E72D297353CC}">
              <c16:uniqueId val="{00000000-C39C-435E-B85B-17E60E182CB9}"/>
            </c:ext>
          </c:extLst>
        </c:ser>
        <c:ser>
          <c:idx val="1"/>
          <c:order val="1"/>
          <c:tx>
            <c:v>LUCK</c:v>
          </c:tx>
          <c:spPr>
            <a:ln w="15240">
              <a:solidFill>
                <a:srgbClr val="8CB369"/>
              </a:solidFill>
              <a:prstDash val="solid"/>
            </a:ln>
          </c:spPr>
          <c:marker>
            <c:symbol val="square"/>
            <c:size val="5"/>
            <c:spPr>
              <a:solidFill>
                <a:srgbClr val="8CB369"/>
              </a:solidFill>
              <a:ln>
                <a:solidFill>
                  <a:srgbClr val="8CB369"/>
                </a:solidFill>
                <a:prstDash val="solid"/>
              </a:ln>
            </c:spPr>
          </c:marker>
          <c:cat>
            <c:strRef>
              <c:f>Charts!$T$210:$T$214</c:f>
              <c:strCache>
                <c:ptCount val="5"/>
                <c:pt idx="0">
                  <c:v>FY2021</c:v>
                </c:pt>
                <c:pt idx="1">
                  <c:v>FY2022</c:v>
                </c:pt>
                <c:pt idx="2">
                  <c:v>FY2023</c:v>
                </c:pt>
                <c:pt idx="3">
                  <c:v>FY2024</c:v>
                </c:pt>
                <c:pt idx="4">
                  <c:v>FY2025</c:v>
                </c:pt>
              </c:strCache>
            </c:strRef>
          </c:cat>
          <c:val>
            <c:numRef>
              <c:f>Charts!$V$210:$V$214</c:f>
              <c:numCache>
                <c:formatCode>0.00</c:formatCode>
                <c:ptCount val="5"/>
                <c:pt idx="0">
                  <c:v>12.530231924140164</c:v>
                </c:pt>
                <c:pt idx="1">
                  <c:v>5.6439003003016683</c:v>
                </c:pt>
                <c:pt idx="2">
                  <c:v>5.6924500846825419</c:v>
                </c:pt>
                <c:pt idx="3">
                  <c:v>5.178403100254557</c:v>
                </c:pt>
                <c:pt idx="4">
                  <c:v>8.5282679327793396</c:v>
                </c:pt>
              </c:numCache>
            </c:numRef>
          </c:val>
          <c:smooth val="0"/>
          <c:extLst>
            <c:ext xmlns:c16="http://schemas.microsoft.com/office/drawing/2014/chart" uri="{C3380CC4-5D6E-409C-BE32-E72D297353CC}">
              <c16:uniqueId val="{00000001-C39C-435E-B85B-17E60E182CB9}"/>
            </c:ext>
          </c:extLst>
        </c:ser>
        <c:ser>
          <c:idx val="2"/>
          <c:order val="2"/>
          <c:tx>
            <c:v>DGKC</c:v>
          </c:tx>
          <c:spPr>
            <a:ln w="15240">
              <a:solidFill>
                <a:srgbClr val="C79A57"/>
              </a:solidFill>
              <a:prstDash val="solid"/>
            </a:ln>
          </c:spPr>
          <c:marker>
            <c:symbol val="diamond"/>
            <c:size val="5"/>
            <c:spPr>
              <a:solidFill>
                <a:srgbClr val="C79A57"/>
              </a:solidFill>
              <a:ln>
                <a:solidFill>
                  <a:srgbClr val="C79A57"/>
                </a:solidFill>
                <a:prstDash val="solid"/>
              </a:ln>
            </c:spPr>
          </c:marker>
          <c:cat>
            <c:strRef>
              <c:f>Charts!$T$210:$T$214</c:f>
              <c:strCache>
                <c:ptCount val="5"/>
                <c:pt idx="0">
                  <c:v>FY2021</c:v>
                </c:pt>
                <c:pt idx="1">
                  <c:v>FY2022</c:v>
                </c:pt>
                <c:pt idx="2">
                  <c:v>FY2023</c:v>
                </c:pt>
                <c:pt idx="3">
                  <c:v>FY2024</c:v>
                </c:pt>
                <c:pt idx="4">
                  <c:v>FY2025</c:v>
                </c:pt>
              </c:strCache>
            </c:strRef>
          </c:cat>
          <c:val>
            <c:numRef>
              <c:f>Charts!$W$210:$W$214</c:f>
              <c:numCache>
                <c:formatCode>0.00</c:formatCode>
                <c:ptCount val="5"/>
                <c:pt idx="0">
                  <c:v>8.4672094053907152</c:v>
                </c:pt>
                <c:pt idx="1">
                  <c:v>5.5150906801201929</c:v>
                </c:pt>
                <c:pt idx="2">
                  <c:v>4.7839328299471351</c:v>
                </c:pt>
                <c:pt idx="3">
                  <c:v>5.0911516840273263</c:v>
                </c:pt>
                <c:pt idx="4">
                  <c:v>4.5245291189336676</c:v>
                </c:pt>
              </c:numCache>
            </c:numRef>
          </c:val>
          <c:smooth val="0"/>
          <c:extLst>
            <c:ext xmlns:c16="http://schemas.microsoft.com/office/drawing/2014/chart" uri="{C3380CC4-5D6E-409C-BE32-E72D297353CC}">
              <c16:uniqueId val="{00000002-C39C-435E-B85B-17E60E182CB9}"/>
            </c:ext>
          </c:extLst>
        </c:ser>
        <c:ser>
          <c:idx val="3"/>
          <c:order val="3"/>
          <c:tx>
            <c:v>MLCF</c:v>
          </c:tx>
          <c:spPr>
            <a:ln w="15240">
              <a:solidFill>
                <a:srgbClr val="648B98"/>
              </a:solidFill>
              <a:prstDash val="solid"/>
            </a:ln>
          </c:spPr>
          <c:marker>
            <c:symbol val="triangle"/>
            <c:size val="5"/>
            <c:spPr>
              <a:solidFill>
                <a:srgbClr val="648B98"/>
              </a:solidFill>
              <a:ln>
                <a:solidFill>
                  <a:srgbClr val="648B98"/>
                </a:solidFill>
                <a:prstDash val="solid"/>
              </a:ln>
            </c:spPr>
          </c:marker>
          <c:cat>
            <c:strRef>
              <c:f>Charts!$T$210:$T$214</c:f>
              <c:strCache>
                <c:ptCount val="5"/>
                <c:pt idx="0">
                  <c:v>FY2021</c:v>
                </c:pt>
                <c:pt idx="1">
                  <c:v>FY2022</c:v>
                </c:pt>
                <c:pt idx="2">
                  <c:v>FY2023</c:v>
                </c:pt>
                <c:pt idx="3">
                  <c:v>FY2024</c:v>
                </c:pt>
                <c:pt idx="4">
                  <c:v>FY2025</c:v>
                </c:pt>
              </c:strCache>
            </c:strRef>
          </c:cat>
          <c:val>
            <c:numRef>
              <c:f>Charts!$X$210:$X$214</c:f>
              <c:numCache>
                <c:formatCode>0.00</c:formatCode>
                <c:ptCount val="5"/>
                <c:pt idx="0">
                  <c:v>5.6223501239668989</c:v>
                </c:pt>
                <c:pt idx="1">
                  <c:v>4.4912459172048038</c:v>
                </c:pt>
                <c:pt idx="2">
                  <c:v>3.2721791070017887</c:v>
                </c:pt>
                <c:pt idx="3">
                  <c:v>3.3522633268626687</c:v>
                </c:pt>
                <c:pt idx="4">
                  <c:v>3.4441662826745523</c:v>
                </c:pt>
              </c:numCache>
            </c:numRef>
          </c:val>
          <c:smooth val="0"/>
          <c:extLst>
            <c:ext xmlns:c16="http://schemas.microsoft.com/office/drawing/2014/chart" uri="{C3380CC4-5D6E-409C-BE32-E72D297353CC}">
              <c16:uniqueId val="{00000003-C39C-435E-B85B-17E60E182CB9}"/>
            </c:ext>
          </c:extLst>
        </c:ser>
        <c:ser>
          <c:idx val="4"/>
          <c:order val="4"/>
          <c:tx>
            <c:v>FCCL</c:v>
          </c:tx>
          <c:spPr>
            <a:ln w="15240">
              <a:solidFill>
                <a:srgbClr val="A59A89"/>
              </a:solidFill>
              <a:prstDash val="solid"/>
            </a:ln>
          </c:spPr>
          <c:marker>
            <c:symbol val="star"/>
            <c:size val="5"/>
            <c:spPr>
              <a:solidFill>
                <a:srgbClr val="A59A89"/>
              </a:solidFill>
              <a:ln>
                <a:solidFill>
                  <a:srgbClr val="A59A89"/>
                </a:solidFill>
                <a:prstDash val="solid"/>
              </a:ln>
            </c:spPr>
          </c:marker>
          <c:cat>
            <c:strRef>
              <c:f>Charts!$T$210:$T$214</c:f>
              <c:strCache>
                <c:ptCount val="5"/>
                <c:pt idx="0">
                  <c:v>FY2021</c:v>
                </c:pt>
                <c:pt idx="1">
                  <c:v>FY2022</c:v>
                </c:pt>
                <c:pt idx="2">
                  <c:v>FY2023</c:v>
                </c:pt>
                <c:pt idx="3">
                  <c:v>FY2024</c:v>
                </c:pt>
                <c:pt idx="4">
                  <c:v>FY2025</c:v>
                </c:pt>
              </c:strCache>
            </c:strRef>
          </c:cat>
          <c:val>
            <c:numRef>
              <c:f>Charts!$Y$210:$Y$214</c:f>
              <c:numCache>
                <c:formatCode>0.00</c:formatCode>
                <c:ptCount val="5"/>
                <c:pt idx="0">
                  <c:v>4.9126800998035849</c:v>
                </c:pt>
                <c:pt idx="1">
                  <c:v>3.9999441320816422</c:v>
                </c:pt>
                <c:pt idx="2">
                  <c:v>3.9638226712605413</c:v>
                </c:pt>
                <c:pt idx="3">
                  <c:v>3.9028355635230949</c:v>
                </c:pt>
                <c:pt idx="4">
                  <c:v>4.5760845203336329</c:v>
                </c:pt>
              </c:numCache>
            </c:numRef>
          </c:val>
          <c:smooth val="0"/>
          <c:extLst>
            <c:ext xmlns:c16="http://schemas.microsoft.com/office/drawing/2014/chart" uri="{C3380CC4-5D6E-409C-BE32-E72D297353CC}">
              <c16:uniqueId val="{00000004-C39C-435E-B85B-17E60E182CB9}"/>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Enterprise Value/EBITDA: KOHC vs industry average</a:t>
            </a:r>
          </a:p>
        </c:rich>
      </c:tx>
      <c:overlay val="0"/>
    </c:title>
    <c:autoTitleDeleted val="0"/>
    <c:plotArea>
      <c:layout/>
      <c:lineChart>
        <c:grouping val="standard"/>
        <c:varyColors val="0"/>
        <c:ser>
          <c:idx val="0"/>
          <c:order val="0"/>
          <c:tx>
            <c:v>KOHC</c:v>
          </c:tx>
          <c:spPr>
            <a:ln w="22860">
              <a:solidFill>
                <a:srgbClr val="204F3D"/>
              </a:solidFill>
              <a:prstDash val="solid"/>
            </a:ln>
          </c:spPr>
          <c:marker>
            <c:symbol val="circle"/>
            <c:size val="5"/>
            <c:spPr>
              <a:solidFill>
                <a:srgbClr val="204F3D"/>
              </a:solidFill>
              <a:ln>
                <a:solidFill>
                  <a:srgbClr val="204F3D"/>
                </a:solidFill>
                <a:prstDash val="solid"/>
              </a:ln>
            </c:spPr>
          </c:marker>
          <c:cat>
            <c:strRef>
              <c:f>Charts!$T$210:$T$214</c:f>
              <c:strCache>
                <c:ptCount val="5"/>
                <c:pt idx="0">
                  <c:v>FY2021</c:v>
                </c:pt>
                <c:pt idx="1">
                  <c:v>FY2022</c:v>
                </c:pt>
                <c:pt idx="2">
                  <c:v>FY2023</c:v>
                </c:pt>
                <c:pt idx="3">
                  <c:v>FY2024</c:v>
                </c:pt>
                <c:pt idx="4">
                  <c:v>FY2025</c:v>
                </c:pt>
              </c:strCache>
            </c:strRef>
          </c:cat>
          <c:val>
            <c:numRef>
              <c:f>Charts!$U$210:$U$214</c:f>
              <c:numCache>
                <c:formatCode>0.00</c:formatCode>
                <c:ptCount val="5"/>
                <c:pt idx="0">
                  <c:v>7.030703799061059</c:v>
                </c:pt>
                <c:pt idx="1">
                  <c:v>2.8460065892461768</c:v>
                </c:pt>
                <c:pt idx="2">
                  <c:v>3.0390586129963157</c:v>
                </c:pt>
                <c:pt idx="3">
                  <c:v>3.2191008909496732</c:v>
                </c:pt>
                <c:pt idx="4">
                  <c:v>3.6540457208322041</c:v>
                </c:pt>
              </c:numCache>
            </c:numRef>
          </c:val>
          <c:smooth val="0"/>
          <c:extLst>
            <c:ext xmlns:c16="http://schemas.microsoft.com/office/drawing/2014/chart" uri="{C3380CC4-5D6E-409C-BE32-E72D297353CC}">
              <c16:uniqueId val="{00000000-CD72-4E3C-8A8B-04B324BC93F3}"/>
            </c:ext>
          </c:extLst>
        </c:ser>
        <c:ser>
          <c:idx val="1"/>
          <c:order val="1"/>
          <c:tx>
            <c:v>Industry average</c:v>
          </c:tx>
          <c:spPr>
            <a:ln w="22860">
              <a:solidFill>
                <a:srgbClr val="424A46"/>
              </a:solidFill>
              <a:prstDash val="dash"/>
            </a:ln>
          </c:spPr>
          <c:marker>
            <c:symbol val="square"/>
            <c:size val="5"/>
            <c:spPr>
              <a:solidFill>
                <a:srgbClr val="424A46"/>
              </a:solidFill>
              <a:ln>
                <a:solidFill>
                  <a:srgbClr val="424A46"/>
                </a:solidFill>
                <a:prstDash val="solid"/>
              </a:ln>
            </c:spPr>
          </c:marker>
          <c:cat>
            <c:strRef>
              <c:f>Charts!$T$210:$T$214</c:f>
              <c:strCache>
                <c:ptCount val="5"/>
                <c:pt idx="0">
                  <c:v>FY2021</c:v>
                </c:pt>
                <c:pt idx="1">
                  <c:v>FY2022</c:v>
                </c:pt>
                <c:pt idx="2">
                  <c:v>FY2023</c:v>
                </c:pt>
                <c:pt idx="3">
                  <c:v>FY2024</c:v>
                </c:pt>
                <c:pt idx="4">
                  <c:v>FY2025</c:v>
                </c:pt>
              </c:strCache>
            </c:strRef>
          </c:cat>
          <c:val>
            <c:numRef>
              <c:f>Charts!$Z$210:$Z$214</c:f>
              <c:numCache>
                <c:formatCode>0.00</c:formatCode>
                <c:ptCount val="5"/>
                <c:pt idx="0">
                  <c:v>7.7126350704724844</c:v>
                </c:pt>
                <c:pt idx="1">
                  <c:v>4.4992375237908968</c:v>
                </c:pt>
                <c:pt idx="2">
                  <c:v>4.1502886611776644</c:v>
                </c:pt>
                <c:pt idx="3">
                  <c:v>4.1487509131234637</c:v>
                </c:pt>
                <c:pt idx="4">
                  <c:v>4.9454187151106792</c:v>
                </c:pt>
              </c:numCache>
            </c:numRef>
          </c:val>
          <c:smooth val="0"/>
          <c:extLst>
            <c:ext xmlns:c16="http://schemas.microsoft.com/office/drawing/2014/chart" uri="{C3380CC4-5D6E-409C-BE32-E72D297353CC}">
              <c16:uniqueId val="{00000001-CD72-4E3C-8A8B-04B324BC93F3}"/>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US"/>
                  <a:t>Times (x)</a:t>
                </a:r>
              </a:p>
            </c:rich>
          </c:tx>
          <c:overlay val="0"/>
        </c:title>
        <c:numFmt formatCode="0.00" sourceLinked="0"/>
        <c:majorTickMark val="none"/>
        <c:minorTickMark val="none"/>
        <c:tickLblPos val="nextTo"/>
        <c:crossAx val="48650112"/>
        <c:crosses val="autoZero"/>
        <c:crossBetween val="between"/>
      </c:valAx>
    </c:plotArea>
    <c:legend>
      <c:legendPos val="b"/>
      <c:overlay val="0"/>
      <c:txPr>
        <a:bodyPr/>
        <a:lstStyle/>
        <a:p>
          <a:pPr>
            <a:defRPr sz="1000"/>
          </a:pPr>
          <a:endParaRPr lang="en-US"/>
        </a:p>
      </c:txPr>
    </c:legend>
    <c:plotVisOnly val="0"/>
    <c:dispBlanksAs val="gap"/>
    <c:showDLblsOverMax val="1"/>
  </c:chart>
  <c:spPr>
    <a:ln w="9525">
      <a:solidFill>
        <a:srgbClr val="D9D9D9"/>
      </a:solidFill>
      <a:prstDash val="solid"/>
    </a:ln>
  </c:spPr>
  <c:txPr>
    <a:bodyPr/>
    <a:lstStyle/>
    <a:p>
      <a:pPr>
        <a:defRPr sz="1000">
          <a:latin typeface="Calibri"/>
          <a:ea typeface="Calibri"/>
          <a:cs typeface="Calibri"/>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0" Type="http://schemas.openxmlformats.org/officeDocument/2006/relationships/chart" Target="../charts/chart10.xml"/><Relationship Id="rId19" Type="http://schemas.openxmlformats.org/officeDocument/2006/relationships/chart" Target="../charts/chart19.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0</xdr:rowOff>
    </xdr:from>
    <xdr:to>
      <xdr:col>9</xdr:col>
      <xdr:colOff>0</xdr:colOff>
      <xdr:row>28</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6</xdr:row>
      <xdr:rowOff>0</xdr:rowOff>
    </xdr:from>
    <xdr:to>
      <xdr:col>19</xdr:col>
      <xdr:colOff>0</xdr:colOff>
      <xdr:row>28</xdr:row>
      <xdr:rowOff>0</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29</xdr:row>
      <xdr:rowOff>0</xdr:rowOff>
    </xdr:from>
    <xdr:to>
      <xdr:col>9</xdr:col>
      <xdr:colOff>0</xdr:colOff>
      <xdr:row>51</xdr:row>
      <xdr:rowOff>0</xdr:rowOff>
    </xdr:to>
    <xdr:graphicFrame macro="">
      <xdr:nvGraphicFramePr>
        <xdr:cNvPr id="4" name="Chart">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29</xdr:row>
      <xdr:rowOff>0</xdr:rowOff>
    </xdr:from>
    <xdr:to>
      <xdr:col>19</xdr:col>
      <xdr:colOff>0</xdr:colOff>
      <xdr:row>51</xdr:row>
      <xdr:rowOff>0</xdr:rowOff>
    </xdr:to>
    <xdr:graphicFrame macro="">
      <xdr:nvGraphicFramePr>
        <xdr:cNvPr id="5" name="Chart">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52</xdr:row>
      <xdr:rowOff>0</xdr:rowOff>
    </xdr:from>
    <xdr:to>
      <xdr:col>9</xdr:col>
      <xdr:colOff>0</xdr:colOff>
      <xdr:row>74</xdr:row>
      <xdr:rowOff>0</xdr:rowOff>
    </xdr:to>
    <xdr:graphicFrame macro="">
      <xdr:nvGraphicFramePr>
        <xdr:cNvPr id="6" name="Chart">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0</xdr:colOff>
      <xdr:row>52</xdr:row>
      <xdr:rowOff>0</xdr:rowOff>
    </xdr:from>
    <xdr:to>
      <xdr:col>19</xdr:col>
      <xdr:colOff>0</xdr:colOff>
      <xdr:row>74</xdr:row>
      <xdr:rowOff>0</xdr:rowOff>
    </xdr:to>
    <xdr:graphicFrame macro="">
      <xdr:nvGraphicFramePr>
        <xdr:cNvPr id="7" name="Chart">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75</xdr:row>
      <xdr:rowOff>0</xdr:rowOff>
    </xdr:from>
    <xdr:to>
      <xdr:col>9</xdr:col>
      <xdr:colOff>0</xdr:colOff>
      <xdr:row>97</xdr:row>
      <xdr:rowOff>0</xdr:rowOff>
    </xdr:to>
    <xdr:graphicFrame macro="">
      <xdr:nvGraphicFramePr>
        <xdr:cNvPr id="8" name="Chart">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0</xdr:colOff>
      <xdr:row>75</xdr:row>
      <xdr:rowOff>0</xdr:rowOff>
    </xdr:from>
    <xdr:to>
      <xdr:col>19</xdr:col>
      <xdr:colOff>0</xdr:colOff>
      <xdr:row>97</xdr:row>
      <xdr:rowOff>0</xdr:rowOff>
    </xdr:to>
    <xdr:graphicFrame macro="">
      <xdr:nvGraphicFramePr>
        <xdr:cNvPr id="9" name="Chart">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98</xdr:row>
      <xdr:rowOff>0</xdr:rowOff>
    </xdr:from>
    <xdr:to>
      <xdr:col>9</xdr:col>
      <xdr:colOff>0</xdr:colOff>
      <xdr:row>120</xdr:row>
      <xdr:rowOff>0</xdr:rowOff>
    </xdr:to>
    <xdr:graphicFrame macro="">
      <xdr:nvGraphicFramePr>
        <xdr:cNvPr id="10" name="Chart">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0</xdr:colOff>
      <xdr:row>98</xdr:row>
      <xdr:rowOff>0</xdr:rowOff>
    </xdr:from>
    <xdr:to>
      <xdr:col>19</xdr:col>
      <xdr:colOff>0</xdr:colOff>
      <xdr:row>120</xdr:row>
      <xdr:rowOff>0</xdr:rowOff>
    </xdr:to>
    <xdr:graphicFrame macro="">
      <xdr:nvGraphicFramePr>
        <xdr:cNvPr id="11" name="Chart">
          <a:extLst>
            <a:ext uri="{FF2B5EF4-FFF2-40B4-BE49-F238E27FC236}">
              <a16:creationId xmlns:a16="http://schemas.microsoft.com/office/drawing/2014/main" id="{00000000-0008-0000-07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121</xdr:row>
      <xdr:rowOff>0</xdr:rowOff>
    </xdr:from>
    <xdr:to>
      <xdr:col>9</xdr:col>
      <xdr:colOff>0</xdr:colOff>
      <xdr:row>143</xdr:row>
      <xdr:rowOff>0</xdr:rowOff>
    </xdr:to>
    <xdr:graphicFrame macro="">
      <xdr:nvGraphicFramePr>
        <xdr:cNvPr id="12" name="Chart">
          <a:extLst>
            <a:ext uri="{FF2B5EF4-FFF2-40B4-BE49-F238E27FC236}">
              <a16:creationId xmlns:a16="http://schemas.microsoft.com/office/drawing/2014/main" id="{00000000-0008-0000-07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0</xdr:colOff>
      <xdr:row>121</xdr:row>
      <xdr:rowOff>0</xdr:rowOff>
    </xdr:from>
    <xdr:to>
      <xdr:col>19</xdr:col>
      <xdr:colOff>0</xdr:colOff>
      <xdr:row>143</xdr:row>
      <xdr:rowOff>0</xdr:rowOff>
    </xdr:to>
    <xdr:graphicFrame macro="">
      <xdr:nvGraphicFramePr>
        <xdr:cNvPr id="13" name="Chart">
          <a:extLst>
            <a:ext uri="{FF2B5EF4-FFF2-40B4-BE49-F238E27FC236}">
              <a16:creationId xmlns:a16="http://schemas.microsoft.com/office/drawing/2014/main" id="{00000000-0008-0000-07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144</xdr:row>
      <xdr:rowOff>0</xdr:rowOff>
    </xdr:from>
    <xdr:to>
      <xdr:col>9</xdr:col>
      <xdr:colOff>0</xdr:colOff>
      <xdr:row>166</xdr:row>
      <xdr:rowOff>0</xdr:rowOff>
    </xdr:to>
    <xdr:graphicFrame macro="">
      <xdr:nvGraphicFramePr>
        <xdr:cNvPr id="14" name="Chart">
          <a:extLst>
            <a:ext uri="{FF2B5EF4-FFF2-40B4-BE49-F238E27FC236}">
              <a16:creationId xmlns:a16="http://schemas.microsoft.com/office/drawing/2014/main" id="{00000000-0008-0000-07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10</xdr:col>
      <xdr:colOff>0</xdr:colOff>
      <xdr:row>144</xdr:row>
      <xdr:rowOff>0</xdr:rowOff>
    </xdr:from>
    <xdr:to>
      <xdr:col>19</xdr:col>
      <xdr:colOff>0</xdr:colOff>
      <xdr:row>166</xdr:row>
      <xdr:rowOff>0</xdr:rowOff>
    </xdr:to>
    <xdr:graphicFrame macro="">
      <xdr:nvGraphicFramePr>
        <xdr:cNvPr id="15" name="Chart">
          <a:extLst>
            <a:ext uri="{FF2B5EF4-FFF2-40B4-BE49-F238E27FC236}">
              <a16:creationId xmlns:a16="http://schemas.microsoft.com/office/drawing/2014/main" id="{00000000-0008-0000-07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167</xdr:row>
      <xdr:rowOff>0</xdr:rowOff>
    </xdr:from>
    <xdr:to>
      <xdr:col>9</xdr:col>
      <xdr:colOff>0</xdr:colOff>
      <xdr:row>189</xdr:row>
      <xdr:rowOff>0</xdr:rowOff>
    </xdr:to>
    <xdr:graphicFrame macro="">
      <xdr:nvGraphicFramePr>
        <xdr:cNvPr id="16" name="Chart">
          <a:extLst>
            <a:ext uri="{FF2B5EF4-FFF2-40B4-BE49-F238E27FC236}">
              <a16:creationId xmlns:a16="http://schemas.microsoft.com/office/drawing/2014/main" id="{00000000-0008-0000-07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0</xdr:colOff>
      <xdr:row>167</xdr:row>
      <xdr:rowOff>0</xdr:rowOff>
    </xdr:from>
    <xdr:to>
      <xdr:col>19</xdr:col>
      <xdr:colOff>0</xdr:colOff>
      <xdr:row>189</xdr:row>
      <xdr:rowOff>0</xdr:rowOff>
    </xdr:to>
    <xdr:graphicFrame macro="">
      <xdr:nvGraphicFramePr>
        <xdr:cNvPr id="17" name="Chart">
          <a:extLst>
            <a:ext uri="{FF2B5EF4-FFF2-40B4-BE49-F238E27FC236}">
              <a16:creationId xmlns:a16="http://schemas.microsoft.com/office/drawing/2014/main" id="{00000000-0008-0000-07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190</xdr:row>
      <xdr:rowOff>0</xdr:rowOff>
    </xdr:from>
    <xdr:to>
      <xdr:col>9</xdr:col>
      <xdr:colOff>0</xdr:colOff>
      <xdr:row>212</xdr:row>
      <xdr:rowOff>0</xdr:rowOff>
    </xdr:to>
    <xdr:graphicFrame macro="">
      <xdr:nvGraphicFramePr>
        <xdr:cNvPr id="18" name="Chart">
          <a:extLst>
            <a:ext uri="{FF2B5EF4-FFF2-40B4-BE49-F238E27FC236}">
              <a16:creationId xmlns:a16="http://schemas.microsoft.com/office/drawing/2014/main" id="{00000000-0008-0000-07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10</xdr:col>
      <xdr:colOff>0</xdr:colOff>
      <xdr:row>190</xdr:row>
      <xdr:rowOff>0</xdr:rowOff>
    </xdr:from>
    <xdr:to>
      <xdr:col>19</xdr:col>
      <xdr:colOff>0</xdr:colOff>
      <xdr:row>212</xdr:row>
      <xdr:rowOff>0</xdr:rowOff>
    </xdr:to>
    <xdr:graphicFrame macro="">
      <xdr:nvGraphicFramePr>
        <xdr:cNvPr id="19" name="Chart">
          <a:extLst>
            <a:ext uri="{FF2B5EF4-FFF2-40B4-BE49-F238E27FC236}">
              <a16:creationId xmlns:a16="http://schemas.microsoft.com/office/drawing/2014/main" id="{00000000-0008-0000-07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213</xdr:row>
      <xdr:rowOff>0</xdr:rowOff>
    </xdr:from>
    <xdr:to>
      <xdr:col>9</xdr:col>
      <xdr:colOff>0</xdr:colOff>
      <xdr:row>235</xdr:row>
      <xdr:rowOff>0</xdr:rowOff>
    </xdr:to>
    <xdr:graphicFrame macro="">
      <xdr:nvGraphicFramePr>
        <xdr:cNvPr id="20" name="Chart">
          <a:extLst>
            <a:ext uri="{FF2B5EF4-FFF2-40B4-BE49-F238E27FC236}">
              <a16:creationId xmlns:a16="http://schemas.microsoft.com/office/drawing/2014/main" id="{00000000-0008-0000-07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10</xdr:col>
      <xdr:colOff>0</xdr:colOff>
      <xdr:row>213</xdr:row>
      <xdr:rowOff>0</xdr:rowOff>
    </xdr:from>
    <xdr:to>
      <xdr:col>19</xdr:col>
      <xdr:colOff>0</xdr:colOff>
      <xdr:row>235</xdr:row>
      <xdr:rowOff>0</xdr:rowOff>
    </xdr:to>
    <xdr:graphicFrame macro="">
      <xdr:nvGraphicFramePr>
        <xdr:cNvPr id="21" name="Chart">
          <a:extLst>
            <a:ext uri="{FF2B5EF4-FFF2-40B4-BE49-F238E27FC236}">
              <a16:creationId xmlns:a16="http://schemas.microsoft.com/office/drawing/2014/main" id="{00000000-0008-0000-07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0</xdr:col>
      <xdr:colOff>0</xdr:colOff>
      <xdr:row>236</xdr:row>
      <xdr:rowOff>0</xdr:rowOff>
    </xdr:from>
    <xdr:to>
      <xdr:col>9</xdr:col>
      <xdr:colOff>0</xdr:colOff>
      <xdr:row>258</xdr:row>
      <xdr:rowOff>0</xdr:rowOff>
    </xdr:to>
    <xdr:graphicFrame macro="">
      <xdr:nvGraphicFramePr>
        <xdr:cNvPr id="22" name="Chart">
          <a:extLst>
            <a:ext uri="{FF2B5EF4-FFF2-40B4-BE49-F238E27FC236}">
              <a16:creationId xmlns:a16="http://schemas.microsoft.com/office/drawing/2014/main" id="{00000000-0008-0000-07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10</xdr:col>
      <xdr:colOff>0</xdr:colOff>
      <xdr:row>236</xdr:row>
      <xdr:rowOff>0</xdr:rowOff>
    </xdr:from>
    <xdr:to>
      <xdr:col>19</xdr:col>
      <xdr:colOff>0</xdr:colOff>
      <xdr:row>258</xdr:row>
      <xdr:rowOff>0</xdr:rowOff>
    </xdr:to>
    <xdr:graphicFrame macro="">
      <xdr:nvGraphicFramePr>
        <xdr:cNvPr id="23" name="Chart">
          <a:extLst>
            <a:ext uri="{FF2B5EF4-FFF2-40B4-BE49-F238E27FC236}">
              <a16:creationId xmlns:a16="http://schemas.microsoft.com/office/drawing/2014/main" id="{00000000-0008-0000-07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0</xdr:col>
      <xdr:colOff>0</xdr:colOff>
      <xdr:row>259</xdr:row>
      <xdr:rowOff>0</xdr:rowOff>
    </xdr:from>
    <xdr:to>
      <xdr:col>9</xdr:col>
      <xdr:colOff>0</xdr:colOff>
      <xdr:row>281</xdr:row>
      <xdr:rowOff>0</xdr:rowOff>
    </xdr:to>
    <xdr:graphicFrame macro="">
      <xdr:nvGraphicFramePr>
        <xdr:cNvPr id="24" name="Chart">
          <a:extLst>
            <a:ext uri="{FF2B5EF4-FFF2-40B4-BE49-F238E27FC236}">
              <a16:creationId xmlns:a16="http://schemas.microsoft.com/office/drawing/2014/main" id="{00000000-0008-0000-07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10</xdr:col>
      <xdr:colOff>0</xdr:colOff>
      <xdr:row>259</xdr:row>
      <xdr:rowOff>0</xdr:rowOff>
    </xdr:from>
    <xdr:to>
      <xdr:col>19</xdr:col>
      <xdr:colOff>0</xdr:colOff>
      <xdr:row>281</xdr:row>
      <xdr:rowOff>0</xdr:rowOff>
    </xdr:to>
    <xdr:graphicFrame macro="">
      <xdr:nvGraphicFramePr>
        <xdr:cNvPr id="25" name="Chart">
          <a:extLst>
            <a:ext uri="{FF2B5EF4-FFF2-40B4-BE49-F238E27FC236}">
              <a16:creationId xmlns:a16="http://schemas.microsoft.com/office/drawing/2014/main" id="{00000000-0008-0000-07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0</xdr:col>
      <xdr:colOff>0</xdr:colOff>
      <xdr:row>282</xdr:row>
      <xdr:rowOff>0</xdr:rowOff>
    </xdr:from>
    <xdr:to>
      <xdr:col>9</xdr:col>
      <xdr:colOff>0</xdr:colOff>
      <xdr:row>304</xdr:row>
      <xdr:rowOff>0</xdr:rowOff>
    </xdr:to>
    <xdr:graphicFrame macro="">
      <xdr:nvGraphicFramePr>
        <xdr:cNvPr id="26" name="Chart">
          <a:extLst>
            <a:ext uri="{FF2B5EF4-FFF2-40B4-BE49-F238E27FC236}">
              <a16:creationId xmlns:a16="http://schemas.microsoft.com/office/drawing/2014/main" id="{00000000-0008-0000-07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10</xdr:col>
      <xdr:colOff>0</xdr:colOff>
      <xdr:row>282</xdr:row>
      <xdr:rowOff>0</xdr:rowOff>
    </xdr:from>
    <xdr:to>
      <xdr:col>19</xdr:col>
      <xdr:colOff>0</xdr:colOff>
      <xdr:row>304</xdr:row>
      <xdr:rowOff>0</xdr:rowOff>
    </xdr:to>
    <xdr:graphicFrame macro="">
      <xdr:nvGraphicFramePr>
        <xdr:cNvPr id="27" name="Chart">
          <a:extLst>
            <a:ext uri="{FF2B5EF4-FFF2-40B4-BE49-F238E27FC236}">
              <a16:creationId xmlns:a16="http://schemas.microsoft.com/office/drawing/2014/main" id="{00000000-0008-0000-07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0</xdr:col>
      <xdr:colOff>0</xdr:colOff>
      <xdr:row>305</xdr:row>
      <xdr:rowOff>0</xdr:rowOff>
    </xdr:from>
    <xdr:to>
      <xdr:col>9</xdr:col>
      <xdr:colOff>0</xdr:colOff>
      <xdr:row>327</xdr:row>
      <xdr:rowOff>0</xdr:rowOff>
    </xdr:to>
    <xdr:graphicFrame macro="">
      <xdr:nvGraphicFramePr>
        <xdr:cNvPr id="28" name="Chart">
          <a:extLst>
            <a:ext uri="{FF2B5EF4-FFF2-40B4-BE49-F238E27FC236}">
              <a16:creationId xmlns:a16="http://schemas.microsoft.com/office/drawing/2014/main" id="{00000000-0008-0000-07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10</xdr:col>
      <xdr:colOff>0</xdr:colOff>
      <xdr:row>305</xdr:row>
      <xdr:rowOff>0</xdr:rowOff>
    </xdr:from>
    <xdr:to>
      <xdr:col>19</xdr:col>
      <xdr:colOff>0</xdr:colOff>
      <xdr:row>327</xdr:row>
      <xdr:rowOff>0</xdr:rowOff>
    </xdr:to>
    <xdr:graphicFrame macro="">
      <xdr:nvGraphicFramePr>
        <xdr:cNvPr id="29" name="Chart">
          <a:extLst>
            <a:ext uri="{FF2B5EF4-FFF2-40B4-BE49-F238E27FC236}">
              <a16:creationId xmlns:a16="http://schemas.microsoft.com/office/drawing/2014/main" id="{00000000-0008-0000-07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0</xdr:col>
      <xdr:colOff>0</xdr:colOff>
      <xdr:row>328</xdr:row>
      <xdr:rowOff>0</xdr:rowOff>
    </xdr:from>
    <xdr:to>
      <xdr:col>9</xdr:col>
      <xdr:colOff>0</xdr:colOff>
      <xdr:row>350</xdr:row>
      <xdr:rowOff>0</xdr:rowOff>
    </xdr:to>
    <xdr:graphicFrame macro="">
      <xdr:nvGraphicFramePr>
        <xdr:cNvPr id="30" name="Chart">
          <a:extLst>
            <a:ext uri="{FF2B5EF4-FFF2-40B4-BE49-F238E27FC236}">
              <a16:creationId xmlns:a16="http://schemas.microsoft.com/office/drawing/2014/main" id="{00000000-0008-0000-07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10</xdr:col>
      <xdr:colOff>0</xdr:colOff>
      <xdr:row>328</xdr:row>
      <xdr:rowOff>0</xdr:rowOff>
    </xdr:from>
    <xdr:to>
      <xdr:col>19</xdr:col>
      <xdr:colOff>0</xdr:colOff>
      <xdr:row>350</xdr:row>
      <xdr:rowOff>0</xdr:rowOff>
    </xdr:to>
    <xdr:graphicFrame macro="">
      <xdr:nvGraphicFramePr>
        <xdr:cNvPr id="31" name="Chart">
          <a:extLst>
            <a:ext uri="{FF2B5EF4-FFF2-40B4-BE49-F238E27FC236}">
              <a16:creationId xmlns:a16="http://schemas.microsoft.com/office/drawing/2014/main" id="{00000000-0008-0000-07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0</xdr:col>
      <xdr:colOff>0</xdr:colOff>
      <xdr:row>351</xdr:row>
      <xdr:rowOff>0</xdr:rowOff>
    </xdr:from>
    <xdr:to>
      <xdr:col>9</xdr:col>
      <xdr:colOff>0</xdr:colOff>
      <xdr:row>373</xdr:row>
      <xdr:rowOff>0</xdr:rowOff>
    </xdr:to>
    <xdr:graphicFrame macro="">
      <xdr:nvGraphicFramePr>
        <xdr:cNvPr id="32" name="Chart">
          <a:extLst>
            <a:ext uri="{FF2B5EF4-FFF2-40B4-BE49-F238E27FC236}">
              <a16:creationId xmlns:a16="http://schemas.microsoft.com/office/drawing/2014/main" id="{00000000-0008-0000-07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10</xdr:col>
      <xdr:colOff>0</xdr:colOff>
      <xdr:row>351</xdr:row>
      <xdr:rowOff>0</xdr:rowOff>
    </xdr:from>
    <xdr:to>
      <xdr:col>19</xdr:col>
      <xdr:colOff>0</xdr:colOff>
      <xdr:row>373</xdr:row>
      <xdr:rowOff>0</xdr:rowOff>
    </xdr:to>
    <xdr:graphicFrame macro="">
      <xdr:nvGraphicFramePr>
        <xdr:cNvPr id="33" name="Chart">
          <a:extLst>
            <a:ext uri="{FF2B5EF4-FFF2-40B4-BE49-F238E27FC236}">
              <a16:creationId xmlns:a16="http://schemas.microsoft.com/office/drawing/2014/main" id="{00000000-0008-0000-07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0</xdr:col>
      <xdr:colOff>0</xdr:colOff>
      <xdr:row>374</xdr:row>
      <xdr:rowOff>0</xdr:rowOff>
    </xdr:from>
    <xdr:to>
      <xdr:col>9</xdr:col>
      <xdr:colOff>0</xdr:colOff>
      <xdr:row>396</xdr:row>
      <xdr:rowOff>0</xdr:rowOff>
    </xdr:to>
    <xdr:graphicFrame macro="">
      <xdr:nvGraphicFramePr>
        <xdr:cNvPr id="34" name="Chart">
          <a:extLst>
            <a:ext uri="{FF2B5EF4-FFF2-40B4-BE49-F238E27FC236}">
              <a16:creationId xmlns:a16="http://schemas.microsoft.com/office/drawing/2014/main" id="{00000000-0008-0000-07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10</xdr:col>
      <xdr:colOff>0</xdr:colOff>
      <xdr:row>374</xdr:row>
      <xdr:rowOff>0</xdr:rowOff>
    </xdr:from>
    <xdr:to>
      <xdr:col>19</xdr:col>
      <xdr:colOff>0</xdr:colOff>
      <xdr:row>396</xdr:row>
      <xdr:rowOff>0</xdr:rowOff>
    </xdr:to>
    <xdr:graphicFrame macro="">
      <xdr:nvGraphicFramePr>
        <xdr:cNvPr id="35" name="Chart">
          <a:extLst>
            <a:ext uri="{FF2B5EF4-FFF2-40B4-BE49-F238E27FC236}">
              <a16:creationId xmlns:a16="http://schemas.microsoft.com/office/drawing/2014/main" id="{00000000-0008-0000-07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0</xdr:col>
      <xdr:colOff>0</xdr:colOff>
      <xdr:row>397</xdr:row>
      <xdr:rowOff>0</xdr:rowOff>
    </xdr:from>
    <xdr:to>
      <xdr:col>9</xdr:col>
      <xdr:colOff>0</xdr:colOff>
      <xdr:row>419</xdr:row>
      <xdr:rowOff>0</xdr:rowOff>
    </xdr:to>
    <xdr:graphicFrame macro="">
      <xdr:nvGraphicFramePr>
        <xdr:cNvPr id="36" name="Chart">
          <a:extLst>
            <a:ext uri="{FF2B5EF4-FFF2-40B4-BE49-F238E27FC236}">
              <a16:creationId xmlns:a16="http://schemas.microsoft.com/office/drawing/2014/main" id="{00000000-0008-0000-07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10</xdr:col>
      <xdr:colOff>0</xdr:colOff>
      <xdr:row>397</xdr:row>
      <xdr:rowOff>0</xdr:rowOff>
    </xdr:from>
    <xdr:to>
      <xdr:col>19</xdr:col>
      <xdr:colOff>0</xdr:colOff>
      <xdr:row>419</xdr:row>
      <xdr:rowOff>0</xdr:rowOff>
    </xdr:to>
    <xdr:graphicFrame macro="">
      <xdr:nvGraphicFramePr>
        <xdr:cNvPr id="37" name="Chart">
          <a:extLst>
            <a:ext uri="{FF2B5EF4-FFF2-40B4-BE49-F238E27FC236}">
              <a16:creationId xmlns:a16="http://schemas.microsoft.com/office/drawing/2014/main" id="{00000000-0008-0000-07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0</xdr:col>
      <xdr:colOff>0</xdr:colOff>
      <xdr:row>420</xdr:row>
      <xdr:rowOff>0</xdr:rowOff>
    </xdr:from>
    <xdr:to>
      <xdr:col>9</xdr:col>
      <xdr:colOff>0</xdr:colOff>
      <xdr:row>442</xdr:row>
      <xdr:rowOff>0</xdr:rowOff>
    </xdr:to>
    <xdr:graphicFrame macro="">
      <xdr:nvGraphicFramePr>
        <xdr:cNvPr id="38" name="Chart">
          <a:extLst>
            <a:ext uri="{FF2B5EF4-FFF2-40B4-BE49-F238E27FC236}">
              <a16:creationId xmlns:a16="http://schemas.microsoft.com/office/drawing/2014/main" id="{00000000-0008-0000-07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10</xdr:col>
      <xdr:colOff>0</xdr:colOff>
      <xdr:row>420</xdr:row>
      <xdr:rowOff>0</xdr:rowOff>
    </xdr:from>
    <xdr:to>
      <xdr:col>19</xdr:col>
      <xdr:colOff>0</xdr:colOff>
      <xdr:row>442</xdr:row>
      <xdr:rowOff>0</xdr:rowOff>
    </xdr:to>
    <xdr:graphicFrame macro="">
      <xdr:nvGraphicFramePr>
        <xdr:cNvPr id="39" name="Chart">
          <a:extLst>
            <a:ext uri="{FF2B5EF4-FFF2-40B4-BE49-F238E27FC236}">
              <a16:creationId xmlns:a16="http://schemas.microsoft.com/office/drawing/2014/main" id="{00000000-0008-0000-07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0</xdr:col>
      <xdr:colOff>0</xdr:colOff>
      <xdr:row>443</xdr:row>
      <xdr:rowOff>0</xdr:rowOff>
    </xdr:from>
    <xdr:to>
      <xdr:col>9</xdr:col>
      <xdr:colOff>0</xdr:colOff>
      <xdr:row>465</xdr:row>
      <xdr:rowOff>0</xdr:rowOff>
    </xdr:to>
    <xdr:graphicFrame macro="">
      <xdr:nvGraphicFramePr>
        <xdr:cNvPr id="40" name="Chart">
          <a:extLst>
            <a:ext uri="{FF2B5EF4-FFF2-40B4-BE49-F238E27FC236}">
              <a16:creationId xmlns:a16="http://schemas.microsoft.com/office/drawing/2014/main" id="{00000000-0008-0000-07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10</xdr:col>
      <xdr:colOff>0</xdr:colOff>
      <xdr:row>443</xdr:row>
      <xdr:rowOff>0</xdr:rowOff>
    </xdr:from>
    <xdr:to>
      <xdr:col>19</xdr:col>
      <xdr:colOff>0</xdr:colOff>
      <xdr:row>465</xdr:row>
      <xdr:rowOff>0</xdr:rowOff>
    </xdr:to>
    <xdr:graphicFrame macro="">
      <xdr:nvGraphicFramePr>
        <xdr:cNvPr id="41" name="Chart">
          <a:extLst>
            <a:ext uri="{FF2B5EF4-FFF2-40B4-BE49-F238E27FC236}">
              <a16:creationId xmlns:a16="http://schemas.microsoft.com/office/drawing/2014/main" id="{00000000-0008-0000-07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0</xdr:col>
      <xdr:colOff>0</xdr:colOff>
      <xdr:row>466</xdr:row>
      <xdr:rowOff>0</xdr:rowOff>
    </xdr:from>
    <xdr:to>
      <xdr:col>9</xdr:col>
      <xdr:colOff>0</xdr:colOff>
      <xdr:row>488</xdr:row>
      <xdr:rowOff>0</xdr:rowOff>
    </xdr:to>
    <xdr:graphicFrame macro="">
      <xdr:nvGraphicFramePr>
        <xdr:cNvPr id="42" name="Chart">
          <a:extLst>
            <a:ext uri="{FF2B5EF4-FFF2-40B4-BE49-F238E27FC236}">
              <a16:creationId xmlns:a16="http://schemas.microsoft.com/office/drawing/2014/main" id="{00000000-0008-0000-07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10</xdr:col>
      <xdr:colOff>0</xdr:colOff>
      <xdr:row>466</xdr:row>
      <xdr:rowOff>0</xdr:rowOff>
    </xdr:from>
    <xdr:to>
      <xdr:col>19</xdr:col>
      <xdr:colOff>0</xdr:colOff>
      <xdr:row>488</xdr:row>
      <xdr:rowOff>0</xdr:rowOff>
    </xdr:to>
    <xdr:graphicFrame macro="">
      <xdr:nvGraphicFramePr>
        <xdr:cNvPr id="43" name="Chart">
          <a:extLst>
            <a:ext uri="{FF2B5EF4-FFF2-40B4-BE49-F238E27FC236}">
              <a16:creationId xmlns:a16="http://schemas.microsoft.com/office/drawing/2014/main" id="{00000000-0008-0000-07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0</xdr:col>
      <xdr:colOff>0</xdr:colOff>
      <xdr:row>489</xdr:row>
      <xdr:rowOff>0</xdr:rowOff>
    </xdr:from>
    <xdr:to>
      <xdr:col>9</xdr:col>
      <xdr:colOff>0</xdr:colOff>
      <xdr:row>511</xdr:row>
      <xdr:rowOff>0</xdr:rowOff>
    </xdr:to>
    <xdr:graphicFrame macro="">
      <xdr:nvGraphicFramePr>
        <xdr:cNvPr id="44" name="Chart">
          <a:extLst>
            <a:ext uri="{FF2B5EF4-FFF2-40B4-BE49-F238E27FC236}">
              <a16:creationId xmlns:a16="http://schemas.microsoft.com/office/drawing/2014/main" id="{00000000-0008-0000-07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10</xdr:col>
      <xdr:colOff>0</xdr:colOff>
      <xdr:row>489</xdr:row>
      <xdr:rowOff>0</xdr:rowOff>
    </xdr:from>
    <xdr:to>
      <xdr:col>19</xdr:col>
      <xdr:colOff>0</xdr:colOff>
      <xdr:row>511</xdr:row>
      <xdr:rowOff>0</xdr:rowOff>
    </xdr:to>
    <xdr:graphicFrame macro="">
      <xdr:nvGraphicFramePr>
        <xdr:cNvPr id="45" name="Chart">
          <a:extLst>
            <a:ext uri="{FF2B5EF4-FFF2-40B4-BE49-F238E27FC236}">
              <a16:creationId xmlns:a16="http://schemas.microsoft.com/office/drawing/2014/main" id="{00000000-0008-0000-07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0</xdr:col>
      <xdr:colOff>0</xdr:colOff>
      <xdr:row>512</xdr:row>
      <xdr:rowOff>0</xdr:rowOff>
    </xdr:from>
    <xdr:to>
      <xdr:col>9</xdr:col>
      <xdr:colOff>0</xdr:colOff>
      <xdr:row>534</xdr:row>
      <xdr:rowOff>0</xdr:rowOff>
    </xdr:to>
    <xdr:graphicFrame macro="">
      <xdr:nvGraphicFramePr>
        <xdr:cNvPr id="46" name="Chart">
          <a:extLst>
            <a:ext uri="{FF2B5EF4-FFF2-40B4-BE49-F238E27FC236}">
              <a16:creationId xmlns:a16="http://schemas.microsoft.com/office/drawing/2014/main" id="{00000000-0008-0000-07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10</xdr:col>
      <xdr:colOff>0</xdr:colOff>
      <xdr:row>512</xdr:row>
      <xdr:rowOff>0</xdr:rowOff>
    </xdr:from>
    <xdr:to>
      <xdr:col>19</xdr:col>
      <xdr:colOff>0</xdr:colOff>
      <xdr:row>534</xdr:row>
      <xdr:rowOff>0</xdr:rowOff>
    </xdr:to>
    <xdr:graphicFrame macro="">
      <xdr:nvGraphicFramePr>
        <xdr:cNvPr id="47" name="Chart">
          <a:extLst>
            <a:ext uri="{FF2B5EF4-FFF2-40B4-BE49-F238E27FC236}">
              <a16:creationId xmlns:a16="http://schemas.microsoft.com/office/drawing/2014/main" id="{00000000-0008-0000-07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0</xdr:col>
      <xdr:colOff>0</xdr:colOff>
      <xdr:row>535</xdr:row>
      <xdr:rowOff>0</xdr:rowOff>
    </xdr:from>
    <xdr:to>
      <xdr:col>9</xdr:col>
      <xdr:colOff>0</xdr:colOff>
      <xdr:row>557</xdr:row>
      <xdr:rowOff>0</xdr:rowOff>
    </xdr:to>
    <xdr:graphicFrame macro="">
      <xdr:nvGraphicFramePr>
        <xdr:cNvPr id="48" name="Chart">
          <a:extLst>
            <a:ext uri="{FF2B5EF4-FFF2-40B4-BE49-F238E27FC236}">
              <a16:creationId xmlns:a16="http://schemas.microsoft.com/office/drawing/2014/main" id="{00000000-0008-0000-0700-00003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10</xdr:col>
      <xdr:colOff>0</xdr:colOff>
      <xdr:row>535</xdr:row>
      <xdr:rowOff>0</xdr:rowOff>
    </xdr:from>
    <xdr:to>
      <xdr:col>19</xdr:col>
      <xdr:colOff>0</xdr:colOff>
      <xdr:row>557</xdr:row>
      <xdr:rowOff>0</xdr:rowOff>
    </xdr:to>
    <xdr:graphicFrame macro="">
      <xdr:nvGraphicFramePr>
        <xdr:cNvPr id="49" name="Chart">
          <a:extLst>
            <a:ext uri="{FF2B5EF4-FFF2-40B4-BE49-F238E27FC236}">
              <a16:creationId xmlns:a16="http://schemas.microsoft.com/office/drawing/2014/main" id="{00000000-0008-0000-07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0</xdr:col>
      <xdr:colOff>0</xdr:colOff>
      <xdr:row>558</xdr:row>
      <xdr:rowOff>0</xdr:rowOff>
    </xdr:from>
    <xdr:to>
      <xdr:col>9</xdr:col>
      <xdr:colOff>0</xdr:colOff>
      <xdr:row>580</xdr:row>
      <xdr:rowOff>0</xdr:rowOff>
    </xdr:to>
    <xdr:graphicFrame macro="">
      <xdr:nvGraphicFramePr>
        <xdr:cNvPr id="50" name="Chart">
          <a:extLst>
            <a:ext uri="{FF2B5EF4-FFF2-40B4-BE49-F238E27FC236}">
              <a16:creationId xmlns:a16="http://schemas.microsoft.com/office/drawing/2014/main" id="{00000000-0008-0000-07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10</xdr:col>
      <xdr:colOff>0</xdr:colOff>
      <xdr:row>558</xdr:row>
      <xdr:rowOff>0</xdr:rowOff>
    </xdr:from>
    <xdr:to>
      <xdr:col>19</xdr:col>
      <xdr:colOff>0</xdr:colOff>
      <xdr:row>580</xdr:row>
      <xdr:rowOff>0</xdr:rowOff>
    </xdr:to>
    <xdr:graphicFrame macro="">
      <xdr:nvGraphicFramePr>
        <xdr:cNvPr id="51" name="Chart">
          <a:extLst>
            <a:ext uri="{FF2B5EF4-FFF2-40B4-BE49-F238E27FC236}">
              <a16:creationId xmlns:a16="http://schemas.microsoft.com/office/drawing/2014/main" id="{00000000-0008-0000-07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0</xdr:col>
      <xdr:colOff>0</xdr:colOff>
      <xdr:row>581</xdr:row>
      <xdr:rowOff>0</xdr:rowOff>
    </xdr:from>
    <xdr:to>
      <xdr:col>9</xdr:col>
      <xdr:colOff>0</xdr:colOff>
      <xdr:row>603</xdr:row>
      <xdr:rowOff>0</xdr:rowOff>
    </xdr:to>
    <xdr:graphicFrame macro="">
      <xdr:nvGraphicFramePr>
        <xdr:cNvPr id="52" name="Chart">
          <a:extLst>
            <a:ext uri="{FF2B5EF4-FFF2-40B4-BE49-F238E27FC236}">
              <a16:creationId xmlns:a16="http://schemas.microsoft.com/office/drawing/2014/main" id="{00000000-0008-0000-07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10</xdr:col>
      <xdr:colOff>0</xdr:colOff>
      <xdr:row>581</xdr:row>
      <xdr:rowOff>0</xdr:rowOff>
    </xdr:from>
    <xdr:to>
      <xdr:col>19</xdr:col>
      <xdr:colOff>0</xdr:colOff>
      <xdr:row>603</xdr:row>
      <xdr:rowOff>0</xdr:rowOff>
    </xdr:to>
    <xdr:graphicFrame macro="">
      <xdr:nvGraphicFramePr>
        <xdr:cNvPr id="53" name="Chart">
          <a:extLst>
            <a:ext uri="{FF2B5EF4-FFF2-40B4-BE49-F238E27FC236}">
              <a16:creationId xmlns:a16="http://schemas.microsoft.com/office/drawing/2014/main" id="{00000000-0008-0000-07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0</xdr:col>
      <xdr:colOff>0</xdr:colOff>
      <xdr:row>604</xdr:row>
      <xdr:rowOff>0</xdr:rowOff>
    </xdr:from>
    <xdr:to>
      <xdr:col>9</xdr:col>
      <xdr:colOff>0</xdr:colOff>
      <xdr:row>626</xdr:row>
      <xdr:rowOff>0</xdr:rowOff>
    </xdr:to>
    <xdr:graphicFrame macro="">
      <xdr:nvGraphicFramePr>
        <xdr:cNvPr id="54" name="Chart">
          <a:extLst>
            <a:ext uri="{FF2B5EF4-FFF2-40B4-BE49-F238E27FC236}">
              <a16:creationId xmlns:a16="http://schemas.microsoft.com/office/drawing/2014/main" id="{00000000-0008-0000-07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10</xdr:col>
      <xdr:colOff>0</xdr:colOff>
      <xdr:row>604</xdr:row>
      <xdr:rowOff>0</xdr:rowOff>
    </xdr:from>
    <xdr:to>
      <xdr:col>19</xdr:col>
      <xdr:colOff>0</xdr:colOff>
      <xdr:row>626</xdr:row>
      <xdr:rowOff>0</xdr:rowOff>
    </xdr:to>
    <xdr:graphicFrame macro="">
      <xdr:nvGraphicFramePr>
        <xdr:cNvPr id="55" name="Chart">
          <a:extLst>
            <a:ext uri="{FF2B5EF4-FFF2-40B4-BE49-F238E27FC236}">
              <a16:creationId xmlns:a16="http://schemas.microsoft.com/office/drawing/2014/main" id="{00000000-0008-0000-0700-00003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KOHC_Financial_Analysis_FINAL.xlsx" TargetMode="External"/><Relationship Id="rId7" Type="http://schemas.openxmlformats.org/officeDocument/2006/relationships/hyperlink" Target="KOHC_Financial_Analysis_FINAL.xlsx" TargetMode="External"/><Relationship Id="rId2" Type="http://schemas.openxmlformats.org/officeDocument/2006/relationships/hyperlink" Target="KOHC_Financial_Analysis_FINAL.xlsx" TargetMode="External"/><Relationship Id="rId1" Type="http://schemas.openxmlformats.org/officeDocument/2006/relationships/hyperlink" Target="KOHC_Financial_Analysis_FINAL.xlsx" TargetMode="External"/><Relationship Id="rId6" Type="http://schemas.openxmlformats.org/officeDocument/2006/relationships/hyperlink" Target="KOHC_Financial_Analysis_FINAL.xlsx" TargetMode="External"/><Relationship Id="rId5" Type="http://schemas.openxmlformats.org/officeDocument/2006/relationships/hyperlink" Target="KOHC_Financial_Analysis_FINAL.xlsx" TargetMode="External"/><Relationship Id="rId4" Type="http://schemas.openxmlformats.org/officeDocument/2006/relationships/hyperlink" Target="KOHC_Financial_Analysis_FINAL.xlsx"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4D3A"/>
    <pageSetUpPr fitToPage="1"/>
  </sheetPr>
  <dimension ref="A1:G52"/>
  <sheetViews>
    <sheetView showGridLines="0" tabSelected="1" topLeftCell="A33" workbookViewId="0">
      <selection activeCell="K36" sqref="K36"/>
    </sheetView>
  </sheetViews>
  <sheetFormatPr defaultColWidth="8.6640625" defaultRowHeight="14.4" x14ac:dyDescent="0.3"/>
  <cols>
    <col min="1" max="1" width="26" customWidth="1"/>
    <col min="2" max="2" width="40" customWidth="1"/>
    <col min="3" max="7" width="14" customWidth="1"/>
    <col min="8" max="8" width="10" customWidth="1"/>
  </cols>
  <sheetData>
    <row r="1" spans="1:7" ht="40.049999999999997" customHeight="1" x14ac:dyDescent="0.35">
      <c r="A1" s="83" t="s">
        <v>0</v>
      </c>
      <c r="B1" s="84"/>
      <c r="C1" s="84"/>
      <c r="D1" s="84"/>
      <c r="E1" s="84"/>
      <c r="F1" s="84"/>
      <c r="G1" s="84"/>
    </row>
    <row r="2" spans="1:7" ht="30" customHeight="1" x14ac:dyDescent="0.3">
      <c r="A2" s="85"/>
      <c r="B2" s="84"/>
      <c r="C2" s="84"/>
      <c r="D2" s="84"/>
      <c r="E2" s="84"/>
      <c r="F2" s="84"/>
      <c r="G2" s="84"/>
    </row>
    <row r="5" spans="1:7" x14ac:dyDescent="0.3">
      <c r="A5" s="1" t="s">
        <v>1</v>
      </c>
      <c r="B5" t="s">
        <v>2</v>
      </c>
    </row>
    <row r="6" spans="1:7" x14ac:dyDescent="0.3">
      <c r="A6" s="1" t="s">
        <v>3</v>
      </c>
      <c r="B6" t="s">
        <v>4</v>
      </c>
    </row>
    <row r="7" spans="1:7" ht="78" customHeight="1" x14ac:dyDescent="0.3">
      <c r="A7" s="68" t="s">
        <v>5</v>
      </c>
      <c r="B7" s="78" t="s">
        <v>6</v>
      </c>
      <c r="C7" s="78"/>
      <c r="D7" s="78"/>
      <c r="E7" s="78"/>
      <c r="F7" s="78"/>
      <c r="G7" s="78"/>
    </row>
    <row r="9" spans="1:7" ht="19.5" customHeight="1" x14ac:dyDescent="0.3">
      <c r="A9" s="2" t="s">
        <v>7</v>
      </c>
      <c r="B9" s="3"/>
      <c r="C9" s="3"/>
      <c r="D9" s="3"/>
      <c r="E9" s="3"/>
      <c r="F9" s="3"/>
      <c r="G9" s="3"/>
    </row>
    <row r="10" spans="1:7" x14ac:dyDescent="0.3">
      <c r="A10" s="4" t="s">
        <v>8</v>
      </c>
      <c r="B10" s="4" t="s">
        <v>9</v>
      </c>
      <c r="C10" s="4" t="s">
        <v>10</v>
      </c>
      <c r="D10" s="4" t="s">
        <v>11</v>
      </c>
      <c r="E10" s="4" t="s">
        <v>12</v>
      </c>
    </row>
    <row r="11" spans="1:7" x14ac:dyDescent="0.3">
      <c r="A11" s="5" t="s">
        <v>13</v>
      </c>
      <c r="B11" s="5" t="s">
        <v>14</v>
      </c>
      <c r="C11" s="5" t="s">
        <v>15</v>
      </c>
      <c r="D11" s="6" t="s">
        <v>16</v>
      </c>
    </row>
    <row r="12" spans="1:7" x14ac:dyDescent="0.3">
      <c r="A12" s="7" t="s">
        <v>17</v>
      </c>
      <c r="B12" s="7" t="s">
        <v>18</v>
      </c>
      <c r="C12" s="7" t="s">
        <v>19</v>
      </c>
      <c r="D12" s="6" t="s">
        <v>20</v>
      </c>
    </row>
    <row r="13" spans="1:7" x14ac:dyDescent="0.3">
      <c r="A13" s="7" t="s">
        <v>21</v>
      </c>
      <c r="B13" s="7" t="s">
        <v>22</v>
      </c>
      <c r="C13" s="7" t="s">
        <v>23</v>
      </c>
      <c r="D13" s="6" t="s">
        <v>24</v>
      </c>
    </row>
    <row r="14" spans="1:7" x14ac:dyDescent="0.3">
      <c r="A14" s="7" t="s">
        <v>25</v>
      </c>
      <c r="B14" s="7" t="s">
        <v>26</v>
      </c>
      <c r="C14" s="7" t="s">
        <v>27</v>
      </c>
      <c r="D14" s="6" t="s">
        <v>28</v>
      </c>
    </row>
    <row r="15" spans="1:7" x14ac:dyDescent="0.3">
      <c r="A15" s="7" t="s">
        <v>29</v>
      </c>
      <c r="B15" s="7" t="s">
        <v>30</v>
      </c>
      <c r="C15" s="7" t="s">
        <v>31</v>
      </c>
      <c r="D15" s="6" t="s">
        <v>32</v>
      </c>
    </row>
    <row r="16" spans="1:7" x14ac:dyDescent="0.3">
      <c r="D16" s="8" t="s">
        <v>33</v>
      </c>
    </row>
    <row r="17" spans="1:7" x14ac:dyDescent="0.3">
      <c r="D17" s="8" t="s">
        <v>34</v>
      </c>
    </row>
    <row r="19" spans="1:7" ht="22.95" customHeight="1" x14ac:dyDescent="0.3">
      <c r="A19" s="87" t="s">
        <v>35</v>
      </c>
      <c r="B19" s="82"/>
      <c r="C19" s="82"/>
      <c r="D19" s="82"/>
      <c r="E19" s="82"/>
      <c r="F19" s="82"/>
      <c r="G19" s="82"/>
    </row>
    <row r="20" spans="1:7" ht="37.950000000000003" customHeight="1" x14ac:dyDescent="0.3">
      <c r="A20" s="77" t="s">
        <v>36</v>
      </c>
      <c r="B20" s="77"/>
      <c r="C20" s="77"/>
      <c r="D20" s="77"/>
      <c r="E20" s="77"/>
      <c r="F20" s="77"/>
      <c r="G20" s="77"/>
    </row>
    <row r="21" spans="1:7" ht="66" customHeight="1" x14ac:dyDescent="0.3">
      <c r="A21" s="77" t="s">
        <v>310</v>
      </c>
      <c r="B21" s="77"/>
      <c r="C21" s="77"/>
      <c r="D21" s="77"/>
      <c r="E21" s="77"/>
      <c r="F21" s="77"/>
      <c r="G21" s="77"/>
    </row>
    <row r="22" spans="1:7" ht="37.950000000000003" customHeight="1" x14ac:dyDescent="0.3">
      <c r="A22" s="77" t="s">
        <v>37</v>
      </c>
      <c r="B22" s="77"/>
      <c r="C22" s="77"/>
      <c r="D22" s="77"/>
      <c r="E22" s="77"/>
      <c r="F22" s="77"/>
      <c r="G22" s="77"/>
    </row>
    <row r="23" spans="1:7" ht="48" customHeight="1" x14ac:dyDescent="0.3">
      <c r="A23" s="77" t="s">
        <v>38</v>
      </c>
      <c r="B23" s="77"/>
      <c r="C23" s="77"/>
      <c r="D23" s="77"/>
      <c r="E23" s="77"/>
      <c r="F23" s="77"/>
      <c r="G23" s="77"/>
    </row>
    <row r="24" spans="1:7" ht="72" customHeight="1" x14ac:dyDescent="0.3">
      <c r="A24" s="77" t="s">
        <v>311</v>
      </c>
      <c r="B24" s="77"/>
      <c r="C24" s="77"/>
      <c r="D24" s="77"/>
      <c r="E24" s="77"/>
      <c r="F24" s="77"/>
      <c r="G24" s="77"/>
    </row>
    <row r="25" spans="1:7" ht="37.950000000000003" customHeight="1" x14ac:dyDescent="0.3">
      <c r="A25" s="77" t="s">
        <v>39</v>
      </c>
      <c r="B25" s="77"/>
      <c r="C25" s="77"/>
      <c r="D25" s="77"/>
      <c r="E25" s="77"/>
      <c r="F25" s="77"/>
      <c r="G25" s="77"/>
    </row>
    <row r="26" spans="1:7" ht="60" customHeight="1" x14ac:dyDescent="0.3">
      <c r="A26" s="77" t="s">
        <v>312</v>
      </c>
      <c r="B26" s="77"/>
      <c r="C26" s="77"/>
      <c r="D26" s="77"/>
      <c r="E26" s="77"/>
      <c r="F26" s="77"/>
      <c r="G26" s="77"/>
    </row>
    <row r="27" spans="1:7" ht="37.950000000000003" customHeight="1" x14ac:dyDescent="0.3">
      <c r="A27" s="77" t="s">
        <v>40</v>
      </c>
      <c r="B27" s="77"/>
      <c r="C27" s="77"/>
      <c r="D27" s="77"/>
      <c r="E27" s="77"/>
      <c r="F27" s="77"/>
      <c r="G27" s="77"/>
    </row>
    <row r="28" spans="1:7" ht="18" customHeight="1" x14ac:dyDescent="0.3">
      <c r="A28" s="62"/>
      <c r="B28" s="62"/>
      <c r="C28" s="62"/>
      <c r="D28" s="62"/>
      <c r="E28" s="62"/>
      <c r="F28" s="62"/>
      <c r="G28" s="62"/>
    </row>
    <row r="29" spans="1:7" ht="22.95" customHeight="1" x14ac:dyDescent="0.3">
      <c r="A29" s="82" t="s">
        <v>41</v>
      </c>
      <c r="B29" s="82"/>
      <c r="C29" s="82"/>
      <c r="D29" s="82"/>
      <c r="E29" s="82"/>
      <c r="F29" s="82"/>
      <c r="G29" s="82"/>
    </row>
    <row r="30" spans="1:7" ht="48" customHeight="1" x14ac:dyDescent="0.3">
      <c r="A30" s="77" t="s">
        <v>42</v>
      </c>
      <c r="B30" s="77"/>
      <c r="C30" s="77"/>
      <c r="D30" s="77"/>
      <c r="E30" s="77"/>
      <c r="F30" s="77"/>
      <c r="G30" s="77"/>
    </row>
    <row r="31" spans="1:7" ht="48" customHeight="1" x14ac:dyDescent="0.3">
      <c r="A31" s="77" t="s">
        <v>43</v>
      </c>
      <c r="B31" s="77"/>
      <c r="C31" s="77"/>
      <c r="D31" s="77"/>
      <c r="E31" s="77"/>
      <c r="F31" s="77"/>
      <c r="G31" s="77"/>
    </row>
    <row r="32" spans="1:7" ht="48" customHeight="1" x14ac:dyDescent="0.3">
      <c r="A32" s="77" t="s">
        <v>44</v>
      </c>
      <c r="B32" s="77"/>
      <c r="C32" s="77"/>
      <c r="D32" s="77"/>
      <c r="E32" s="77"/>
      <c r="F32" s="77"/>
      <c r="G32" s="77"/>
    </row>
    <row r="33" spans="1:7" ht="48" customHeight="1" x14ac:dyDescent="0.3">
      <c r="A33" s="86" t="s">
        <v>45</v>
      </c>
      <c r="B33" s="77"/>
      <c r="C33" s="77"/>
      <c r="D33" s="77"/>
      <c r="E33" s="77"/>
      <c r="F33" s="77"/>
      <c r="G33" s="77"/>
    </row>
    <row r="34" spans="1:7" ht="18" customHeight="1" x14ac:dyDescent="0.3">
      <c r="A34" s="63"/>
      <c r="B34" s="63"/>
      <c r="C34" s="63"/>
      <c r="D34" s="63"/>
      <c r="E34" s="63"/>
      <c r="F34" s="63"/>
      <c r="G34" s="63"/>
    </row>
    <row r="35" spans="1:7" ht="22.95" customHeight="1" x14ac:dyDescent="0.3">
      <c r="A35" s="82" t="s">
        <v>46</v>
      </c>
      <c r="B35" s="82"/>
      <c r="C35" s="82"/>
      <c r="D35" s="82"/>
      <c r="E35" s="82"/>
      <c r="F35" s="82"/>
      <c r="G35" s="82"/>
    </row>
    <row r="36" spans="1:7" ht="37.950000000000003" customHeight="1" x14ac:dyDescent="0.3">
      <c r="A36" s="81" t="s">
        <v>47</v>
      </c>
      <c r="B36" s="77"/>
      <c r="C36" s="77"/>
      <c r="D36" s="77"/>
      <c r="E36" s="77"/>
      <c r="F36" s="77"/>
      <c r="G36" s="77"/>
    </row>
    <row r="37" spans="1:7" ht="37.950000000000003" customHeight="1" x14ac:dyDescent="0.3">
      <c r="A37" s="81" t="s">
        <v>319</v>
      </c>
      <c r="B37" s="77"/>
      <c r="C37" s="77"/>
      <c r="D37" s="77"/>
      <c r="E37" s="77"/>
      <c r="F37" s="77"/>
      <c r="G37" s="77"/>
    </row>
    <row r="38" spans="1:7" ht="18" customHeight="1" x14ac:dyDescent="0.3">
      <c r="A38" s="62"/>
      <c r="B38" s="62"/>
      <c r="C38" s="62"/>
      <c r="D38" s="62"/>
      <c r="E38" s="62"/>
      <c r="F38" s="62"/>
      <c r="G38" s="62"/>
    </row>
    <row r="39" spans="1:7" ht="22.95" customHeight="1" x14ac:dyDescent="0.3">
      <c r="A39" s="82" t="s">
        <v>48</v>
      </c>
      <c r="B39" s="82"/>
      <c r="C39" s="82"/>
      <c r="D39" s="82"/>
      <c r="E39" s="82"/>
      <c r="F39" s="82"/>
      <c r="G39" s="82"/>
    </row>
    <row r="40" spans="1:7" ht="22.05" customHeight="1" x14ac:dyDescent="0.3">
      <c r="A40" s="77" t="s">
        <v>49</v>
      </c>
      <c r="B40" s="77"/>
      <c r="C40" s="77"/>
      <c r="D40" s="77"/>
      <c r="E40" s="77"/>
      <c r="F40" s="77"/>
      <c r="G40" s="77"/>
    </row>
    <row r="41" spans="1:7" ht="22.05" customHeight="1" x14ac:dyDescent="0.3">
      <c r="A41" s="77" t="s">
        <v>50</v>
      </c>
      <c r="B41" s="77"/>
      <c r="C41" s="77"/>
      <c r="D41" s="77"/>
      <c r="E41" s="77"/>
      <c r="F41" s="77"/>
      <c r="G41" s="77"/>
    </row>
    <row r="42" spans="1:7" ht="22.05" customHeight="1" x14ac:dyDescent="0.3">
      <c r="A42" s="77" t="s">
        <v>51</v>
      </c>
      <c r="B42" s="77"/>
      <c r="C42" s="77"/>
      <c r="D42" s="77"/>
      <c r="E42" s="77"/>
      <c r="F42" s="77"/>
      <c r="G42" s="77"/>
    </row>
    <row r="43" spans="1:7" ht="22.05" customHeight="1" x14ac:dyDescent="0.3">
      <c r="A43" s="77" t="s">
        <v>52</v>
      </c>
      <c r="B43" s="77"/>
      <c r="C43" s="77"/>
      <c r="D43" s="77"/>
      <c r="E43" s="77"/>
      <c r="F43" s="77"/>
      <c r="G43" s="77"/>
    </row>
    <row r="44" spans="1:7" ht="22.05" customHeight="1" x14ac:dyDescent="0.3">
      <c r="A44" s="77" t="s">
        <v>53</v>
      </c>
      <c r="B44" s="77"/>
      <c r="C44" s="77"/>
      <c r="D44" s="77"/>
      <c r="E44" s="77"/>
      <c r="F44" s="77"/>
      <c r="G44" s="77"/>
    </row>
    <row r="45" spans="1:7" ht="18" customHeight="1" x14ac:dyDescent="0.3">
      <c r="A45" s="62"/>
      <c r="B45" s="62"/>
      <c r="C45" s="62"/>
      <c r="D45" s="62"/>
      <c r="E45" s="62"/>
      <c r="F45" s="62"/>
      <c r="G45" s="62"/>
    </row>
    <row r="46" spans="1:7" ht="22.95" customHeight="1" x14ac:dyDescent="0.3">
      <c r="A46" s="79" t="s">
        <v>313</v>
      </c>
      <c r="B46" s="80"/>
      <c r="C46" s="80"/>
      <c r="D46" s="80"/>
      <c r="E46" s="80"/>
      <c r="F46" s="80"/>
      <c r="G46" s="80"/>
    </row>
    <row r="47" spans="1:7" ht="36" customHeight="1" x14ac:dyDescent="0.3">
      <c r="A47" s="76" t="s">
        <v>314</v>
      </c>
      <c r="B47" s="76"/>
      <c r="C47" s="76"/>
      <c r="D47" s="76"/>
      <c r="E47" s="76"/>
      <c r="F47" s="76"/>
      <c r="G47" s="76"/>
    </row>
    <row r="48" spans="1:7" ht="48" customHeight="1" x14ac:dyDescent="0.3">
      <c r="A48" s="76" t="s">
        <v>315</v>
      </c>
      <c r="B48" s="76"/>
      <c r="C48" s="76"/>
      <c r="D48" s="76"/>
      <c r="E48" s="76"/>
      <c r="F48" s="76"/>
      <c r="G48" s="76"/>
    </row>
    <row r="49" spans="1:7" ht="60" customHeight="1" x14ac:dyDescent="0.3">
      <c r="A49" s="76" t="s">
        <v>316</v>
      </c>
      <c r="B49" s="76"/>
      <c r="C49" s="76"/>
      <c r="D49" s="76"/>
      <c r="E49" s="76"/>
      <c r="F49" s="76"/>
      <c r="G49" s="76"/>
    </row>
    <row r="50" spans="1:7" ht="60" customHeight="1" x14ac:dyDescent="0.3">
      <c r="A50" s="76" t="s">
        <v>317</v>
      </c>
      <c r="B50" s="76"/>
      <c r="C50" s="76"/>
      <c r="D50" s="76"/>
      <c r="E50" s="76"/>
      <c r="F50" s="76"/>
      <c r="G50" s="76"/>
    </row>
    <row r="51" spans="1:7" ht="48" customHeight="1" x14ac:dyDescent="0.3">
      <c r="A51" s="76" t="s">
        <v>318</v>
      </c>
      <c r="B51" s="76"/>
      <c r="C51" s="76"/>
      <c r="D51" s="76"/>
      <c r="E51" s="76"/>
      <c r="F51" s="76"/>
      <c r="G51" s="76"/>
    </row>
    <row r="52" spans="1:7" ht="18" customHeight="1" x14ac:dyDescent="0.3">
      <c r="A52" s="62"/>
      <c r="B52" s="62"/>
      <c r="C52" s="62"/>
      <c r="D52" s="62"/>
      <c r="E52" s="62"/>
      <c r="F52" s="62"/>
      <c r="G52" s="62"/>
    </row>
  </sheetData>
  <mergeCells count="32">
    <mergeCell ref="A1:G1"/>
    <mergeCell ref="A2:G2"/>
    <mergeCell ref="A42:G42"/>
    <mergeCell ref="A43:G43"/>
    <mergeCell ref="A44:G44"/>
    <mergeCell ref="A30:G30"/>
    <mergeCell ref="A31:G31"/>
    <mergeCell ref="A32:G32"/>
    <mergeCell ref="A33:G33"/>
    <mergeCell ref="A35:G35"/>
    <mergeCell ref="A24:G24"/>
    <mergeCell ref="A25:G25"/>
    <mergeCell ref="A26:G26"/>
    <mergeCell ref="A27:G27"/>
    <mergeCell ref="A29:G29"/>
    <mergeCell ref="A19:G19"/>
    <mergeCell ref="A46:G46"/>
    <mergeCell ref="A36:G36"/>
    <mergeCell ref="A37:G37"/>
    <mergeCell ref="A39:G39"/>
    <mergeCell ref="A40:G40"/>
    <mergeCell ref="A41:G41"/>
    <mergeCell ref="A20:G20"/>
    <mergeCell ref="A21:G21"/>
    <mergeCell ref="A22:G22"/>
    <mergeCell ref="A23:G23"/>
    <mergeCell ref="B7:G7"/>
    <mergeCell ref="A47:G47"/>
    <mergeCell ref="A48:G48"/>
    <mergeCell ref="A49:G49"/>
    <mergeCell ref="A50:G50"/>
    <mergeCell ref="A51:G51"/>
  </mergeCells>
  <hyperlinks>
    <hyperlink ref="D11" r:id="rId1" xr:uid="{00000000-0004-0000-0000-000000000000}"/>
    <hyperlink ref="D12" r:id="rId2" xr:uid="{00000000-0004-0000-0000-000001000000}"/>
    <hyperlink ref="D13" r:id="rId3" xr:uid="{00000000-0004-0000-0000-000002000000}"/>
    <hyperlink ref="D14" r:id="rId4" xr:uid="{00000000-0004-0000-0000-000003000000}"/>
    <hyperlink ref="D15" r:id="rId5" xr:uid="{00000000-0004-0000-0000-000004000000}"/>
    <hyperlink ref="D16" r:id="rId6" xr:uid="{00000000-0004-0000-0000-000005000000}"/>
    <hyperlink ref="D17" r:id="rId7" xr:uid="{00000000-0004-0000-0000-000006000000}"/>
  </hyperlinks>
  <pageMargins left="0.7" right="0.7" top="0.75" bottom="0.75" header="0.3" footer="0.3"/>
  <pageSetup paperSize="9" scale="96"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D3A"/>
    <pageSetUpPr fitToPage="1"/>
  </sheetPr>
  <dimension ref="A1:I164"/>
  <sheetViews>
    <sheetView showGridLines="0" workbookViewId="0">
      <pane xSplit="3" ySplit="7" topLeftCell="D8" activePane="bottomRight" state="frozen"/>
      <selection activeCell="J35" sqref="J35"/>
      <selection pane="topRight" activeCell="J35" sqref="J35"/>
      <selection pane="bottomLeft" activeCell="J35" sqref="J35"/>
      <selection pane="bottomRight" activeCell="J35" sqref="J35"/>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54</v>
      </c>
      <c r="B1" s="20"/>
    </row>
    <row r="2" spans="1:9" x14ac:dyDescent="0.3">
      <c r="A2" s="75" t="s">
        <v>55</v>
      </c>
      <c r="B2" s="20"/>
    </row>
    <row r="3" spans="1:9" ht="6" customHeight="1" x14ac:dyDescent="0.3">
      <c r="B3" s="20"/>
    </row>
    <row r="4" spans="1:9" x14ac:dyDescent="0.3">
      <c r="A4" s="20"/>
      <c r="B4" s="20"/>
    </row>
    <row r="5" spans="1:9" x14ac:dyDescent="0.3">
      <c r="A5" s="20"/>
      <c r="B5" s="20"/>
    </row>
    <row r="6" spans="1:9" ht="19.5" customHeight="1" x14ac:dyDescent="0.3">
      <c r="A6" s="21" t="s">
        <v>56</v>
      </c>
      <c r="B6" s="22"/>
      <c r="C6" s="3"/>
      <c r="D6" s="3"/>
      <c r="E6" s="3"/>
      <c r="F6" s="3"/>
      <c r="G6" s="3"/>
      <c r="H6" s="3"/>
      <c r="I6" s="3"/>
    </row>
    <row r="7" spans="1:9" ht="16.5" customHeight="1" x14ac:dyDescent="0.3">
      <c r="A7" s="23" t="s">
        <v>57</v>
      </c>
      <c r="B7" s="24"/>
      <c r="C7" s="9"/>
      <c r="D7" s="9" t="s">
        <v>58</v>
      </c>
      <c r="E7" s="9" t="s">
        <v>59</v>
      </c>
      <c r="F7" s="9" t="s">
        <v>60</v>
      </c>
      <c r="G7" s="9" t="s">
        <v>61</v>
      </c>
      <c r="H7" s="9" t="s">
        <v>62</v>
      </c>
      <c r="I7" s="9" t="s">
        <v>63</v>
      </c>
    </row>
    <row r="8" spans="1:9" x14ac:dyDescent="0.3">
      <c r="A8" s="25" t="s">
        <v>64</v>
      </c>
      <c r="B8" s="26"/>
      <c r="C8" s="10"/>
      <c r="D8" s="10"/>
      <c r="E8" s="10"/>
      <c r="F8" s="10"/>
      <c r="G8" s="10"/>
      <c r="H8" s="10"/>
      <c r="I8" s="10"/>
    </row>
    <row r="9" spans="1:9" x14ac:dyDescent="0.3">
      <c r="A9" s="27" t="s">
        <v>65</v>
      </c>
      <c r="B9" s="28"/>
      <c r="C9" s="11"/>
      <c r="D9" s="11">
        <v>22027.544913000002</v>
      </c>
      <c r="E9" s="11">
        <v>21331.296362000001</v>
      </c>
      <c r="F9" s="11">
        <v>22229.434463000001</v>
      </c>
      <c r="G9" s="11">
        <v>22156.640533000002</v>
      </c>
      <c r="H9" s="11">
        <v>23359.980509000001</v>
      </c>
      <c r="I9" s="11">
        <v>22777.666270999998</v>
      </c>
    </row>
    <row r="10" spans="1:9" x14ac:dyDescent="0.3">
      <c r="A10" s="27" t="s">
        <v>66</v>
      </c>
      <c r="B10" s="28"/>
      <c r="C10" s="11"/>
      <c r="D10" s="11">
        <v>273.93955899999997</v>
      </c>
      <c r="E10" s="11">
        <v>130.89794699999999</v>
      </c>
      <c r="F10" s="11">
        <v>1943.019581</v>
      </c>
      <c r="G10" s="11">
        <v>999.32660499999997</v>
      </c>
      <c r="H10" s="11">
        <v>2486.634755</v>
      </c>
      <c r="I10" s="11">
        <v>164.578022</v>
      </c>
    </row>
    <row r="11" spans="1:9" x14ac:dyDescent="0.3">
      <c r="A11" s="27" t="s">
        <v>67</v>
      </c>
      <c r="B11" s="28"/>
      <c r="C11" s="11"/>
      <c r="D11" s="11">
        <v>0</v>
      </c>
      <c r="E11" s="11">
        <v>0</v>
      </c>
      <c r="F11" s="11">
        <v>0</v>
      </c>
      <c r="G11" s="11">
        <v>0</v>
      </c>
      <c r="H11" s="11">
        <v>0</v>
      </c>
      <c r="I11" s="11">
        <v>0</v>
      </c>
    </row>
    <row r="12" spans="1:9" x14ac:dyDescent="0.3">
      <c r="A12" s="27" t="s">
        <v>68</v>
      </c>
      <c r="B12" s="28"/>
      <c r="C12" s="11"/>
      <c r="D12" s="11">
        <v>6.725911</v>
      </c>
      <c r="E12" s="11">
        <v>2.7013569999999998</v>
      </c>
      <c r="F12" s="11">
        <v>1.567709</v>
      </c>
      <c r="G12" s="11">
        <v>0.50822599999999996</v>
      </c>
      <c r="H12" s="11">
        <v>0.25974199999999997</v>
      </c>
      <c r="I12" s="11">
        <v>11.210982</v>
      </c>
    </row>
    <row r="13" spans="1:9" x14ac:dyDescent="0.3">
      <c r="A13" s="27" t="s">
        <v>69</v>
      </c>
      <c r="B13" s="28"/>
      <c r="C13" s="11"/>
      <c r="D13" s="11">
        <v>4134.0861590000004</v>
      </c>
      <c r="E13" s="11">
        <v>4134.2552089999999</v>
      </c>
      <c r="F13" s="11">
        <v>4324.9107430000004</v>
      </c>
      <c r="G13" s="11">
        <v>4326.3615589999999</v>
      </c>
      <c r="H13" s="11">
        <v>4326.3615589999999</v>
      </c>
      <c r="I13" s="11">
        <v>3691.8396349999998</v>
      </c>
    </row>
    <row r="14" spans="1:9" x14ac:dyDescent="0.3">
      <c r="A14" s="27" t="s">
        <v>70</v>
      </c>
      <c r="B14" s="28"/>
      <c r="C14" s="11"/>
      <c r="D14" s="11">
        <v>0</v>
      </c>
      <c r="E14" s="11">
        <v>0</v>
      </c>
      <c r="F14" s="11">
        <v>0</v>
      </c>
      <c r="G14" s="11">
        <v>0</v>
      </c>
      <c r="H14" s="11">
        <v>0</v>
      </c>
      <c r="I14" s="11">
        <v>0</v>
      </c>
    </row>
    <row r="15" spans="1:9" x14ac:dyDescent="0.3">
      <c r="A15" s="27" t="s">
        <v>71</v>
      </c>
      <c r="B15" s="28"/>
      <c r="C15" s="11"/>
      <c r="D15" s="11">
        <v>69.765739999999994</v>
      </c>
      <c r="E15" s="11">
        <v>106.58346899999999</v>
      </c>
      <c r="F15" s="11">
        <v>60.785981</v>
      </c>
      <c r="G15" s="11">
        <v>147.38810599999999</v>
      </c>
      <c r="H15" s="11">
        <v>492.917464</v>
      </c>
      <c r="I15" s="11">
        <v>38.326639999999998</v>
      </c>
    </row>
    <row r="16" spans="1:9" x14ac:dyDescent="0.3">
      <c r="A16" s="29" t="s">
        <v>72</v>
      </c>
      <c r="B16" s="30"/>
      <c r="C16" s="12"/>
      <c r="D16" s="12">
        <f t="shared" ref="D16:I16" si="0">D9+D11+D12+D13+D14+D15</f>
        <v>26238.122723000004</v>
      </c>
      <c r="E16" s="12">
        <f t="shared" si="0"/>
        <v>25574.836397000003</v>
      </c>
      <c r="F16" s="12">
        <f t="shared" si="0"/>
        <v>26616.698896000002</v>
      </c>
      <c r="G16" s="12">
        <f t="shared" si="0"/>
        <v>26630.898424000003</v>
      </c>
      <c r="H16" s="12">
        <f t="shared" si="0"/>
        <v>28179.519273999998</v>
      </c>
      <c r="I16" s="12">
        <f t="shared" si="0"/>
        <v>26519.043527999998</v>
      </c>
    </row>
    <row r="17" spans="1:9" x14ac:dyDescent="0.3">
      <c r="A17" s="25" t="s">
        <v>73</v>
      </c>
      <c r="B17" s="26"/>
      <c r="C17" s="10"/>
      <c r="D17" s="10"/>
      <c r="E17" s="10"/>
      <c r="F17" s="10"/>
      <c r="G17" s="10"/>
      <c r="H17" s="10"/>
      <c r="I17" s="10"/>
    </row>
    <row r="18" spans="1:9" x14ac:dyDescent="0.3">
      <c r="A18" s="27" t="s">
        <v>74</v>
      </c>
      <c r="B18" s="28"/>
      <c r="C18" s="11"/>
      <c r="D18" s="11">
        <v>3070.7691009999999</v>
      </c>
      <c r="E18" s="11">
        <v>4214.8296360000004</v>
      </c>
      <c r="F18" s="11">
        <v>4713.1297640000003</v>
      </c>
      <c r="G18" s="11">
        <v>5785.6834859999999</v>
      </c>
      <c r="H18" s="11">
        <v>4991.3114750000004</v>
      </c>
      <c r="I18" s="11">
        <v>2250.1564370000001</v>
      </c>
    </row>
    <row r="19" spans="1:9" x14ac:dyDescent="0.3">
      <c r="A19" s="27" t="s">
        <v>75</v>
      </c>
      <c r="B19" s="28"/>
      <c r="C19" s="11"/>
      <c r="D19" s="11">
        <v>1112.7762660000001</v>
      </c>
      <c r="E19" s="11">
        <v>1456.156782</v>
      </c>
      <c r="F19" s="11">
        <v>2942.8615540000001</v>
      </c>
      <c r="G19" s="11">
        <v>1793.74244</v>
      </c>
      <c r="H19" s="11">
        <v>2513.556552</v>
      </c>
      <c r="I19" s="11">
        <v>1016.024223</v>
      </c>
    </row>
    <row r="20" spans="1:9" x14ac:dyDescent="0.3">
      <c r="A20" s="27" t="s">
        <v>76</v>
      </c>
      <c r="B20" s="28"/>
      <c r="C20" s="11"/>
      <c r="D20" s="11">
        <v>983.56822299999999</v>
      </c>
      <c r="E20" s="11">
        <v>916.03946900000005</v>
      </c>
      <c r="F20" s="11">
        <v>1205.553375</v>
      </c>
      <c r="G20" s="11">
        <v>2110.2479020000001</v>
      </c>
      <c r="H20" s="11">
        <v>1692.217832</v>
      </c>
      <c r="I20" s="11">
        <v>494.31520599999999</v>
      </c>
    </row>
    <row r="21" spans="1:9" x14ac:dyDescent="0.3">
      <c r="A21" s="27" t="s">
        <v>77</v>
      </c>
      <c r="B21" s="28"/>
      <c r="C21" s="11"/>
      <c r="D21" s="11">
        <v>2999.496423</v>
      </c>
      <c r="E21" s="11">
        <v>10124.095692999999</v>
      </c>
      <c r="F21" s="11">
        <v>12335.073816</v>
      </c>
      <c r="G21" s="11">
        <v>20279.745954000002</v>
      </c>
      <c r="H21" s="11">
        <v>26941.632205000002</v>
      </c>
      <c r="I21" s="11">
        <v>160.13059999999999</v>
      </c>
    </row>
    <row r="22" spans="1:9" x14ac:dyDescent="0.3">
      <c r="A22" s="27" t="s">
        <v>78</v>
      </c>
      <c r="B22" s="28"/>
      <c r="C22" s="11"/>
      <c r="D22" s="11">
        <v>1197.729351</v>
      </c>
      <c r="E22" s="11">
        <v>480.76563199999998</v>
      </c>
      <c r="F22" s="11">
        <v>933.537193</v>
      </c>
      <c r="G22" s="11">
        <v>1102.6491719999999</v>
      </c>
      <c r="H22" s="11">
        <v>1450.7027230000001</v>
      </c>
      <c r="I22" s="11">
        <v>891.606087</v>
      </c>
    </row>
    <row r="23" spans="1:9" x14ac:dyDescent="0.3">
      <c r="A23" s="27" t="s">
        <v>79</v>
      </c>
      <c r="B23" s="28"/>
      <c r="C23" s="11"/>
      <c r="D23" s="11">
        <v>484.45934999999997</v>
      </c>
      <c r="E23" s="11">
        <v>583.94423500000005</v>
      </c>
      <c r="F23" s="11">
        <v>783.22094700000002</v>
      </c>
      <c r="G23" s="11">
        <v>1140.3278190000001</v>
      </c>
      <c r="H23" s="11">
        <v>1025.371707</v>
      </c>
      <c r="I23" s="11">
        <v>425.39122600000002</v>
      </c>
    </row>
    <row r="24" spans="1:9" x14ac:dyDescent="0.3">
      <c r="A24" s="29" t="s">
        <v>80</v>
      </c>
      <c r="B24" s="30"/>
      <c r="C24" s="12"/>
      <c r="D24" s="12">
        <f t="shared" ref="D24:I24" si="1">D18+D19+D20+D21+D22+D23</f>
        <v>9848.7987139999987</v>
      </c>
      <c r="E24" s="12">
        <f t="shared" si="1"/>
        <v>17775.831446999997</v>
      </c>
      <c r="F24" s="12">
        <f t="shared" si="1"/>
        <v>22913.376649000002</v>
      </c>
      <c r="G24" s="12">
        <f t="shared" si="1"/>
        <v>32212.396773</v>
      </c>
      <c r="H24" s="12">
        <f t="shared" si="1"/>
        <v>38614.792494000001</v>
      </c>
      <c r="I24" s="12">
        <f t="shared" si="1"/>
        <v>5237.6237789999996</v>
      </c>
    </row>
    <row r="25" spans="1:9" x14ac:dyDescent="0.3">
      <c r="A25" s="29" t="s">
        <v>81</v>
      </c>
      <c r="B25" s="30"/>
      <c r="C25" s="12"/>
      <c r="D25" s="12">
        <f t="shared" ref="D25:I25" si="2">D16+D24</f>
        <v>36086.921437000005</v>
      </c>
      <c r="E25" s="12">
        <f t="shared" si="2"/>
        <v>43350.667843999996</v>
      </c>
      <c r="F25" s="12">
        <f t="shared" si="2"/>
        <v>49530.075545</v>
      </c>
      <c r="G25" s="12">
        <f t="shared" si="2"/>
        <v>58843.295196999999</v>
      </c>
      <c r="H25" s="12">
        <f t="shared" si="2"/>
        <v>66794.311768</v>
      </c>
      <c r="I25" s="12">
        <f t="shared" si="2"/>
        <v>31756.667306999996</v>
      </c>
    </row>
    <row r="26" spans="1:9" x14ac:dyDescent="0.3">
      <c r="A26" s="25" t="s">
        <v>82</v>
      </c>
      <c r="B26" s="26"/>
      <c r="C26" s="10"/>
      <c r="D26" s="10"/>
      <c r="E26" s="10"/>
      <c r="F26" s="10"/>
      <c r="G26" s="10"/>
      <c r="H26" s="10"/>
      <c r="I26" s="10"/>
    </row>
    <row r="27" spans="1:9" x14ac:dyDescent="0.3">
      <c r="A27" s="27" t="s">
        <v>83</v>
      </c>
      <c r="B27" s="28"/>
      <c r="C27" s="11"/>
      <c r="D27" s="11">
        <v>2008.6129699999999</v>
      </c>
      <c r="E27" s="11">
        <v>2008.6129699999999</v>
      </c>
      <c r="F27" s="11">
        <v>2008.6129699999999</v>
      </c>
      <c r="G27" s="11">
        <v>1958.6129699999999</v>
      </c>
      <c r="H27" s="11">
        <v>1838.6129699999999</v>
      </c>
      <c r="I27" s="11">
        <v>2008.6129699999999</v>
      </c>
    </row>
    <row r="28" spans="1:9" x14ac:dyDescent="0.3">
      <c r="A28" s="27" t="s">
        <v>84</v>
      </c>
      <c r="B28" s="28"/>
      <c r="C28" s="11"/>
      <c r="D28" s="11">
        <v>20214.926401000001</v>
      </c>
      <c r="E28" s="11">
        <v>25237.607261000001</v>
      </c>
      <c r="F28" s="11">
        <v>30601.432002000001</v>
      </c>
      <c r="G28" s="11">
        <v>39131.692321000002</v>
      </c>
      <c r="H28" s="11">
        <v>46116.581816999998</v>
      </c>
      <c r="I28" s="11">
        <v>16718.060354000001</v>
      </c>
    </row>
    <row r="29" spans="1:9" x14ac:dyDescent="0.3">
      <c r="A29" s="29" t="s">
        <v>85</v>
      </c>
      <c r="B29" s="30"/>
      <c r="C29" s="12"/>
      <c r="D29" s="12">
        <f t="shared" ref="D29:I29" si="3">D27+D28</f>
        <v>22223.539370999999</v>
      </c>
      <c r="E29" s="12">
        <f t="shared" si="3"/>
        <v>27246.220230999999</v>
      </c>
      <c r="F29" s="12">
        <f t="shared" si="3"/>
        <v>32610.044972</v>
      </c>
      <c r="G29" s="12">
        <f t="shared" si="3"/>
        <v>41090.305291000004</v>
      </c>
      <c r="H29" s="12">
        <f t="shared" si="3"/>
        <v>47955.194787</v>
      </c>
      <c r="I29" s="12">
        <f t="shared" si="3"/>
        <v>18726.673323999999</v>
      </c>
    </row>
    <row r="30" spans="1:9" x14ac:dyDescent="0.3">
      <c r="A30" s="25" t="s">
        <v>86</v>
      </c>
      <c r="B30" s="26"/>
      <c r="C30" s="10"/>
      <c r="D30" s="10"/>
      <c r="E30" s="10"/>
      <c r="F30" s="10"/>
      <c r="G30" s="10"/>
      <c r="H30" s="10"/>
      <c r="I30" s="10"/>
    </row>
    <row r="31" spans="1:9" x14ac:dyDescent="0.3">
      <c r="A31" s="27" t="s">
        <v>87</v>
      </c>
      <c r="B31" s="28"/>
      <c r="C31" s="11"/>
      <c r="D31" s="11">
        <v>4405.7653060000002</v>
      </c>
      <c r="E31" s="11">
        <v>3179.400118</v>
      </c>
      <c r="F31" s="11">
        <v>2149.0173749999999</v>
      </c>
      <c r="G31" s="11">
        <v>1118.642478</v>
      </c>
      <c r="H31" s="11">
        <v>1448.977799</v>
      </c>
      <c r="I31" s="11">
        <v>5439.2261420000004</v>
      </c>
    </row>
    <row r="32" spans="1:9" x14ac:dyDescent="0.3">
      <c r="A32" s="27" t="s">
        <v>88</v>
      </c>
      <c r="B32" s="28"/>
      <c r="C32" s="11"/>
      <c r="D32" s="11">
        <v>0</v>
      </c>
      <c r="E32" s="11">
        <v>0</v>
      </c>
      <c r="F32" s="11">
        <v>0</v>
      </c>
      <c r="G32" s="11">
        <v>0</v>
      </c>
      <c r="H32" s="11">
        <v>0</v>
      </c>
      <c r="I32" s="11">
        <v>0</v>
      </c>
    </row>
    <row r="33" spans="1:9" x14ac:dyDescent="0.3">
      <c r="A33" s="27" t="s">
        <v>89</v>
      </c>
      <c r="B33" s="28"/>
      <c r="C33" s="11"/>
      <c r="D33" s="11">
        <v>1.328937</v>
      </c>
      <c r="E33" s="11">
        <v>0</v>
      </c>
      <c r="F33" s="11">
        <v>0</v>
      </c>
      <c r="G33" s="11">
        <v>0</v>
      </c>
      <c r="H33" s="11">
        <v>0</v>
      </c>
      <c r="I33" s="11">
        <v>0</v>
      </c>
    </row>
    <row r="34" spans="1:9" x14ac:dyDescent="0.3">
      <c r="A34" s="27" t="s">
        <v>90</v>
      </c>
      <c r="B34" s="28"/>
      <c r="C34" s="11"/>
      <c r="D34" s="11">
        <v>1857.649347</v>
      </c>
      <c r="E34" s="11">
        <v>3407.3736180000001</v>
      </c>
      <c r="F34" s="11">
        <v>4823.1584460000004</v>
      </c>
      <c r="G34" s="11">
        <v>5505.8239940000003</v>
      </c>
      <c r="H34" s="11">
        <v>5688.1160399999999</v>
      </c>
      <c r="I34" s="11">
        <v>1287.9421130000001</v>
      </c>
    </row>
    <row r="35" spans="1:9" x14ac:dyDescent="0.3">
      <c r="A35" s="27" t="s">
        <v>91</v>
      </c>
      <c r="B35" s="28"/>
      <c r="C35" s="11"/>
      <c r="D35" s="11">
        <v>26.394535999999999</v>
      </c>
      <c r="E35" s="11">
        <v>29.683198000000001</v>
      </c>
      <c r="F35" s="11">
        <v>35.383341000000001</v>
      </c>
      <c r="G35" s="11">
        <v>32.887203</v>
      </c>
      <c r="H35" s="11">
        <v>40.322031000000003</v>
      </c>
      <c r="I35" s="11">
        <v>23.277456000000001</v>
      </c>
    </row>
    <row r="36" spans="1:9" x14ac:dyDescent="0.3">
      <c r="A36" s="29" t="s">
        <v>92</v>
      </c>
      <c r="B36" s="30"/>
      <c r="C36" s="12"/>
      <c r="D36" s="12">
        <f t="shared" ref="D36:I36" si="4">D31+D32+D33+D34+D35</f>
        <v>6291.1381259999998</v>
      </c>
      <c r="E36" s="12">
        <f t="shared" si="4"/>
        <v>6616.4569339999998</v>
      </c>
      <c r="F36" s="12">
        <f t="shared" si="4"/>
        <v>7007.5591620000005</v>
      </c>
      <c r="G36" s="12">
        <f t="shared" si="4"/>
        <v>6657.3536750000003</v>
      </c>
      <c r="H36" s="12">
        <f t="shared" si="4"/>
        <v>7177.4158699999998</v>
      </c>
      <c r="I36" s="12">
        <f t="shared" si="4"/>
        <v>6750.4457110000003</v>
      </c>
    </row>
    <row r="37" spans="1:9" x14ac:dyDescent="0.3">
      <c r="A37" s="25" t="s">
        <v>93</v>
      </c>
      <c r="B37" s="26"/>
      <c r="C37" s="10"/>
      <c r="D37" s="10"/>
      <c r="E37" s="10"/>
      <c r="F37" s="10"/>
      <c r="G37" s="10"/>
      <c r="H37" s="10"/>
      <c r="I37" s="10"/>
    </row>
    <row r="38" spans="1:9" x14ac:dyDescent="0.3">
      <c r="A38" s="27" t="s">
        <v>94</v>
      </c>
      <c r="B38" s="28"/>
      <c r="C38" s="11"/>
      <c r="D38" s="11">
        <v>4985.3855290000001</v>
      </c>
      <c r="E38" s="11">
        <v>5525.2212079999999</v>
      </c>
      <c r="F38" s="11">
        <v>5307.0753530000002</v>
      </c>
      <c r="G38" s="11">
        <v>6223.1533209999998</v>
      </c>
      <c r="H38" s="11">
        <v>7710.0123979999998</v>
      </c>
      <c r="I38" s="11">
        <v>4293.205395</v>
      </c>
    </row>
    <row r="39" spans="1:9" x14ac:dyDescent="0.3">
      <c r="A39" s="27" t="s">
        <v>95</v>
      </c>
      <c r="B39" s="28"/>
      <c r="C39" s="11"/>
      <c r="D39" s="11">
        <v>137.0915</v>
      </c>
      <c r="E39" s="11">
        <v>264.98440799999997</v>
      </c>
      <c r="F39" s="11">
        <v>253.13594499999999</v>
      </c>
      <c r="G39" s="11">
        <v>113.418606</v>
      </c>
      <c r="H39" s="11">
        <v>144.300907</v>
      </c>
      <c r="I39" s="11">
        <v>126.582689</v>
      </c>
    </row>
    <row r="40" spans="1:9" x14ac:dyDescent="0.3">
      <c r="A40" s="27" t="s">
        <v>96</v>
      </c>
      <c r="B40" s="28"/>
      <c r="C40" s="11"/>
      <c r="D40" s="11">
        <v>122.613973</v>
      </c>
      <c r="E40" s="11">
        <v>142.17199299999999</v>
      </c>
      <c r="F40" s="11">
        <v>192.67479</v>
      </c>
      <c r="G40" s="11">
        <v>0</v>
      </c>
      <c r="H40" s="11">
        <v>0</v>
      </c>
      <c r="I40" s="11">
        <v>208.76675599999999</v>
      </c>
    </row>
    <row r="41" spans="1:9" x14ac:dyDescent="0.3">
      <c r="A41" s="27" t="s">
        <v>97</v>
      </c>
      <c r="B41" s="28"/>
      <c r="C41" s="11"/>
      <c r="D41" s="11">
        <v>498</v>
      </c>
      <c r="E41" s="11">
        <v>0</v>
      </c>
      <c r="F41" s="11">
        <v>0</v>
      </c>
      <c r="G41" s="11">
        <v>6.1253000000000002E-2</v>
      </c>
      <c r="H41" s="11">
        <v>3.7048839999999998</v>
      </c>
      <c r="I41" s="11">
        <v>1301.6090999999999</v>
      </c>
    </row>
    <row r="42" spans="1:9" x14ac:dyDescent="0.3">
      <c r="A42" s="27" t="s">
        <v>98</v>
      </c>
      <c r="B42" s="28"/>
      <c r="C42" s="11"/>
      <c r="D42" s="11">
        <v>1147.020843</v>
      </c>
      <c r="E42" s="11">
        <v>1071.912356</v>
      </c>
      <c r="F42" s="11">
        <v>1034.355873</v>
      </c>
      <c r="G42" s="11">
        <v>1169.2956429999999</v>
      </c>
      <c r="H42" s="11">
        <v>837.35925799999995</v>
      </c>
      <c r="I42" s="11">
        <v>248.49632199999999</v>
      </c>
    </row>
    <row r="43" spans="1:9" x14ac:dyDescent="0.3">
      <c r="A43" s="27" t="s">
        <v>99</v>
      </c>
      <c r="B43" s="28"/>
      <c r="C43" s="11"/>
      <c r="D43" s="11">
        <v>0</v>
      </c>
      <c r="E43" s="11">
        <v>0</v>
      </c>
      <c r="F43" s="11">
        <v>0</v>
      </c>
      <c r="G43" s="11">
        <v>0</v>
      </c>
      <c r="H43" s="11">
        <v>0</v>
      </c>
      <c r="I43" s="11">
        <v>0</v>
      </c>
    </row>
    <row r="44" spans="1:9" x14ac:dyDescent="0.3">
      <c r="A44" s="27" t="s">
        <v>100</v>
      </c>
      <c r="B44" s="28"/>
      <c r="C44" s="11"/>
      <c r="D44" s="11">
        <v>0</v>
      </c>
      <c r="E44" s="11">
        <v>0</v>
      </c>
      <c r="F44" s="11">
        <v>0</v>
      </c>
      <c r="G44" s="11">
        <v>0</v>
      </c>
      <c r="H44" s="11">
        <v>0</v>
      </c>
      <c r="I44" s="11">
        <v>0</v>
      </c>
    </row>
    <row r="45" spans="1:9" x14ac:dyDescent="0.3">
      <c r="A45" s="27" t="s">
        <v>101</v>
      </c>
      <c r="B45" s="28"/>
      <c r="C45" s="11"/>
      <c r="D45" s="11">
        <v>46.197552000000002</v>
      </c>
      <c r="E45" s="11">
        <v>45.648049</v>
      </c>
      <c r="F45" s="11">
        <v>45.47522</v>
      </c>
      <c r="G45" s="11">
        <v>45.338931000000002</v>
      </c>
      <c r="H45" s="11">
        <v>42.181257000000002</v>
      </c>
      <c r="I45" s="11">
        <v>48.014347999999998</v>
      </c>
    </row>
    <row r="46" spans="1:9" x14ac:dyDescent="0.3">
      <c r="A46" s="27" t="s">
        <v>102</v>
      </c>
      <c r="B46" s="28"/>
      <c r="C46" s="11"/>
      <c r="D46" s="11">
        <v>635.93454299999996</v>
      </c>
      <c r="E46" s="11">
        <v>2438.0526650000002</v>
      </c>
      <c r="F46" s="11">
        <v>3079.75423</v>
      </c>
      <c r="G46" s="11">
        <v>3544.368477</v>
      </c>
      <c r="H46" s="11">
        <v>2924.1424069999998</v>
      </c>
      <c r="I46" s="11">
        <v>52.873660999999998</v>
      </c>
    </row>
    <row r="47" spans="1:9" x14ac:dyDescent="0.3">
      <c r="A47" s="27" t="s">
        <v>103</v>
      </c>
      <c r="B47" s="28"/>
      <c r="C47" s="11"/>
      <c r="D47" s="11">
        <v>0</v>
      </c>
      <c r="E47" s="11">
        <v>0</v>
      </c>
      <c r="F47" s="11">
        <v>0</v>
      </c>
      <c r="G47" s="11">
        <v>0</v>
      </c>
      <c r="H47" s="11">
        <v>0</v>
      </c>
      <c r="I47" s="11">
        <v>0</v>
      </c>
    </row>
    <row r="48" spans="1:9" x14ac:dyDescent="0.3">
      <c r="A48" s="29" t="s">
        <v>104</v>
      </c>
      <c r="B48" s="30"/>
      <c r="C48" s="12"/>
      <c r="D48" s="12">
        <f t="shared" ref="D48:I48" si="5">D38+D39+D40+D41+D42+D43+D44+D45+D46+D47</f>
        <v>7572.2439400000003</v>
      </c>
      <c r="E48" s="12">
        <f t="shared" si="5"/>
        <v>9487.9906790000005</v>
      </c>
      <c r="F48" s="12">
        <f t="shared" si="5"/>
        <v>9912.4714110000004</v>
      </c>
      <c r="G48" s="12">
        <f t="shared" si="5"/>
        <v>11095.636231</v>
      </c>
      <c r="H48" s="12">
        <f t="shared" si="5"/>
        <v>11661.701110999998</v>
      </c>
      <c r="I48" s="12">
        <f t="shared" si="5"/>
        <v>6279.5482709999987</v>
      </c>
    </row>
    <row r="49" spans="1:9" x14ac:dyDescent="0.3">
      <c r="A49" s="29" t="s">
        <v>105</v>
      </c>
      <c r="B49" s="30"/>
      <c r="C49" s="12"/>
      <c r="D49" s="12">
        <f t="shared" ref="D49:I49" si="6">D36+D48</f>
        <v>13863.382066</v>
      </c>
      <c r="E49" s="12">
        <f t="shared" si="6"/>
        <v>16104.447613</v>
      </c>
      <c r="F49" s="12">
        <f t="shared" si="6"/>
        <v>16920.030573</v>
      </c>
      <c r="G49" s="12">
        <f t="shared" si="6"/>
        <v>17752.989906000003</v>
      </c>
      <c r="H49" s="12">
        <f t="shared" si="6"/>
        <v>18839.116980999999</v>
      </c>
      <c r="I49" s="12">
        <f t="shared" si="6"/>
        <v>13029.993982</v>
      </c>
    </row>
    <row r="50" spans="1:9" x14ac:dyDescent="0.3">
      <c r="A50" s="29" t="s">
        <v>106</v>
      </c>
      <c r="B50" s="30"/>
      <c r="C50" s="12"/>
      <c r="D50" s="12">
        <f t="shared" ref="D50:I50" si="7">D29+D49</f>
        <v>36086.921436999997</v>
      </c>
      <c r="E50" s="12">
        <f t="shared" si="7"/>
        <v>43350.667843999996</v>
      </c>
      <c r="F50" s="12">
        <f t="shared" si="7"/>
        <v>49530.075545</v>
      </c>
      <c r="G50" s="12">
        <f t="shared" si="7"/>
        <v>58843.295197000007</v>
      </c>
      <c r="H50" s="12">
        <f t="shared" si="7"/>
        <v>66794.311768</v>
      </c>
      <c r="I50" s="12">
        <f t="shared" si="7"/>
        <v>31756.667305999999</v>
      </c>
    </row>
    <row r="51" spans="1:9" x14ac:dyDescent="0.3">
      <c r="A51" s="25" t="s">
        <v>107</v>
      </c>
      <c r="B51" s="26"/>
      <c r="C51" s="10"/>
      <c r="D51" s="10"/>
      <c r="E51" s="10"/>
      <c r="F51" s="10"/>
      <c r="G51" s="10"/>
      <c r="H51" s="10"/>
      <c r="I51" s="10"/>
    </row>
    <row r="52" spans="1:9" x14ac:dyDescent="0.3">
      <c r="A52" s="27" t="s">
        <v>108</v>
      </c>
      <c r="B52" s="28"/>
      <c r="C52" s="11"/>
      <c r="D52" s="11">
        <v>1555.157545</v>
      </c>
      <c r="E52" s="11">
        <v>1281.5597969999999</v>
      </c>
      <c r="F52" s="11">
        <v>674.67428399999994</v>
      </c>
      <c r="G52" s="11">
        <v>1781.4468710000001</v>
      </c>
      <c r="H52" s="11">
        <v>2107.1359750000001</v>
      </c>
      <c r="I52" s="11">
        <v>1091.3009709999999</v>
      </c>
    </row>
    <row r="53" spans="1:9" x14ac:dyDescent="0.3">
      <c r="A53" s="27" t="s">
        <v>109</v>
      </c>
      <c r="B53" s="28"/>
      <c r="C53" s="11"/>
      <c r="D53" s="11">
        <f t="shared" ref="D53:I53" si="8">D9-D10</f>
        <v>21753.605354000003</v>
      </c>
      <c r="E53" s="11">
        <f t="shared" si="8"/>
        <v>21200.398415</v>
      </c>
      <c r="F53" s="11">
        <f t="shared" si="8"/>
        <v>20286.414882000001</v>
      </c>
      <c r="G53" s="11">
        <f t="shared" si="8"/>
        <v>21157.313928000003</v>
      </c>
      <c r="H53" s="11">
        <f t="shared" si="8"/>
        <v>20873.345754000002</v>
      </c>
      <c r="I53" s="11">
        <f t="shared" si="8"/>
        <v>22613.088248999997</v>
      </c>
    </row>
    <row r="54" spans="1:9" x14ac:dyDescent="0.3">
      <c r="A54" s="27" t="s">
        <v>110</v>
      </c>
      <c r="B54" s="28"/>
      <c r="C54" s="11"/>
      <c r="D54" s="11">
        <f t="shared" ref="D54:I54" si="9">D18+D19</f>
        <v>4183.5453669999997</v>
      </c>
      <c r="E54" s="11">
        <f t="shared" si="9"/>
        <v>5670.9864180000004</v>
      </c>
      <c r="F54" s="11">
        <f t="shared" si="9"/>
        <v>7655.9913180000003</v>
      </c>
      <c r="G54" s="11">
        <f t="shared" si="9"/>
        <v>7579.4259259999999</v>
      </c>
      <c r="H54" s="11">
        <f t="shared" si="9"/>
        <v>7504.8680270000004</v>
      </c>
      <c r="I54" s="11">
        <f t="shared" si="9"/>
        <v>3266.18066</v>
      </c>
    </row>
    <row r="55" spans="1:9" x14ac:dyDescent="0.3">
      <c r="A55" s="27" t="s">
        <v>111</v>
      </c>
      <c r="B55" s="28"/>
      <c r="C55" s="11"/>
      <c r="D55" s="11">
        <f t="shared" ref="D55:I55" si="10">D31+D32+D41+D42+D43-D148-D149</f>
        <v>6050.7861490000005</v>
      </c>
      <c r="E55" s="11">
        <f t="shared" si="10"/>
        <v>4251.3124740000003</v>
      </c>
      <c r="F55" s="11">
        <f t="shared" si="10"/>
        <v>3183.3732479999999</v>
      </c>
      <c r="G55" s="11">
        <f t="shared" si="10"/>
        <v>2153.059604</v>
      </c>
      <c r="H55" s="11">
        <f t="shared" si="10"/>
        <v>2242.6215440000001</v>
      </c>
      <c r="I55" s="11">
        <f t="shared" si="10"/>
        <v>6989.3315640000001</v>
      </c>
    </row>
    <row r="56" spans="1:9" x14ac:dyDescent="0.3">
      <c r="A56" s="27" t="s">
        <v>112</v>
      </c>
      <c r="B56" s="28"/>
      <c r="C56" s="11"/>
      <c r="D56" s="11">
        <f t="shared" ref="D56:I56" si="11">D31+D32</f>
        <v>4405.7653060000002</v>
      </c>
      <c r="E56" s="11">
        <f t="shared" si="11"/>
        <v>3179.400118</v>
      </c>
      <c r="F56" s="11">
        <f t="shared" si="11"/>
        <v>2149.0173749999999</v>
      </c>
      <c r="G56" s="11">
        <f t="shared" si="11"/>
        <v>1118.642478</v>
      </c>
      <c r="H56" s="11">
        <f t="shared" si="11"/>
        <v>1448.977799</v>
      </c>
      <c r="I56" s="11">
        <f t="shared" si="11"/>
        <v>5439.2261420000004</v>
      </c>
    </row>
    <row r="57" spans="1:9" x14ac:dyDescent="0.3">
      <c r="A57" s="27"/>
      <c r="B57" s="28"/>
      <c r="C57" s="11"/>
      <c r="D57" s="11"/>
      <c r="E57" s="11"/>
      <c r="F57" s="11"/>
      <c r="G57" s="11"/>
      <c r="H57" s="11"/>
      <c r="I57" s="11"/>
    </row>
    <row r="58" spans="1:9" x14ac:dyDescent="0.3">
      <c r="A58" s="27" t="s">
        <v>113</v>
      </c>
      <c r="B58" s="28"/>
      <c r="C58" s="11"/>
      <c r="D58" s="11">
        <f t="shared" ref="D58:I58" si="12">D55+D29</f>
        <v>28274.325519999999</v>
      </c>
      <c r="E58" s="11">
        <f t="shared" si="12"/>
        <v>31497.532704999998</v>
      </c>
      <c r="F58" s="11">
        <f t="shared" si="12"/>
        <v>35793.41822</v>
      </c>
      <c r="G58" s="11">
        <f t="shared" si="12"/>
        <v>43243.364895000006</v>
      </c>
      <c r="H58" s="11">
        <f t="shared" si="12"/>
        <v>50197.816331000002</v>
      </c>
      <c r="I58" s="11">
        <f t="shared" si="12"/>
        <v>25716.004887999999</v>
      </c>
    </row>
    <row r="59" spans="1:9" x14ac:dyDescent="0.3">
      <c r="A59" s="27" t="s">
        <v>114</v>
      </c>
      <c r="B59" s="28"/>
      <c r="C59" s="11"/>
      <c r="D59" s="11">
        <f t="shared" ref="D59:I59" si="13">D24-D22-D21</f>
        <v>5651.5729399999982</v>
      </c>
      <c r="E59" s="11">
        <f t="shared" si="13"/>
        <v>7170.9701219999988</v>
      </c>
      <c r="F59" s="11">
        <f t="shared" si="13"/>
        <v>9644.7656400000014</v>
      </c>
      <c r="G59" s="11">
        <f t="shared" si="13"/>
        <v>10830.001646999997</v>
      </c>
      <c r="H59" s="11">
        <f t="shared" si="13"/>
        <v>10222.457565999997</v>
      </c>
      <c r="I59" s="11">
        <f t="shared" si="13"/>
        <v>4185.887091999999</v>
      </c>
    </row>
    <row r="60" spans="1:9" x14ac:dyDescent="0.3">
      <c r="A60" s="27" t="s">
        <v>115</v>
      </c>
      <c r="B60" s="28"/>
      <c r="C60" s="11"/>
      <c r="D60" s="11">
        <f t="shared" ref="D60:I60" si="14">D48-D41-D42-D43-D44-D40-D45</f>
        <v>5758.411572</v>
      </c>
      <c r="E60" s="11">
        <f t="shared" si="14"/>
        <v>8228.2582810000004</v>
      </c>
      <c r="F60" s="11">
        <f t="shared" si="14"/>
        <v>8639.9655280000006</v>
      </c>
      <c r="G60" s="11">
        <f t="shared" si="14"/>
        <v>9880.9404040000009</v>
      </c>
      <c r="H60" s="11">
        <f t="shared" si="14"/>
        <v>10778.455711999997</v>
      </c>
      <c r="I60" s="11">
        <f t="shared" si="14"/>
        <v>4472.6617449999994</v>
      </c>
    </row>
    <row r="61" spans="1:9" x14ac:dyDescent="0.3">
      <c r="A61" s="20"/>
      <c r="B61" s="20"/>
    </row>
    <row r="62" spans="1:9" ht="19.5" customHeight="1" x14ac:dyDescent="0.3">
      <c r="A62" s="21" t="s">
        <v>116</v>
      </c>
      <c r="B62" s="22"/>
      <c r="C62" s="3"/>
      <c r="D62" s="3"/>
      <c r="E62" s="3"/>
      <c r="F62" s="3"/>
      <c r="G62" s="3"/>
      <c r="H62" s="3"/>
      <c r="I62" s="3"/>
    </row>
    <row r="63" spans="1:9" ht="16.5" customHeight="1" x14ac:dyDescent="0.3">
      <c r="A63" s="23" t="s">
        <v>57</v>
      </c>
      <c r="B63" s="24"/>
      <c r="C63" s="9"/>
      <c r="D63" s="9" t="s">
        <v>58</v>
      </c>
      <c r="E63" s="9" t="s">
        <v>59</v>
      </c>
      <c r="F63" s="9" t="s">
        <v>60</v>
      </c>
      <c r="G63" s="9" t="s">
        <v>61</v>
      </c>
      <c r="H63" s="9" t="s">
        <v>62</v>
      </c>
      <c r="I63" s="9" t="s">
        <v>63</v>
      </c>
    </row>
    <row r="64" spans="1:9" x14ac:dyDescent="0.3">
      <c r="A64" s="27" t="s">
        <v>117</v>
      </c>
      <c r="B64" s="28"/>
      <c r="C64" s="11"/>
      <c r="D64" s="11">
        <v>24057.375992000001</v>
      </c>
      <c r="E64" s="11">
        <v>32876.949179000003</v>
      </c>
      <c r="F64" s="11">
        <v>38921.635349999997</v>
      </c>
      <c r="G64" s="11">
        <v>38647.767972000001</v>
      </c>
      <c r="H64" s="11">
        <v>37535.700371999999</v>
      </c>
      <c r="I64" s="11">
        <v>11300.240540000001</v>
      </c>
    </row>
    <row r="65" spans="1:9" x14ac:dyDescent="0.3">
      <c r="A65" s="27" t="s">
        <v>118</v>
      </c>
      <c r="B65" s="28"/>
      <c r="C65" s="11"/>
      <c r="D65" s="11">
        <v>-18092.026933000001</v>
      </c>
      <c r="E65" s="11">
        <v>-23065.180670000002</v>
      </c>
      <c r="F65" s="11">
        <v>-28488.941331000002</v>
      </c>
      <c r="G65" s="11">
        <v>-27391.276476999999</v>
      </c>
      <c r="H65" s="11">
        <v>-22814.094271000002</v>
      </c>
      <c r="I65" s="11">
        <v>-11324.560852000001</v>
      </c>
    </row>
    <row r="66" spans="1:9" x14ac:dyDescent="0.3">
      <c r="A66" s="29" t="s">
        <v>119</v>
      </c>
      <c r="B66" s="30"/>
      <c r="C66" s="12"/>
      <c r="D66" s="12">
        <f t="shared" ref="D66:I66" si="15">D64+D65</f>
        <v>5965.3490590000001</v>
      </c>
      <c r="E66" s="12">
        <f t="shared" si="15"/>
        <v>9811.7685090000014</v>
      </c>
      <c r="F66" s="12">
        <f t="shared" si="15"/>
        <v>10432.694018999995</v>
      </c>
      <c r="G66" s="12">
        <f t="shared" si="15"/>
        <v>11256.491495000002</v>
      </c>
      <c r="H66" s="12">
        <f t="shared" si="15"/>
        <v>14721.606100999998</v>
      </c>
      <c r="I66" s="12">
        <f t="shared" si="15"/>
        <v>-24.320311999999831</v>
      </c>
    </row>
    <row r="67" spans="1:9" x14ac:dyDescent="0.3">
      <c r="A67" s="27" t="s">
        <v>120</v>
      </c>
      <c r="B67" s="28"/>
      <c r="C67" s="11"/>
      <c r="D67" s="11">
        <v>-94.165965</v>
      </c>
      <c r="E67" s="11">
        <v>-122.136736</v>
      </c>
      <c r="F67" s="11">
        <v>-176.123458</v>
      </c>
      <c r="G67" s="11">
        <v>-197.25935899999999</v>
      </c>
      <c r="H67" s="11">
        <v>-225.60041699999999</v>
      </c>
      <c r="I67" s="11">
        <v>-64.260434000000004</v>
      </c>
    </row>
    <row r="68" spans="1:9" x14ac:dyDescent="0.3">
      <c r="A68" s="27" t="s">
        <v>121</v>
      </c>
      <c r="B68" s="28"/>
      <c r="C68" s="11"/>
      <c r="D68" s="11">
        <v>-313.52467000000001</v>
      </c>
      <c r="E68" s="11">
        <v>-353.52284600000002</v>
      </c>
      <c r="F68" s="11">
        <v>-396.23005499999999</v>
      </c>
      <c r="G68" s="11">
        <v>-488.04283099999998</v>
      </c>
      <c r="H68" s="11">
        <v>-695.55311800000004</v>
      </c>
      <c r="I68" s="11">
        <v>-238.72760299999999</v>
      </c>
    </row>
    <row r="69" spans="1:9" x14ac:dyDescent="0.3">
      <c r="A69" s="27" t="s">
        <v>122</v>
      </c>
      <c r="B69" s="28"/>
      <c r="C69" s="11"/>
      <c r="D69" s="11">
        <v>0</v>
      </c>
      <c r="E69" s="11">
        <v>0</v>
      </c>
      <c r="F69" s="11">
        <v>0</v>
      </c>
      <c r="G69" s="11">
        <v>2.010516</v>
      </c>
      <c r="H69" s="11">
        <v>-44.078564999999998</v>
      </c>
      <c r="I69" s="11">
        <v>0</v>
      </c>
    </row>
    <row r="70" spans="1:9" x14ac:dyDescent="0.3">
      <c r="A70" s="27" t="s">
        <v>123</v>
      </c>
      <c r="B70" s="28"/>
      <c r="C70" s="11"/>
      <c r="D70" s="11">
        <v>-325.32307400000002</v>
      </c>
      <c r="E70" s="11">
        <v>-563.05238199999997</v>
      </c>
      <c r="F70" s="11">
        <v>-736.51295900000002</v>
      </c>
      <c r="G70" s="11">
        <v>-571.95038899999997</v>
      </c>
      <c r="H70" s="11">
        <v>-940.35906499999999</v>
      </c>
      <c r="I70" s="11">
        <v>-16.456530000000001</v>
      </c>
    </row>
    <row r="71" spans="1:9" x14ac:dyDescent="0.3">
      <c r="A71" s="29" t="s">
        <v>124</v>
      </c>
      <c r="B71" s="30"/>
      <c r="C71" s="12"/>
      <c r="D71" s="12">
        <f t="shared" ref="D71:I71" si="16">D66+D67+D68+D69+D70</f>
        <v>5232.3353500000003</v>
      </c>
      <c r="E71" s="12">
        <f t="shared" si="16"/>
        <v>8773.0565450000013</v>
      </c>
      <c r="F71" s="12">
        <f t="shared" si="16"/>
        <v>9123.8275469999953</v>
      </c>
      <c r="G71" s="12">
        <f t="shared" si="16"/>
        <v>10001.249432000002</v>
      </c>
      <c r="H71" s="12">
        <f t="shared" si="16"/>
        <v>12816.014935999998</v>
      </c>
      <c r="I71" s="12">
        <f t="shared" si="16"/>
        <v>-343.76487899999978</v>
      </c>
    </row>
    <row r="72" spans="1:9" x14ac:dyDescent="0.3">
      <c r="A72" s="27" t="s">
        <v>125</v>
      </c>
      <c r="B72" s="28"/>
      <c r="C72" s="11"/>
      <c r="D72" s="11">
        <v>170.67466999999999</v>
      </c>
      <c r="E72" s="11">
        <v>690.14339600000005</v>
      </c>
      <c r="F72" s="11">
        <v>2085.8080530000002</v>
      </c>
      <c r="G72" s="11">
        <v>4452.4165130000001</v>
      </c>
      <c r="H72" s="11">
        <v>5280.7191970000003</v>
      </c>
      <c r="I72" s="11">
        <v>196.15211199999999</v>
      </c>
    </row>
    <row r="73" spans="1:9" x14ac:dyDescent="0.3">
      <c r="A73" s="27" t="s">
        <v>126</v>
      </c>
      <c r="B73" s="28"/>
      <c r="C73" s="11"/>
      <c r="D73" s="11">
        <v>0</v>
      </c>
      <c r="E73" s="11">
        <v>0</v>
      </c>
      <c r="F73" s="11">
        <v>0</v>
      </c>
      <c r="G73" s="11">
        <v>0</v>
      </c>
      <c r="H73" s="11">
        <v>0</v>
      </c>
      <c r="I73" s="11">
        <v>0</v>
      </c>
    </row>
    <row r="74" spans="1:9" x14ac:dyDescent="0.3">
      <c r="A74" s="27" t="s">
        <v>127</v>
      </c>
      <c r="B74" s="28"/>
      <c r="C74" s="11"/>
      <c r="D74" s="11">
        <v>0</v>
      </c>
      <c r="E74" s="11">
        <v>0</v>
      </c>
      <c r="F74" s="11">
        <v>0</v>
      </c>
      <c r="G74" s="11">
        <v>0</v>
      </c>
      <c r="H74" s="11">
        <v>0</v>
      </c>
      <c r="I74" s="11">
        <v>0</v>
      </c>
    </row>
    <row r="75" spans="1:9" x14ac:dyDescent="0.3">
      <c r="A75" s="27" t="s">
        <v>128</v>
      </c>
      <c r="B75" s="28"/>
      <c r="C75" s="11"/>
      <c r="D75" s="11">
        <v>-517.05541300000004</v>
      </c>
      <c r="E75" s="11">
        <v>-537.71081500000003</v>
      </c>
      <c r="F75" s="11">
        <v>-740.307772</v>
      </c>
      <c r="G75" s="11">
        <v>-677.38084500000002</v>
      </c>
      <c r="H75" s="11">
        <v>-349.91071599999998</v>
      </c>
      <c r="I75" s="11">
        <v>-409.70218299999999</v>
      </c>
    </row>
    <row r="76" spans="1:9" x14ac:dyDescent="0.3">
      <c r="A76" s="29" t="s">
        <v>129</v>
      </c>
      <c r="B76" s="30"/>
      <c r="C76" s="12"/>
      <c r="D76" s="12">
        <f t="shared" ref="D76:I76" si="17">D71+D72+D73+D74+D75</f>
        <v>4885.9546070000006</v>
      </c>
      <c r="E76" s="12">
        <f t="shared" si="17"/>
        <v>8925.4891260000004</v>
      </c>
      <c r="F76" s="12">
        <f t="shared" si="17"/>
        <v>10469.327827999996</v>
      </c>
      <c r="G76" s="12">
        <f t="shared" si="17"/>
        <v>13776.285100000003</v>
      </c>
      <c r="H76" s="12">
        <f t="shared" si="17"/>
        <v>17746.823417</v>
      </c>
      <c r="I76" s="12">
        <f t="shared" si="17"/>
        <v>-557.31494999999973</v>
      </c>
    </row>
    <row r="77" spans="1:9" x14ac:dyDescent="0.3">
      <c r="A77" s="27" t="s">
        <v>130</v>
      </c>
      <c r="B77" s="28"/>
      <c r="C77" s="11"/>
      <c r="D77" s="11">
        <v>0</v>
      </c>
      <c r="E77" s="11">
        <v>0</v>
      </c>
      <c r="F77" s="11">
        <v>-343.98100499999998</v>
      </c>
      <c r="G77" s="11">
        <v>-844.15136500000006</v>
      </c>
      <c r="H77" s="11">
        <v>-58.631368000000002</v>
      </c>
      <c r="I77" s="11">
        <v>0</v>
      </c>
    </row>
    <row r="78" spans="1:9" x14ac:dyDescent="0.3">
      <c r="A78" s="27" t="s">
        <v>131</v>
      </c>
      <c r="B78" s="28"/>
      <c r="C78" s="11"/>
      <c r="D78" s="11">
        <v>-1388.4473599999999</v>
      </c>
      <c r="E78" s="11">
        <v>-3901.2088659999999</v>
      </c>
      <c r="F78" s="11">
        <v>-4304.5956779999997</v>
      </c>
      <c r="G78" s="11">
        <v>-4038.6789480000002</v>
      </c>
      <c r="H78" s="11">
        <v>-6113.0379780000003</v>
      </c>
      <c r="I78" s="11">
        <v>113.579251</v>
      </c>
    </row>
    <row r="79" spans="1:9" x14ac:dyDescent="0.3">
      <c r="A79" s="29" t="s">
        <v>132</v>
      </c>
      <c r="B79" s="30"/>
      <c r="C79" s="12"/>
      <c r="D79" s="12">
        <f t="shared" ref="D79:I79" si="18">D76+D77+D78</f>
        <v>3497.5072470000005</v>
      </c>
      <c r="E79" s="12">
        <f t="shared" si="18"/>
        <v>5024.2802600000005</v>
      </c>
      <c r="F79" s="12">
        <f t="shared" si="18"/>
        <v>5820.7511449999965</v>
      </c>
      <c r="G79" s="12">
        <f t="shared" si="18"/>
        <v>8893.4547870000024</v>
      </c>
      <c r="H79" s="12">
        <f t="shared" si="18"/>
        <v>11575.154071000001</v>
      </c>
      <c r="I79" s="12">
        <f t="shared" si="18"/>
        <v>-443.73569899999973</v>
      </c>
    </row>
    <row r="80" spans="1:9" x14ac:dyDescent="0.3">
      <c r="A80" s="25" t="s">
        <v>133</v>
      </c>
      <c r="B80" s="26"/>
      <c r="C80" s="10"/>
      <c r="D80" s="10"/>
      <c r="E80" s="10"/>
      <c r="F80" s="10"/>
      <c r="G80" s="10"/>
      <c r="H80" s="10"/>
      <c r="I80" s="10"/>
    </row>
    <row r="81" spans="1:9" x14ac:dyDescent="0.3">
      <c r="A81" s="27" t="s">
        <v>134</v>
      </c>
      <c r="B81" s="28"/>
      <c r="C81" s="11"/>
      <c r="D81" s="11">
        <v>1230.6927009999999</v>
      </c>
      <c r="E81" s="11">
        <v>1118.1098160000001</v>
      </c>
      <c r="F81" s="11">
        <v>1116.0133900000001</v>
      </c>
      <c r="G81" s="11">
        <v>1182.7871740000001</v>
      </c>
      <c r="H81" s="11">
        <v>1264.994747</v>
      </c>
      <c r="I81" s="11"/>
    </row>
    <row r="82" spans="1:9" x14ac:dyDescent="0.3">
      <c r="A82" s="27" t="s">
        <v>135</v>
      </c>
      <c r="B82" s="28"/>
      <c r="C82" s="11"/>
      <c r="D82" s="11">
        <f>D76+D85</f>
        <v>5376.2589380000009</v>
      </c>
      <c r="E82" s="11">
        <f>E76+E85</f>
        <v>9440.8254749999996</v>
      </c>
      <c r="F82" s="11">
        <f>F76+F85</f>
        <v>11152.891156999996</v>
      </c>
      <c r="G82" s="11">
        <f>G76+G85</f>
        <v>14422.469235000002</v>
      </c>
      <c r="H82" s="11">
        <f>H76+H85</f>
        <v>18053.034155999998</v>
      </c>
      <c r="I82" s="11">
        <f>I76-I75</f>
        <v>-147.61276699999974</v>
      </c>
    </row>
    <row r="83" spans="1:9" x14ac:dyDescent="0.3">
      <c r="A83" s="27" t="s">
        <v>136</v>
      </c>
      <c r="B83" s="28"/>
      <c r="C83" s="11"/>
      <c r="D83" s="11">
        <f>D82+D81</f>
        <v>6606.9516390000008</v>
      </c>
      <c r="E83" s="11">
        <f>E82+E81</f>
        <v>10558.935291</v>
      </c>
      <c r="F83" s="11">
        <f>F82+F81</f>
        <v>12268.904546999996</v>
      </c>
      <c r="G83" s="11">
        <f>G82+G81</f>
        <v>15605.256409000001</v>
      </c>
      <c r="H83" s="11">
        <f>H82+H81</f>
        <v>19318.028902999999</v>
      </c>
      <c r="I83" s="11"/>
    </row>
    <row r="84" spans="1:9" x14ac:dyDescent="0.3">
      <c r="A84" s="27" t="s">
        <v>137</v>
      </c>
      <c r="B84" s="28"/>
      <c r="C84" s="11"/>
      <c r="D84" s="11">
        <v>26.751082</v>
      </c>
      <c r="E84" s="11">
        <v>22.374466000000002</v>
      </c>
      <c r="F84" s="11">
        <v>56.744442999999997</v>
      </c>
      <c r="G84" s="11">
        <v>31.196709999999999</v>
      </c>
      <c r="H84" s="11">
        <v>43.699976999999997</v>
      </c>
      <c r="I84" s="13"/>
    </row>
    <row r="85" spans="1:9" x14ac:dyDescent="0.3">
      <c r="A85" s="27" t="s">
        <v>138</v>
      </c>
      <c r="B85" s="28"/>
      <c r="C85" s="11"/>
      <c r="D85" s="11">
        <f>-D75-D84</f>
        <v>490.30433100000005</v>
      </c>
      <c r="E85" s="11">
        <f>-E75-E84</f>
        <v>515.33634900000004</v>
      </c>
      <c r="F85" s="11">
        <f>-F75-F84</f>
        <v>683.56332899999995</v>
      </c>
      <c r="G85" s="11">
        <f>-G75-G84</f>
        <v>646.18413499999997</v>
      </c>
      <c r="H85" s="11">
        <f>-H75-H84</f>
        <v>306.21073899999999</v>
      </c>
      <c r="I85" s="13"/>
    </row>
    <row r="86" spans="1:9" x14ac:dyDescent="0.3">
      <c r="A86" s="27" t="s">
        <v>139</v>
      </c>
      <c r="B86" s="28"/>
      <c r="C86" s="14"/>
      <c r="D86" s="14">
        <f>IF(D76&lt;=0,"n/m",-(D77+D78)/D76)</f>
        <v>0.28417115419181377</v>
      </c>
      <c r="E86" s="14">
        <f>IF(E76&lt;=0,"n/m",-(E77+E78)/E76)</f>
        <v>0.43708628299548946</v>
      </c>
      <c r="F86" s="14">
        <f>IF(F76&lt;=0,"n/m",-(F77+F78)/F76)</f>
        <v>0.44401863800343316</v>
      </c>
      <c r="G86" s="14">
        <f>IF(G76&lt;=0,"n/m",-(G77+G78)/G76)</f>
        <v>0.35443737390423197</v>
      </c>
      <c r="H86" s="14">
        <f>IF(H76&lt;=0,"n/m",-(H77+H78)/H76)</f>
        <v>0.34776191778006016</v>
      </c>
      <c r="I86" s="13"/>
    </row>
    <row r="87" spans="1:9" x14ac:dyDescent="0.3">
      <c r="A87" s="27" t="s">
        <v>140</v>
      </c>
      <c r="B87" s="28"/>
      <c r="C87" s="14"/>
      <c r="D87" s="14">
        <f>D86</f>
        <v>0.28417115419181377</v>
      </c>
      <c r="E87" s="14">
        <f>E86</f>
        <v>0.43708628299548946</v>
      </c>
      <c r="F87" s="14">
        <f>F86</f>
        <v>0.44401863800343316</v>
      </c>
      <c r="G87" s="14">
        <f>G86</f>
        <v>0.35443737390423197</v>
      </c>
      <c r="H87" s="14">
        <f>H86</f>
        <v>0.34776191778006016</v>
      </c>
      <c r="I87" s="13"/>
    </row>
    <row r="88" spans="1:9" x14ac:dyDescent="0.3">
      <c r="A88" s="27" t="s">
        <v>141</v>
      </c>
      <c r="B88" s="28"/>
      <c r="C88" s="11"/>
      <c r="D88" s="11">
        <f>IF(ISNUMBER(D87),D82*(1-D87),"n/m")</f>
        <v>3848.4812303544859</v>
      </c>
      <c r="E88" s="11">
        <f>IF(ISNUMBER(E87),E82*(1-E87),"n/m")</f>
        <v>5314.3701597231238</v>
      </c>
      <c r="F88" s="11">
        <f>IF(ISNUMBER(F87),F82*(1-F87),"n/m")</f>
        <v>6200.7996156683239</v>
      </c>
      <c r="G88" s="11">
        <f>IF(ISNUMBER(G87),G82*(1-G87),"n/m")</f>
        <v>9310.6071141320244</v>
      </c>
      <c r="H88" s="11">
        <f>IF(ISNUMBER(H87),H82*(1-H87),"n/m")</f>
        <v>11774.87637616051</v>
      </c>
      <c r="I88" s="13"/>
    </row>
    <row r="89" spans="1:9" x14ac:dyDescent="0.3">
      <c r="A89" s="20"/>
      <c r="B89" s="20"/>
    </row>
    <row r="90" spans="1:9" ht="19.5" customHeight="1" x14ac:dyDescent="0.3">
      <c r="A90" s="21" t="s">
        <v>142</v>
      </c>
      <c r="B90" s="22"/>
      <c r="C90" s="3"/>
      <c r="D90" s="3"/>
      <c r="E90" s="3"/>
      <c r="F90" s="3"/>
      <c r="G90" s="3"/>
      <c r="H90" s="3"/>
      <c r="I90" s="3"/>
    </row>
    <row r="91" spans="1:9" ht="16.5" customHeight="1" x14ac:dyDescent="0.3">
      <c r="A91" s="23" t="s">
        <v>57</v>
      </c>
      <c r="B91" s="24"/>
      <c r="C91" s="9"/>
      <c r="D91" s="9" t="s">
        <v>58</v>
      </c>
      <c r="E91" s="9" t="s">
        <v>59</v>
      </c>
      <c r="F91" s="9" t="s">
        <v>60</v>
      </c>
      <c r="G91" s="9" t="s">
        <v>61</v>
      </c>
      <c r="H91" s="9" t="s">
        <v>62</v>
      </c>
      <c r="I91" s="9" t="s">
        <v>63</v>
      </c>
    </row>
    <row r="92" spans="1:9" x14ac:dyDescent="0.3">
      <c r="A92" s="27" t="s">
        <v>143</v>
      </c>
      <c r="B92" s="28"/>
      <c r="C92" s="11"/>
      <c r="D92" s="11">
        <v>6012.0307430000003</v>
      </c>
      <c r="E92" s="11">
        <v>9429.2529919999997</v>
      </c>
      <c r="F92" s="11">
        <v>7862.5932089999997</v>
      </c>
      <c r="G92" s="11">
        <v>11482.975487</v>
      </c>
      <c r="H92" s="11">
        <v>16574.725509</v>
      </c>
      <c r="I92" s="11">
        <v>246.21905100000001</v>
      </c>
    </row>
    <row r="93" spans="1:9" x14ac:dyDescent="0.3">
      <c r="A93" s="27" t="s">
        <v>144</v>
      </c>
      <c r="B93" s="28"/>
      <c r="C93" s="11"/>
      <c r="D93" s="11">
        <v>5089.3158640000001</v>
      </c>
      <c r="E93" s="11">
        <v>8181.3578900000002</v>
      </c>
      <c r="F93" s="11">
        <v>4452.0817610000004</v>
      </c>
      <c r="G93" s="11">
        <v>6647.173409</v>
      </c>
      <c r="H93" s="11">
        <v>9378.2885380000007</v>
      </c>
      <c r="I93" s="11">
        <v>-502.39586000000003</v>
      </c>
    </row>
    <row r="94" spans="1:9" x14ac:dyDescent="0.3">
      <c r="A94" s="27" t="s">
        <v>145</v>
      </c>
      <c r="B94" s="28"/>
      <c r="C94" s="11"/>
      <c r="D94" s="11">
        <v>-3950.1783479999999</v>
      </c>
      <c r="E94" s="11">
        <v>-7092.9885160000003</v>
      </c>
      <c r="F94" s="11">
        <v>-2470.5157629999999</v>
      </c>
      <c r="G94" s="11">
        <v>-5030.3240939999996</v>
      </c>
      <c r="H94" s="11">
        <v>-4398.5957699999999</v>
      </c>
      <c r="I94" s="11">
        <v>-18.793346</v>
      </c>
    </row>
    <row r="95" spans="1:9" x14ac:dyDescent="0.3">
      <c r="A95" s="27" t="s">
        <v>146</v>
      </c>
      <c r="B95" s="28"/>
      <c r="C95" s="11"/>
      <c r="D95" s="11">
        <v>-943.01425200000006</v>
      </c>
      <c r="E95" s="11">
        <v>-1805.333093</v>
      </c>
      <c r="F95" s="11">
        <v>-1528.794437</v>
      </c>
      <c r="G95" s="11">
        <v>-1447.7373359999999</v>
      </c>
      <c r="H95" s="11">
        <v>-4631.6392169999999</v>
      </c>
      <c r="I95" s="11">
        <v>838.90926999999999</v>
      </c>
    </row>
    <row r="96" spans="1:9" x14ac:dyDescent="0.3">
      <c r="A96" s="27" t="s">
        <v>147</v>
      </c>
      <c r="B96" s="28"/>
      <c r="C96" s="11"/>
      <c r="D96" s="11">
        <v>-610.59704499999998</v>
      </c>
      <c r="E96" s="11">
        <v>-461.84737000000001</v>
      </c>
      <c r="F96" s="11">
        <v>-2015.8970380000001</v>
      </c>
      <c r="G96" s="11">
        <v>-1107.2849329999999</v>
      </c>
      <c r="H96" s="11">
        <v>-2398.9193359999999</v>
      </c>
      <c r="I96" s="11">
        <v>-1704.7789439999999</v>
      </c>
    </row>
    <row r="97" spans="1:9" x14ac:dyDescent="0.3">
      <c r="A97" s="27" t="s">
        <v>148</v>
      </c>
      <c r="B97" s="28"/>
      <c r="C97" s="11"/>
      <c r="D97" s="11">
        <v>-599.22721799999999</v>
      </c>
      <c r="E97" s="11">
        <v>-514.17181700000003</v>
      </c>
      <c r="F97" s="11">
        <v>-685.82399699999996</v>
      </c>
      <c r="G97" s="11">
        <v>-731.07363399999997</v>
      </c>
      <c r="H97" s="11">
        <v>-391.06182100000001</v>
      </c>
      <c r="I97" s="11">
        <v>-302.106064</v>
      </c>
    </row>
    <row r="98" spans="1:9" x14ac:dyDescent="0.3">
      <c r="A98" s="27" t="s">
        <v>149</v>
      </c>
      <c r="B98" s="28"/>
      <c r="C98" s="11"/>
      <c r="D98" s="11">
        <v>-1.8167960000000001</v>
      </c>
      <c r="E98" s="11">
        <v>-0.54950299999999996</v>
      </c>
      <c r="F98" s="11">
        <v>-0.17282900000000001</v>
      </c>
      <c r="G98" s="11">
        <v>-0.13628899999999999</v>
      </c>
      <c r="H98" s="11">
        <v>-3.1576740000000001</v>
      </c>
      <c r="I98" s="11">
        <v>-499.29020300000002</v>
      </c>
    </row>
    <row r="99" spans="1:9" x14ac:dyDescent="0.3">
      <c r="A99" s="20"/>
      <c r="B99" s="20"/>
    </row>
    <row r="100" spans="1:9" ht="19.5" customHeight="1" x14ac:dyDescent="0.3">
      <c r="A100" s="21" t="s">
        <v>150</v>
      </c>
      <c r="B100" s="22"/>
      <c r="C100" s="3"/>
      <c r="D100" s="3"/>
      <c r="E100" s="3"/>
      <c r="F100" s="3"/>
      <c r="G100" s="3"/>
      <c r="H100" s="3"/>
      <c r="I100" s="3"/>
    </row>
    <row r="101" spans="1:9" ht="16.5" customHeight="1" x14ac:dyDescent="0.3">
      <c r="A101" s="23" t="s">
        <v>57</v>
      </c>
      <c r="B101" s="24"/>
      <c r="C101" s="9"/>
      <c r="D101" s="9" t="s">
        <v>58</v>
      </c>
      <c r="E101" s="9" t="s">
        <v>59</v>
      </c>
      <c r="F101" s="9" t="s">
        <v>60</v>
      </c>
      <c r="G101" s="9" t="s">
        <v>61</v>
      </c>
      <c r="H101" s="9" t="s">
        <v>62</v>
      </c>
    </row>
    <row r="102" spans="1:9" x14ac:dyDescent="0.3">
      <c r="A102" s="27" t="s">
        <v>151</v>
      </c>
      <c r="B102" s="28"/>
      <c r="C102" s="15"/>
      <c r="D102" s="15">
        <v>10</v>
      </c>
      <c r="E102" s="15">
        <v>10</v>
      </c>
      <c r="F102" s="15">
        <v>10</v>
      </c>
      <c r="G102" s="15">
        <v>10</v>
      </c>
      <c r="H102" s="15">
        <v>10</v>
      </c>
    </row>
    <row r="103" spans="1:9" x14ac:dyDescent="0.3">
      <c r="A103" s="27" t="s">
        <v>152</v>
      </c>
      <c r="B103" s="28"/>
      <c r="C103" s="16"/>
      <c r="D103" s="16">
        <f>D27/D102-D107</f>
        <v>200.86129699999998</v>
      </c>
      <c r="E103" s="16">
        <f>E27/E102-E107</f>
        <v>200.86129699999998</v>
      </c>
      <c r="F103" s="16">
        <f>F27/F102-F107</f>
        <v>200.86129699999998</v>
      </c>
      <c r="G103" s="16">
        <f>G27/G102-G107</f>
        <v>195.86129699999998</v>
      </c>
      <c r="H103" s="16">
        <f>H27/H102-H107</f>
        <v>183.86129699999998</v>
      </c>
    </row>
    <row r="104" spans="1:9" x14ac:dyDescent="0.3">
      <c r="A104" s="27" t="s">
        <v>153</v>
      </c>
      <c r="B104" s="28"/>
      <c r="C104" s="16"/>
      <c r="D104" s="16">
        <v>200.86129700000001</v>
      </c>
      <c r="E104" s="16">
        <v>200.86129700000001</v>
      </c>
      <c r="F104" s="16">
        <v>200.86129700000001</v>
      </c>
      <c r="G104" s="16">
        <v>196.435067</v>
      </c>
      <c r="H104" s="16">
        <v>193.42841999999999</v>
      </c>
    </row>
    <row r="105" spans="1:9" x14ac:dyDescent="0.3">
      <c r="A105" s="27" t="s">
        <v>154</v>
      </c>
      <c r="B105" s="28"/>
      <c r="C105" s="15"/>
      <c r="D105" s="15">
        <v>206.49</v>
      </c>
      <c r="E105" s="15">
        <v>130.13</v>
      </c>
      <c r="F105" s="15">
        <v>173.47</v>
      </c>
      <c r="G105" s="15">
        <v>250.43</v>
      </c>
      <c r="H105" s="15">
        <v>379.36</v>
      </c>
    </row>
    <row r="106" spans="1:9" x14ac:dyDescent="0.3">
      <c r="A106" s="27" t="s">
        <v>155</v>
      </c>
      <c r="B106" s="28"/>
      <c r="C106" s="15"/>
      <c r="D106" s="65">
        <v>0</v>
      </c>
      <c r="E106" s="65">
        <v>0</v>
      </c>
      <c r="F106" s="65">
        <v>0</v>
      </c>
      <c r="G106" s="65">
        <v>0</v>
      </c>
      <c r="H106" s="65">
        <v>0</v>
      </c>
    </row>
    <row r="107" spans="1:9" x14ac:dyDescent="0.3">
      <c r="A107" s="27" t="s">
        <v>156</v>
      </c>
      <c r="B107" s="28"/>
      <c r="C107" s="15"/>
      <c r="D107" s="15">
        <v>0</v>
      </c>
      <c r="E107" s="15">
        <v>0</v>
      </c>
      <c r="F107" s="15">
        <v>0</v>
      </c>
      <c r="G107" s="15">
        <v>0</v>
      </c>
      <c r="H107" s="15">
        <v>0</v>
      </c>
    </row>
    <row r="108" spans="1:9" ht="19.5" customHeight="1" x14ac:dyDescent="0.3">
      <c r="A108" s="21" t="s">
        <v>157</v>
      </c>
      <c r="B108" s="22"/>
      <c r="C108" s="3"/>
      <c r="D108" s="3"/>
      <c r="E108" s="3"/>
      <c r="F108" s="3"/>
      <c r="G108" s="3"/>
      <c r="H108" s="3"/>
      <c r="I108" s="3"/>
    </row>
    <row r="109" spans="1:9" ht="30" customHeight="1" x14ac:dyDescent="0.3">
      <c r="A109" s="33" t="s">
        <v>158</v>
      </c>
      <c r="B109" s="33" t="s">
        <v>159</v>
      </c>
      <c r="C109" s="33" t="s">
        <v>160</v>
      </c>
      <c r="D109" s="33" t="s">
        <v>58</v>
      </c>
      <c r="E109" s="33" t="s">
        <v>59</v>
      </c>
      <c r="F109" s="33" t="s">
        <v>60</v>
      </c>
      <c r="G109" s="33" t="s">
        <v>61</v>
      </c>
      <c r="H109" s="33" t="s">
        <v>62</v>
      </c>
    </row>
    <row r="110" spans="1:9" ht="22.95" customHeight="1" x14ac:dyDescent="0.3">
      <c r="A110" s="90" t="s">
        <v>161</v>
      </c>
      <c r="B110" s="90"/>
      <c r="C110" s="90"/>
      <c r="D110" s="90"/>
      <c r="E110" s="90"/>
      <c r="F110" s="90"/>
      <c r="G110" s="90"/>
      <c r="H110" s="90"/>
    </row>
    <row r="111" spans="1:9" ht="34.049999999999997" customHeight="1" x14ac:dyDescent="0.3">
      <c r="A111" s="34" t="s">
        <v>162</v>
      </c>
      <c r="B111" s="35" t="s">
        <v>163</v>
      </c>
      <c r="C111" s="35" t="s">
        <v>164</v>
      </c>
      <c r="D111" s="37">
        <f>IF(OR(NOT(ISNUMBER(D24)),NOT(ISNUMBER(D48))),"n/m",IF(OR((D48)&lt;=0,(D24)&lt;0),"n/m",(D24)/(D48)))</f>
        <v>1.3006446691414961</v>
      </c>
      <c r="E111" s="37">
        <f>IF(OR(NOT(ISNUMBER(E24)),NOT(ISNUMBER(E48))),"n/m",IF(OR((E48)&lt;=0,(E24)&lt;0),"n/m",(E24)/(E48)))</f>
        <v>1.8735085276109804</v>
      </c>
      <c r="F111" s="37">
        <f>IF(OR(NOT(ISNUMBER(F24)),NOT(ISNUMBER(F48))),"n/m",IF(OR((F48)&lt;=0,(F24)&lt;0),"n/m",(F24)/(F48)))</f>
        <v>2.311570515459215</v>
      </c>
      <c r="G111" s="37">
        <f>IF(OR(NOT(ISNUMBER(G24)),NOT(ISNUMBER(G48))),"n/m",IF(OR((G48)&lt;=0,(G24)&lt;0),"n/m",(G24)/(G48)))</f>
        <v>2.9031590530160019</v>
      </c>
      <c r="H111" s="37">
        <f>IF(OR(NOT(ISNUMBER(H24)),NOT(ISNUMBER(H48))),"n/m",IF(OR((H48)&lt;=0,(H24)&lt;0),"n/m",(H24)/(H48)))</f>
        <v>3.311248687172772</v>
      </c>
    </row>
    <row r="112" spans="1:9" ht="34.049999999999997" customHeight="1" x14ac:dyDescent="0.3">
      <c r="A112" s="34" t="s">
        <v>165</v>
      </c>
      <c r="B112" s="35" t="s">
        <v>166</v>
      </c>
      <c r="C112" s="35" t="s">
        <v>167</v>
      </c>
      <c r="D112" s="37">
        <f>IF(OR(NOT(ISNUMBER(D24-D54)),NOT(ISNUMBER(D48))),"n/m",IF(OR((D48)&lt;=0,(D24-D54)&lt;0),"n/m",(D24-D54)/(D48)))</f>
        <v>0.74816043855554903</v>
      </c>
      <c r="E112" s="37">
        <f>IF(OR(NOT(ISNUMBER(E24-E54)),NOT(ISNUMBER(E48))),"n/m",IF(OR((E48)&lt;=0,(E24-E54)&lt;0),"n/m",(E24-E54)/(E48)))</f>
        <v>1.2758070110452304</v>
      </c>
      <c r="F112" s="37">
        <f>IF(OR(NOT(ISNUMBER(F24-F54)),NOT(ISNUMBER(F48))),"n/m",IF(OR((F48)&lt;=0,(F24-F54)&lt;0),"n/m",(F24-F54)/(F48)))</f>
        <v>1.5392110300634694</v>
      </c>
      <c r="G112" s="37">
        <f>IF(OR(NOT(ISNUMBER(G24-G54)),NOT(ISNUMBER(G48))),"n/m",IF(OR((G48)&lt;=0,(G24-G54)&lt;0),"n/m",(G24-G54)/(G48)))</f>
        <v>2.2200593399212352</v>
      </c>
      <c r="H112" s="37">
        <f>IF(OR(NOT(ISNUMBER(H24-H54)),NOT(ISNUMBER(H48))),"n/m",IF(OR((H48)&lt;=0,(H24-H54)&lt;0),"n/m",(H24-H54)/(H48)))</f>
        <v>2.6677003784340947</v>
      </c>
    </row>
    <row r="113" spans="1:8" ht="34.049999999999997" customHeight="1" x14ac:dyDescent="0.3">
      <c r="A113" s="34" t="s">
        <v>168</v>
      </c>
      <c r="B113" s="35" t="s">
        <v>169</v>
      </c>
      <c r="C113" s="35" t="s">
        <v>170</v>
      </c>
      <c r="D113" s="37">
        <f>IF(OR(NOT(ISNUMBER(D157)),NOT(ISNUMBER(D48))),"n/m",IF(OR((D48)&lt;=0,(D157)&lt;0),"n/m",(D157)/(D48)))</f>
        <v>0.15817363525137568</v>
      </c>
      <c r="E113" s="37">
        <f>IF(OR(NOT(ISNUMBER(E157)),NOT(ISNUMBER(E48))),"n/m",IF(OR((E48)&lt;=0,(E157)&lt;0),"n/m",(E157)/(E48)))</f>
        <v>5.0670963775722312E-2</v>
      </c>
      <c r="F113" s="37">
        <f>IF(OR(NOT(ISNUMBER(F157)),NOT(ISNUMBER(F48))),"n/m",IF(OR((F48)&lt;=0,(F157)&lt;0),"n/m",(F157)/(F48)))</f>
        <v>9.4178046452072631E-2</v>
      </c>
      <c r="G113" s="37">
        <f>IF(OR(NOT(ISNUMBER(G157)),NOT(ISNUMBER(G48))),"n/m",IF(OR((G48)&lt;=0,(G157)&lt;0),"n/m",(G157)/(G48)))</f>
        <v>9.9376831489781367E-2</v>
      </c>
      <c r="H113" s="37">
        <f>IF(OR(NOT(ISNUMBER(H157)),NOT(ISNUMBER(H48))),"n/m",IF(OR((H48)&lt;=0,(H157)&lt;0),"n/m",(H157)/(H48)))</f>
        <v>0.1243988942257843</v>
      </c>
    </row>
    <row r="114" spans="1:8" ht="34.049999999999997" customHeight="1" x14ac:dyDescent="0.3">
      <c r="A114" s="34" t="s">
        <v>171</v>
      </c>
      <c r="B114" s="35" t="s">
        <v>172</v>
      </c>
      <c r="C114" s="35" t="s">
        <v>173</v>
      </c>
      <c r="D114" s="38">
        <f>IF(OR(NOT(ISNUMBER(D24-D48)),NOT(ISNUMBER(1))),"n/m",IF(OR((1)&lt;=0,(D24-D48)&lt;0),"n/m",(D24-D48)/(1)))</f>
        <v>2276.5547739999984</v>
      </c>
      <c r="E114" s="38">
        <f>IF(OR(NOT(ISNUMBER(E24-E48)),NOT(ISNUMBER(1))),"n/m",IF(OR((1)&lt;=0,(E24-E48)&lt;0),"n/m",(E24-E48)/(1)))</f>
        <v>8287.8407679999964</v>
      </c>
      <c r="F114" s="38">
        <f>IF(OR(NOT(ISNUMBER(F24-F48)),NOT(ISNUMBER(1))),"n/m",IF(OR((1)&lt;=0,(F24-F48)&lt;0),"n/m",(F24-F48)/(1)))</f>
        <v>13000.905238000001</v>
      </c>
      <c r="G114" s="38">
        <f>IF(OR(NOT(ISNUMBER(G24-G48)),NOT(ISNUMBER(1))),"n/m",IF(OR((1)&lt;=0,(G24-G48)&lt;0),"n/m",(G24-G48)/(1)))</f>
        <v>21116.760542</v>
      </c>
      <c r="H114" s="38">
        <f>IF(OR(NOT(ISNUMBER(H24-H48)),NOT(ISNUMBER(1))),"n/m",IF(OR((1)&lt;=0,(H24-H48)&lt;0),"n/m",(H24-H48)/(1)))</f>
        <v>26953.091383000003</v>
      </c>
    </row>
    <row r="115" spans="1:8" ht="22.95" customHeight="1" x14ac:dyDescent="0.3">
      <c r="A115" s="90" t="s">
        <v>174</v>
      </c>
      <c r="B115" s="90"/>
      <c r="C115" s="90"/>
      <c r="D115" s="91"/>
      <c r="E115" s="91"/>
      <c r="F115" s="91"/>
      <c r="G115" s="91"/>
      <c r="H115" s="91"/>
    </row>
    <row r="116" spans="1:8" ht="34.049999999999997" customHeight="1" x14ac:dyDescent="0.3">
      <c r="A116" s="34" t="s">
        <v>175</v>
      </c>
      <c r="B116" s="35" t="s">
        <v>176</v>
      </c>
      <c r="C116" s="35" t="s">
        <v>177</v>
      </c>
      <c r="D116" s="37">
        <f>IF(OR(NOT(ISNUMBER(-D65)),NOT(ISNUMBER(AVERAGE(I54,D54)))),"n/m",IF(OR((AVERAGE(I54,D54))&lt;=0,(-D65)&lt;0),"n/m",(-D65)/(AVERAGE(I54,D54))))</f>
        <v>4.8570986013255171</v>
      </c>
      <c r="E116" s="37">
        <f>IF(OR(NOT(ISNUMBER(-E65)),NOT(ISNUMBER(AVERAGE(D54,E54)))),"n/m",IF(OR((AVERAGE(D54,E54))&lt;=0,(-E65)&lt;0),"n/m",(-E65)/(AVERAGE(D54,E54))))</f>
        <v>4.6811317215716919</v>
      </c>
      <c r="F116" s="37">
        <f>IF(OR(NOT(ISNUMBER(-F65)),NOT(ISNUMBER(AVERAGE(E54,F54)))),"n/m",IF(OR((AVERAGE(E54,F54))&lt;=0,(-F65)&lt;0),"n/m",(-F65)/(AVERAGE(E54,F54))))</f>
        <v>4.2753791437713859</v>
      </c>
      <c r="G116" s="37">
        <f>IF(OR(NOT(ISNUMBER(-G65)),NOT(ISNUMBER(AVERAGE(F54,G54)))),"n/m",IF(OR((AVERAGE(F54,G54))&lt;=0,(-G65)&lt;0),"n/m",(-G65)/(AVERAGE(F54,G54))))</f>
        <v>3.5957369645110586</v>
      </c>
      <c r="H116" s="37">
        <f>IF(OR(NOT(ISNUMBER(-H65)),NOT(ISNUMBER(AVERAGE(G54,H54)))),"n/m",IF(OR((AVERAGE(G54,H54))&lt;=0,(-H65)&lt;0),"n/m",(-H65)/(AVERAGE(G54,H54))))</f>
        <v>3.024880626442934</v>
      </c>
    </row>
    <row r="117" spans="1:8" ht="34.049999999999997" customHeight="1" x14ac:dyDescent="0.3">
      <c r="A117" s="34" t="s">
        <v>178</v>
      </c>
      <c r="B117" s="35" t="s">
        <v>179</v>
      </c>
      <c r="C117" s="35" t="s">
        <v>180</v>
      </c>
      <c r="D117" s="37">
        <f>IF(OR(NOT(ISNUMBER(D64)),NOT(ISNUMBER(AVERAGE(I20,D20)))),"n/m",IF(OR((AVERAGE(I20,D20))&lt;=0,(D64)&lt;0),"n/m",(D64)/(AVERAGE(I20,D20))))</f>
        <v>32.556527152183129</v>
      </c>
      <c r="E117" s="37">
        <f>IF(OR(NOT(ISNUMBER(E64)),NOT(ISNUMBER(AVERAGE(D20,E20)))),"n/m",IF(OR((AVERAGE(D20,E20))&lt;=0,(E64)&lt;0),"n/m",(E64)/(AVERAGE(D20,E20))))</f>
        <v>34.614462046513971</v>
      </c>
      <c r="F117" s="37">
        <f>IF(OR(NOT(ISNUMBER(F64)),NOT(ISNUMBER(AVERAGE(E20,F20)))),"n/m",IF(OR((AVERAGE(E20,F20))&lt;=0,(F64)&lt;0),"n/m",(F64)/(AVERAGE(E20,F20))))</f>
        <v>36.690956476472735</v>
      </c>
      <c r="G117" s="37">
        <f>IF(OR(NOT(ISNUMBER(G64)),NOT(ISNUMBER(AVERAGE(F20,G20)))),"n/m",IF(OR((AVERAGE(F20,G20))&lt;=0,(G64)&lt;0),"n/m",(G64)/(AVERAGE(F20,G20))))</f>
        <v>23.311269128267483</v>
      </c>
      <c r="H117" s="37">
        <f>IF(OR(NOT(ISNUMBER(H64)),NOT(ISNUMBER(AVERAGE(G20,H20)))),"n/m",IF(OR((AVERAGE(G20,H20))&lt;=0,(H64)&lt;0),"n/m",(H64)/(AVERAGE(G20,H20))))</f>
        <v>19.742821104933064</v>
      </c>
    </row>
    <row r="118" spans="1:8" ht="34.049999999999997" customHeight="1" x14ac:dyDescent="0.3">
      <c r="A118" s="34" t="s">
        <v>181</v>
      </c>
      <c r="B118" s="35" t="s">
        <v>182</v>
      </c>
      <c r="C118" s="35" t="s">
        <v>183</v>
      </c>
      <c r="D118" s="39">
        <f>IF(OR(NOT(ISNUMBER(365*AVERAGE(I54,D54))),NOT(ISNUMBER(-D65))),"n/m",IF(OR((-D65)&lt;=0,(365*AVERAGE(I54,D54))&lt;0),"n/m",(365*AVERAGE(I54,D54))/(-D65)))</f>
        <v>75.147743531578783</v>
      </c>
      <c r="E118" s="39">
        <f>IF(OR(NOT(ISNUMBER(365*AVERAGE(D54,E54))),NOT(ISNUMBER(-E65))),"n/m",IF(OR((-E65)&lt;=0,(365*AVERAGE(D54,E54))&lt;0),"n/m",(365*AVERAGE(D54,E54))/(-E65)))</f>
        <v>77.972597591731756</v>
      </c>
      <c r="F118" s="39">
        <f>IF(OR(NOT(ISNUMBER(365*AVERAGE(E54,F54))),NOT(ISNUMBER(-F65))),"n/m",IF(OR((-F65)&lt;=0,(365*AVERAGE(E54,F54))&lt;0),"n/m",(365*AVERAGE(E54,F54))/(-F65)))</f>
        <v>85.372545387407953</v>
      </c>
      <c r="G118" s="39">
        <f>IF(OR(NOT(ISNUMBER(365*AVERAGE(F54,G54))),NOT(ISNUMBER(-G65))),"n/m",IF(OR((-G65)&lt;=0,(365*AVERAGE(F54,G54))&lt;0),"n/m",(365*AVERAGE(F54,G54))/(-G65)))</f>
        <v>101.50909357454404</v>
      </c>
      <c r="H118" s="39">
        <f>IF(OR(NOT(ISNUMBER(365*AVERAGE(G54,H54))),NOT(ISNUMBER(-H65))),"n/m",IF(OR((-H65)&lt;=0,(365*AVERAGE(G54,H54))&lt;0),"n/m",(365*AVERAGE(G54,H54))/(-H65)))</f>
        <v>120.66591878345184</v>
      </c>
    </row>
    <row r="119" spans="1:8" ht="34.049999999999997" customHeight="1" x14ac:dyDescent="0.3">
      <c r="A119" s="34" t="s">
        <v>184</v>
      </c>
      <c r="B119" s="35" t="s">
        <v>185</v>
      </c>
      <c r="C119" s="35" t="s">
        <v>186</v>
      </c>
      <c r="D119" s="39">
        <f>IF(OR(NOT(ISNUMBER(365*AVERAGE(I20,D20))),NOT(ISNUMBER(D64))),"n/m",IF(OR((D64)&lt;=0,(365*AVERAGE(I20,D20))&lt;0),"n/m",(365*AVERAGE(I20,D20))/(D64)))</f>
        <v>11.211269503464973</v>
      </c>
      <c r="E119" s="39">
        <f>IF(OR(NOT(ISNUMBER(365*AVERAGE(D20,E20))),NOT(ISNUMBER(E64))),"n/m",IF(OR((E64)&lt;=0,(365*AVERAGE(D20,E20))&lt;0),"n/m",(365*AVERAGE(D20,E20))/(E64)))</f>
        <v>10.544725482358297</v>
      </c>
      <c r="F119" s="39">
        <f>IF(OR(NOT(ISNUMBER(365*AVERAGE(E20,F20))),NOT(ISNUMBER(F64))),"n/m",IF(OR((F64)&lt;=0,(365*AVERAGE(E20,F20))&lt;0),"n/m",(365*AVERAGE(E20,F20))/(F64)))</f>
        <v>9.9479554378487851</v>
      </c>
      <c r="G119" s="39">
        <f>IF(OR(NOT(ISNUMBER(365*AVERAGE(F20,G20))),NOT(ISNUMBER(G64))),"n/m",IF(OR((G64)&lt;=0,(365*AVERAGE(F20,G20))&lt;0),"n/m",(365*AVERAGE(F20,G20))/(G64)))</f>
        <v>15.657663166755571</v>
      </c>
      <c r="H119" s="39">
        <f>IF(OR(NOT(ISNUMBER(365*AVERAGE(G20,H20))),NOT(ISNUMBER(H64))),"n/m",IF(OR((H64)&lt;=0,(365*AVERAGE(G20,H20))&lt;0),"n/m",(365*AVERAGE(G20,H20))/(H64)))</f>
        <v>18.487732733839078</v>
      </c>
    </row>
    <row r="120" spans="1:8" ht="34.049999999999997" customHeight="1" x14ac:dyDescent="0.3">
      <c r="A120" s="34" t="s">
        <v>187</v>
      </c>
      <c r="B120" s="35" t="s">
        <v>188</v>
      </c>
      <c r="C120" s="35" t="s">
        <v>189</v>
      </c>
      <c r="D120" s="37">
        <f>IF(OR(NOT(ISNUMBER(D64)),NOT(ISNUMBER(D9))),"n/m",IF(OR((D9)&lt;=0,(D64)&lt;0),"n/m",(D64)/(D9)))</f>
        <v>1.0921496738296084</v>
      </c>
      <c r="E120" s="37">
        <f>IF(OR(NOT(ISNUMBER(E64)),NOT(ISNUMBER(E9))),"n/m",IF(OR((E9)&lt;=0,(E64)&lt;0),"n/m",(E64)/(E9)))</f>
        <v>1.5412541563844033</v>
      </c>
      <c r="F120" s="37">
        <f>IF(OR(NOT(ISNUMBER(F64)),NOT(ISNUMBER(F9))),"n/m",IF(OR((F9)&lt;=0,(F64)&lt;0),"n/m",(F64)/(F9)))</f>
        <v>1.7509053329621809</v>
      </c>
      <c r="G120" s="37">
        <f>IF(OR(NOT(ISNUMBER(G64)),NOT(ISNUMBER(G9))),"n/m",IF(OR((G9)&lt;=0,(G64)&lt;0),"n/m",(G64)/(G9)))</f>
        <v>1.7442972870565909</v>
      </c>
      <c r="H120" s="37">
        <f>IF(OR(NOT(ISNUMBER(H64)),NOT(ISNUMBER(H9))),"n/m",IF(OR((H9)&lt;=0,(H64)&lt;0),"n/m",(H64)/(H9)))</f>
        <v>1.606837829232711</v>
      </c>
    </row>
    <row r="121" spans="1:8" ht="34.049999999999997" customHeight="1" x14ac:dyDescent="0.3">
      <c r="A121" s="34" t="s">
        <v>190</v>
      </c>
      <c r="B121" s="35" t="s">
        <v>191</v>
      </c>
      <c r="C121" s="35" t="s">
        <v>192</v>
      </c>
      <c r="D121" s="37">
        <f>IF(OR(NOT(ISNUMBER(D64)),NOT(ISNUMBER(D25))),"n/m",IF(OR((D25)&lt;=0,(D64)&lt;0),"n/m",(D64)/(D25)))</f>
        <v>0.66665082622797289</v>
      </c>
      <c r="E121" s="37">
        <f>IF(OR(NOT(ISNUMBER(E64)),NOT(ISNUMBER(E25))),"n/m",IF(OR((E25)&lt;=0,(E64)&lt;0),"n/m",(E64)/(E25)))</f>
        <v>0.7583954484233022</v>
      </c>
      <c r="F121" s="37">
        <f>IF(OR(NOT(ISNUMBER(F64)),NOT(ISNUMBER(F25))),"n/m",IF(OR((F25)&lt;=0,(F64)&lt;0),"n/m",(F64)/(F25)))</f>
        <v>0.78581821088962756</v>
      </c>
      <c r="G121" s="37">
        <f>IF(OR(NOT(ISNUMBER(G64)),NOT(ISNUMBER(G25))),"n/m",IF(OR((G25)&lt;=0,(G64)&lt;0),"n/m",(G64)/(G25)))</f>
        <v>0.65679136157504614</v>
      </c>
      <c r="H121" s="37">
        <f>IF(OR(NOT(ISNUMBER(H64)),NOT(ISNUMBER(H25))),"n/m",IF(OR((H25)&lt;=0,(H64)&lt;0),"n/m",(H64)/(H25)))</f>
        <v>0.56195953485342598</v>
      </c>
    </row>
    <row r="122" spans="1:8" ht="22.95" customHeight="1" x14ac:dyDescent="0.3">
      <c r="A122" s="90" t="s">
        <v>193</v>
      </c>
      <c r="B122" s="90"/>
      <c r="C122" s="90"/>
      <c r="D122" s="91"/>
      <c r="E122" s="91"/>
      <c r="F122" s="91"/>
      <c r="G122" s="91"/>
      <c r="H122" s="91"/>
    </row>
    <row r="123" spans="1:8" ht="34.049999999999997" customHeight="1" x14ac:dyDescent="0.3">
      <c r="A123" s="34" t="s">
        <v>194</v>
      </c>
      <c r="B123" s="35" t="s">
        <v>195</v>
      </c>
      <c r="C123" s="35" t="s">
        <v>196</v>
      </c>
      <c r="D123" s="40">
        <f>IF(OR(NOT(ISNUMBER(D49)),NOT(ISNUMBER(D25))),"n/m",IF(OR((D25)&lt;=0,(D49)&lt;0),"n/m",(D49)/(D25)))</f>
        <v>0.38416638255503399</v>
      </c>
      <c r="E123" s="40">
        <f>IF(OR(NOT(ISNUMBER(E49)),NOT(ISNUMBER(E25))),"n/m",IF(OR((E25)&lt;=0,(E49)&lt;0),"n/m",(E49)/(E25)))</f>
        <v>0.37149249167170456</v>
      </c>
      <c r="F123" s="40">
        <f>IF(OR(NOT(ISNUMBER(F49)),NOT(ISNUMBER(F25))),"n/m",IF(OR((F25)&lt;=0,(F49)&lt;0),"n/m",(F49)/(F25)))</f>
        <v>0.34161124098483342</v>
      </c>
      <c r="G123" s="40">
        <f>IF(OR(NOT(ISNUMBER(G49)),NOT(ISNUMBER(G25))),"n/m",IF(OR((G25)&lt;=0,(G49)&lt;0),"n/m",(G49)/(G25)))</f>
        <v>0.30169945185029512</v>
      </c>
      <c r="H123" s="40">
        <f>IF(OR(NOT(ISNUMBER(H49)),NOT(ISNUMBER(H25))),"n/m",IF(OR((H25)&lt;=0,(H49)&lt;0),"n/m",(H49)/(H25)))</f>
        <v>0.28204672647028445</v>
      </c>
    </row>
    <row r="124" spans="1:8" ht="34.049999999999997" customHeight="1" x14ac:dyDescent="0.3">
      <c r="A124" s="34" t="s">
        <v>197</v>
      </c>
      <c r="B124" s="35" t="s">
        <v>198</v>
      </c>
      <c r="C124" s="35" t="s">
        <v>199</v>
      </c>
      <c r="D124" s="37">
        <f>IF(OR(NOT(ISNUMBER(D55)),NOT(ISNUMBER(D29))),"n/m",IF(OR((D29)&lt;=0,(D55)&lt;0),"n/m",(D55)/(D29)))</f>
        <v>0.2722692388457173</v>
      </c>
      <c r="E124" s="37">
        <f>IF(OR(NOT(ISNUMBER(E55)),NOT(ISNUMBER(E29))),"n/m",IF(OR((E29)&lt;=0,(E55)&lt;0),"n/m",(E55)/(E29)))</f>
        <v>0.15603310983895571</v>
      </c>
      <c r="F124" s="37">
        <f>IF(OR(NOT(ISNUMBER(F55)),NOT(ISNUMBER(F29))),"n/m",IF(OR((F29)&lt;=0,(F55)&lt;0),"n/m",(F55)/(F29)))</f>
        <v>9.7619406864766459E-2</v>
      </c>
      <c r="G124" s="37">
        <f>IF(OR(NOT(ISNUMBER(G55)),NOT(ISNUMBER(G29))),"n/m",IF(OR((G29)&lt;=0,(G55)&lt;0),"n/m",(G55)/(G29)))</f>
        <v>5.2398238191517746E-2</v>
      </c>
      <c r="H124" s="37">
        <f>IF(OR(NOT(ISNUMBER(H55)),NOT(ISNUMBER(H29))),"n/m",IF(OR((H29)&lt;=0,(H55)&lt;0),"n/m",(H55)/(H29)))</f>
        <v>4.6764934517749976E-2</v>
      </c>
    </row>
    <row r="125" spans="1:8" ht="34.049999999999997" customHeight="1" x14ac:dyDescent="0.3">
      <c r="A125" s="34" t="s">
        <v>200</v>
      </c>
      <c r="B125" s="35" t="s">
        <v>201</v>
      </c>
      <c r="C125" s="35" t="s">
        <v>202</v>
      </c>
      <c r="D125" s="40">
        <f>IF(OR(NOT(ISNUMBER(D55)),NOT(ISNUMBER(D55+D29))),"n/m",IF(OR((D55+D29)&lt;=0,(D55)&lt;0),"n/m",(D55)/(D55+D29)))</f>
        <v>0.21400284667161887</v>
      </c>
      <c r="E125" s="40">
        <f>IF(OR(NOT(ISNUMBER(E55)),NOT(ISNUMBER(E55+E29))),"n/m",IF(OR((E55+E29)&lt;=0,(E55)&lt;0),"n/m",(E55)/(E55+E29)))</f>
        <v>0.13497287275854264</v>
      </c>
      <c r="F125" s="40">
        <f>IF(OR(NOT(ISNUMBER(F55)),NOT(ISNUMBER(F55+F29))),"n/m",IF(OR((F55+F29)&lt;=0,(F55)&lt;0),"n/m",(F55)/(F55+F29)))</f>
        <v>8.8937391462133447E-2</v>
      </c>
      <c r="G125" s="40">
        <f>IF(OR(NOT(ISNUMBER(G55)),NOT(ISNUMBER(G55+G29))),"n/m",IF(OR((G55+G29)&lt;=0,(G55)&lt;0),"n/m",(G55)/(G55+G29)))</f>
        <v>4.9789363275218823E-2</v>
      </c>
      <c r="H125" s="40">
        <f>IF(OR(NOT(ISNUMBER(H55)),NOT(ISNUMBER(H55+H29))),"n/m",IF(OR((H55+H29)&lt;=0,(H55)&lt;0),"n/m",(H55)/(H55+H29)))</f>
        <v>4.4675679300715997E-2</v>
      </c>
    </row>
    <row r="126" spans="1:8" ht="34.049999999999997" customHeight="1" x14ac:dyDescent="0.3">
      <c r="A126" s="34" t="s">
        <v>203</v>
      </c>
      <c r="B126" s="35" t="s">
        <v>204</v>
      </c>
      <c r="C126" s="35" t="s">
        <v>205</v>
      </c>
      <c r="D126" s="37">
        <f>IF(OR(NOT(ISNUMBER(D82)),NOT(ISNUMBER(D85))),"n/m",IF(OR((D85)&lt;=0,(D82)&lt;0),"n/m",(D82)/(D85)))</f>
        <v>10.965146742707439</v>
      </c>
      <c r="E126" s="37">
        <f>IF(OR(NOT(ISNUMBER(E82)),NOT(ISNUMBER(E85))),"n/m",IF(OR((E85)&lt;=0,(E82)&lt;0),"n/m",(E82)/(E85)))</f>
        <v>18.319735243438064</v>
      </c>
      <c r="F126" s="37">
        <f>IF(OR(NOT(ISNUMBER(F82)),NOT(ISNUMBER(F85))),"n/m",IF(OR((F85)&lt;=0,(F82)&lt;0),"n/m",(F82)/(F85)))</f>
        <v>16.315812571917526</v>
      </c>
      <c r="G126" s="37">
        <f>IF(OR(NOT(ISNUMBER(G82)),NOT(ISNUMBER(G85))),"n/m",IF(OR((G85)&lt;=0,(G82)&lt;0),"n/m",(G82)/(G85)))</f>
        <v>22.319441864662931</v>
      </c>
      <c r="H126" s="37">
        <f>IF(OR(NOT(ISNUMBER(H82)),NOT(ISNUMBER(H85))),"n/m",IF(OR((H85)&lt;=0,(H82)&lt;0),"n/m",(H82)/(H85)))</f>
        <v>58.956241100348862</v>
      </c>
    </row>
    <row r="127" spans="1:8" ht="22.95" customHeight="1" x14ac:dyDescent="0.3">
      <c r="A127" s="90" t="s">
        <v>206</v>
      </c>
      <c r="B127" s="90"/>
      <c r="C127" s="90"/>
      <c r="D127" s="91"/>
      <c r="E127" s="91"/>
      <c r="F127" s="91"/>
      <c r="G127" s="91"/>
      <c r="H127" s="91"/>
    </row>
    <row r="128" spans="1:8" ht="34.049999999999997" customHeight="1" x14ac:dyDescent="0.3">
      <c r="A128" s="34" t="s">
        <v>207</v>
      </c>
      <c r="B128" s="35" t="s">
        <v>208</v>
      </c>
      <c r="C128" s="35" t="s">
        <v>209</v>
      </c>
      <c r="D128" s="40">
        <f>IF(OR(NOT(ISNUMBER(D66)),NOT(ISNUMBER(D64))),"n/m",IF(OR((D64)&lt;=0,(D66)&lt;0),"n/m",(D66)/(D64)))</f>
        <v>0.24796341300828931</v>
      </c>
      <c r="E128" s="40">
        <f>IF(OR(NOT(ISNUMBER(E66)),NOT(ISNUMBER(E64))),"n/m",IF(OR((E64)&lt;=0,(E66)&lt;0),"n/m",(E66)/(E64)))</f>
        <v>0.29843914213509881</v>
      </c>
      <c r="F128" s="40">
        <f>IF(OR(NOT(ISNUMBER(F66)),NOT(ISNUMBER(F64))),"n/m",IF(OR((F64)&lt;=0,(F66)&lt;0),"n/m",(F66)/(F64)))</f>
        <v>0.26804356818989611</v>
      </c>
      <c r="G128" s="40">
        <f>IF(OR(NOT(ISNUMBER(G66)),NOT(ISNUMBER(G64))),"n/m",IF(OR((G64)&lt;=0,(G66)&lt;0),"n/m",(G66)/(G64)))</f>
        <v>0.29125851467425595</v>
      </c>
      <c r="H128" s="40">
        <f>IF(OR(NOT(ISNUMBER(H66)),NOT(ISNUMBER(H64))),"n/m",IF(OR((H64)&lt;=0,(H66)&lt;0),"n/m",(H66)/(H64)))</f>
        <v>0.39220278175445145</v>
      </c>
    </row>
    <row r="129" spans="1:8" ht="34.049999999999997" customHeight="1" x14ac:dyDescent="0.3">
      <c r="A129" s="34" t="s">
        <v>210</v>
      </c>
      <c r="B129" s="35" t="s">
        <v>211</v>
      </c>
      <c r="C129" s="35" t="s">
        <v>212</v>
      </c>
      <c r="D129" s="40">
        <f>IF(OR(NOT(ISNUMBER(D82)),NOT(ISNUMBER(D64))),"n/m",IF(OR((D64)&lt;=0,(D82)&lt;0),"n/m",(D82)/(D64)))</f>
        <v>0.223476531263751</v>
      </c>
      <c r="E129" s="40">
        <f>IF(OR(NOT(ISNUMBER(E82)),NOT(ISNUMBER(E64))),"n/m",IF(OR((E64)&lt;=0,(E82)&lt;0),"n/m",(E82)/(E64)))</f>
        <v>0.28715637280086448</v>
      </c>
      <c r="F129" s="40">
        <f>IF(OR(NOT(ISNUMBER(F82)),NOT(ISNUMBER(F64))),"n/m",IF(OR((F64)&lt;=0,(F82)&lt;0),"n/m",(F82)/(F64)))</f>
        <v>0.28654734202991289</v>
      </c>
      <c r="G129" s="40">
        <f>IF(OR(NOT(ISNUMBER(G82)),NOT(ISNUMBER(G64))),"n/m",IF(OR((G64)&lt;=0,(G82)&lt;0),"n/m",(G82)/(G64)))</f>
        <v>0.37317728789535698</v>
      </c>
      <c r="H129" s="40">
        <f>IF(OR(NOT(ISNUMBER(H82)),NOT(ISNUMBER(H64))),"n/m",IF(OR((H64)&lt;=0,(H82)&lt;0),"n/m",(H82)/(H64)))</f>
        <v>0.48095636892569549</v>
      </c>
    </row>
    <row r="130" spans="1:8" ht="34.049999999999997" customHeight="1" x14ac:dyDescent="0.3">
      <c r="A130" s="34" t="s">
        <v>213</v>
      </c>
      <c r="B130" s="35" t="s">
        <v>214</v>
      </c>
      <c r="C130" s="35" t="s">
        <v>215</v>
      </c>
      <c r="D130" s="40">
        <f>IF(OR(NOT(ISNUMBER(D79)),NOT(ISNUMBER(D64))),"n/m",IF(OR((D64)&lt;=0,(D79)&lt;0),"n/m",(D79)/(D64)))</f>
        <v>0.1453819089897026</v>
      </c>
      <c r="E130" s="40">
        <f>IF(OR(NOT(ISNUMBER(E79)),NOT(ISNUMBER(E64))),"n/m",IF(OR((E64)&lt;=0,(E79)&lt;0),"n/m",(E79)/(E64)))</f>
        <v>0.15282075695786385</v>
      </c>
      <c r="F130" s="40">
        <f>IF(OR(NOT(ISNUMBER(F79)),NOT(ISNUMBER(F64))),"n/m",IF(OR((F64)&lt;=0,(F79)&lt;0),"n/m",(F79)/(F64)))</f>
        <v>0.14955052871384544</v>
      </c>
      <c r="G130" s="40">
        <f>IF(OR(NOT(ISNUMBER(G79)),NOT(ISNUMBER(G64))),"n/m",IF(OR((G64)&lt;=0,(G79)&lt;0),"n/m",(G79)/(G64)))</f>
        <v>0.23011561219895646</v>
      </c>
      <c r="H130" s="40">
        <f>IF(OR(NOT(ISNUMBER(H79)),NOT(ISNUMBER(H64))),"n/m",IF(OR((H64)&lt;=0,(H79)&lt;0),"n/m",(H79)/(H64)))</f>
        <v>0.30837719707594857</v>
      </c>
    </row>
    <row r="131" spans="1:8" ht="34.049999999999997" customHeight="1" x14ac:dyDescent="0.3">
      <c r="A131" s="34" t="s">
        <v>216</v>
      </c>
      <c r="B131" s="35" t="s">
        <v>217</v>
      </c>
      <c r="C131" s="35" t="s">
        <v>218</v>
      </c>
      <c r="D131" s="40">
        <f>IF(OR(NOT(ISNUMBER(D79)),NOT(ISNUMBER(D25))),"n/m",IF(OR((D25)&lt;=0,(D79)&lt;0),"n/m",(D79)/(D25)))</f>
        <v>9.6918969746585204E-2</v>
      </c>
      <c r="E131" s="40">
        <f>IF(OR(NOT(ISNUMBER(E79)),NOT(ISNUMBER(E25))),"n/m",IF(OR((E25)&lt;=0,(E79)&lt;0),"n/m",(E79)/(E25)))</f>
        <v>0.11589856650144761</v>
      </c>
      <c r="F131" s="40">
        <f>IF(OR(NOT(ISNUMBER(F79)),NOT(ISNUMBER(F25))),"n/m",IF(OR((F25)&lt;=0,(F79)&lt;0),"n/m",(F79)/(F25)))</f>
        <v>0.11751952891151191</v>
      </c>
      <c r="G131" s="40">
        <f>IF(OR(NOT(ISNUMBER(G79)),NOT(ISNUMBER(G25))),"n/m",IF(OR((G25)&lt;=0,(G79)&lt;0),"n/m",(G79)/(G25)))</f>
        <v>0.15113794625582791</v>
      </c>
      <c r="H131" s="40">
        <f>IF(OR(NOT(ISNUMBER(H79)),NOT(ISNUMBER(H25))),"n/m",IF(OR((H25)&lt;=0,(H79)&lt;0),"n/m",(H79)/(H25)))</f>
        <v>0.17329550622820336</v>
      </c>
    </row>
    <row r="132" spans="1:8" ht="34.049999999999997" customHeight="1" x14ac:dyDescent="0.3">
      <c r="A132" s="34" t="s">
        <v>219</v>
      </c>
      <c r="B132" s="35" t="s">
        <v>220</v>
      </c>
      <c r="C132" s="35" t="s">
        <v>221</v>
      </c>
      <c r="D132" s="40">
        <f>IF(OR(NOT(ISNUMBER(D79)),NOT(ISNUMBER(D29))),"n/m",IF(OR((D29)&lt;=0,(D79)&lt;0),"n/m",(D79)/(D29)))</f>
        <v>0.15737849802466555</v>
      </c>
      <c r="E132" s="40">
        <f>IF(OR(NOT(ISNUMBER(E79)),NOT(ISNUMBER(E29))),"n/m",IF(OR((E29)&lt;=0,(E79)&lt;0),"n/m",(E79)/(E29)))</f>
        <v>0.18440283523376622</v>
      </c>
      <c r="F132" s="40">
        <f>IF(OR(NOT(ISNUMBER(F79)),NOT(ISNUMBER(F29))),"n/m",IF(OR((F29)&lt;=0,(F79)&lt;0),"n/m",(F79)/(F29)))</f>
        <v>0.17849564911664104</v>
      </c>
      <c r="G132" s="40">
        <f>IF(OR(NOT(ISNUMBER(G79)),NOT(ISNUMBER(G29))),"n/m",IF(OR((G29)&lt;=0,(G79)&lt;0),"n/m",(G79)/(G29)))</f>
        <v>0.21643681457260755</v>
      </c>
      <c r="H132" s="40">
        <f>IF(OR(NOT(ISNUMBER(H79)),NOT(ISNUMBER(H29))),"n/m",IF(OR((H29)&lt;=0,(H79)&lt;0),"n/m",(H79)/(H29)))</f>
        <v>0.24137435208870983</v>
      </c>
    </row>
    <row r="133" spans="1:8" ht="34.049999999999997" customHeight="1" x14ac:dyDescent="0.3">
      <c r="A133" s="34" t="s">
        <v>222</v>
      </c>
      <c r="B133" s="35" t="s">
        <v>223</v>
      </c>
      <c r="C133" s="35" t="s">
        <v>224</v>
      </c>
      <c r="D133" s="40">
        <f>IF(OR(NOT(ISNUMBER(D88)),NOT(ISNUMBER(D58))),"n/m",IF(OR((D58)&lt;=0,(D88)&lt;0),"n/m",(D88)/(D58)))</f>
        <v>0.13611222052431424</v>
      </c>
      <c r="E133" s="40">
        <f>IF(OR(NOT(ISNUMBER(E88)),NOT(ISNUMBER(E58))),"n/m",IF(OR((E58)&lt;=0,(E88)&lt;0),"n/m",(E88)/(E58)))</f>
        <v>0.16872337936741016</v>
      </c>
      <c r="F133" s="40">
        <f>IF(OR(NOT(ISNUMBER(F88)),NOT(ISNUMBER(F58))),"n/m",IF(OR((F58)&lt;=0,(F88)&lt;0),"n/m",(F88)/(F58)))</f>
        <v>0.17323854283924056</v>
      </c>
      <c r="G133" s="40">
        <f>IF(OR(NOT(ISNUMBER(G88)),NOT(ISNUMBER(G58))),"n/m",IF(OR((G58)&lt;=0,(G88)&lt;0),"n/m",(G88)/(G58)))</f>
        <v>0.21530718381280636</v>
      </c>
      <c r="H133" s="40">
        <f>IF(OR(NOT(ISNUMBER(H88)),NOT(ISNUMBER(H58))),"n/m",IF(OR((H58)&lt;=0,(H88)&lt;0),"n/m",(H88)/(H58)))</f>
        <v>0.23456949398989801</v>
      </c>
    </row>
    <row r="134" spans="1:8" ht="34.049999999999997" customHeight="1" x14ac:dyDescent="0.3">
      <c r="A134" s="34" t="s">
        <v>225</v>
      </c>
      <c r="B134" s="35" t="s">
        <v>226</v>
      </c>
      <c r="C134" s="35" t="s">
        <v>227</v>
      </c>
      <c r="D134" s="40">
        <f>IF(OR(NOT(ISNUMBER(D82)),NOT(ISNUMBER(D25))),"n/m",IF(OR((D25)&lt;=0,(D82)&lt;0),"n/m",(D82)/(D25)))</f>
        <v>0.14898081420954101</v>
      </c>
      <c r="E134" s="40">
        <f>IF(OR(NOT(ISNUMBER(E82)),NOT(ISNUMBER(E25))),"n/m",IF(OR((E25)&lt;=0,(E82)&lt;0),"n/m",(E82)/(E25)))</f>
        <v>0.21777808611792054</v>
      </c>
      <c r="F134" s="40">
        <f>IF(OR(NOT(ISNUMBER(F82)),NOT(ISNUMBER(F25))),"n/m",IF(OR((F25)&lt;=0,(F82)&lt;0),"n/m",(F82)/(F25)))</f>
        <v>0.22517411964912432</v>
      </c>
      <c r="G134" s="40">
        <f>IF(OR(NOT(ISNUMBER(G82)),NOT(ISNUMBER(G25))),"n/m",IF(OR((G25)&lt;=0,(G82)&lt;0),"n/m",(G82)/(G25)))</f>
        <v>0.24509961902567451</v>
      </c>
      <c r="H134" s="40">
        <f>IF(OR(NOT(ISNUMBER(H82)),NOT(ISNUMBER(H25))),"n/m",IF(OR((H25)&lt;=0,(H82)&lt;0),"n/m",(H82)/(H25)))</f>
        <v>0.2702780173662766</v>
      </c>
    </row>
    <row r="135" spans="1:8" ht="22.95" customHeight="1" x14ac:dyDescent="0.3">
      <c r="A135" s="90" t="s">
        <v>228</v>
      </c>
      <c r="B135" s="90"/>
      <c r="C135" s="90"/>
      <c r="D135" s="91"/>
      <c r="E135" s="91"/>
      <c r="F135" s="91"/>
      <c r="G135" s="91"/>
      <c r="H135" s="91"/>
    </row>
    <row r="136" spans="1:8" ht="34.049999999999997" customHeight="1" x14ac:dyDescent="0.3">
      <c r="A136" s="34" t="s">
        <v>229</v>
      </c>
      <c r="B136" s="35" t="s">
        <v>230</v>
      </c>
      <c r="C136" s="35" t="s">
        <v>231</v>
      </c>
      <c r="D136" s="41">
        <f>IF(OR(NOT(ISNUMBER(D79)),NOT(ISNUMBER(D104))),"n/m",IF(OR((D104)&lt;=0,(D79)&lt;0),"n/m",(D79)/(D104)))</f>
        <v>17.412549352402124</v>
      </c>
      <c r="E136" s="41">
        <f>IF(OR(NOT(ISNUMBER(E79)),NOT(ISNUMBER(E104))),"n/m",IF(OR((E104)&lt;=0,(E79)&lt;0),"n/m",(E79)/(E104)))</f>
        <v>25.013680261160516</v>
      </c>
      <c r="F136" s="41">
        <f>IF(OR(NOT(ISNUMBER(F79)),NOT(ISNUMBER(F104))),"n/m",IF(OR((F104)&lt;=0,(F79)&lt;0),"n/m",(F79)/(F104)))</f>
        <v>28.978958275869324</v>
      </c>
      <c r="G136" s="41">
        <f>IF(OR(NOT(ISNUMBER(G79)),NOT(ISNUMBER(G104))),"n/m",IF(OR((G104)&lt;=0,(G79)&lt;0),"n/m",(G79)/(G104)))</f>
        <v>45.274272678614977</v>
      </c>
      <c r="H136" s="41">
        <f>IF(OR(NOT(ISNUMBER(H79)),NOT(ISNUMBER(H104))),"n/m",IF(OR((H104)&lt;=0,(H79)&lt;0),"n/m",(H79)/(H104)))</f>
        <v>59.842054600869929</v>
      </c>
    </row>
    <row r="137" spans="1:8" ht="34.049999999999997" customHeight="1" x14ac:dyDescent="0.3">
      <c r="A137" s="34" t="s">
        <v>232</v>
      </c>
      <c r="B137" s="35" t="s">
        <v>233</v>
      </c>
      <c r="C137" s="35" t="s">
        <v>234</v>
      </c>
      <c r="D137" s="41">
        <f>IF(OR(NOT(ISNUMBER(D29)),NOT(ISNUMBER(D103))),"n/m",IF(OR((D103)&lt;=0,(D29)&lt;0),"n/m",(D29)/(D103)))</f>
        <v>110.64122209168052</v>
      </c>
      <c r="E137" s="41">
        <f>IF(OR(NOT(ISNUMBER(E29)),NOT(ISNUMBER(E103))),"n/m",IF(OR((E103)&lt;=0,(E29)&lt;0),"n/m",(E29)/(E103)))</f>
        <v>135.64693964412666</v>
      </c>
      <c r="F137" s="41">
        <f>IF(OR(NOT(ISNUMBER(F29)),NOT(ISNUMBER(F103))),"n/m",IF(OR((F103)&lt;=0,(F29)&lt;0),"n/m",(F29)/(F103)))</f>
        <v>162.35106244484723</v>
      </c>
      <c r="G137" s="41">
        <f>IF(OR(NOT(ISNUMBER(G29)),NOT(ISNUMBER(G103))),"n/m",IF(OR((G103)&lt;=0,(G29)&lt;0),"n/m",(G29)/(G103)))</f>
        <v>209.79287853383309</v>
      </c>
      <c r="H137" s="41">
        <f>IF(OR(NOT(ISNUMBER(H29)),NOT(ISNUMBER(H103))),"n/m",IF(OR((H103)&lt;=0,(H29)&lt;0),"n/m",(H29)/(H103)))</f>
        <v>260.8226721418157</v>
      </c>
    </row>
    <row r="138" spans="1:8" ht="34.049999999999997" customHeight="1" x14ac:dyDescent="0.3">
      <c r="A138" s="34" t="s">
        <v>235</v>
      </c>
      <c r="B138" s="35" t="s">
        <v>236</v>
      </c>
      <c r="C138" s="35" t="s">
        <v>237</v>
      </c>
      <c r="D138" s="37">
        <f>IF(OR(NOT(ISNUMBER(D105)),NOT(ISNUMBER(D79/D104))),"n/m",IF(OR((D79/D104)&lt;=0,(D105)&lt;0),"n/m",(D105)/(D79/D104)))</f>
        <v>11.858688571154802</v>
      </c>
      <c r="E138" s="37">
        <f>IF(OR(NOT(ISNUMBER(E105)),NOT(ISNUMBER(E79/E104))),"n/m",IF(OR((E79/E104)&lt;=0,(E105)&lt;0),"n/m",(E105)/(E79/E104)))</f>
        <v>5.2023532179731546</v>
      </c>
      <c r="F138" s="37">
        <f>IF(OR(NOT(ISNUMBER(F105)),NOT(ISNUMBER(F79/F104))),"n/m",IF(OR((F79/F104)&lt;=0,(F105)&lt;0),"n/m",(F105)/(F79/F104)))</f>
        <v>5.9860674889907219</v>
      </c>
      <c r="G138" s="37">
        <f>IF(OR(NOT(ISNUMBER(G105)),NOT(ISNUMBER(G79/G104))),"n/m",IF(OR((G79/G104)&lt;=0,(G105)&lt;0),"n/m",(G105)/(G79/G104)))</f>
        <v>5.5313975285193058</v>
      </c>
      <c r="H138" s="37">
        <f>IF(OR(NOT(ISNUMBER(H105)),NOT(ISNUMBER(H79/H104))),"n/m",IF(OR((H79/H104)&lt;=0,(H105)&lt;0),"n/m",(H105)/(H79/H104)))</f>
        <v>6.3393545313613817</v>
      </c>
    </row>
    <row r="139" spans="1:8" ht="34.049999999999997" customHeight="1" x14ac:dyDescent="0.3">
      <c r="A139" s="34" t="s">
        <v>238</v>
      </c>
      <c r="B139" s="35" t="s">
        <v>239</v>
      </c>
      <c r="C139" s="35" t="s">
        <v>240</v>
      </c>
      <c r="D139" s="37">
        <f>IF(OR(NOT(ISNUMBER(D105)),NOT(ISNUMBER(D29/D103))),"n/m",IF(OR((D29/D103)&lt;=0,(D105)&lt;0),"n/m",(D105)/(D29/D103)))</f>
        <v>1.8663025958706099</v>
      </c>
      <c r="E139" s="37">
        <f>IF(OR(NOT(ISNUMBER(E105)),NOT(ISNUMBER(E29/E103))),"n/m",IF(OR((E29/E103)&lt;=0,(E105)&lt;0),"n/m",(E105)/(E29/E103)))</f>
        <v>0.95932868328175702</v>
      </c>
      <c r="F139" s="37">
        <f>IF(OR(NOT(ISNUMBER(F105)),NOT(ISNUMBER(F29/F103))),"n/m",IF(OR((F29/F103)&lt;=0,(F105)&lt;0),"n/m",(F105)/(F29/F103)))</f>
        <v>1.0684870021034203</v>
      </c>
      <c r="G139" s="37">
        <f>IF(OR(NOT(ISNUMBER(G105)),NOT(ISNUMBER(G29/G103))),"n/m",IF(OR((G29/G103)&lt;=0,(G105)&lt;0),"n/m",(G105)/(G29/G103)))</f>
        <v>1.1937011482475723</v>
      </c>
      <c r="H139" s="37">
        <f>IF(OR(NOT(ISNUMBER(H105)),NOT(ISNUMBER(H29/H103))),"n/m",IF(OR((H29/H103)&lt;=0,(H105)&lt;0),"n/m",(H105)/(H29/H103)))</f>
        <v>1.4544747850514033</v>
      </c>
    </row>
    <row r="140" spans="1:8" ht="34.049999999999997" customHeight="1" x14ac:dyDescent="0.3">
      <c r="A140" s="34" t="s">
        <v>241</v>
      </c>
      <c r="B140" s="35" t="s">
        <v>242</v>
      </c>
      <c r="C140" s="35" t="s">
        <v>243</v>
      </c>
      <c r="D140" s="64">
        <f>IF(OR(NOT(ISNUMBER(D106)),NOT(ISNUMBER(D105))),"n/m",IF(OR((D105)&lt;=0,(D106)&lt;0),"n/m",(D106)/(D105)))</f>
        <v>0</v>
      </c>
      <c r="E140" s="64">
        <f>IF(OR(NOT(ISNUMBER(E106)),NOT(ISNUMBER(E105))),"n/m",IF(OR((E105)&lt;=0,(E106)&lt;0),"n/m",(E106)/(E105)))</f>
        <v>0</v>
      </c>
      <c r="F140" s="64">
        <f>IF(OR(NOT(ISNUMBER(F106)),NOT(ISNUMBER(F105))),"n/m",IF(OR((F105)&lt;=0,(F106)&lt;0),"n/m",(F106)/(F105)))</f>
        <v>0</v>
      </c>
      <c r="G140" s="64">
        <f>IF(OR(NOT(ISNUMBER(G106)),NOT(ISNUMBER(G105))),"n/m",IF(OR((G105)&lt;=0,(G106)&lt;0),"n/m",(G106)/(G105)))</f>
        <v>0</v>
      </c>
      <c r="H140" s="64">
        <f>IF(OR(NOT(ISNUMBER(H106)),NOT(ISNUMBER(H105))),"n/m",IF(OR((H105)&lt;=0,(H106)&lt;0),"n/m",(H106)/(H105)))</f>
        <v>0</v>
      </c>
    </row>
    <row r="141" spans="1:8" ht="34.049999999999997" customHeight="1" x14ac:dyDescent="0.3">
      <c r="A141" s="34" t="s">
        <v>244</v>
      </c>
      <c r="B141" s="35" t="s">
        <v>245</v>
      </c>
      <c r="C141" s="35" t="s">
        <v>246</v>
      </c>
      <c r="D141" s="37">
        <f>IF(OR(NOT(ISNUMBER(D160)),NOT(ISNUMBER(D83))),"n/m",IF(OR((D83)&lt;=0,(D160)&lt;0),"n/m",(D160)/(D83)))</f>
        <v>7.030703799061059</v>
      </c>
      <c r="E141" s="37">
        <f>IF(OR(NOT(ISNUMBER(E160)),NOT(ISNUMBER(E83))),"n/m",IF(OR((E83)&lt;=0,(E160)&lt;0),"n/m",(E160)/(E83)))</f>
        <v>2.8460065892461768</v>
      </c>
      <c r="F141" s="37">
        <f>IF(OR(NOT(ISNUMBER(F160)),NOT(ISNUMBER(F83))),"n/m",IF(OR((F83)&lt;=0,(F160)&lt;0),"n/m",(F160)/(F83)))</f>
        <v>3.0390586129963157</v>
      </c>
      <c r="G141" s="37">
        <f>IF(OR(NOT(ISNUMBER(G160)),NOT(ISNUMBER(G83))),"n/m",IF(OR((G83)&lt;=0,(G160)&lt;0),"n/m",(G160)/(G83)))</f>
        <v>3.2191008909496732</v>
      </c>
      <c r="H141" s="37">
        <f>IF(OR(NOT(ISNUMBER(H160)),NOT(ISNUMBER(H83))),"n/m",IF(OR((H83)&lt;=0,(H160)&lt;0),"n/m",(H160)/(H83)))</f>
        <v>3.6540457208322041</v>
      </c>
    </row>
    <row r="142" spans="1:8" ht="4.05" customHeight="1" x14ac:dyDescent="0.3">
      <c r="A142" s="32"/>
      <c r="B142" s="32"/>
      <c r="C142" s="32"/>
      <c r="D142" s="32"/>
      <c r="E142" s="32"/>
      <c r="F142" s="32"/>
      <c r="G142" s="32"/>
      <c r="H142" s="32"/>
    </row>
    <row r="143" spans="1:8" ht="4.05" customHeight="1" x14ac:dyDescent="0.3">
      <c r="B143" s="36"/>
      <c r="C143" s="36"/>
      <c r="D143" s="36"/>
      <c r="E143" s="36"/>
      <c r="F143" s="36"/>
      <c r="G143" s="36"/>
      <c r="H143" s="36"/>
    </row>
    <row r="144" spans="1:8" ht="4.05" customHeight="1" x14ac:dyDescent="0.3">
      <c r="B144" s="36"/>
      <c r="C144" s="36"/>
      <c r="D144" s="36"/>
      <c r="E144" s="36"/>
      <c r="F144" s="36"/>
      <c r="G144" s="36"/>
      <c r="H144" s="36"/>
    </row>
    <row r="145" spans="1:9" ht="4.05" customHeight="1" x14ac:dyDescent="0.3">
      <c r="B145" s="36"/>
      <c r="C145" s="36"/>
      <c r="D145" s="36"/>
      <c r="E145" s="36"/>
      <c r="F145" s="36"/>
      <c r="G145" s="36"/>
      <c r="H145" s="36"/>
    </row>
    <row r="146" spans="1:9" ht="4.05" customHeight="1" x14ac:dyDescent="0.3"/>
    <row r="147" spans="1:9" ht="22.05" customHeight="1" x14ac:dyDescent="0.3">
      <c r="A147" s="89" t="s">
        <v>247</v>
      </c>
      <c r="B147" s="89"/>
      <c r="C147" s="88"/>
      <c r="D147" s="88"/>
      <c r="E147" s="88"/>
      <c r="F147" s="88"/>
      <c r="G147" s="88"/>
      <c r="H147" s="88"/>
    </row>
    <row r="148" spans="1:9" ht="15" customHeight="1" x14ac:dyDescent="0.3">
      <c r="A148" s="20" t="s">
        <v>248</v>
      </c>
      <c r="B148" s="20"/>
      <c r="C148" s="17"/>
      <c r="D148" s="17">
        <v>0</v>
      </c>
      <c r="E148" s="17">
        <v>0</v>
      </c>
      <c r="F148" s="17">
        <v>0</v>
      </c>
      <c r="G148" s="17">
        <v>0</v>
      </c>
      <c r="H148" s="17">
        <v>0</v>
      </c>
      <c r="I148" s="17">
        <v>0</v>
      </c>
    </row>
    <row r="149" spans="1:9" ht="15" customHeight="1" x14ac:dyDescent="0.3">
      <c r="A149" s="20" t="s">
        <v>249</v>
      </c>
      <c r="B149" s="20"/>
      <c r="C149" s="17"/>
      <c r="D149" s="17">
        <v>0</v>
      </c>
      <c r="E149" s="17">
        <v>0</v>
      </c>
      <c r="F149" s="17">
        <v>0</v>
      </c>
      <c r="G149" s="17">
        <v>134.93977000000001</v>
      </c>
      <c r="H149" s="17">
        <v>47.420397000000001</v>
      </c>
      <c r="I149" s="17">
        <v>0</v>
      </c>
    </row>
    <row r="150" spans="1:9" ht="15" customHeight="1" x14ac:dyDescent="0.3">
      <c r="A150" s="20" t="s">
        <v>250</v>
      </c>
      <c r="B150" s="20"/>
      <c r="C150" s="17"/>
      <c r="D150" s="17">
        <v>0</v>
      </c>
      <c r="E150" s="17">
        <v>0</v>
      </c>
      <c r="F150" s="17">
        <v>0</v>
      </c>
      <c r="G150" s="17">
        <v>0</v>
      </c>
      <c r="H150" s="17">
        <v>0</v>
      </c>
      <c r="I150" s="17">
        <v>0</v>
      </c>
    </row>
    <row r="151" spans="1:9" ht="4.05" customHeight="1" x14ac:dyDescent="0.3">
      <c r="B151" s="31"/>
      <c r="C151" s="18"/>
      <c r="D151" s="18"/>
      <c r="E151" s="18"/>
      <c r="F151" s="18"/>
      <c r="G151" s="18"/>
      <c r="H151" s="18"/>
      <c r="I151" s="17"/>
    </row>
    <row r="152" spans="1:9" ht="4.05" customHeight="1" x14ac:dyDescent="0.3">
      <c r="B152" s="73"/>
      <c r="C152" s="74"/>
      <c r="D152" s="74"/>
      <c r="E152" s="74"/>
      <c r="F152" s="74"/>
      <c r="G152" s="74"/>
      <c r="H152" s="74"/>
    </row>
    <row r="153" spans="1:9" ht="4.05" customHeight="1" x14ac:dyDescent="0.3">
      <c r="A153" s="73"/>
      <c r="B153" s="73"/>
      <c r="C153" s="74"/>
      <c r="D153" s="74"/>
      <c r="E153" s="74"/>
      <c r="F153" s="74"/>
      <c r="G153" s="74"/>
      <c r="H153" s="74"/>
    </row>
    <row r="154" spans="1:9" ht="4.05" customHeight="1" x14ac:dyDescent="0.3"/>
    <row r="155" spans="1:9" ht="22.95" customHeight="1" x14ac:dyDescent="0.3">
      <c r="A155" s="88" t="s">
        <v>251</v>
      </c>
      <c r="B155" s="88"/>
      <c r="C155" s="88"/>
      <c r="D155" s="88"/>
      <c r="E155" s="88"/>
      <c r="F155" s="88"/>
      <c r="G155" s="88"/>
      <c r="H155" s="88"/>
    </row>
    <row r="156" spans="1:9" ht="15" customHeight="1" x14ac:dyDescent="0.3">
      <c r="D156" t="s">
        <v>58</v>
      </c>
      <c r="E156" t="s">
        <v>59</v>
      </c>
      <c r="F156" t="s">
        <v>60</v>
      </c>
      <c r="G156" t="s">
        <v>61</v>
      </c>
      <c r="H156" t="s">
        <v>62</v>
      </c>
    </row>
    <row r="157" spans="1:9" ht="15" customHeight="1" x14ac:dyDescent="0.3">
      <c r="A157" t="s">
        <v>252</v>
      </c>
      <c r="D157" s="43">
        <f>D22+D161-D162</f>
        <v>1197.729351</v>
      </c>
      <c r="E157" s="43">
        <f>E22+E161-E162</f>
        <v>480.76563199999998</v>
      </c>
      <c r="F157" s="43">
        <f>F22+F161-F162</f>
        <v>933.537193</v>
      </c>
      <c r="G157" s="43">
        <f>G22+G161-G162</f>
        <v>1102.6491719999999</v>
      </c>
      <c r="H157" s="43">
        <f>H22+H161-H162</f>
        <v>1450.7027230000001</v>
      </c>
    </row>
    <row r="158" spans="1:9" ht="15" customHeight="1" x14ac:dyDescent="0.3">
      <c r="A158" t="s">
        <v>253</v>
      </c>
      <c r="D158" s="43">
        <f>D40+D148+D149</f>
        <v>122.613973</v>
      </c>
      <c r="E158" s="43">
        <f>E40+E148+E149</f>
        <v>142.17199299999999</v>
      </c>
      <c r="F158" s="43">
        <f>F40+F148+F149</f>
        <v>192.67479</v>
      </c>
      <c r="G158" s="43">
        <f>G40+G148+G149</f>
        <v>134.93977000000001</v>
      </c>
      <c r="H158" s="43">
        <f>H40+H148+H149</f>
        <v>47.420397000000001</v>
      </c>
    </row>
    <row r="159" spans="1:9" ht="15" customHeight="1" x14ac:dyDescent="0.3">
      <c r="A159" t="s">
        <v>254</v>
      </c>
      <c r="D159" s="43">
        <f>D105*D103</f>
        <v>41475.849217529998</v>
      </c>
      <c r="E159" s="43">
        <f>E105*E103</f>
        <v>26138.080578609995</v>
      </c>
      <c r="F159" s="43">
        <f>F105*F103</f>
        <v>34843.409190589999</v>
      </c>
      <c r="G159" s="43">
        <f>G105*G103</f>
        <v>49049.544607709999</v>
      </c>
      <c r="H159" s="43">
        <f>H105*H103</f>
        <v>69749.621629919988</v>
      </c>
    </row>
    <row r="160" spans="1:9" ht="15" customHeight="1" x14ac:dyDescent="0.3">
      <c r="A160" t="s">
        <v>255</v>
      </c>
      <c r="D160" s="43">
        <f>D159+D55+D158-D157</f>
        <v>46451.519988529995</v>
      </c>
      <c r="E160" s="43">
        <f>E159+E55+E158-E157</f>
        <v>30050.799413609995</v>
      </c>
      <c r="F160" s="43">
        <f>F159+F55+F158-F157</f>
        <v>37285.920035590003</v>
      </c>
      <c r="G160" s="43">
        <f>G159+G55+G158-G157</f>
        <v>50234.89480971</v>
      </c>
      <c r="H160" s="43">
        <f>H159+H55+H158-H157</f>
        <v>70588.960847919981</v>
      </c>
    </row>
    <row r="161" spans="1:8" ht="15" customHeight="1" x14ac:dyDescent="0.3">
      <c r="A161" t="s">
        <v>256</v>
      </c>
      <c r="D161" s="43">
        <v>0</v>
      </c>
      <c r="E161" s="43">
        <v>0</v>
      </c>
      <c r="F161" s="43">
        <v>0</v>
      </c>
      <c r="G161" s="43">
        <v>0</v>
      </c>
      <c r="H161" s="43">
        <v>0</v>
      </c>
    </row>
    <row r="162" spans="1:8" ht="15" customHeight="1" x14ac:dyDescent="0.3">
      <c r="A162" t="s">
        <v>257</v>
      </c>
      <c r="D162" s="43">
        <v>0</v>
      </c>
      <c r="E162" s="43">
        <v>0</v>
      </c>
      <c r="F162" s="43">
        <v>0</v>
      </c>
      <c r="G162" s="43">
        <v>0</v>
      </c>
      <c r="H162" s="43">
        <v>0</v>
      </c>
    </row>
    <row r="163" spans="1:8" ht="15" customHeight="1" x14ac:dyDescent="0.3">
      <c r="B163" s="42"/>
      <c r="C163" s="42"/>
      <c r="D163" s="42"/>
      <c r="E163" s="42"/>
      <c r="F163" s="42"/>
      <c r="G163" s="42"/>
      <c r="H163" s="42"/>
    </row>
    <row r="164" spans="1:8" ht="15" customHeight="1" x14ac:dyDescent="0.3">
      <c r="B164" s="42"/>
      <c r="C164" s="42"/>
      <c r="D164" s="42"/>
      <c r="E164" s="42"/>
      <c r="F164" s="42"/>
      <c r="G164" s="42"/>
      <c r="H164" s="42"/>
    </row>
  </sheetData>
  <mergeCells count="7">
    <mergeCell ref="A155:H155"/>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FA98A"/>
    <pageSetUpPr fitToPage="1"/>
  </sheetPr>
  <dimension ref="A1:I164"/>
  <sheetViews>
    <sheetView showGridLines="0" workbookViewId="0">
      <pane xSplit="3" ySplit="7" topLeftCell="D11" activePane="bottomRight" state="frozen"/>
      <selection pane="topRight"/>
      <selection pane="bottomLeft"/>
      <selection pane="bottomRight" activeCell="B166" sqref="B166"/>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258</v>
      </c>
      <c r="B1" s="20"/>
    </row>
    <row r="2" spans="1:9" x14ac:dyDescent="0.3">
      <c r="A2" s="75" t="s">
        <v>259</v>
      </c>
      <c r="B2" s="20"/>
    </row>
    <row r="3" spans="1:9" ht="6" customHeight="1" x14ac:dyDescent="0.3">
      <c r="B3" s="20"/>
    </row>
    <row r="4" spans="1:9" x14ac:dyDescent="0.3">
      <c r="A4" s="20"/>
      <c r="B4" s="20"/>
    </row>
    <row r="5" spans="1:9" x14ac:dyDescent="0.3">
      <c r="A5" s="20"/>
      <c r="B5" s="20"/>
    </row>
    <row r="6" spans="1:9" ht="19.5" customHeight="1" x14ac:dyDescent="0.3">
      <c r="A6" s="21" t="s">
        <v>56</v>
      </c>
      <c r="B6" s="22"/>
      <c r="C6" s="3"/>
      <c r="D6" s="3"/>
      <c r="E6" s="3"/>
      <c r="F6" s="3"/>
      <c r="G6" s="3"/>
      <c r="H6" s="3"/>
      <c r="I6" s="3"/>
    </row>
    <row r="7" spans="1:9" ht="16.5" customHeight="1" x14ac:dyDescent="0.3">
      <c r="A7" s="23" t="s">
        <v>57</v>
      </c>
      <c r="B7" s="24"/>
      <c r="C7" s="9"/>
      <c r="D7" s="9" t="s">
        <v>58</v>
      </c>
      <c r="E7" s="9" t="s">
        <v>59</v>
      </c>
      <c r="F7" s="9" t="s">
        <v>60</v>
      </c>
      <c r="G7" s="9" t="s">
        <v>61</v>
      </c>
      <c r="H7" s="9" t="s">
        <v>62</v>
      </c>
      <c r="I7" s="9" t="s">
        <v>63</v>
      </c>
    </row>
    <row r="8" spans="1:9" x14ac:dyDescent="0.3">
      <c r="A8" s="25" t="s">
        <v>64</v>
      </c>
      <c r="B8" s="26"/>
      <c r="C8" s="10"/>
      <c r="D8" s="10"/>
      <c r="E8" s="10"/>
      <c r="F8" s="10"/>
      <c r="G8" s="10"/>
      <c r="H8" s="10"/>
      <c r="I8" s="10"/>
    </row>
    <row r="9" spans="1:9" x14ac:dyDescent="0.3">
      <c r="A9" s="27" t="s">
        <v>65</v>
      </c>
      <c r="B9" s="28"/>
      <c r="C9" s="11"/>
      <c r="D9" s="11">
        <v>62389.947</v>
      </c>
      <c r="E9" s="11">
        <v>82301.05</v>
      </c>
      <c r="F9" s="11">
        <v>95620.305999999997</v>
      </c>
      <c r="G9" s="11">
        <v>107258.973</v>
      </c>
      <c r="H9" s="11">
        <v>107409.588</v>
      </c>
      <c r="I9" s="11">
        <v>60247.57</v>
      </c>
    </row>
    <row r="10" spans="1:9" x14ac:dyDescent="0.3">
      <c r="A10" s="27" t="s">
        <v>66</v>
      </c>
      <c r="B10" s="28"/>
      <c r="C10" s="11"/>
      <c r="D10" s="11">
        <v>4015.0439999999999</v>
      </c>
      <c r="E10" s="11">
        <v>21911.214</v>
      </c>
      <c r="F10" s="11">
        <v>5562.1450000000004</v>
      </c>
      <c r="G10" s="11">
        <v>11633.303</v>
      </c>
      <c r="H10" s="11">
        <v>5420.7420000000002</v>
      </c>
      <c r="I10" s="11">
        <v>334.19099999999997</v>
      </c>
    </row>
    <row r="11" spans="1:9" x14ac:dyDescent="0.3">
      <c r="A11" s="27" t="s">
        <v>67</v>
      </c>
      <c r="B11" s="28"/>
      <c r="C11" s="11"/>
      <c r="D11" s="11">
        <v>0</v>
      </c>
      <c r="E11" s="11">
        <v>0</v>
      </c>
      <c r="F11" s="11">
        <v>0</v>
      </c>
      <c r="G11" s="11">
        <v>0</v>
      </c>
      <c r="H11" s="11">
        <v>0</v>
      </c>
      <c r="I11" s="11">
        <v>0</v>
      </c>
    </row>
    <row r="12" spans="1:9" x14ac:dyDescent="0.3">
      <c r="A12" s="27" t="s">
        <v>68</v>
      </c>
      <c r="B12" s="28"/>
      <c r="C12" s="11"/>
      <c r="D12" s="11">
        <v>0.67</v>
      </c>
      <c r="E12" s="11">
        <v>51.351999999999997</v>
      </c>
      <c r="F12" s="11">
        <v>85.587999999999994</v>
      </c>
      <c r="G12" s="11">
        <v>69.394000000000005</v>
      </c>
      <c r="H12" s="11">
        <v>46.228999999999999</v>
      </c>
      <c r="I12" s="11">
        <v>11.323</v>
      </c>
    </row>
    <row r="13" spans="1:9" x14ac:dyDescent="0.3">
      <c r="A13" s="27" t="s">
        <v>69</v>
      </c>
      <c r="B13" s="28"/>
      <c r="C13" s="11"/>
      <c r="D13" s="11">
        <v>0</v>
      </c>
      <c r="E13" s="11">
        <v>0</v>
      </c>
      <c r="F13" s="11">
        <v>0</v>
      </c>
      <c r="G13" s="11">
        <v>0</v>
      </c>
      <c r="H13" s="11">
        <v>0</v>
      </c>
      <c r="I13" s="11">
        <v>0</v>
      </c>
    </row>
    <row r="14" spans="1:9" x14ac:dyDescent="0.3">
      <c r="A14" s="27" t="s">
        <v>70</v>
      </c>
      <c r="B14" s="28"/>
      <c r="C14" s="11"/>
      <c r="D14" s="11">
        <v>53194.485000000001</v>
      </c>
      <c r="E14" s="11">
        <v>57594.485000000001</v>
      </c>
      <c r="F14" s="11">
        <v>57594.485000000001</v>
      </c>
      <c r="G14" s="11">
        <v>58072.373</v>
      </c>
      <c r="H14" s="11">
        <v>58555.707000000002</v>
      </c>
      <c r="I14" s="11">
        <v>47144.485000000001</v>
      </c>
    </row>
    <row r="15" spans="1:9" x14ac:dyDescent="0.3">
      <c r="A15" s="27" t="s">
        <v>71</v>
      </c>
      <c r="B15" s="28"/>
      <c r="C15" s="11"/>
      <c r="D15" s="11">
        <v>106.592</v>
      </c>
      <c r="E15" s="11">
        <v>199.79</v>
      </c>
      <c r="F15" s="11">
        <v>202.04599999999999</v>
      </c>
      <c r="G15" s="11">
        <v>165.26599999999999</v>
      </c>
      <c r="H15" s="11">
        <v>189.14699999999999</v>
      </c>
      <c r="I15" s="11">
        <v>90.183000000000007</v>
      </c>
    </row>
    <row r="16" spans="1:9" x14ac:dyDescent="0.3">
      <c r="A16" s="29" t="s">
        <v>72</v>
      </c>
      <c r="B16" s="30"/>
      <c r="C16" s="12"/>
      <c r="D16" s="12">
        <f t="shared" ref="D16:I16" si="0">D9+D11+D12+D13+D14+D15</f>
        <v>115691.694</v>
      </c>
      <c r="E16" s="12">
        <f t="shared" si="0"/>
        <v>140146.677</v>
      </c>
      <c r="F16" s="12">
        <f t="shared" si="0"/>
        <v>153502.42500000002</v>
      </c>
      <c r="G16" s="12">
        <f t="shared" si="0"/>
        <v>165566.00599999999</v>
      </c>
      <c r="H16" s="12">
        <f t="shared" si="0"/>
        <v>166200.671</v>
      </c>
      <c r="I16" s="12">
        <f t="shared" si="0"/>
        <v>107493.561</v>
      </c>
    </row>
    <row r="17" spans="1:9" x14ac:dyDescent="0.3">
      <c r="A17" s="25" t="s">
        <v>73</v>
      </c>
      <c r="B17" s="26"/>
      <c r="C17" s="10"/>
      <c r="D17" s="10"/>
      <c r="E17" s="10"/>
      <c r="F17" s="10"/>
      <c r="G17" s="10"/>
      <c r="H17" s="10"/>
      <c r="I17" s="10"/>
    </row>
    <row r="18" spans="1:9" x14ac:dyDescent="0.3">
      <c r="A18" s="27" t="s">
        <v>74</v>
      </c>
      <c r="B18" s="28"/>
      <c r="C18" s="11"/>
      <c r="D18" s="11">
        <v>10526.573</v>
      </c>
      <c r="E18" s="11">
        <v>11206.843000000001</v>
      </c>
      <c r="F18" s="11">
        <v>14084.018</v>
      </c>
      <c r="G18" s="11">
        <v>14591.821</v>
      </c>
      <c r="H18" s="11">
        <v>19895.13</v>
      </c>
      <c r="I18" s="11">
        <v>6520.17</v>
      </c>
    </row>
    <row r="19" spans="1:9" x14ac:dyDescent="0.3">
      <c r="A19" s="27" t="s">
        <v>75</v>
      </c>
      <c r="B19" s="28"/>
      <c r="C19" s="11"/>
      <c r="D19" s="11">
        <v>3105.0369999999998</v>
      </c>
      <c r="E19" s="11">
        <v>7171.3639999999996</v>
      </c>
      <c r="F19" s="11">
        <v>6048.5069999999996</v>
      </c>
      <c r="G19" s="11">
        <v>8505.4259999999995</v>
      </c>
      <c r="H19" s="11">
        <v>4774.5770000000002</v>
      </c>
      <c r="I19" s="11">
        <v>2915.5520000000001</v>
      </c>
    </row>
    <row r="20" spans="1:9" x14ac:dyDescent="0.3">
      <c r="A20" s="27" t="s">
        <v>76</v>
      </c>
      <c r="B20" s="28"/>
      <c r="C20" s="11"/>
      <c r="D20" s="11">
        <v>2710.0810000000001</v>
      </c>
      <c r="E20" s="11">
        <v>3522.931</v>
      </c>
      <c r="F20" s="11">
        <v>5089.6670000000004</v>
      </c>
      <c r="G20" s="11">
        <v>6932.4790000000003</v>
      </c>
      <c r="H20" s="11">
        <v>6353.1940000000004</v>
      </c>
      <c r="I20" s="11">
        <v>3422.7669999999998</v>
      </c>
    </row>
    <row r="21" spans="1:9" x14ac:dyDescent="0.3">
      <c r="A21" s="27" t="s">
        <v>77</v>
      </c>
      <c r="B21" s="28"/>
      <c r="C21" s="11"/>
      <c r="D21" s="11">
        <v>16227.102999999999</v>
      </c>
      <c r="E21" s="11">
        <v>12751.155000000001</v>
      </c>
      <c r="F21" s="11">
        <v>21898.495999999999</v>
      </c>
      <c r="G21" s="11">
        <v>29837.628000000001</v>
      </c>
      <c r="H21" s="11">
        <v>61298.052000000003</v>
      </c>
      <c r="I21" s="11">
        <v>2970.9989999999998</v>
      </c>
    </row>
    <row r="22" spans="1:9" x14ac:dyDescent="0.3">
      <c r="A22" s="27" t="s">
        <v>78</v>
      </c>
      <c r="B22" s="28"/>
      <c r="C22" s="11"/>
      <c r="D22" s="11">
        <v>2825.424</v>
      </c>
      <c r="E22" s="11">
        <v>3871.078</v>
      </c>
      <c r="F22" s="11">
        <v>4116.1809999999996</v>
      </c>
      <c r="G22" s="11">
        <v>2567.1759999999999</v>
      </c>
      <c r="H22" s="11">
        <v>2790.3229999999999</v>
      </c>
      <c r="I22" s="11">
        <v>7816.6059999999998</v>
      </c>
    </row>
    <row r="23" spans="1:9" x14ac:dyDescent="0.3">
      <c r="A23" s="27" t="s">
        <v>79</v>
      </c>
      <c r="B23" s="28"/>
      <c r="C23" s="11"/>
      <c r="D23" s="11">
        <v>5282.15</v>
      </c>
      <c r="E23" s="11">
        <v>6292.32</v>
      </c>
      <c r="F23" s="11">
        <v>8339.7729999999992</v>
      </c>
      <c r="G23" s="11">
        <v>6017.5540000000001</v>
      </c>
      <c r="H23" s="11">
        <v>5436.0829999999996</v>
      </c>
      <c r="I23" s="11">
        <v>4728.8190000000004</v>
      </c>
    </row>
    <row r="24" spans="1:9" x14ac:dyDescent="0.3">
      <c r="A24" s="29" t="s">
        <v>80</v>
      </c>
      <c r="B24" s="30"/>
      <c r="C24" s="12"/>
      <c r="D24" s="12">
        <f t="shared" ref="D24:I24" si="1">D18+D19+D20+D21+D22+D23</f>
        <v>40676.368000000002</v>
      </c>
      <c r="E24" s="12">
        <f t="shared" si="1"/>
        <v>44815.691000000006</v>
      </c>
      <c r="F24" s="12">
        <f t="shared" si="1"/>
        <v>59576.642</v>
      </c>
      <c r="G24" s="12">
        <f t="shared" si="1"/>
        <v>68452.084000000003</v>
      </c>
      <c r="H24" s="12">
        <f t="shared" si="1"/>
        <v>100547.35900000001</v>
      </c>
      <c r="I24" s="12">
        <f t="shared" si="1"/>
        <v>28374.912999999997</v>
      </c>
    </row>
    <row r="25" spans="1:9" x14ac:dyDescent="0.3">
      <c r="A25" s="29" t="s">
        <v>81</v>
      </c>
      <c r="B25" s="30"/>
      <c r="C25" s="12"/>
      <c r="D25" s="12">
        <f t="shared" ref="D25:I25" si="2">D16+D24</f>
        <v>156368.06200000001</v>
      </c>
      <c r="E25" s="12">
        <f t="shared" si="2"/>
        <v>184962.36800000002</v>
      </c>
      <c r="F25" s="12">
        <f t="shared" si="2"/>
        <v>213079.06700000001</v>
      </c>
      <c r="G25" s="12">
        <f t="shared" si="2"/>
        <v>234018.09</v>
      </c>
      <c r="H25" s="12">
        <f t="shared" si="2"/>
        <v>266748.03000000003</v>
      </c>
      <c r="I25" s="12">
        <f t="shared" si="2"/>
        <v>135868.47399999999</v>
      </c>
    </row>
    <row r="26" spans="1:9" x14ac:dyDescent="0.3">
      <c r="A26" s="25" t="s">
        <v>82</v>
      </c>
      <c r="B26" s="26"/>
      <c r="C26" s="10"/>
      <c r="D26" s="10"/>
      <c r="E26" s="10"/>
      <c r="F26" s="10"/>
      <c r="G26" s="10"/>
      <c r="H26" s="10"/>
      <c r="I26" s="10"/>
    </row>
    <row r="27" spans="1:9" x14ac:dyDescent="0.3">
      <c r="A27" s="27" t="s">
        <v>83</v>
      </c>
      <c r="B27" s="28"/>
      <c r="C27" s="11"/>
      <c r="D27" s="11">
        <v>3233.75</v>
      </c>
      <c r="E27" s="11">
        <v>3233.75</v>
      </c>
      <c r="F27" s="11">
        <v>3118.386</v>
      </c>
      <c r="G27" s="11">
        <v>2930</v>
      </c>
      <c r="H27" s="11">
        <v>2930</v>
      </c>
      <c r="I27" s="11">
        <v>3233.75</v>
      </c>
    </row>
    <row r="28" spans="1:9" x14ac:dyDescent="0.3">
      <c r="A28" s="27" t="s">
        <v>84</v>
      </c>
      <c r="B28" s="28"/>
      <c r="C28" s="11"/>
      <c r="D28" s="11">
        <v>109966.508</v>
      </c>
      <c r="E28" s="11">
        <v>125306.57399999999</v>
      </c>
      <c r="F28" s="11">
        <v>134247.94</v>
      </c>
      <c r="G28" s="11">
        <v>144831.277</v>
      </c>
      <c r="H28" s="11">
        <v>172980.4</v>
      </c>
      <c r="I28" s="11">
        <v>95950.111000000004</v>
      </c>
    </row>
    <row r="29" spans="1:9" x14ac:dyDescent="0.3">
      <c r="A29" s="29" t="s">
        <v>85</v>
      </c>
      <c r="B29" s="30"/>
      <c r="C29" s="12"/>
      <c r="D29" s="12">
        <f t="shared" ref="D29:I29" si="3">D27+D28</f>
        <v>113200.258</v>
      </c>
      <c r="E29" s="12">
        <f t="shared" si="3"/>
        <v>128540.32399999999</v>
      </c>
      <c r="F29" s="12">
        <f t="shared" si="3"/>
        <v>137366.326</v>
      </c>
      <c r="G29" s="12">
        <f t="shared" si="3"/>
        <v>147761.277</v>
      </c>
      <c r="H29" s="12">
        <f t="shared" si="3"/>
        <v>175910.39999999999</v>
      </c>
      <c r="I29" s="12">
        <f t="shared" si="3"/>
        <v>99183.861000000004</v>
      </c>
    </row>
    <row r="30" spans="1:9" x14ac:dyDescent="0.3">
      <c r="A30" s="25" t="s">
        <v>86</v>
      </c>
      <c r="B30" s="26"/>
      <c r="C30" s="10"/>
      <c r="D30" s="10"/>
      <c r="E30" s="10"/>
      <c r="F30" s="10"/>
      <c r="G30" s="10"/>
      <c r="H30" s="10"/>
      <c r="I30" s="10"/>
    </row>
    <row r="31" spans="1:9" x14ac:dyDescent="0.3">
      <c r="A31" s="27" t="s">
        <v>87</v>
      </c>
      <c r="B31" s="28"/>
      <c r="C31" s="11"/>
      <c r="D31" s="11">
        <v>2934.0439999999999</v>
      </c>
      <c r="E31" s="11">
        <v>14108.446</v>
      </c>
      <c r="F31" s="11">
        <v>14557.294</v>
      </c>
      <c r="G31" s="11">
        <v>12760.637000000001</v>
      </c>
      <c r="H31" s="11">
        <v>9184.5220000000008</v>
      </c>
      <c r="I31" s="11">
        <v>320.46100000000001</v>
      </c>
    </row>
    <row r="32" spans="1:9" x14ac:dyDescent="0.3">
      <c r="A32" s="27" t="s">
        <v>88</v>
      </c>
      <c r="B32" s="28"/>
      <c r="C32" s="11"/>
      <c r="D32" s="11">
        <v>0</v>
      </c>
      <c r="E32" s="11">
        <v>0</v>
      </c>
      <c r="F32" s="11">
        <v>0</v>
      </c>
      <c r="G32" s="11">
        <v>0</v>
      </c>
      <c r="H32" s="11">
        <v>0</v>
      </c>
      <c r="I32" s="11">
        <v>0</v>
      </c>
    </row>
    <row r="33" spans="1:9" x14ac:dyDescent="0.3">
      <c r="A33" s="27" t="s">
        <v>89</v>
      </c>
      <c r="B33" s="28"/>
      <c r="C33" s="11"/>
      <c r="D33" s="11">
        <v>1107.94</v>
      </c>
      <c r="E33" s="11">
        <v>2164.4549999999999</v>
      </c>
      <c r="F33" s="11">
        <v>2121.3069999999998</v>
      </c>
      <c r="G33" s="11">
        <v>1766.0550000000001</v>
      </c>
      <c r="H33" s="11">
        <v>1382.6510000000001</v>
      </c>
      <c r="I33" s="11">
        <v>59.72</v>
      </c>
    </row>
    <row r="34" spans="1:9" x14ac:dyDescent="0.3">
      <c r="A34" s="27" t="s">
        <v>90</v>
      </c>
      <c r="B34" s="28"/>
      <c r="C34" s="11"/>
      <c r="D34" s="11">
        <v>6157.2240000000002</v>
      </c>
      <c r="E34" s="11">
        <v>6941.1719999999996</v>
      </c>
      <c r="F34" s="11">
        <v>10025.499</v>
      </c>
      <c r="G34" s="11">
        <v>0</v>
      </c>
      <c r="H34" s="11">
        <v>0</v>
      </c>
      <c r="I34" s="11">
        <v>5167.5609999999997</v>
      </c>
    </row>
    <row r="35" spans="1:9" x14ac:dyDescent="0.3">
      <c r="A35" s="27" t="s">
        <v>91</v>
      </c>
      <c r="B35" s="28"/>
      <c r="C35" s="11"/>
      <c r="D35" s="11">
        <v>2581.5300000000002</v>
      </c>
      <c r="E35" s="11">
        <v>2846.6129999999998</v>
      </c>
      <c r="F35" s="11">
        <v>2827.7620000000002</v>
      </c>
      <c r="G35" s="11">
        <v>17541.648000000001</v>
      </c>
      <c r="H35" s="11">
        <v>21629.074000000001</v>
      </c>
      <c r="I35" s="11">
        <v>2181.5189999999998</v>
      </c>
    </row>
    <row r="36" spans="1:9" x14ac:dyDescent="0.3">
      <c r="A36" s="29" t="s">
        <v>92</v>
      </c>
      <c r="B36" s="30"/>
      <c r="C36" s="12"/>
      <c r="D36" s="12">
        <f t="shared" ref="D36:I36" si="4">D31+D32+D33+D34+D35</f>
        <v>12780.738000000001</v>
      </c>
      <c r="E36" s="12">
        <f t="shared" si="4"/>
        <v>26060.686000000002</v>
      </c>
      <c r="F36" s="12">
        <f t="shared" si="4"/>
        <v>29531.861999999997</v>
      </c>
      <c r="G36" s="12">
        <f t="shared" si="4"/>
        <v>32068.340000000004</v>
      </c>
      <c r="H36" s="12">
        <f t="shared" si="4"/>
        <v>32196.247000000003</v>
      </c>
      <c r="I36" s="12">
        <f t="shared" si="4"/>
        <v>7729.2610000000004</v>
      </c>
    </row>
    <row r="37" spans="1:9" x14ac:dyDescent="0.3">
      <c r="A37" s="25" t="s">
        <v>93</v>
      </c>
      <c r="B37" s="26"/>
      <c r="C37" s="10"/>
      <c r="D37" s="10"/>
      <c r="E37" s="10"/>
      <c r="F37" s="10"/>
      <c r="G37" s="10"/>
      <c r="H37" s="10"/>
      <c r="I37" s="10"/>
    </row>
    <row r="38" spans="1:9" x14ac:dyDescent="0.3">
      <c r="A38" s="27" t="s">
        <v>94</v>
      </c>
      <c r="B38" s="28"/>
      <c r="C38" s="11"/>
      <c r="D38" s="11">
        <v>20789.759999999998</v>
      </c>
      <c r="E38" s="11">
        <v>23191.483</v>
      </c>
      <c r="F38" s="11">
        <v>29918.702000000001</v>
      </c>
      <c r="G38" s="11">
        <v>30006.625</v>
      </c>
      <c r="H38" s="11">
        <v>27300.919000000002</v>
      </c>
      <c r="I38" s="11">
        <v>19354.794000000002</v>
      </c>
    </row>
    <row r="39" spans="1:9" x14ac:dyDescent="0.3">
      <c r="A39" s="27" t="s">
        <v>95</v>
      </c>
      <c r="B39" s="28"/>
      <c r="C39" s="11"/>
      <c r="D39" s="11">
        <v>0</v>
      </c>
      <c r="E39" s="11">
        <v>0</v>
      </c>
      <c r="F39" s="11">
        <v>0</v>
      </c>
      <c r="G39" s="11">
        <v>0</v>
      </c>
      <c r="H39" s="11">
        <v>0</v>
      </c>
      <c r="I39" s="11">
        <v>0</v>
      </c>
    </row>
    <row r="40" spans="1:9" x14ac:dyDescent="0.3">
      <c r="A40" s="27" t="s">
        <v>96</v>
      </c>
      <c r="B40" s="28"/>
      <c r="C40" s="11"/>
      <c r="D40" s="11">
        <v>70.867999999999995</v>
      </c>
      <c r="E40" s="11">
        <v>135.452</v>
      </c>
      <c r="F40" s="11">
        <v>497.745</v>
      </c>
      <c r="G40" s="11">
        <v>342.935</v>
      </c>
      <c r="H40" s="11">
        <v>185.61600000000001</v>
      </c>
      <c r="I40" s="11">
        <v>46.173000000000002</v>
      </c>
    </row>
    <row r="41" spans="1:9" x14ac:dyDescent="0.3">
      <c r="A41" s="27" t="s">
        <v>97</v>
      </c>
      <c r="B41" s="28"/>
      <c r="C41" s="11"/>
      <c r="D41" s="11">
        <v>7050</v>
      </c>
      <c r="E41" s="11">
        <v>1000</v>
      </c>
      <c r="F41" s="11">
        <v>5885</v>
      </c>
      <c r="G41" s="11">
        <v>5485</v>
      </c>
      <c r="H41" s="11">
        <v>6485</v>
      </c>
      <c r="I41" s="11">
        <v>7931.4440000000004</v>
      </c>
    </row>
    <row r="42" spans="1:9" x14ac:dyDescent="0.3">
      <c r="A42" s="27" t="s">
        <v>98</v>
      </c>
      <c r="B42" s="28"/>
      <c r="C42" s="11"/>
      <c r="D42" s="11">
        <v>506.90800000000002</v>
      </c>
      <c r="E42" s="11">
        <v>487.202</v>
      </c>
      <c r="F42" s="11">
        <v>599.65300000000002</v>
      </c>
      <c r="G42" s="11">
        <v>2099.1469999999999</v>
      </c>
      <c r="H42" s="11">
        <v>1866.085</v>
      </c>
      <c r="I42" s="11">
        <v>126.727</v>
      </c>
    </row>
    <row r="43" spans="1:9" x14ac:dyDescent="0.3">
      <c r="A43" s="27" t="s">
        <v>99</v>
      </c>
      <c r="B43" s="28"/>
      <c r="C43" s="11"/>
      <c r="D43" s="11">
        <v>0</v>
      </c>
      <c r="E43" s="11">
        <v>0</v>
      </c>
      <c r="F43" s="11">
        <v>0</v>
      </c>
      <c r="G43" s="11">
        <v>0</v>
      </c>
      <c r="H43" s="11">
        <v>0</v>
      </c>
      <c r="I43" s="11">
        <v>0</v>
      </c>
    </row>
    <row r="44" spans="1:9" x14ac:dyDescent="0.3">
      <c r="A44" s="27" t="s">
        <v>100</v>
      </c>
      <c r="B44" s="28"/>
      <c r="C44" s="11"/>
      <c r="D44" s="11">
        <v>0</v>
      </c>
      <c r="E44" s="11">
        <v>0</v>
      </c>
      <c r="F44" s="11">
        <v>0</v>
      </c>
      <c r="G44" s="11">
        <v>0</v>
      </c>
      <c r="H44" s="11">
        <v>0</v>
      </c>
      <c r="I44" s="11">
        <v>0</v>
      </c>
    </row>
    <row r="45" spans="1:9" x14ac:dyDescent="0.3">
      <c r="A45" s="27" t="s">
        <v>101</v>
      </c>
      <c r="B45" s="28"/>
      <c r="C45" s="11"/>
      <c r="D45" s="11">
        <v>53.457999999999998</v>
      </c>
      <c r="E45" s="11">
        <v>51.03</v>
      </c>
      <c r="F45" s="11">
        <v>50.115000000000002</v>
      </c>
      <c r="G45" s="11">
        <v>59.148000000000003</v>
      </c>
      <c r="H45" s="11">
        <v>65.745000000000005</v>
      </c>
      <c r="I45" s="11">
        <v>73.346999999999994</v>
      </c>
    </row>
    <row r="46" spans="1:9" x14ac:dyDescent="0.3">
      <c r="A46" s="27" t="s">
        <v>102</v>
      </c>
      <c r="B46" s="28"/>
      <c r="C46" s="11"/>
      <c r="D46" s="11">
        <v>1916.0719999999999</v>
      </c>
      <c r="E46" s="11">
        <v>5496.1909999999998</v>
      </c>
      <c r="F46" s="11">
        <v>9229.6640000000007</v>
      </c>
      <c r="G46" s="11">
        <v>16195.618</v>
      </c>
      <c r="H46" s="11">
        <v>22738.018</v>
      </c>
      <c r="I46" s="11">
        <v>1422.867</v>
      </c>
    </row>
    <row r="47" spans="1:9" x14ac:dyDescent="0.3">
      <c r="A47" s="27" t="s">
        <v>103</v>
      </c>
      <c r="B47" s="28"/>
      <c r="C47" s="11"/>
      <c r="D47" s="11">
        <v>0</v>
      </c>
      <c r="E47" s="11">
        <v>0</v>
      </c>
      <c r="F47" s="11">
        <v>0</v>
      </c>
      <c r="G47" s="11">
        <v>0</v>
      </c>
      <c r="H47" s="11">
        <v>0</v>
      </c>
      <c r="I47" s="11">
        <v>0</v>
      </c>
    </row>
    <row r="48" spans="1:9" x14ac:dyDescent="0.3">
      <c r="A48" s="29" t="s">
        <v>104</v>
      </c>
      <c r="B48" s="30"/>
      <c r="C48" s="12"/>
      <c r="D48" s="12">
        <f t="shared" ref="D48:I48" si="5">D38+D39+D40+D41+D42+D43+D44+D45+D46+D47</f>
        <v>30387.065999999995</v>
      </c>
      <c r="E48" s="12">
        <f t="shared" si="5"/>
        <v>30361.358</v>
      </c>
      <c r="F48" s="12">
        <f t="shared" si="5"/>
        <v>46180.879000000001</v>
      </c>
      <c r="G48" s="12">
        <f t="shared" si="5"/>
        <v>54188.472999999998</v>
      </c>
      <c r="H48" s="12">
        <f t="shared" si="5"/>
        <v>58641.383000000002</v>
      </c>
      <c r="I48" s="12">
        <f t="shared" si="5"/>
        <v>28955.351999999999</v>
      </c>
    </row>
    <row r="49" spans="1:9" x14ac:dyDescent="0.3">
      <c r="A49" s="29" t="s">
        <v>105</v>
      </c>
      <c r="B49" s="30"/>
      <c r="C49" s="12"/>
      <c r="D49" s="12">
        <f t="shared" ref="D49:I49" si="6">D36+D48</f>
        <v>43167.803999999996</v>
      </c>
      <c r="E49" s="12">
        <f t="shared" si="6"/>
        <v>56422.044000000002</v>
      </c>
      <c r="F49" s="12">
        <f t="shared" si="6"/>
        <v>75712.740999999995</v>
      </c>
      <c r="G49" s="12">
        <f t="shared" si="6"/>
        <v>86256.812999999995</v>
      </c>
      <c r="H49" s="12">
        <f t="shared" si="6"/>
        <v>90837.63</v>
      </c>
      <c r="I49" s="12">
        <f t="shared" si="6"/>
        <v>36684.612999999998</v>
      </c>
    </row>
    <row r="50" spans="1:9" x14ac:dyDescent="0.3">
      <c r="A50" s="29" t="s">
        <v>106</v>
      </c>
      <c r="B50" s="30"/>
      <c r="C50" s="12"/>
      <c r="D50" s="12">
        <f t="shared" ref="D50:I50" si="7">D29+D49</f>
        <v>156368.06200000001</v>
      </c>
      <c r="E50" s="12">
        <f t="shared" si="7"/>
        <v>184962.36799999999</v>
      </c>
      <c r="F50" s="12">
        <f t="shared" si="7"/>
        <v>213079.06699999998</v>
      </c>
      <c r="G50" s="12">
        <f t="shared" si="7"/>
        <v>234018.09</v>
      </c>
      <c r="H50" s="12">
        <f t="shared" si="7"/>
        <v>266748.03000000003</v>
      </c>
      <c r="I50" s="12">
        <f t="shared" si="7"/>
        <v>135868.47399999999</v>
      </c>
    </row>
    <row r="51" spans="1:9" x14ac:dyDescent="0.3">
      <c r="A51" s="25" t="s">
        <v>107</v>
      </c>
      <c r="B51" s="26"/>
      <c r="C51" s="10"/>
      <c r="D51" s="10"/>
      <c r="E51" s="10"/>
      <c r="F51" s="10"/>
      <c r="G51" s="10"/>
      <c r="H51" s="10"/>
      <c r="I51" s="10"/>
    </row>
    <row r="52" spans="1:9" x14ac:dyDescent="0.3">
      <c r="A52" s="27" t="s">
        <v>108</v>
      </c>
      <c r="B52" s="28"/>
      <c r="C52" s="11"/>
      <c r="D52" s="11">
        <v>2882.4340000000002</v>
      </c>
      <c r="E52" s="11">
        <v>3352.998</v>
      </c>
      <c r="F52" s="11">
        <v>5030.5460000000003</v>
      </c>
      <c r="G52" s="11">
        <v>7172.1440000000002</v>
      </c>
      <c r="H52" s="11">
        <v>6426.9750000000004</v>
      </c>
      <c r="I52" s="11">
        <v>2599.29</v>
      </c>
    </row>
    <row r="53" spans="1:9" x14ac:dyDescent="0.3">
      <c r="A53" s="27" t="s">
        <v>109</v>
      </c>
      <c r="B53" s="28"/>
      <c r="C53" s="11"/>
      <c r="D53" s="11">
        <f t="shared" ref="D53:I53" si="8">D9-D10</f>
        <v>58374.902999999998</v>
      </c>
      <c r="E53" s="11">
        <f t="shared" si="8"/>
        <v>60389.836000000003</v>
      </c>
      <c r="F53" s="11">
        <f t="shared" si="8"/>
        <v>90058.160999999993</v>
      </c>
      <c r="G53" s="11">
        <f t="shared" si="8"/>
        <v>95625.67</v>
      </c>
      <c r="H53" s="11">
        <f t="shared" si="8"/>
        <v>101988.84600000001</v>
      </c>
      <c r="I53" s="11">
        <f t="shared" si="8"/>
        <v>59913.379000000001</v>
      </c>
    </row>
    <row r="54" spans="1:9" x14ac:dyDescent="0.3">
      <c r="A54" s="27" t="s">
        <v>110</v>
      </c>
      <c r="B54" s="28"/>
      <c r="C54" s="11"/>
      <c r="D54" s="11">
        <f t="shared" ref="D54:I54" si="9">D18+D19</f>
        <v>13631.61</v>
      </c>
      <c r="E54" s="11">
        <f t="shared" si="9"/>
        <v>18378.207000000002</v>
      </c>
      <c r="F54" s="11">
        <f t="shared" si="9"/>
        <v>20132.525000000001</v>
      </c>
      <c r="G54" s="11">
        <f t="shared" si="9"/>
        <v>23097.246999999999</v>
      </c>
      <c r="H54" s="11">
        <f t="shared" si="9"/>
        <v>24669.707000000002</v>
      </c>
      <c r="I54" s="11">
        <f t="shared" si="9"/>
        <v>9435.7219999999998</v>
      </c>
    </row>
    <row r="55" spans="1:9" x14ac:dyDescent="0.3">
      <c r="A55" s="27" t="s">
        <v>111</v>
      </c>
      <c r="B55" s="28"/>
      <c r="C55" s="11"/>
      <c r="D55" s="11">
        <f t="shared" ref="D55:I55" si="10">D31+D32+D41+D42+D43-D148-D149</f>
        <v>10490.951999999999</v>
      </c>
      <c r="E55" s="11">
        <f t="shared" si="10"/>
        <v>15595.647999999999</v>
      </c>
      <c r="F55" s="11">
        <f t="shared" si="10"/>
        <v>21041.947</v>
      </c>
      <c r="G55" s="11">
        <f t="shared" si="10"/>
        <v>20344.784000000003</v>
      </c>
      <c r="H55" s="11">
        <f t="shared" si="10"/>
        <v>17535.607</v>
      </c>
      <c r="I55" s="11">
        <f t="shared" si="10"/>
        <v>8378.6320000000014</v>
      </c>
    </row>
    <row r="56" spans="1:9" x14ac:dyDescent="0.3">
      <c r="A56" s="27" t="s">
        <v>112</v>
      </c>
      <c r="B56" s="28"/>
      <c r="C56" s="11"/>
      <c r="D56" s="11">
        <f t="shared" ref="D56:I56" si="11">D31+D32</f>
        <v>2934.0439999999999</v>
      </c>
      <c r="E56" s="11">
        <f t="shared" si="11"/>
        <v>14108.446</v>
      </c>
      <c r="F56" s="11">
        <f t="shared" si="11"/>
        <v>14557.294</v>
      </c>
      <c r="G56" s="11">
        <f t="shared" si="11"/>
        <v>12760.637000000001</v>
      </c>
      <c r="H56" s="11">
        <f t="shared" si="11"/>
        <v>9184.5220000000008</v>
      </c>
      <c r="I56" s="11">
        <f t="shared" si="11"/>
        <v>320.46100000000001</v>
      </c>
    </row>
    <row r="57" spans="1:9" x14ac:dyDescent="0.3">
      <c r="A57" s="27"/>
      <c r="B57" s="28"/>
      <c r="C57" s="11"/>
      <c r="D57" s="11"/>
      <c r="E57" s="11"/>
      <c r="F57" s="11"/>
      <c r="G57" s="11"/>
      <c r="H57" s="11"/>
      <c r="I57" s="11"/>
    </row>
    <row r="58" spans="1:9" x14ac:dyDescent="0.3">
      <c r="A58" s="27" t="s">
        <v>113</v>
      </c>
      <c r="B58" s="28"/>
      <c r="C58" s="11"/>
      <c r="D58" s="11">
        <f t="shared" ref="D58:I58" si="12">D55+D29</f>
        <v>123691.21</v>
      </c>
      <c r="E58" s="11">
        <f t="shared" si="12"/>
        <v>144135.97199999998</v>
      </c>
      <c r="F58" s="11">
        <f t="shared" si="12"/>
        <v>158408.27299999999</v>
      </c>
      <c r="G58" s="11">
        <f t="shared" si="12"/>
        <v>168106.06100000002</v>
      </c>
      <c r="H58" s="11">
        <f t="shared" si="12"/>
        <v>193446.00699999998</v>
      </c>
      <c r="I58" s="11">
        <f t="shared" si="12"/>
        <v>107562.493</v>
      </c>
    </row>
    <row r="59" spans="1:9" x14ac:dyDescent="0.3">
      <c r="A59" s="27" t="s">
        <v>114</v>
      </c>
      <c r="B59" s="28"/>
      <c r="C59" s="11"/>
      <c r="D59" s="11">
        <f t="shared" ref="D59:I59" si="13">D24-D22-D21</f>
        <v>21623.841000000004</v>
      </c>
      <c r="E59" s="11">
        <f t="shared" si="13"/>
        <v>28193.458000000006</v>
      </c>
      <c r="F59" s="11">
        <f t="shared" si="13"/>
        <v>33561.965000000004</v>
      </c>
      <c r="G59" s="11">
        <f t="shared" si="13"/>
        <v>36047.279999999999</v>
      </c>
      <c r="H59" s="11">
        <f t="shared" si="13"/>
        <v>36458.984000000004</v>
      </c>
      <c r="I59" s="11">
        <f t="shared" si="13"/>
        <v>17587.307999999997</v>
      </c>
    </row>
    <row r="60" spans="1:9" x14ac:dyDescent="0.3">
      <c r="A60" s="27" t="s">
        <v>115</v>
      </c>
      <c r="B60" s="28"/>
      <c r="C60" s="11"/>
      <c r="D60" s="11">
        <f t="shared" ref="D60:I60" si="14">D48-D41-D42-D43-D44-D40-D45</f>
        <v>22705.831999999999</v>
      </c>
      <c r="E60" s="11">
        <f t="shared" si="14"/>
        <v>28687.673999999999</v>
      </c>
      <c r="F60" s="11">
        <f t="shared" si="14"/>
        <v>39148.366000000002</v>
      </c>
      <c r="G60" s="11">
        <f t="shared" si="14"/>
        <v>46202.243000000002</v>
      </c>
      <c r="H60" s="11">
        <f t="shared" si="14"/>
        <v>50038.936999999998</v>
      </c>
      <c r="I60" s="11">
        <f t="shared" si="14"/>
        <v>20777.661</v>
      </c>
    </row>
    <row r="61" spans="1:9" x14ac:dyDescent="0.3">
      <c r="A61" s="20"/>
      <c r="B61" s="20"/>
    </row>
    <row r="62" spans="1:9" ht="19.5" customHeight="1" x14ac:dyDescent="0.3">
      <c r="A62" s="21" t="s">
        <v>116</v>
      </c>
      <c r="B62" s="22"/>
      <c r="C62" s="3"/>
      <c r="D62" s="3"/>
      <c r="E62" s="3"/>
      <c r="F62" s="3"/>
      <c r="G62" s="3"/>
      <c r="H62" s="3"/>
      <c r="I62" s="3"/>
    </row>
    <row r="63" spans="1:9" ht="16.5" customHeight="1" x14ac:dyDescent="0.3">
      <c r="A63" s="23" t="s">
        <v>57</v>
      </c>
      <c r="B63" s="24"/>
      <c r="C63" s="9"/>
      <c r="D63" s="9" t="s">
        <v>58</v>
      </c>
      <c r="E63" s="9" t="s">
        <v>59</v>
      </c>
      <c r="F63" s="9" t="s">
        <v>60</v>
      </c>
      <c r="G63" s="9" t="s">
        <v>61</v>
      </c>
      <c r="H63" s="9" t="s">
        <v>62</v>
      </c>
      <c r="I63" s="9" t="s">
        <v>63</v>
      </c>
    </row>
    <row r="64" spans="1:9" x14ac:dyDescent="0.3">
      <c r="A64" s="27" t="s">
        <v>117</v>
      </c>
      <c r="B64" s="28"/>
      <c r="C64" s="11"/>
      <c r="D64" s="11">
        <v>62940.805</v>
      </c>
      <c r="E64" s="11">
        <v>81093.524999999994</v>
      </c>
      <c r="F64" s="11">
        <v>95832.146999999997</v>
      </c>
      <c r="G64" s="11">
        <v>115324.942</v>
      </c>
      <c r="H64" s="11">
        <v>124511.74400000001</v>
      </c>
      <c r="I64" s="11">
        <v>41870.796000000002</v>
      </c>
    </row>
    <row r="65" spans="1:9" x14ac:dyDescent="0.3">
      <c r="A65" s="27" t="s">
        <v>118</v>
      </c>
      <c r="B65" s="28"/>
      <c r="C65" s="11"/>
      <c r="D65" s="11">
        <v>-43984.873</v>
      </c>
      <c r="E65" s="11">
        <v>-58541.684000000001</v>
      </c>
      <c r="F65" s="11">
        <v>-69771.468999999997</v>
      </c>
      <c r="G65" s="11">
        <v>-76520.37</v>
      </c>
      <c r="H65" s="11">
        <v>-81827.06</v>
      </c>
      <c r="I65" s="11">
        <v>-35794.031000000003</v>
      </c>
    </row>
    <row r="66" spans="1:9" x14ac:dyDescent="0.3">
      <c r="A66" s="29" t="s">
        <v>119</v>
      </c>
      <c r="B66" s="30"/>
      <c r="C66" s="12"/>
      <c r="D66" s="12">
        <f t="shared" ref="D66:I66" si="15">D64+D65</f>
        <v>18955.932000000001</v>
      </c>
      <c r="E66" s="12">
        <f t="shared" si="15"/>
        <v>22551.840999999993</v>
      </c>
      <c r="F66" s="12">
        <f t="shared" si="15"/>
        <v>26060.678</v>
      </c>
      <c r="G66" s="12">
        <f t="shared" si="15"/>
        <v>38804.572</v>
      </c>
      <c r="H66" s="12">
        <f t="shared" si="15"/>
        <v>42684.684000000008</v>
      </c>
      <c r="I66" s="12">
        <f t="shared" si="15"/>
        <v>6076.7649999999994</v>
      </c>
    </row>
    <row r="67" spans="1:9" x14ac:dyDescent="0.3">
      <c r="A67" s="27" t="s">
        <v>120</v>
      </c>
      <c r="B67" s="28"/>
      <c r="C67" s="11"/>
      <c r="D67" s="11">
        <v>-4859.0959999999995</v>
      </c>
      <c r="E67" s="11">
        <v>-4764.5739999999996</v>
      </c>
      <c r="F67" s="11">
        <v>-5326.8940000000002</v>
      </c>
      <c r="G67" s="11">
        <v>-7773.8850000000002</v>
      </c>
      <c r="H67" s="11">
        <v>-8972.8150000000005</v>
      </c>
      <c r="I67" s="11">
        <v>-3699.154</v>
      </c>
    </row>
    <row r="68" spans="1:9" x14ac:dyDescent="0.3">
      <c r="A68" s="27" t="s">
        <v>121</v>
      </c>
      <c r="B68" s="28"/>
      <c r="C68" s="11"/>
      <c r="D68" s="11">
        <v>-1257.0740000000001</v>
      </c>
      <c r="E68" s="11">
        <v>-1512.279</v>
      </c>
      <c r="F68" s="11">
        <v>-1825.578</v>
      </c>
      <c r="G68" s="11">
        <v>-2160.6819999999998</v>
      </c>
      <c r="H68" s="11">
        <v>-2427.2489999999998</v>
      </c>
      <c r="I68" s="11">
        <v>-1189.6379999999999</v>
      </c>
    </row>
    <row r="69" spans="1:9" x14ac:dyDescent="0.3">
      <c r="A69" s="27" t="s">
        <v>122</v>
      </c>
      <c r="B69" s="28"/>
      <c r="C69" s="11"/>
      <c r="D69" s="11">
        <v>0</v>
      </c>
      <c r="E69" s="11">
        <v>0</v>
      </c>
      <c r="F69" s="11">
        <v>0</v>
      </c>
      <c r="G69" s="11">
        <v>0</v>
      </c>
      <c r="H69" s="11">
        <v>0</v>
      </c>
      <c r="I69" s="11">
        <v>0</v>
      </c>
    </row>
    <row r="70" spans="1:9" x14ac:dyDescent="0.3">
      <c r="A70" s="27" t="s">
        <v>123</v>
      </c>
      <c r="B70" s="28"/>
      <c r="C70" s="11"/>
      <c r="D70" s="11">
        <v>-1507.673</v>
      </c>
      <c r="E70" s="11">
        <v>-1847.039</v>
      </c>
      <c r="F70" s="11">
        <v>-2442.585</v>
      </c>
      <c r="G70" s="11">
        <v>-2476.636</v>
      </c>
      <c r="H70" s="11">
        <v>-3056.913</v>
      </c>
      <c r="I70" s="11">
        <v>-377.52600000000001</v>
      </c>
    </row>
    <row r="71" spans="1:9" x14ac:dyDescent="0.3">
      <c r="A71" s="29" t="s">
        <v>124</v>
      </c>
      <c r="B71" s="30"/>
      <c r="C71" s="12"/>
      <c r="D71" s="12">
        <f t="shared" ref="D71:I71" si="16">D66+D67+D68+D69+D70</f>
        <v>11332.089</v>
      </c>
      <c r="E71" s="12">
        <f t="shared" si="16"/>
        <v>14427.948999999991</v>
      </c>
      <c r="F71" s="12">
        <f t="shared" si="16"/>
        <v>16465.620999999999</v>
      </c>
      <c r="G71" s="12">
        <f t="shared" si="16"/>
        <v>26393.368999999999</v>
      </c>
      <c r="H71" s="12">
        <f t="shared" si="16"/>
        <v>28227.707000000006</v>
      </c>
      <c r="I71" s="12">
        <f t="shared" si="16"/>
        <v>810.44699999999943</v>
      </c>
    </row>
    <row r="72" spans="1:9" x14ac:dyDescent="0.3">
      <c r="A72" s="27" t="s">
        <v>125</v>
      </c>
      <c r="B72" s="28"/>
      <c r="C72" s="11"/>
      <c r="D72" s="11">
        <v>5993.0290000000005</v>
      </c>
      <c r="E72" s="11">
        <v>7387.8</v>
      </c>
      <c r="F72" s="11">
        <v>6047.4229999999998</v>
      </c>
      <c r="G72" s="11">
        <v>16575.363000000001</v>
      </c>
      <c r="H72" s="11">
        <v>20465.920999999998</v>
      </c>
      <c r="I72" s="11">
        <v>3185.8589999999999</v>
      </c>
    </row>
    <row r="73" spans="1:9" x14ac:dyDescent="0.3">
      <c r="A73" s="27" t="s">
        <v>126</v>
      </c>
      <c r="B73" s="28"/>
      <c r="C73" s="11"/>
      <c r="D73" s="11">
        <v>0</v>
      </c>
      <c r="E73" s="11">
        <v>0</v>
      </c>
      <c r="F73" s="11">
        <v>0</v>
      </c>
      <c r="G73" s="11">
        <v>0</v>
      </c>
      <c r="H73" s="11">
        <v>0</v>
      </c>
      <c r="I73" s="11">
        <v>0</v>
      </c>
    </row>
    <row r="74" spans="1:9" x14ac:dyDescent="0.3">
      <c r="A74" s="27" t="s">
        <v>127</v>
      </c>
      <c r="B74" s="28"/>
      <c r="C74" s="11"/>
      <c r="D74" s="11">
        <v>0</v>
      </c>
      <c r="E74" s="11">
        <v>0</v>
      </c>
      <c r="F74" s="11">
        <v>0</v>
      </c>
      <c r="G74" s="11">
        <v>0</v>
      </c>
      <c r="H74" s="11">
        <v>0</v>
      </c>
      <c r="I74" s="11">
        <v>0</v>
      </c>
    </row>
    <row r="75" spans="1:9" x14ac:dyDescent="0.3">
      <c r="A75" s="27" t="s">
        <v>128</v>
      </c>
      <c r="B75" s="28"/>
      <c r="C75" s="11"/>
      <c r="D75" s="11">
        <v>-332.90499999999997</v>
      </c>
      <c r="E75" s="11">
        <v>-394.517</v>
      </c>
      <c r="F75" s="11">
        <v>-1169.77</v>
      </c>
      <c r="G75" s="11">
        <v>-1581.1679999999999</v>
      </c>
      <c r="H75" s="11">
        <v>-1370.569</v>
      </c>
      <c r="I75" s="11">
        <v>-176.37799999999999</v>
      </c>
    </row>
    <row r="76" spans="1:9" x14ac:dyDescent="0.3">
      <c r="A76" s="29" t="s">
        <v>129</v>
      </c>
      <c r="B76" s="30"/>
      <c r="C76" s="12"/>
      <c r="D76" s="12">
        <f t="shared" ref="D76:I76" si="17">D71+D72+D73+D74+D75</f>
        <v>16992.213000000003</v>
      </c>
      <c r="E76" s="12">
        <f t="shared" si="17"/>
        <v>21421.231999999993</v>
      </c>
      <c r="F76" s="12">
        <f t="shared" si="17"/>
        <v>21343.273999999998</v>
      </c>
      <c r="G76" s="12">
        <f t="shared" si="17"/>
        <v>41387.564000000006</v>
      </c>
      <c r="H76" s="12">
        <f t="shared" si="17"/>
        <v>47323.059000000001</v>
      </c>
      <c r="I76" s="12">
        <f t="shared" si="17"/>
        <v>3819.9279999999994</v>
      </c>
    </row>
    <row r="77" spans="1:9" x14ac:dyDescent="0.3">
      <c r="A77" s="27" t="s">
        <v>130</v>
      </c>
      <c r="B77" s="28"/>
      <c r="C77" s="11"/>
      <c r="D77" s="11">
        <v>0</v>
      </c>
      <c r="E77" s="11">
        <v>0</v>
      </c>
      <c r="F77" s="11">
        <v>-437.83300000000003</v>
      </c>
      <c r="G77" s="11">
        <v>-953.05100000000004</v>
      </c>
      <c r="H77" s="11">
        <v>-329.6</v>
      </c>
      <c r="I77" s="11">
        <v>0</v>
      </c>
    </row>
    <row r="78" spans="1:9" x14ac:dyDescent="0.3">
      <c r="A78" s="27" t="s">
        <v>131</v>
      </c>
      <c r="B78" s="28"/>
      <c r="C78" s="11"/>
      <c r="D78" s="11">
        <v>-2922.0239999999999</v>
      </c>
      <c r="E78" s="11">
        <v>-6122.6139999999996</v>
      </c>
      <c r="F78" s="11">
        <v>-7179.6270000000004</v>
      </c>
      <c r="G78" s="11">
        <v>-12327.974</v>
      </c>
      <c r="H78" s="11">
        <v>-13901.297</v>
      </c>
      <c r="I78" s="11">
        <v>-475.995</v>
      </c>
    </row>
    <row r="79" spans="1:9" x14ac:dyDescent="0.3">
      <c r="A79" s="29" t="s">
        <v>132</v>
      </c>
      <c r="B79" s="30"/>
      <c r="C79" s="12"/>
      <c r="D79" s="12">
        <f t="shared" ref="D79:I79" si="18">D76+D77+D78</f>
        <v>14070.189000000004</v>
      </c>
      <c r="E79" s="12">
        <f t="shared" si="18"/>
        <v>15298.617999999993</v>
      </c>
      <c r="F79" s="12">
        <f t="shared" si="18"/>
        <v>13725.813999999998</v>
      </c>
      <c r="G79" s="12">
        <f t="shared" si="18"/>
        <v>28106.539000000004</v>
      </c>
      <c r="H79" s="12">
        <f t="shared" si="18"/>
        <v>33092.162000000004</v>
      </c>
      <c r="I79" s="12">
        <f t="shared" si="18"/>
        <v>3343.9329999999995</v>
      </c>
    </row>
    <row r="80" spans="1:9" x14ac:dyDescent="0.3">
      <c r="A80" s="25" t="s">
        <v>133</v>
      </c>
      <c r="B80" s="26"/>
      <c r="C80" s="10"/>
      <c r="D80" s="10"/>
      <c r="E80" s="10"/>
      <c r="F80" s="10"/>
      <c r="G80" s="10"/>
      <c r="H80" s="10"/>
      <c r="I80" s="10"/>
    </row>
    <row r="81" spans="1:9" x14ac:dyDescent="0.3">
      <c r="A81" s="27" t="s">
        <v>134</v>
      </c>
      <c r="B81" s="28"/>
      <c r="C81" s="11"/>
      <c r="D81" s="11">
        <v>4309.4130000000005</v>
      </c>
      <c r="E81" s="11">
        <v>4527.7610000000004</v>
      </c>
      <c r="F81" s="11">
        <v>5314.7620000000006</v>
      </c>
      <c r="G81" s="11">
        <v>6097.4219999999996</v>
      </c>
      <c r="H81" s="11">
        <v>6937.732</v>
      </c>
      <c r="I81" s="11"/>
    </row>
    <row r="82" spans="1:9" x14ac:dyDescent="0.3">
      <c r="A82" s="27" t="s">
        <v>135</v>
      </c>
      <c r="B82" s="28"/>
      <c r="C82" s="11"/>
      <c r="D82" s="11">
        <f>D76+D85</f>
        <v>17325.118000000002</v>
      </c>
      <c r="E82" s="11">
        <f>E76+E85</f>
        <v>21815.748999999993</v>
      </c>
      <c r="F82" s="11">
        <f>F76+F85</f>
        <v>22502.069999999996</v>
      </c>
      <c r="G82" s="11">
        <f>G76+G85</f>
        <v>42948.099000000002</v>
      </c>
      <c r="H82" s="11">
        <f>H76+H85</f>
        <v>48649.106</v>
      </c>
      <c r="I82" s="11">
        <f>I76-I75</f>
        <v>3996.3059999999996</v>
      </c>
    </row>
    <row r="83" spans="1:9" x14ac:dyDescent="0.3">
      <c r="A83" s="27" t="s">
        <v>136</v>
      </c>
      <c r="B83" s="28"/>
      <c r="C83" s="11"/>
      <c r="D83" s="11">
        <f>D82+D81</f>
        <v>21634.531000000003</v>
      </c>
      <c r="E83" s="11">
        <f>E82+E81</f>
        <v>26343.509999999995</v>
      </c>
      <c r="F83" s="11">
        <f>F82+F81</f>
        <v>27816.831999999995</v>
      </c>
      <c r="G83" s="11">
        <f>G82+G81</f>
        <v>49045.521000000001</v>
      </c>
      <c r="H83" s="11">
        <f>H82+H81</f>
        <v>55586.838000000003</v>
      </c>
      <c r="I83" s="11"/>
    </row>
    <row r="84" spans="1:9" x14ac:dyDescent="0.3">
      <c r="A84" s="27" t="s">
        <v>137</v>
      </c>
      <c r="B84" s="28"/>
      <c r="C84" s="11"/>
      <c r="D84" s="11">
        <v>0</v>
      </c>
      <c r="E84" s="11">
        <v>0</v>
      </c>
      <c r="F84" s="11">
        <v>10.974</v>
      </c>
      <c r="G84" s="11">
        <v>20.632999999999999</v>
      </c>
      <c r="H84" s="11">
        <v>44.521999999999998</v>
      </c>
      <c r="I84" s="13"/>
    </row>
    <row r="85" spans="1:9" x14ac:dyDescent="0.3">
      <c r="A85" s="27" t="s">
        <v>138</v>
      </c>
      <c r="B85" s="28"/>
      <c r="C85" s="11"/>
      <c r="D85" s="11">
        <f>-D75-D84</f>
        <v>332.90499999999997</v>
      </c>
      <c r="E85" s="11">
        <f>-E75-E84</f>
        <v>394.517</v>
      </c>
      <c r="F85" s="11">
        <f>-F75-F84</f>
        <v>1158.796</v>
      </c>
      <c r="G85" s="11">
        <f>-G75-G84</f>
        <v>1560.5349999999999</v>
      </c>
      <c r="H85" s="11">
        <f>-H75-H84</f>
        <v>1326.047</v>
      </c>
      <c r="I85" s="13"/>
    </row>
    <row r="86" spans="1:9" x14ac:dyDescent="0.3">
      <c r="A86" s="27" t="s">
        <v>139</v>
      </c>
      <c r="B86" s="28"/>
      <c r="C86" s="14"/>
      <c r="D86" s="14">
        <f>IF(D76&lt;=0,"n/m",-(D77+D78)/D76)</f>
        <v>0.17196253366174255</v>
      </c>
      <c r="E86" s="14">
        <f>IF(E76&lt;=0,"n/m",-(E77+E78)/E76)</f>
        <v>0.28581988188167712</v>
      </c>
      <c r="F86" s="14">
        <f>IF(F76&lt;=0,"n/m",-(F77+F78)/F76)</f>
        <v>0.35690213225955875</v>
      </c>
      <c r="G86" s="14">
        <f>IF(G76&lt;=0,"n/m",-(G77+G78)/G76)</f>
        <v>0.32089409756032022</v>
      </c>
      <c r="H86" s="14">
        <f>IF(H76&lt;=0,"n/m",-(H77+H78)/H76)</f>
        <v>0.30071802839288136</v>
      </c>
      <c r="I86" s="13"/>
    </row>
    <row r="87" spans="1:9" x14ac:dyDescent="0.3">
      <c r="A87" s="27" t="s">
        <v>140</v>
      </c>
      <c r="B87" s="28"/>
      <c r="C87" s="14"/>
      <c r="D87" s="14">
        <f>D86</f>
        <v>0.17196253366174255</v>
      </c>
      <c r="E87" s="14">
        <f>E86</f>
        <v>0.28581988188167712</v>
      </c>
      <c r="F87" s="14">
        <f>F86</f>
        <v>0.35690213225955875</v>
      </c>
      <c r="G87" s="14">
        <f>G86</f>
        <v>0.32089409756032022</v>
      </c>
      <c r="H87" s="14">
        <f>H86</f>
        <v>0.30071802839288136</v>
      </c>
      <c r="I87" s="13"/>
    </row>
    <row r="88" spans="1:9" x14ac:dyDescent="0.3">
      <c r="A88" s="27" t="s">
        <v>141</v>
      </c>
      <c r="B88" s="28"/>
      <c r="C88" s="11"/>
      <c r="D88" s="11">
        <f>IF(ISNUMBER(D87),D82*(1-D87),"n/m")</f>
        <v>14345.846812731341</v>
      </c>
      <c r="E88" s="11">
        <f>IF(ISNUMBER(E87),E82*(1-E87),"n/m")</f>
        <v>15580.374197659679</v>
      </c>
      <c r="F88" s="11">
        <f>IF(ISNUMBER(F87),F82*(1-F87),"n/m")</f>
        <v>14471.033236746149</v>
      </c>
      <c r="G88" s="11">
        <f>IF(ISNUMBER(G87),G82*(1-G87),"n/m")</f>
        <v>29166.307529463709</v>
      </c>
      <c r="H88" s="11">
        <f>IF(ISNUMBER(H87),H82*(1-H87),"n/m")</f>
        <v>34019.442760603699</v>
      </c>
      <c r="I88" s="13"/>
    </row>
    <row r="89" spans="1:9" x14ac:dyDescent="0.3">
      <c r="A89" s="20"/>
      <c r="B89" s="20"/>
    </row>
    <row r="90" spans="1:9" ht="19.5" customHeight="1" x14ac:dyDescent="0.3">
      <c r="A90" s="21" t="s">
        <v>142</v>
      </c>
      <c r="B90" s="22"/>
      <c r="C90" s="3"/>
      <c r="D90" s="3"/>
      <c r="E90" s="3"/>
      <c r="F90" s="3"/>
      <c r="G90" s="3"/>
      <c r="H90" s="3"/>
      <c r="I90" s="3"/>
    </row>
    <row r="91" spans="1:9" ht="16.5" customHeight="1" x14ac:dyDescent="0.3">
      <c r="A91" s="23" t="s">
        <v>57</v>
      </c>
      <c r="B91" s="24"/>
      <c r="C91" s="9"/>
      <c r="D91" s="9" t="s">
        <v>58</v>
      </c>
      <c r="E91" s="9" t="s">
        <v>59</v>
      </c>
      <c r="F91" s="9" t="s">
        <v>60</v>
      </c>
      <c r="G91" s="9" t="s">
        <v>61</v>
      </c>
      <c r="H91" s="9" t="s">
        <v>62</v>
      </c>
      <c r="I91" s="9" t="s">
        <v>63</v>
      </c>
    </row>
    <row r="92" spans="1:9" x14ac:dyDescent="0.3">
      <c r="A92" s="27" t="s">
        <v>143</v>
      </c>
      <c r="B92" s="28"/>
      <c r="C92" s="11"/>
      <c r="D92" s="11">
        <v>13285.674000000001</v>
      </c>
      <c r="E92" s="11">
        <v>18126.508000000002</v>
      </c>
      <c r="F92" s="11">
        <v>24515.258000000002</v>
      </c>
      <c r="G92" s="11">
        <v>30937.432000000001</v>
      </c>
      <c r="H92" s="11">
        <v>33808.781000000003</v>
      </c>
      <c r="I92" s="11">
        <v>4141.7759999999998</v>
      </c>
    </row>
    <row r="93" spans="1:9" x14ac:dyDescent="0.3">
      <c r="A93" s="27" t="s">
        <v>144</v>
      </c>
      <c r="B93" s="28"/>
      <c r="C93" s="11"/>
      <c r="D93" s="11">
        <v>12492.630999999999</v>
      </c>
      <c r="E93" s="11">
        <v>15469.449000000001</v>
      </c>
      <c r="F93" s="11">
        <v>23242.896000000001</v>
      </c>
      <c r="G93" s="11">
        <v>27580.741000000002</v>
      </c>
      <c r="H93" s="11">
        <v>27572.566999999999</v>
      </c>
      <c r="I93" s="11">
        <v>5046.8609999999999</v>
      </c>
    </row>
    <row r="94" spans="1:9" x14ac:dyDescent="0.3">
      <c r="A94" s="27" t="s">
        <v>145</v>
      </c>
      <c r="B94" s="28"/>
      <c r="C94" s="11"/>
      <c r="D94" s="11">
        <v>-5762.3249999999998</v>
      </c>
      <c r="E94" s="11">
        <v>-24826.255000000001</v>
      </c>
      <c r="F94" s="11">
        <v>-12978.915000000001</v>
      </c>
      <c r="G94" s="11">
        <v>-2580.0210000000002</v>
      </c>
      <c r="H94" s="11">
        <v>11714.661</v>
      </c>
      <c r="I94" s="11">
        <v>-8395.8979999999992</v>
      </c>
    </row>
    <row r="95" spans="1:9" x14ac:dyDescent="0.3">
      <c r="A95" s="27" t="s">
        <v>146</v>
      </c>
      <c r="B95" s="28"/>
      <c r="C95" s="11"/>
      <c r="D95" s="11">
        <v>4022.0949999999998</v>
      </c>
      <c r="E95" s="11">
        <v>6158.7830000000004</v>
      </c>
      <c r="F95" s="11">
        <v>244.58199999999999</v>
      </c>
      <c r="G95" s="11">
        <v>-18620.168000000001</v>
      </c>
      <c r="H95" s="11">
        <v>-7580.9840000000004</v>
      </c>
      <c r="I95" s="11">
        <v>-1666.7550000000001</v>
      </c>
    </row>
    <row r="96" spans="1:9" x14ac:dyDescent="0.3">
      <c r="A96" s="27" t="s">
        <v>147</v>
      </c>
      <c r="B96" s="28"/>
      <c r="C96" s="11"/>
      <c r="D96" s="11">
        <v>-6470.9129999999996</v>
      </c>
      <c r="E96" s="11">
        <v>-24537.83</v>
      </c>
      <c r="F96" s="11">
        <v>-18644.905999999999</v>
      </c>
      <c r="G96" s="11">
        <v>-17709.901999999998</v>
      </c>
      <c r="H96" s="11">
        <v>-7048.7250000000004</v>
      </c>
      <c r="I96" s="11">
        <v>-6855.8159999999998</v>
      </c>
    </row>
    <row r="97" spans="1:9" x14ac:dyDescent="0.3">
      <c r="A97" s="27" t="s">
        <v>148</v>
      </c>
      <c r="B97" s="28"/>
      <c r="C97" s="11"/>
      <c r="D97" s="11">
        <v>-308.20999999999998</v>
      </c>
      <c r="E97" s="11">
        <v>-329.93299999999999</v>
      </c>
      <c r="F97" s="11">
        <v>-807.47699999999998</v>
      </c>
      <c r="G97" s="11">
        <v>-1735.9780000000001</v>
      </c>
      <c r="H97" s="11">
        <v>-1527.8879999999999</v>
      </c>
      <c r="I97" s="11">
        <v>-140.54300000000001</v>
      </c>
    </row>
    <row r="98" spans="1:9" x14ac:dyDescent="0.3">
      <c r="A98" s="27" t="s">
        <v>149</v>
      </c>
      <c r="B98" s="28"/>
      <c r="C98" s="11"/>
      <c r="D98" s="11">
        <v>-19.888999999999999</v>
      </c>
      <c r="E98" s="11">
        <v>-2.4279999999999999</v>
      </c>
      <c r="F98" s="11">
        <v>-0.91500000000000004</v>
      </c>
      <c r="G98" s="11">
        <v>-5443.0839999999998</v>
      </c>
      <c r="H98" s="11">
        <v>-4388.4030000000002</v>
      </c>
      <c r="I98" s="11">
        <v>-2173.663</v>
      </c>
    </row>
    <row r="99" spans="1:9" x14ac:dyDescent="0.3">
      <c r="A99" s="20"/>
      <c r="B99" s="20"/>
    </row>
    <row r="100" spans="1:9" ht="19.5" customHeight="1" x14ac:dyDescent="0.3">
      <c r="A100" s="21" t="s">
        <v>150</v>
      </c>
      <c r="B100" s="22"/>
      <c r="C100" s="3"/>
      <c r="D100" s="3"/>
      <c r="E100" s="3"/>
      <c r="F100" s="3"/>
      <c r="G100" s="3"/>
      <c r="H100" s="3"/>
      <c r="I100" s="3"/>
    </row>
    <row r="101" spans="1:9" ht="16.5" customHeight="1" x14ac:dyDescent="0.3">
      <c r="A101" s="23" t="s">
        <v>57</v>
      </c>
      <c r="B101" s="24"/>
      <c r="C101" s="9"/>
      <c r="D101" s="9" t="s">
        <v>58</v>
      </c>
      <c r="E101" s="9" t="s">
        <v>59</v>
      </c>
      <c r="F101" s="9" t="s">
        <v>60</v>
      </c>
      <c r="G101" s="9" t="s">
        <v>61</v>
      </c>
      <c r="H101" s="9" t="s">
        <v>62</v>
      </c>
    </row>
    <row r="102" spans="1:9" x14ac:dyDescent="0.3">
      <c r="A102" s="27" t="s">
        <v>151</v>
      </c>
      <c r="B102" s="28"/>
      <c r="C102" s="15"/>
      <c r="D102" s="15">
        <v>10</v>
      </c>
      <c r="E102" s="15">
        <v>10</v>
      </c>
      <c r="F102" s="15">
        <v>10</v>
      </c>
      <c r="G102" s="15">
        <v>10</v>
      </c>
      <c r="H102" s="15">
        <v>2</v>
      </c>
    </row>
    <row r="103" spans="1:9" x14ac:dyDescent="0.3">
      <c r="A103" s="27" t="s">
        <v>152</v>
      </c>
      <c r="B103" s="28"/>
      <c r="C103" s="16"/>
      <c r="D103" s="16">
        <f>D27/D102-D107</f>
        <v>323.375</v>
      </c>
      <c r="E103" s="16">
        <f>E27/E102-E107</f>
        <v>323.375</v>
      </c>
      <c r="F103" s="16">
        <f>F27/F102-F107</f>
        <v>311.83859999999999</v>
      </c>
      <c r="G103" s="16">
        <f>G27/G102-G107</f>
        <v>293</v>
      </c>
      <c r="H103" s="16">
        <f>H27/H102-H107</f>
        <v>1465</v>
      </c>
    </row>
    <row r="104" spans="1:9" x14ac:dyDescent="0.3">
      <c r="A104" s="27" t="s">
        <v>153</v>
      </c>
      <c r="B104" s="28"/>
      <c r="C104" s="16"/>
      <c r="D104" s="16">
        <v>323.375</v>
      </c>
      <c r="E104" s="16">
        <v>323.375</v>
      </c>
      <c r="F104" s="16">
        <v>318.74900000000002</v>
      </c>
      <c r="G104" s="16">
        <v>297.29599999999999</v>
      </c>
      <c r="H104" s="16">
        <v>1465</v>
      </c>
    </row>
    <row r="105" spans="1:9" x14ac:dyDescent="0.3">
      <c r="A105" s="27" t="s">
        <v>154</v>
      </c>
      <c r="B105" s="28"/>
      <c r="C105" s="15"/>
      <c r="D105" s="15">
        <v>863.44</v>
      </c>
      <c r="E105" s="15">
        <v>459.04</v>
      </c>
      <c r="F105" s="15">
        <v>522.09</v>
      </c>
      <c r="G105" s="15">
        <v>906.73</v>
      </c>
      <c r="H105" s="15">
        <v>355.24</v>
      </c>
    </row>
    <row r="106" spans="1:9" x14ac:dyDescent="0.3">
      <c r="A106" s="27" t="s">
        <v>155</v>
      </c>
      <c r="B106" s="28"/>
      <c r="C106" s="15"/>
      <c r="D106" s="65">
        <v>0</v>
      </c>
      <c r="E106" s="65">
        <v>0</v>
      </c>
      <c r="F106" s="15">
        <v>18</v>
      </c>
      <c r="G106" s="15">
        <v>15</v>
      </c>
      <c r="H106" s="15">
        <v>4</v>
      </c>
    </row>
    <row r="107" spans="1:9" x14ac:dyDescent="0.3">
      <c r="A107" s="27" t="s">
        <v>156</v>
      </c>
      <c r="B107" s="28"/>
      <c r="C107" s="15"/>
      <c r="D107" s="15">
        <v>0</v>
      </c>
      <c r="E107" s="15">
        <v>0</v>
      </c>
      <c r="F107" s="15">
        <v>0</v>
      </c>
      <c r="G107" s="15">
        <v>0</v>
      </c>
      <c r="H107" s="15">
        <v>0</v>
      </c>
    </row>
    <row r="108" spans="1:9" ht="19.5" customHeight="1" x14ac:dyDescent="0.3">
      <c r="A108" s="21" t="s">
        <v>157</v>
      </c>
      <c r="B108" s="22"/>
      <c r="C108" s="3"/>
      <c r="D108" s="3"/>
      <c r="E108" s="3"/>
      <c r="F108" s="3"/>
      <c r="G108" s="3"/>
      <c r="H108" s="3"/>
      <c r="I108" s="3"/>
    </row>
    <row r="109" spans="1:9" ht="30" customHeight="1" x14ac:dyDescent="0.3">
      <c r="A109" s="33" t="s">
        <v>158</v>
      </c>
      <c r="B109" s="33" t="s">
        <v>159</v>
      </c>
      <c r="C109" s="33" t="s">
        <v>160</v>
      </c>
      <c r="D109" s="33" t="s">
        <v>58</v>
      </c>
      <c r="E109" s="33" t="s">
        <v>59</v>
      </c>
      <c r="F109" s="33" t="s">
        <v>60</v>
      </c>
      <c r="G109" s="33" t="s">
        <v>61</v>
      </c>
      <c r="H109" s="33" t="s">
        <v>62</v>
      </c>
    </row>
    <row r="110" spans="1:9" ht="22.95" customHeight="1" x14ac:dyDescent="0.3">
      <c r="A110" s="90" t="s">
        <v>161</v>
      </c>
      <c r="B110" s="90"/>
      <c r="C110" s="90"/>
      <c r="D110" s="90"/>
      <c r="E110" s="90"/>
      <c r="F110" s="90"/>
      <c r="G110" s="90"/>
      <c r="H110" s="90"/>
    </row>
    <row r="111" spans="1:9" ht="34.049999999999997" customHeight="1" x14ac:dyDescent="0.3">
      <c r="A111" s="34" t="s">
        <v>162</v>
      </c>
      <c r="B111" s="35" t="s">
        <v>163</v>
      </c>
      <c r="C111" s="35" t="s">
        <v>164</v>
      </c>
      <c r="D111" s="37">
        <f>IF(OR(NOT(ISNUMBER(D24)),NOT(ISNUMBER(D48))),"n/m",IF(OR((D48)&lt;=0,(D24)&lt;0),"n/m",(D24)/(D48)))</f>
        <v>1.3386079458938223</v>
      </c>
      <c r="E111" s="37">
        <f>IF(OR(NOT(ISNUMBER(E24)),NOT(ISNUMBER(E48))),"n/m",IF(OR((E48)&lt;=0,(E24)&lt;0),"n/m",(E24)/(E48)))</f>
        <v>1.4760766300374313</v>
      </c>
      <c r="F111" s="37">
        <f>IF(OR(NOT(ISNUMBER(F24)),NOT(ISNUMBER(F48))),"n/m",IF(OR((F48)&lt;=0,(F24)&lt;0),"n/m",(F24)/(F48)))</f>
        <v>1.290071633326858</v>
      </c>
      <c r="G111" s="37">
        <f>IF(OR(NOT(ISNUMBER(G24)),NOT(ISNUMBER(G48))),"n/m",IF(OR((G48)&lt;=0,(G24)&lt;0),"n/m",(G24)/(G48)))</f>
        <v>1.2632222354743232</v>
      </c>
      <c r="H111" s="37">
        <f>IF(OR(NOT(ISNUMBER(H24)),NOT(ISNUMBER(H48))),"n/m",IF(OR((H48)&lt;=0,(H24)&lt;0),"n/m",(H24)/(H48)))</f>
        <v>1.7146143875904156</v>
      </c>
    </row>
    <row r="112" spans="1:9" ht="34.049999999999997" customHeight="1" x14ac:dyDescent="0.3">
      <c r="A112" s="34" t="s">
        <v>165</v>
      </c>
      <c r="B112" s="35" t="s">
        <v>166</v>
      </c>
      <c r="C112" s="35" t="s">
        <v>167</v>
      </c>
      <c r="D112" s="37">
        <f>IF(OR(NOT(ISNUMBER(D24-D54)),NOT(ISNUMBER(D48))),"n/m",IF(OR((D48)&lt;=0,(D24-D54)&lt;0),"n/m",(D24-D54)/(D48)))</f>
        <v>0.89000886100685095</v>
      </c>
      <c r="E112" s="37">
        <f>IF(OR(NOT(ISNUMBER(E24-E54)),NOT(ISNUMBER(E48))),"n/m",IF(OR((E48)&lt;=0,(E24-E54)&lt;0),"n/m",(E24-E54)/(E48)))</f>
        <v>0.87076091919208631</v>
      </c>
      <c r="F112" s="37">
        <f>IF(OR(NOT(ISNUMBER(F24-F54)),NOT(ISNUMBER(F48))),"n/m",IF(OR((F48)&lt;=0,(F24-F54)&lt;0),"n/m",(F24-F54)/(F48)))</f>
        <v>0.85412226562426408</v>
      </c>
      <c r="G112" s="37">
        <f>IF(OR(NOT(ISNUMBER(G24-G54)),NOT(ISNUMBER(G48))),"n/m",IF(OR((G48)&lt;=0,(G24-G54)&lt;0),"n/m",(G24-G54)/(G48)))</f>
        <v>0.83698311631700717</v>
      </c>
      <c r="H112" s="37">
        <f>IF(OR(NOT(ISNUMBER(H24-H54)),NOT(ISNUMBER(H48))),"n/m",IF(OR((H48)&lt;=0,(H24-H54)&lt;0),"n/m",(H24-H54)/(H48)))</f>
        <v>1.2939267138361998</v>
      </c>
    </row>
    <row r="113" spans="1:8" ht="34.049999999999997" customHeight="1" x14ac:dyDescent="0.3">
      <c r="A113" s="34" t="s">
        <v>168</v>
      </c>
      <c r="B113" s="35" t="s">
        <v>169</v>
      </c>
      <c r="C113" s="35" t="s">
        <v>170</v>
      </c>
      <c r="D113" s="37">
        <f>IF(OR(NOT(ISNUMBER(D157)),NOT(ISNUMBER(D48))),"n/m",IF(OR((D48)&lt;=0,(D157)&lt;0),"n/m",(D157)/(D48)))</f>
        <v>0.61509850934604882</v>
      </c>
      <c r="E113" s="37">
        <f>IF(OR(NOT(ISNUMBER(E157)),NOT(ISNUMBER(E48))),"n/m",IF(OR((E48)&lt;=0,(E157)&lt;0),"n/m",(E157)/(E48)))</f>
        <v>0.51028731982278264</v>
      </c>
      <c r="F113" s="37">
        <f>IF(OR(NOT(ISNUMBER(F157)),NOT(ISNUMBER(F48))),"n/m",IF(OR((F48)&lt;=0,(F157)&lt;0),"n/m",(F157)/(F48)))</f>
        <v>0.56303776721097065</v>
      </c>
      <c r="G113" s="37">
        <f>IF(OR(NOT(ISNUMBER(G157)),NOT(ISNUMBER(G48))),"n/m",IF(OR((G48)&lt;=0,(G157)&lt;0),"n/m",(G157)/(G48)))</f>
        <v>0.59758338272421885</v>
      </c>
      <c r="H113" s="37">
        <f>IF(OR(NOT(ISNUMBER(H157)),NOT(ISNUMBER(H48))),"n/m",IF(OR((H48)&lt;=0,(H157)&lt;0),"n/m",(H157)/(H48)))</f>
        <v>1.0928864859820921</v>
      </c>
    </row>
    <row r="114" spans="1:8" ht="34.049999999999997" customHeight="1" x14ac:dyDescent="0.3">
      <c r="A114" s="34" t="s">
        <v>171</v>
      </c>
      <c r="B114" s="35" t="s">
        <v>172</v>
      </c>
      <c r="C114" s="35" t="s">
        <v>173</v>
      </c>
      <c r="D114" s="38">
        <f>IF(OR(NOT(ISNUMBER(D24-D48)),NOT(ISNUMBER(1))),"n/m",IF(OR((1)&lt;=0,(D24-D48)&lt;0),"n/m",(D24-D48)/(1)))</f>
        <v>10289.302000000007</v>
      </c>
      <c r="E114" s="38">
        <f>IF(OR(NOT(ISNUMBER(E24-E48)),NOT(ISNUMBER(1))),"n/m",IF(OR((1)&lt;=0,(E24-E48)&lt;0),"n/m",(E24-E48)/(1)))</f>
        <v>14454.333000000006</v>
      </c>
      <c r="F114" s="38">
        <f>IF(OR(NOT(ISNUMBER(F24-F48)),NOT(ISNUMBER(1))),"n/m",IF(OR((1)&lt;=0,(F24-F48)&lt;0),"n/m",(F24-F48)/(1)))</f>
        <v>13395.762999999999</v>
      </c>
      <c r="G114" s="38">
        <f>IF(OR(NOT(ISNUMBER(G24-G48)),NOT(ISNUMBER(1))),"n/m",IF(OR((1)&lt;=0,(G24-G48)&lt;0),"n/m",(G24-G48)/(1)))</f>
        <v>14263.611000000004</v>
      </c>
      <c r="H114" s="38">
        <f>IF(OR(NOT(ISNUMBER(H24-H48)),NOT(ISNUMBER(1))),"n/m",IF(OR((1)&lt;=0,(H24-H48)&lt;0),"n/m",(H24-H48)/(1)))</f>
        <v>41905.97600000001</v>
      </c>
    </row>
    <row r="115" spans="1:8" ht="22.95" customHeight="1" x14ac:dyDescent="0.3">
      <c r="A115" s="90" t="s">
        <v>174</v>
      </c>
      <c r="B115" s="90"/>
      <c r="C115" s="90"/>
      <c r="D115" s="91"/>
      <c r="E115" s="91"/>
      <c r="F115" s="91"/>
      <c r="G115" s="91"/>
      <c r="H115" s="91"/>
    </row>
    <row r="116" spans="1:8" ht="34.049999999999997" customHeight="1" x14ac:dyDescent="0.3">
      <c r="A116" s="34" t="s">
        <v>175</v>
      </c>
      <c r="B116" s="35" t="s">
        <v>176</v>
      </c>
      <c r="C116" s="35" t="s">
        <v>177</v>
      </c>
      <c r="D116" s="37">
        <f>IF(OR(NOT(ISNUMBER(-D65)),NOT(ISNUMBER(AVERAGE(I54,D54)))),"n/m",IF(OR((AVERAGE(I54,D54))&lt;=0,(-D65)&lt;0),"n/m",(-D65)/(AVERAGE(I54,D54))))</f>
        <v>3.8136073127139278</v>
      </c>
      <c r="E116" s="37">
        <f>IF(OR(NOT(ISNUMBER(-E65)),NOT(ISNUMBER(AVERAGE(D54,E54)))),"n/m",IF(OR((AVERAGE(D54,E54))&lt;=0,(-E65)&lt;0),"n/m",(-E65)/(AVERAGE(D54,E54))))</f>
        <v>3.657733126059421</v>
      </c>
      <c r="F116" s="37">
        <f>IF(OR(NOT(ISNUMBER(-F65)),NOT(ISNUMBER(AVERAGE(E54,F54)))),"n/m",IF(OR((AVERAGE(E54,F54))&lt;=0,(-F65)&lt;0),"n/m",(-F65)/(AVERAGE(E54,F54))))</f>
        <v>3.6234818387767853</v>
      </c>
      <c r="G116" s="37">
        <f>IF(OR(NOT(ISNUMBER(-G65)),NOT(ISNUMBER(AVERAGE(F54,G54)))),"n/m",IF(OR((AVERAGE(F54,G54))&lt;=0,(-G65)&lt;0),"n/m",(-G65)/(AVERAGE(F54,G54))))</f>
        <v>3.5401699550948362</v>
      </c>
      <c r="H116" s="37">
        <f>IF(OR(NOT(ISNUMBER(-H65)),NOT(ISNUMBER(AVERAGE(G54,H54)))),"n/m",IF(OR((AVERAGE(G54,H54))&lt;=0,(-H65)&lt;0),"n/m",(-H65)/(AVERAGE(G54,H54))))</f>
        <v>3.4260949525900268</v>
      </c>
    </row>
    <row r="117" spans="1:8" ht="34.049999999999997" customHeight="1" x14ac:dyDescent="0.3">
      <c r="A117" s="34" t="s">
        <v>178</v>
      </c>
      <c r="B117" s="35" t="s">
        <v>179</v>
      </c>
      <c r="C117" s="35" t="s">
        <v>180</v>
      </c>
      <c r="D117" s="37">
        <f>IF(OR(NOT(ISNUMBER(D64)),NOT(ISNUMBER(AVERAGE(I20,D20)))),"n/m",IF(OR((AVERAGE(I20,D20))&lt;=0,(D64)&lt;0),"n/m",(D64)/(AVERAGE(I20,D20))))</f>
        <v>20.525799758937445</v>
      </c>
      <c r="E117" s="37">
        <f>IF(OR(NOT(ISNUMBER(E64)),NOT(ISNUMBER(AVERAGE(D20,E20)))),"n/m",IF(OR((AVERAGE(D20,E20))&lt;=0,(E64)&lt;0),"n/m",(E64)/(AVERAGE(D20,E20))))</f>
        <v>26.020654219821807</v>
      </c>
      <c r="F117" s="37">
        <f>IF(OR(NOT(ISNUMBER(F64)),NOT(ISNUMBER(AVERAGE(E20,F20)))),"n/m",IF(OR((AVERAGE(E20,F20))&lt;=0,(F64)&lt;0),"n/m",(F64)/(AVERAGE(E20,F20))))</f>
        <v>22.253946370189343</v>
      </c>
      <c r="G117" s="37">
        <f>IF(OR(NOT(ISNUMBER(G64)),NOT(ISNUMBER(AVERAGE(F20,G20)))),"n/m",IF(OR((AVERAGE(F20,G20))&lt;=0,(G64)&lt;0),"n/m",(G64)/(AVERAGE(F20,G20))))</f>
        <v>19.185416979630755</v>
      </c>
      <c r="H117" s="37">
        <f>IF(OR(NOT(ISNUMBER(H64)),NOT(ISNUMBER(AVERAGE(G20,H20)))),"n/m",IF(OR((AVERAGE(G20,H20))&lt;=0,(H64)&lt;0),"n/m",(H64)/(AVERAGE(G20,H20))))</f>
        <v>18.743761644592638</v>
      </c>
    </row>
    <row r="118" spans="1:8" ht="34.049999999999997" customHeight="1" x14ac:dyDescent="0.3">
      <c r="A118" s="34" t="s">
        <v>181</v>
      </c>
      <c r="B118" s="35" t="s">
        <v>182</v>
      </c>
      <c r="C118" s="35" t="s">
        <v>183</v>
      </c>
      <c r="D118" s="39">
        <f>IF(OR(NOT(ISNUMBER(365*AVERAGE(I54,D54))),NOT(ISNUMBER(-D65))),"n/m",IF(OR((-D65)&lt;=0,(365*AVERAGE(I54,D54))&lt;0),"n/m",(365*AVERAGE(I54,D54))/(-D65)))</f>
        <v>95.709906676324849</v>
      </c>
      <c r="E118" s="39">
        <f>IF(OR(NOT(ISNUMBER(365*AVERAGE(D54,E54))),NOT(ISNUMBER(-E65))),"n/m",IF(OR((-E65)&lt;=0,(365*AVERAGE(D54,E54))&lt;0),"n/m",(365*AVERAGE(D54,E54))/(-E65)))</f>
        <v>99.788581457615734</v>
      </c>
      <c r="F118" s="39">
        <f>IF(OR(NOT(ISNUMBER(365*AVERAGE(E54,F54))),NOT(ISNUMBER(-F65))),"n/m",IF(OR((-F65)&lt;=0,(365*AVERAGE(E54,F54))&lt;0),"n/m",(365*AVERAGE(E54,F54))/(-F65)))</f>
        <v>100.73184197970664</v>
      </c>
      <c r="G118" s="39">
        <f>IF(OR(NOT(ISNUMBER(365*AVERAGE(F54,G54))),NOT(ISNUMBER(-G65))),"n/m",IF(OR((-G65)&lt;=0,(365*AVERAGE(F54,G54))&lt;0),"n/m",(365*AVERAGE(F54,G54))/(-G65)))</f>
        <v>103.10239469568691</v>
      </c>
      <c r="H118" s="39">
        <f>IF(OR(NOT(ISNUMBER(365*AVERAGE(G54,H54))),NOT(ISNUMBER(-H65))),"n/m",IF(OR((-H65)&lt;=0,(365*AVERAGE(G54,H54))&lt;0),"n/m",(365*AVERAGE(G54,H54))/(-H65)))</f>
        <v>106.53528435458882</v>
      </c>
    </row>
    <row r="119" spans="1:8" ht="34.049999999999997" customHeight="1" x14ac:dyDescent="0.3">
      <c r="A119" s="34" t="s">
        <v>184</v>
      </c>
      <c r="B119" s="35" t="s">
        <v>185</v>
      </c>
      <c r="C119" s="35" t="s">
        <v>186</v>
      </c>
      <c r="D119" s="39">
        <f>IF(OR(NOT(ISNUMBER(365*AVERAGE(I20,D20))),NOT(ISNUMBER(D64))),"n/m",IF(OR((D64)&lt;=0,(365*AVERAGE(I20,D20))&lt;0),"n/m",(365*AVERAGE(I20,D20))/(D64)))</f>
        <v>17.782498333156049</v>
      </c>
      <c r="E119" s="39">
        <f>IF(OR(NOT(ISNUMBER(365*AVERAGE(D20,E20))),NOT(ISNUMBER(E64))),"n/m",IF(OR((E64)&lt;=0,(365*AVERAGE(D20,E20))&lt;0),"n/m",(365*AVERAGE(D20,E20))/(E64)))</f>
        <v>14.027318333985361</v>
      </c>
      <c r="F119" s="39">
        <f>IF(OR(NOT(ISNUMBER(365*AVERAGE(E20,F20))),NOT(ISNUMBER(F64))),"n/m",IF(OR((F64)&lt;=0,(365*AVERAGE(E20,F20))&lt;0),"n/m",(365*AVERAGE(E20,F20))/(F64)))</f>
        <v>16.401585315624828</v>
      </c>
      <c r="G119" s="39">
        <f>IF(OR(NOT(ISNUMBER(365*AVERAGE(F20,G20))),NOT(ISNUMBER(G64))),"n/m",IF(OR((G64)&lt;=0,(365*AVERAGE(F20,G20))&lt;0),"n/m",(365*AVERAGE(F20,G20))/(G64)))</f>
        <v>19.024866667611246</v>
      </c>
      <c r="H119" s="39">
        <f>IF(OR(NOT(ISNUMBER(365*AVERAGE(G20,H20))),NOT(ISNUMBER(H64))),"n/m",IF(OR((H64)&lt;=0,(365*AVERAGE(G20,H20))&lt;0),"n/m",(365*AVERAGE(G20,H20))/(H64)))</f>
        <v>19.473145621508603</v>
      </c>
    </row>
    <row r="120" spans="1:8" ht="34.049999999999997" customHeight="1" x14ac:dyDescent="0.3">
      <c r="A120" s="34" t="s">
        <v>187</v>
      </c>
      <c r="B120" s="35" t="s">
        <v>188</v>
      </c>
      <c r="C120" s="35" t="s">
        <v>189</v>
      </c>
      <c r="D120" s="37">
        <f>IF(OR(NOT(ISNUMBER(D64)),NOT(ISNUMBER(D9))),"n/m",IF(OR((D9)&lt;=0,(D64)&lt;0),"n/m",(D64)/(D9)))</f>
        <v>1.0088292750112451</v>
      </c>
      <c r="E120" s="37">
        <f>IF(OR(NOT(ISNUMBER(E64)),NOT(ISNUMBER(E9))),"n/m",IF(OR((E9)&lt;=0,(E64)&lt;0),"n/m",(E64)/(E9)))</f>
        <v>0.98532795146598973</v>
      </c>
      <c r="F120" s="37">
        <f>IF(OR(NOT(ISNUMBER(F64)),NOT(ISNUMBER(F9))),"n/m",IF(OR((F9)&lt;=0,(F64)&lt;0),"n/m",(F64)/(F9)))</f>
        <v>1.0022154394695202</v>
      </c>
      <c r="G120" s="37">
        <f>IF(OR(NOT(ISNUMBER(G64)),NOT(ISNUMBER(G9))),"n/m",IF(OR((G9)&lt;=0,(G64)&lt;0),"n/m",(G64)/(G9)))</f>
        <v>1.0752008785316265</v>
      </c>
      <c r="H120" s="37">
        <f>IF(OR(NOT(ISNUMBER(H64)),NOT(ISNUMBER(H9))),"n/m",IF(OR((H9)&lt;=0,(H64)&lt;0),"n/m",(H64)/(H9)))</f>
        <v>1.1592237370838812</v>
      </c>
    </row>
    <row r="121" spans="1:8" ht="34.049999999999997" customHeight="1" x14ac:dyDescent="0.3">
      <c r="A121" s="34" t="s">
        <v>190</v>
      </c>
      <c r="B121" s="35" t="s">
        <v>191</v>
      </c>
      <c r="C121" s="35" t="s">
        <v>192</v>
      </c>
      <c r="D121" s="37">
        <f>IF(OR(NOT(ISNUMBER(D64)),NOT(ISNUMBER(D25))),"n/m",IF(OR((D25)&lt;=0,(D64)&lt;0),"n/m",(D64)/(D25)))</f>
        <v>0.40251701143421476</v>
      </c>
      <c r="E121" s="37">
        <f>IF(OR(NOT(ISNUMBER(E64)),NOT(ISNUMBER(E25))),"n/m",IF(OR((E25)&lt;=0,(E64)&lt;0),"n/m",(E64)/(E25)))</f>
        <v>0.4384325626713429</v>
      </c>
      <c r="F121" s="37">
        <f>IF(OR(NOT(ISNUMBER(F64)),NOT(ISNUMBER(F25))),"n/m",IF(OR((F25)&lt;=0,(F64)&lt;0),"n/m",(F64)/(F25)))</f>
        <v>0.44974923322711935</v>
      </c>
      <c r="G121" s="37">
        <f>IF(OR(NOT(ISNUMBER(G64)),NOT(ISNUMBER(G25))),"n/m",IF(OR((G25)&lt;=0,(G64)&lt;0),"n/m",(G64)/(G25)))</f>
        <v>0.49280353497458251</v>
      </c>
      <c r="H121" s="37">
        <f>IF(OR(NOT(ISNUMBER(H64)),NOT(ISNUMBER(H25))),"n/m",IF(OR((H25)&lt;=0,(H64)&lt;0),"n/m",(H64)/(H25)))</f>
        <v>0.46677662061834158</v>
      </c>
    </row>
    <row r="122" spans="1:8" ht="22.95" customHeight="1" x14ac:dyDescent="0.3">
      <c r="A122" s="90" t="s">
        <v>193</v>
      </c>
      <c r="B122" s="90"/>
      <c r="C122" s="90"/>
      <c r="D122" s="91"/>
      <c r="E122" s="91"/>
      <c r="F122" s="91"/>
      <c r="G122" s="91"/>
      <c r="H122" s="91"/>
    </row>
    <row r="123" spans="1:8" ht="34.049999999999997" customHeight="1" x14ac:dyDescent="0.3">
      <c r="A123" s="34" t="s">
        <v>194</v>
      </c>
      <c r="B123" s="35" t="s">
        <v>195</v>
      </c>
      <c r="C123" s="35" t="s">
        <v>196</v>
      </c>
      <c r="D123" s="40">
        <f>IF(OR(NOT(ISNUMBER(D49)),NOT(ISNUMBER(D25))),"n/m",IF(OR((D25)&lt;=0,(D49)&lt;0),"n/m",(D49)/(D25)))</f>
        <v>0.27606535150381284</v>
      </c>
      <c r="E123" s="40">
        <f>IF(OR(NOT(ISNUMBER(E49)),NOT(ISNUMBER(E25))),"n/m",IF(OR((E25)&lt;=0,(E49)&lt;0),"n/m",(E49)/(E25)))</f>
        <v>0.30504607293955061</v>
      </c>
      <c r="F123" s="40">
        <f>IF(OR(NOT(ISNUMBER(F49)),NOT(ISNUMBER(F25))),"n/m",IF(OR((F25)&lt;=0,(F49)&lt;0),"n/m",(F49)/(F25)))</f>
        <v>0.35532697822447284</v>
      </c>
      <c r="G123" s="40">
        <f>IF(OR(NOT(ISNUMBER(G49)),NOT(ISNUMBER(G25))),"n/m",IF(OR((G25)&lt;=0,(G49)&lt;0),"n/m",(G49)/(G25)))</f>
        <v>0.36859036410390322</v>
      </c>
      <c r="H123" s="40">
        <f>IF(OR(NOT(ISNUMBER(H49)),NOT(ISNUMBER(H25))),"n/m",IF(OR((H25)&lt;=0,(H49)&lt;0),"n/m",(H49)/(H25)))</f>
        <v>0.34053721034041001</v>
      </c>
    </row>
    <row r="124" spans="1:8" ht="34.049999999999997" customHeight="1" x14ac:dyDescent="0.3">
      <c r="A124" s="34" t="s">
        <v>197</v>
      </c>
      <c r="B124" s="35" t="s">
        <v>198</v>
      </c>
      <c r="C124" s="35" t="s">
        <v>199</v>
      </c>
      <c r="D124" s="37">
        <f>IF(OR(NOT(ISNUMBER(D55)),NOT(ISNUMBER(D29))),"n/m",IF(OR((D29)&lt;=0,(D55)&lt;0),"n/m",(D55)/(D29)))</f>
        <v>9.267604319417716E-2</v>
      </c>
      <c r="E124" s="37">
        <f>IF(OR(NOT(ISNUMBER(E55)),NOT(ISNUMBER(E29))),"n/m",IF(OR((E29)&lt;=0,(E55)&lt;0),"n/m",(E55)/(E29)))</f>
        <v>0.12132883685589589</v>
      </c>
      <c r="F124" s="37">
        <f>IF(OR(NOT(ISNUMBER(F55)),NOT(ISNUMBER(F29))),"n/m",IF(OR((F29)&lt;=0,(F55)&lt;0),"n/m",(F55)/(F29)))</f>
        <v>0.15318126074071459</v>
      </c>
      <c r="G124" s="37">
        <f>IF(OR(NOT(ISNUMBER(G55)),NOT(ISNUMBER(G29))),"n/m",IF(OR((G29)&lt;=0,(G55)&lt;0),"n/m",(G55)/(G29)))</f>
        <v>0.13768684470695258</v>
      </c>
      <c r="H124" s="37">
        <f>IF(OR(NOT(ISNUMBER(H55)),NOT(ISNUMBER(H29))),"n/m",IF(OR((H29)&lt;=0,(H55)&lt;0),"n/m",(H55)/(H29)))</f>
        <v>9.9684879347667912E-2</v>
      </c>
    </row>
    <row r="125" spans="1:8" ht="34.049999999999997" customHeight="1" x14ac:dyDescent="0.3">
      <c r="A125" s="34" t="s">
        <v>200</v>
      </c>
      <c r="B125" s="35" t="s">
        <v>201</v>
      </c>
      <c r="C125" s="35" t="s">
        <v>202</v>
      </c>
      <c r="D125" s="40">
        <f>IF(OR(NOT(ISNUMBER(D55)),NOT(ISNUMBER(D55+D29))),"n/m",IF(OR((D55+D29)&lt;=0,(D55)&lt;0),"n/m",(D55)/(D55+D29)))</f>
        <v>8.4815663134025443E-2</v>
      </c>
      <c r="E125" s="40">
        <f>IF(OR(NOT(ISNUMBER(E55)),NOT(ISNUMBER(E55+E29))),"n/m",IF(OR((E55+E29)&lt;=0,(E55)&lt;0),"n/m",(E55)/(E55+E29)))</f>
        <v>0.10820094237127705</v>
      </c>
      <c r="F125" s="40">
        <f>IF(OR(NOT(ISNUMBER(F55)),NOT(ISNUMBER(F55+F29))),"n/m",IF(OR((F55+F29)&lt;=0,(F55)&lt;0),"n/m",(F55)/(F55+F29)))</f>
        <v>0.13283363678865434</v>
      </c>
      <c r="G125" s="40">
        <f>IF(OR(NOT(ISNUMBER(G55)),NOT(ISNUMBER(G55+G29))),"n/m",IF(OR((G55+G29)&lt;=0,(G55)&lt;0),"n/m",(G55)/(G55+G29)))</f>
        <v>0.12102350075289672</v>
      </c>
      <c r="H125" s="40">
        <f>IF(OR(NOT(ISNUMBER(H55)),NOT(ISNUMBER(H55+H29))),"n/m",IF(OR((H55+H29)&lt;=0,(H55)&lt;0),"n/m",(H55)/(H55+H29)))</f>
        <v>9.0648585990198302E-2</v>
      </c>
    </row>
    <row r="126" spans="1:8" ht="34.049999999999997" customHeight="1" x14ac:dyDescent="0.3">
      <c r="A126" s="34" t="s">
        <v>203</v>
      </c>
      <c r="B126" s="35" t="s">
        <v>204</v>
      </c>
      <c r="C126" s="35" t="s">
        <v>205</v>
      </c>
      <c r="D126" s="37">
        <f>IF(OR(NOT(ISNUMBER(D82)),NOT(ISNUMBER(D85))),"n/m",IF(OR((D85)&lt;=0,(D82)&lt;0),"n/m",(D82)/(D85)))</f>
        <v>52.042228263318378</v>
      </c>
      <c r="E126" s="37">
        <f>IF(OR(NOT(ISNUMBER(E82)),NOT(ISNUMBER(E85))),"n/m",IF(OR((E85)&lt;=0,(E82)&lt;0),"n/m",(E82)/(E85)))</f>
        <v>55.297361076962446</v>
      </c>
      <c r="F126" s="37">
        <f>IF(OR(NOT(ISNUMBER(F82)),NOT(ISNUMBER(F85))),"n/m",IF(OR((F85)&lt;=0,(F82)&lt;0),"n/m",(F82)/(F85)))</f>
        <v>19.418491261619813</v>
      </c>
      <c r="G126" s="37">
        <f>IF(OR(NOT(ISNUMBER(G82)),NOT(ISNUMBER(G85))),"n/m",IF(OR((G85)&lt;=0,(G82)&lt;0),"n/m",(G82)/(G85)))</f>
        <v>27.521394265428206</v>
      </c>
      <c r="H126" s="37">
        <f>IF(OR(NOT(ISNUMBER(H82)),NOT(ISNUMBER(H85))),"n/m",IF(OR((H85)&lt;=0,(H82)&lt;0),"n/m",(H82)/(H85)))</f>
        <v>36.687316512913945</v>
      </c>
    </row>
    <row r="127" spans="1:8" ht="22.95" customHeight="1" x14ac:dyDescent="0.3">
      <c r="A127" s="90" t="s">
        <v>206</v>
      </c>
      <c r="B127" s="90"/>
      <c r="C127" s="90"/>
      <c r="D127" s="91"/>
      <c r="E127" s="91"/>
      <c r="F127" s="91"/>
      <c r="G127" s="91"/>
      <c r="H127" s="91"/>
    </row>
    <row r="128" spans="1:8" ht="34.049999999999997" customHeight="1" x14ac:dyDescent="0.3">
      <c r="A128" s="34" t="s">
        <v>207</v>
      </c>
      <c r="B128" s="35" t="s">
        <v>208</v>
      </c>
      <c r="C128" s="35" t="s">
        <v>209</v>
      </c>
      <c r="D128" s="40">
        <f>IF(OR(NOT(ISNUMBER(D66)),NOT(ISNUMBER(D64))),"n/m",IF(OR((D64)&lt;=0,(D66)&lt;0),"n/m",(D66)/(D64)))</f>
        <v>0.30117079055471246</v>
      </c>
      <c r="E128" s="40">
        <f>IF(OR(NOT(ISNUMBER(E66)),NOT(ISNUMBER(E64))),"n/m",IF(OR((E64)&lt;=0,(E66)&lt;0),"n/m",(E66)/(E64)))</f>
        <v>0.27809669144361399</v>
      </c>
      <c r="F128" s="40">
        <f>IF(OR(NOT(ISNUMBER(F66)),NOT(ISNUMBER(F64))),"n/m",IF(OR((F64)&lt;=0,(F66)&lt;0),"n/m",(F66)/(F64)))</f>
        <v>0.27194087595679139</v>
      </c>
      <c r="G128" s="40">
        <f>IF(OR(NOT(ISNUMBER(G66)),NOT(ISNUMBER(G64))),"n/m",IF(OR((G64)&lt;=0,(G66)&lt;0),"n/m",(G66)/(G64)))</f>
        <v>0.33648030796321582</v>
      </c>
      <c r="H128" s="40">
        <f>IF(OR(NOT(ISNUMBER(H66)),NOT(ISNUMBER(H64))),"n/m",IF(OR((H64)&lt;=0,(H66)&lt;0),"n/m",(H66)/(H64)))</f>
        <v>0.34281652982067301</v>
      </c>
    </row>
    <row r="129" spans="1:8" ht="34.049999999999997" customHeight="1" x14ac:dyDescent="0.3">
      <c r="A129" s="34" t="s">
        <v>210</v>
      </c>
      <c r="B129" s="35" t="s">
        <v>211</v>
      </c>
      <c r="C129" s="35" t="s">
        <v>212</v>
      </c>
      <c r="D129" s="40">
        <f>IF(OR(NOT(ISNUMBER(D82)),NOT(ISNUMBER(D64))),"n/m",IF(OR((D64)&lt;=0,(D82)&lt;0),"n/m",(D82)/(D64)))</f>
        <v>0.27526050866365631</v>
      </c>
      <c r="E129" s="40">
        <f>IF(OR(NOT(ISNUMBER(E82)),NOT(ISNUMBER(E64))),"n/m",IF(OR((E64)&lt;=0,(E82)&lt;0),"n/m",(E82)/(E64)))</f>
        <v>0.26901961654768358</v>
      </c>
      <c r="F129" s="40">
        <f>IF(OR(NOT(ISNUMBER(F82)),NOT(ISNUMBER(F64))),"n/m",IF(OR((F64)&lt;=0,(F82)&lt;0),"n/m",(F82)/(F64)))</f>
        <v>0.23480711540356072</v>
      </c>
      <c r="G129" s="40">
        <f>IF(OR(NOT(ISNUMBER(G82)),NOT(ISNUMBER(G64))),"n/m",IF(OR((G64)&lt;=0,(G82)&lt;0),"n/m",(G82)/(G64)))</f>
        <v>0.37240945675047471</v>
      </c>
      <c r="H129" s="40">
        <f>IF(OR(NOT(ISNUMBER(H82)),NOT(ISNUMBER(H64))),"n/m",IF(OR((H64)&lt;=0,(H82)&lt;0),"n/m",(H82)/(H64)))</f>
        <v>0.39071901522799324</v>
      </c>
    </row>
    <row r="130" spans="1:8" ht="34.049999999999997" customHeight="1" x14ac:dyDescent="0.3">
      <c r="A130" s="34" t="s">
        <v>213</v>
      </c>
      <c r="B130" s="35" t="s">
        <v>214</v>
      </c>
      <c r="C130" s="35" t="s">
        <v>215</v>
      </c>
      <c r="D130" s="40">
        <f>IF(OR(NOT(ISNUMBER(D79)),NOT(ISNUMBER(D64))),"n/m",IF(OR((D64)&lt;=0,(D79)&lt;0),"n/m",(D79)/(D64)))</f>
        <v>0.22354637821997994</v>
      </c>
      <c r="E130" s="40">
        <f>IF(OR(NOT(ISNUMBER(E79)),NOT(ISNUMBER(E64))),"n/m",IF(OR((E64)&lt;=0,(E79)&lt;0),"n/m",(E79)/(E64)))</f>
        <v>0.18865400166042842</v>
      </c>
      <c r="F130" s="40">
        <f>IF(OR(NOT(ISNUMBER(F79)),NOT(ISNUMBER(F64))),"n/m",IF(OR((F64)&lt;=0,(F79)&lt;0),"n/m",(F79)/(F64)))</f>
        <v>0.14322765825125466</v>
      </c>
      <c r="G130" s="40">
        <f>IF(OR(NOT(ISNUMBER(G79)),NOT(ISNUMBER(G64))),"n/m",IF(OR((G64)&lt;=0,(G79)&lt;0),"n/m",(G79)/(G64)))</f>
        <v>0.24371604713228476</v>
      </c>
      <c r="H130" s="40">
        <f>IF(OR(NOT(ISNUMBER(H79)),NOT(ISNUMBER(H64))),"n/m",IF(OR((H64)&lt;=0,(H79)&lt;0),"n/m",(H79)/(H64)))</f>
        <v>0.26577542757733763</v>
      </c>
    </row>
    <row r="131" spans="1:8" ht="34.049999999999997" customHeight="1" x14ac:dyDescent="0.3">
      <c r="A131" s="34" t="s">
        <v>216</v>
      </c>
      <c r="B131" s="35" t="s">
        <v>217</v>
      </c>
      <c r="C131" s="35" t="s">
        <v>218</v>
      </c>
      <c r="D131" s="40">
        <f>IF(OR(NOT(ISNUMBER(D79)),NOT(ISNUMBER(D25))),"n/m",IF(OR((D25)&lt;=0,(D79)&lt;0),"n/m",(D79)/(D25)))</f>
        <v>8.9981220078048957E-2</v>
      </c>
      <c r="E131" s="40">
        <f>IF(OR(NOT(ISNUMBER(E79)),NOT(ISNUMBER(E25))),"n/m",IF(OR((E25)&lt;=0,(E79)&lt;0),"n/m",(E79)/(E25)))</f>
        <v>8.271205740618541E-2</v>
      </c>
      <c r="F131" s="40">
        <f>IF(OR(NOT(ISNUMBER(F79)),NOT(ISNUMBER(F25))),"n/m",IF(OR((F25)&lt;=0,(F79)&lt;0),"n/m",(F79)/(F25)))</f>
        <v>6.4416529475417678E-2</v>
      </c>
      <c r="G131" s="40">
        <f>IF(OR(NOT(ISNUMBER(G79)),NOT(ISNUMBER(G25))),"n/m",IF(OR((G25)&lt;=0,(G79)&lt;0),"n/m",(G79)/(G25)))</f>
        <v>0.12010412955682188</v>
      </c>
      <c r="H131" s="40">
        <f>IF(OR(NOT(ISNUMBER(H79)),NOT(ISNUMBER(H25))),"n/m",IF(OR((H25)&lt;=0,(H79)&lt;0),"n/m",(H79)/(H25)))</f>
        <v>0.12405775592794444</v>
      </c>
    </row>
    <row r="132" spans="1:8" ht="34.049999999999997" customHeight="1" x14ac:dyDescent="0.3">
      <c r="A132" s="34" t="s">
        <v>219</v>
      </c>
      <c r="B132" s="35" t="s">
        <v>220</v>
      </c>
      <c r="C132" s="35" t="s">
        <v>221</v>
      </c>
      <c r="D132" s="40">
        <f>IF(OR(NOT(ISNUMBER(D79)),NOT(ISNUMBER(D29))),"n/m",IF(OR((D29)&lt;=0,(D79)&lt;0),"n/m",(D79)/(D29)))</f>
        <v>0.12429467254394423</v>
      </c>
      <c r="E132" s="40">
        <f>IF(OR(NOT(ISNUMBER(E79)),NOT(ISNUMBER(E29))),"n/m",IF(OR((E29)&lt;=0,(E79)&lt;0),"n/m",(E79)/(E29)))</f>
        <v>0.11901804448540206</v>
      </c>
      <c r="F132" s="40">
        <f>IF(OR(NOT(ISNUMBER(F79)),NOT(ISNUMBER(F29))),"n/m",IF(OR((F29)&lt;=0,(F79)&lt;0),"n/m",(F79)/(F29)))</f>
        <v>9.9921242706891636E-2</v>
      </c>
      <c r="G132" s="40">
        <f>IF(OR(NOT(ISNUMBER(G79)),NOT(ISNUMBER(G29))),"n/m",IF(OR((G29)&lt;=0,(G79)&lt;0),"n/m",(G79)/(G29)))</f>
        <v>0.19021586420101122</v>
      </c>
      <c r="H132" s="40">
        <f>IF(OR(NOT(ISNUMBER(H79)),NOT(ISNUMBER(H29))),"n/m",IF(OR((H29)&lt;=0,(H79)&lt;0),"n/m",(H79)/(H29)))</f>
        <v>0.18811941761260281</v>
      </c>
    </row>
    <row r="133" spans="1:8" ht="34.049999999999997" customHeight="1" x14ac:dyDescent="0.3">
      <c r="A133" s="34" t="s">
        <v>222</v>
      </c>
      <c r="B133" s="35" t="s">
        <v>223</v>
      </c>
      <c r="C133" s="35" t="s">
        <v>224</v>
      </c>
      <c r="D133" s="40">
        <f>IF(OR(NOT(ISNUMBER(D88)),NOT(ISNUMBER(D58))),"n/m",IF(OR((D58)&lt;=0,(D88)&lt;0),"n/m",(D88)/(D58)))</f>
        <v>0.11598113408973314</v>
      </c>
      <c r="E133" s="40">
        <f>IF(OR(NOT(ISNUMBER(E88)),NOT(ISNUMBER(E58))),"n/m",IF(OR((E58)&lt;=0,(E88)&lt;0),"n/m",(E88)/(E58)))</f>
        <v>0.10809497435976413</v>
      </c>
      <c r="F133" s="40">
        <f>IF(OR(NOT(ISNUMBER(F88)),NOT(ISNUMBER(F58))),"n/m",IF(OR((F58)&lt;=0,(F88)&lt;0),"n/m",(F88)/(F58)))</f>
        <v>9.1352761839314733E-2</v>
      </c>
      <c r="G133" s="40">
        <f>IF(OR(NOT(ISNUMBER(G88)),NOT(ISNUMBER(G58))),"n/m",IF(OR((G58)&lt;=0,(G88)&lt;0),"n/m",(G88)/(G58)))</f>
        <v>0.17349944050776198</v>
      </c>
      <c r="H133" s="40">
        <f>IF(OR(NOT(ISNUMBER(H88)),NOT(ISNUMBER(H58))),"n/m",IF(OR((H58)&lt;=0,(H88)&lt;0),"n/m",(H88)/(H58)))</f>
        <v>0.17586014458599655</v>
      </c>
    </row>
    <row r="134" spans="1:8" ht="34.049999999999997" customHeight="1" x14ac:dyDescent="0.3">
      <c r="A134" s="34" t="s">
        <v>225</v>
      </c>
      <c r="B134" s="35" t="s">
        <v>226</v>
      </c>
      <c r="C134" s="35" t="s">
        <v>227</v>
      </c>
      <c r="D134" s="40">
        <f>IF(OR(NOT(ISNUMBER(D82)),NOT(ISNUMBER(D25))),"n/m",IF(OR((D25)&lt;=0,(D82)&lt;0),"n/m",(D82)/(D25)))</f>
        <v>0.11079703731315671</v>
      </c>
      <c r="E134" s="40">
        <f>IF(OR(NOT(ISNUMBER(E82)),NOT(ISNUMBER(E25))),"n/m",IF(OR((E25)&lt;=0,(E82)&lt;0),"n/m",(E82)/(E25)))</f>
        <v>0.11794695989186292</v>
      </c>
      <c r="F134" s="40">
        <f>IF(OR(NOT(ISNUMBER(F82)),NOT(ISNUMBER(F25))),"n/m",IF(OR((F25)&lt;=0,(F82)&lt;0),"n/m",(F82)/(F25)))</f>
        <v>0.10560432010902317</v>
      </c>
      <c r="G134" s="40">
        <f>IF(OR(NOT(ISNUMBER(G82)),NOT(ISNUMBER(G25))),"n/m",IF(OR((G25)&lt;=0,(G82)&lt;0),"n/m",(G82)/(G25)))</f>
        <v>0.18352469674459784</v>
      </c>
      <c r="H134" s="40">
        <f>IF(OR(NOT(ISNUMBER(H82)),NOT(ISNUMBER(H25))),"n/m",IF(OR((H25)&lt;=0,(H82)&lt;0),"n/m",(H82)/(H25)))</f>
        <v>0.18237850153944901</v>
      </c>
    </row>
    <row r="135" spans="1:8" ht="22.95" customHeight="1" x14ac:dyDescent="0.3">
      <c r="A135" s="90" t="s">
        <v>228</v>
      </c>
      <c r="B135" s="90"/>
      <c r="C135" s="90"/>
      <c r="D135" s="91"/>
      <c r="E135" s="91"/>
      <c r="F135" s="91"/>
      <c r="G135" s="91"/>
      <c r="H135" s="91"/>
    </row>
    <row r="136" spans="1:8" ht="34.049999999999997" customHeight="1" x14ac:dyDescent="0.3">
      <c r="A136" s="34" t="s">
        <v>229</v>
      </c>
      <c r="B136" s="35" t="s">
        <v>230</v>
      </c>
      <c r="C136" s="35" t="s">
        <v>231</v>
      </c>
      <c r="D136" s="41">
        <f>IF(OR(NOT(ISNUMBER(D79)),NOT(ISNUMBER(D104))),"n/m",IF(OR((D104)&lt;=0,(D79)&lt;0),"n/m",(D79)/(D104)))</f>
        <v>43.510441437959038</v>
      </c>
      <c r="E136" s="41">
        <f>IF(OR(NOT(ISNUMBER(E79)),NOT(ISNUMBER(E104))),"n/m",IF(OR((E104)&lt;=0,(E79)&lt;0),"n/m",(E79)/(E104)))</f>
        <v>47.309216853498242</v>
      </c>
      <c r="F136" s="41">
        <f>IF(OR(NOT(ISNUMBER(F79)),NOT(ISNUMBER(F104))),"n/m",IF(OR((F104)&lt;=0,(F79)&lt;0),"n/m",(F79)/(F104)))</f>
        <v>43.061512349842658</v>
      </c>
      <c r="G136" s="41">
        <f>IF(OR(NOT(ISNUMBER(G79)),NOT(ISNUMBER(G104))),"n/m",IF(OR((G104)&lt;=0,(G79)&lt;0),"n/m",(G79)/(G104)))</f>
        <v>94.540589177116431</v>
      </c>
      <c r="H136" s="41">
        <f>IF(OR(NOT(ISNUMBER(H79)),NOT(ISNUMBER(H104))),"n/m",IF(OR((H104)&lt;=0,(H79)&lt;0),"n/m",(H79)/(H104)))</f>
        <v>22.588506484641641</v>
      </c>
    </row>
    <row r="137" spans="1:8" ht="34.049999999999997" customHeight="1" x14ac:dyDescent="0.3">
      <c r="A137" s="34" t="s">
        <v>232</v>
      </c>
      <c r="B137" s="35" t="s">
        <v>233</v>
      </c>
      <c r="C137" s="35" t="s">
        <v>234</v>
      </c>
      <c r="D137" s="41">
        <f>IF(OR(NOT(ISNUMBER(D29)),NOT(ISNUMBER(D103))),"n/m",IF(OR((D103)&lt;=0,(D29)&lt;0),"n/m",(D29)/(D103)))</f>
        <v>350.05878005411677</v>
      </c>
      <c r="E137" s="41">
        <f>IF(OR(NOT(ISNUMBER(E29)),NOT(ISNUMBER(E103))),"n/m",IF(OR((E103)&lt;=0,(E29)&lt;0),"n/m",(E29)/(E103)))</f>
        <v>397.49617008117508</v>
      </c>
      <c r="F137" s="41">
        <f>IF(OR(NOT(ISNUMBER(F29)),NOT(ISNUMBER(F103))),"n/m",IF(OR((F103)&lt;=0,(F29)&lt;0),"n/m",(F29)/(F103)))</f>
        <v>440.50456229600826</v>
      </c>
      <c r="G137" s="41">
        <f>IF(OR(NOT(ISNUMBER(G29)),NOT(ISNUMBER(G103))),"n/m",IF(OR((G103)&lt;=0,(G29)&lt;0),"n/m",(G29)/(G103)))</f>
        <v>504.3046996587031</v>
      </c>
      <c r="H137" s="41">
        <f>IF(OR(NOT(ISNUMBER(H29)),NOT(ISNUMBER(H103))),"n/m",IF(OR((H103)&lt;=0,(H29)&lt;0),"n/m",(H29)/(H103)))</f>
        <v>120.07535836177475</v>
      </c>
    </row>
    <row r="138" spans="1:8" ht="34.049999999999997" customHeight="1" x14ac:dyDescent="0.3">
      <c r="A138" s="34" t="s">
        <v>235</v>
      </c>
      <c r="B138" s="35" t="s">
        <v>236</v>
      </c>
      <c r="C138" s="35" t="s">
        <v>237</v>
      </c>
      <c r="D138" s="37">
        <f>IF(OR(NOT(ISNUMBER(D105)),NOT(ISNUMBER(D79/D104))),"n/m",IF(OR((D79/D104)&lt;=0,(D105)&lt;0),"n/m",(D105)/(D79/D104)))</f>
        <v>19.844432082610968</v>
      </c>
      <c r="E138" s="37">
        <f>IF(OR(NOT(ISNUMBER(E105)),NOT(ISNUMBER(E79/E104))),"n/m",IF(OR((E79/E104)&lt;=0,(E105)&lt;0),"n/m",(E105)/(E79/E104)))</f>
        <v>9.7029718632101325</v>
      </c>
      <c r="F138" s="37">
        <f>IF(OR(NOT(ISNUMBER(F105)),NOT(ISNUMBER(F79/F104))),"n/m",IF(OR((F79/F104)&lt;=0,(F105)&lt;0),"n/m",(F105)/(F79/F104)))</f>
        <v>12.124283879265743</v>
      </c>
      <c r="G138" s="37">
        <f>IF(OR(NOT(ISNUMBER(G105)),NOT(ISNUMBER(G79/G104))),"n/m",IF(OR((G79/G104)&lt;=0,(G105)&lt;0),"n/m",(G105)/(G79/G104)))</f>
        <v>9.5909070156236584</v>
      </c>
      <c r="H138" s="37">
        <f>IF(OR(NOT(ISNUMBER(H105)),NOT(ISNUMBER(H79/H104))),"n/m",IF(OR((H79/H104)&lt;=0,(H105)&lt;0),"n/m",(H105)/(H79/H104)))</f>
        <v>15.726582022655393</v>
      </c>
    </row>
    <row r="139" spans="1:8" ht="34.049999999999997" customHeight="1" x14ac:dyDescent="0.3">
      <c r="A139" s="34" t="s">
        <v>238</v>
      </c>
      <c r="B139" s="35" t="s">
        <v>239</v>
      </c>
      <c r="C139" s="35" t="s">
        <v>240</v>
      </c>
      <c r="D139" s="37">
        <f>IF(OR(NOT(ISNUMBER(D105)),NOT(ISNUMBER(D29/D103))),"n/m",IF(OR((D29/D103)&lt;=0,(D105)&lt;0),"n/m",(D105)/(D29/D103)))</f>
        <v>2.4665571875286716</v>
      </c>
      <c r="E139" s="37">
        <f>IF(OR(NOT(ISNUMBER(E105)),NOT(ISNUMBER(E29/E103))),"n/m",IF(OR((E29/E103)&lt;=0,(E105)&lt;0),"n/m",(E105)/(E29/E103)))</f>
        <v>1.1548287368561481</v>
      </c>
      <c r="F139" s="37">
        <f>IF(OR(NOT(ISNUMBER(F105)),NOT(ISNUMBER(F29/F103))),"n/m",IF(OR((F29/F103)&lt;=0,(F105)&lt;0),"n/m",(F105)/(F29/F103)))</f>
        <v>1.1852090640758639</v>
      </c>
      <c r="G139" s="37">
        <f>IF(OR(NOT(ISNUMBER(G105)),NOT(ISNUMBER(G29/G103))),"n/m",IF(OR((G29/G103)&lt;=0,(G105)&lt;0),"n/m",(G105)/(G29/G103)))</f>
        <v>1.7979804681845026</v>
      </c>
      <c r="H139" s="37">
        <f>IF(OR(NOT(ISNUMBER(H105)),NOT(ISNUMBER(H29/H103))),"n/m",IF(OR((H29/H103)&lt;=0,(H105)&lt;0),"n/m",(H105)/(H29/H103)))</f>
        <v>2.9584754511387614</v>
      </c>
    </row>
    <row r="140" spans="1:8" ht="34.049999999999997" customHeight="1" x14ac:dyDescent="0.3">
      <c r="A140" s="34" t="s">
        <v>241</v>
      </c>
      <c r="B140" s="35" t="s">
        <v>242</v>
      </c>
      <c r="C140" s="35" t="s">
        <v>260</v>
      </c>
      <c r="D140" s="64">
        <f>IF(OR(NOT(ISNUMBER(D106)),NOT(ISNUMBER(D105))),"n/m",IF(OR((D105)&lt;=0,(D106)&lt;0),"n/m",(D106)/(D105)))</f>
        <v>0</v>
      </c>
      <c r="E140" s="64">
        <f>IF(OR(NOT(ISNUMBER(E106)),NOT(ISNUMBER(E105))),"n/m",IF(OR((E105)&lt;=0,(E106)&lt;0),"n/m",(E106)/(E105)))</f>
        <v>0</v>
      </c>
      <c r="F140" s="40">
        <f>IF(OR(NOT(ISNUMBER(F106)),NOT(ISNUMBER(F105))),"n/m",IF(OR((F105)&lt;=0,(F106)&lt;0),"n/m",(F106)/(F105)))</f>
        <v>3.4476814342354764E-2</v>
      </c>
      <c r="G140" s="40">
        <f>IF(OR(NOT(ISNUMBER(G106)),NOT(ISNUMBER(G105))),"n/m",IF(OR((G105)&lt;=0,(G106)&lt;0),"n/m",(G106)/(G105)))</f>
        <v>1.6542962072502287E-2</v>
      </c>
      <c r="H140" s="40">
        <f>IF(OR(NOT(ISNUMBER(H106)),NOT(ISNUMBER(H105))),"n/m",IF(OR((H105)&lt;=0,(H106)&lt;0),"n/m",(H106)/(H105)))</f>
        <v>1.1259993244004052E-2</v>
      </c>
    </row>
    <row r="141" spans="1:8" ht="34.049999999999997" customHeight="1" x14ac:dyDescent="0.3">
      <c r="A141" s="34" t="s">
        <v>244</v>
      </c>
      <c r="B141" s="35" t="s">
        <v>245</v>
      </c>
      <c r="C141" s="35" t="s">
        <v>246</v>
      </c>
      <c r="D141" s="37">
        <f>IF(OR(NOT(ISNUMBER(D160)),NOT(ISNUMBER(D83))),"n/m",IF(OR((D83)&lt;=0,(D160)&lt;0),"n/m",(D160)/(D83)))</f>
        <v>12.530231924140164</v>
      </c>
      <c r="E141" s="37">
        <f>IF(OR(NOT(ISNUMBER(E160)),NOT(ISNUMBER(E83))),"n/m",IF(OR((E83)&lt;=0,(E160)&lt;0),"n/m",(E160)/(E83)))</f>
        <v>5.6439003003016683</v>
      </c>
      <c r="F141" s="37">
        <f>IF(OR(NOT(ISNUMBER(F160)),NOT(ISNUMBER(F83))),"n/m",IF(OR((F83)&lt;=0,(F160)&lt;0),"n/m",(F160)/(F83)))</f>
        <v>5.6924500846825419</v>
      </c>
      <c r="G141" s="37">
        <f>IF(OR(NOT(ISNUMBER(G160)),NOT(ISNUMBER(G83))),"n/m",IF(OR((G83)&lt;=0,(G160)&lt;0),"n/m",(G160)/(G83)))</f>
        <v>5.178403100254557</v>
      </c>
      <c r="H141" s="37">
        <f>IF(OR(NOT(ISNUMBER(H160)),NOT(ISNUMBER(H83))),"n/m",IF(OR((H83)&lt;=0,(H160)&lt;0),"n/m",(H160)/(H83)))</f>
        <v>8.5282679327793396</v>
      </c>
    </row>
    <row r="142" spans="1:8" ht="4.05" customHeight="1" x14ac:dyDescent="0.3">
      <c r="A142" s="32"/>
      <c r="B142" s="32"/>
      <c r="C142" s="32"/>
      <c r="D142" s="32"/>
      <c r="E142" s="32"/>
      <c r="F142" s="32"/>
      <c r="G142" s="32"/>
      <c r="H142" s="32"/>
    </row>
    <row r="143" spans="1:8" ht="4.05" customHeight="1" x14ac:dyDescent="0.3">
      <c r="B143" s="36"/>
      <c r="C143" s="36"/>
      <c r="D143" s="36"/>
      <c r="E143" s="36"/>
      <c r="F143" s="36"/>
      <c r="G143" s="36"/>
      <c r="H143" s="36"/>
    </row>
    <row r="144" spans="1:8" ht="4.05" customHeight="1" x14ac:dyDescent="0.3">
      <c r="B144" s="36"/>
      <c r="C144" s="36"/>
      <c r="D144" s="36"/>
      <c r="E144" s="36"/>
      <c r="F144" s="36"/>
      <c r="G144" s="36"/>
      <c r="H144" s="36"/>
    </row>
    <row r="145" spans="1:9" ht="4.05" customHeight="1" x14ac:dyDescent="0.3">
      <c r="B145" s="36"/>
      <c r="C145" s="36"/>
      <c r="D145" s="36"/>
      <c r="E145" s="36"/>
      <c r="F145" s="36"/>
      <c r="G145" s="36"/>
      <c r="H145" s="36"/>
    </row>
    <row r="146" spans="1:9" ht="4.05" customHeight="1" x14ac:dyDescent="0.3"/>
    <row r="147" spans="1:9" ht="22.05" customHeight="1" x14ac:dyDescent="0.3">
      <c r="A147" s="89" t="s">
        <v>247</v>
      </c>
      <c r="B147" s="89"/>
      <c r="C147" s="88"/>
      <c r="D147" s="88"/>
      <c r="E147" s="88"/>
      <c r="F147" s="88"/>
      <c r="G147" s="88"/>
      <c r="H147" s="88"/>
    </row>
    <row r="148" spans="1:9" ht="15" customHeight="1" x14ac:dyDescent="0.3">
      <c r="A148" s="20" t="s">
        <v>248</v>
      </c>
      <c r="B148" s="20"/>
      <c r="C148" s="17"/>
      <c r="D148" s="17">
        <v>0</v>
      </c>
      <c r="E148" s="17">
        <v>0</v>
      </c>
      <c r="F148" s="17">
        <v>0</v>
      </c>
      <c r="G148" s="17">
        <v>0</v>
      </c>
      <c r="H148" s="17">
        <v>0</v>
      </c>
      <c r="I148" s="17">
        <v>0</v>
      </c>
    </row>
    <row r="149" spans="1:9" ht="15" customHeight="1" x14ac:dyDescent="0.3">
      <c r="A149" s="20" t="s">
        <v>249</v>
      </c>
      <c r="B149" s="20"/>
      <c r="C149" s="17"/>
      <c r="D149" s="17">
        <v>0</v>
      </c>
      <c r="E149" s="17">
        <v>0</v>
      </c>
      <c r="F149" s="17">
        <v>0</v>
      </c>
      <c r="G149" s="17">
        <v>0</v>
      </c>
      <c r="H149" s="17">
        <v>0</v>
      </c>
      <c r="I149" s="17">
        <v>0</v>
      </c>
    </row>
    <row r="150" spans="1:9" ht="15" customHeight="1" x14ac:dyDescent="0.3">
      <c r="A150" s="20" t="s">
        <v>250</v>
      </c>
      <c r="B150" s="20"/>
      <c r="C150" s="17"/>
      <c r="D150" s="17">
        <v>0</v>
      </c>
      <c r="E150" s="17">
        <v>0</v>
      </c>
      <c r="F150" s="17">
        <v>0</v>
      </c>
      <c r="G150" s="17">
        <v>0</v>
      </c>
      <c r="H150" s="17">
        <v>0</v>
      </c>
      <c r="I150" s="17">
        <v>0</v>
      </c>
    </row>
    <row r="151" spans="1:9" ht="4.05" customHeight="1" x14ac:dyDescent="0.3">
      <c r="B151" s="31"/>
      <c r="C151" s="18"/>
      <c r="D151" s="18"/>
      <c r="E151" s="18"/>
      <c r="F151" s="18"/>
      <c r="G151" s="18"/>
      <c r="H151" s="18"/>
      <c r="I151" s="17"/>
    </row>
    <row r="152" spans="1:9" ht="4.05" customHeight="1" x14ac:dyDescent="0.3">
      <c r="B152" s="73"/>
      <c r="C152" s="74"/>
      <c r="D152" s="74"/>
      <c r="E152" s="74"/>
      <c r="F152" s="74"/>
      <c r="G152" s="74"/>
      <c r="H152" s="74"/>
    </row>
    <row r="153" spans="1:9" ht="4.05" customHeight="1" x14ac:dyDescent="0.3">
      <c r="A153" s="73"/>
      <c r="B153" s="73"/>
      <c r="C153" s="74"/>
      <c r="D153" s="74"/>
      <c r="E153" s="74"/>
      <c r="F153" s="74"/>
      <c r="G153" s="74"/>
      <c r="H153" s="74"/>
    </row>
    <row r="154" spans="1:9" ht="4.05" customHeight="1" x14ac:dyDescent="0.3"/>
    <row r="155" spans="1:9" ht="22.95" customHeight="1" x14ac:dyDescent="0.3">
      <c r="A155" s="88" t="s">
        <v>251</v>
      </c>
      <c r="B155" s="88"/>
      <c r="C155" s="88"/>
      <c r="D155" s="88"/>
      <c r="E155" s="88"/>
      <c r="F155" s="88"/>
      <c r="G155" s="88"/>
      <c r="H155" s="88"/>
    </row>
    <row r="156" spans="1:9" ht="15" customHeight="1" x14ac:dyDescent="0.3">
      <c r="D156" t="s">
        <v>58</v>
      </c>
      <c r="E156" t="s">
        <v>59</v>
      </c>
      <c r="F156" t="s">
        <v>60</v>
      </c>
      <c r="G156" t="s">
        <v>61</v>
      </c>
      <c r="H156" t="s">
        <v>62</v>
      </c>
    </row>
    <row r="157" spans="1:9" ht="15" customHeight="1" x14ac:dyDescent="0.3">
      <c r="A157" t="s">
        <v>252</v>
      </c>
      <c r="D157" s="43">
        <f>D22+D161-D162</f>
        <v>18691.039000000001</v>
      </c>
      <c r="E157" s="43">
        <f>E22+E161-E162</f>
        <v>15493.016</v>
      </c>
      <c r="F157" s="43">
        <f>F22+F161-F162</f>
        <v>26001.579000000002</v>
      </c>
      <c r="G157" s="43">
        <f>G22+G161-G162</f>
        <v>32382.131000000001</v>
      </c>
      <c r="H157" s="43">
        <f>H22+H161-H162</f>
        <v>64088.375</v>
      </c>
    </row>
    <row r="158" spans="1:9" ht="15" customHeight="1" x14ac:dyDescent="0.3">
      <c r="A158" t="s">
        <v>253</v>
      </c>
      <c r="D158" s="43">
        <f>D40+D148+D149</f>
        <v>70.867999999999995</v>
      </c>
      <c r="E158" s="43">
        <f>E40+E148+E149</f>
        <v>135.452</v>
      </c>
      <c r="F158" s="43">
        <f>F40+F148+F149</f>
        <v>497.745</v>
      </c>
      <c r="G158" s="43">
        <f>G40+G148+G149</f>
        <v>342.935</v>
      </c>
      <c r="H158" s="43">
        <f>H40+H148+H149</f>
        <v>185.61600000000001</v>
      </c>
    </row>
    <row r="159" spans="1:9" ht="15" customHeight="1" x14ac:dyDescent="0.3">
      <c r="A159" t="s">
        <v>254</v>
      </c>
      <c r="D159" s="43">
        <f>D105*D103</f>
        <v>279214.91000000003</v>
      </c>
      <c r="E159" s="43">
        <f>E105*E103</f>
        <v>148442.06</v>
      </c>
      <c r="F159" s="43">
        <f>F105*F103</f>
        <v>162807.81467399999</v>
      </c>
      <c r="G159" s="43">
        <f>G105*G103</f>
        <v>265671.89</v>
      </c>
      <c r="H159" s="43">
        <f>H105*H103</f>
        <v>520426.60000000003</v>
      </c>
    </row>
    <row r="160" spans="1:9" ht="15" customHeight="1" x14ac:dyDescent="0.3">
      <c r="A160" t="s">
        <v>255</v>
      </c>
      <c r="D160" s="43">
        <f>D159+D55+D158-D157</f>
        <v>271085.69100000005</v>
      </c>
      <c r="E160" s="43">
        <f>E159+E55+E158-E157</f>
        <v>148680.14399999997</v>
      </c>
      <c r="F160" s="43">
        <f>F159+F55+F158-F157</f>
        <v>158345.92767400001</v>
      </c>
      <c r="G160" s="43">
        <f>G159+G55+G158-G157</f>
        <v>253977.478</v>
      </c>
      <c r="H160" s="43">
        <f>H159+H55+H158-H157</f>
        <v>474059.44800000009</v>
      </c>
    </row>
    <row r="161" spans="1:8" ht="15" customHeight="1" x14ac:dyDescent="0.3">
      <c r="A161" t="s">
        <v>256</v>
      </c>
      <c r="D161" s="43">
        <v>16187.615</v>
      </c>
      <c r="E161" s="43">
        <v>12733.049000000001</v>
      </c>
      <c r="F161" s="43">
        <v>21885.398000000001</v>
      </c>
      <c r="G161" s="43">
        <v>29814.955000000002</v>
      </c>
      <c r="H161" s="43">
        <v>61298.052000000003</v>
      </c>
    </row>
    <row r="162" spans="1:8" ht="15" customHeight="1" x14ac:dyDescent="0.3">
      <c r="A162" t="s">
        <v>257</v>
      </c>
      <c r="D162" s="43">
        <v>322</v>
      </c>
      <c r="E162" s="43">
        <v>1111.1110000000001</v>
      </c>
      <c r="F162" s="43">
        <v>0</v>
      </c>
      <c r="G162" s="43">
        <v>0</v>
      </c>
      <c r="H162" s="43">
        <v>0</v>
      </c>
    </row>
    <row r="163" spans="1:8" ht="15" customHeight="1" x14ac:dyDescent="0.3">
      <c r="B163" s="42"/>
      <c r="C163" s="42"/>
      <c r="D163" s="42"/>
      <c r="E163" s="42"/>
      <c r="F163" s="42"/>
      <c r="G163" s="42"/>
      <c r="H163" s="42"/>
    </row>
    <row r="164" spans="1:8" ht="15" customHeight="1" x14ac:dyDescent="0.3">
      <c r="B164" s="42"/>
      <c r="C164" s="42"/>
      <c r="D164" s="42"/>
      <c r="E164" s="42"/>
      <c r="F164" s="42"/>
      <c r="G164" s="42"/>
      <c r="H164" s="42"/>
    </row>
  </sheetData>
  <mergeCells count="7">
    <mergeCell ref="A155:H155"/>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FA98A"/>
    <pageSetUpPr fitToPage="1"/>
  </sheetPr>
  <dimension ref="A1:I164"/>
  <sheetViews>
    <sheetView showGridLines="0" workbookViewId="0">
      <pane xSplit="3" ySplit="7" topLeftCell="D13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261</v>
      </c>
      <c r="B1" s="20"/>
    </row>
    <row r="2" spans="1:9" x14ac:dyDescent="0.3">
      <c r="A2" s="75" t="s">
        <v>262</v>
      </c>
      <c r="B2" s="20"/>
    </row>
    <row r="3" spans="1:9" ht="6" customHeight="1" x14ac:dyDescent="0.3">
      <c r="B3" s="20"/>
    </row>
    <row r="4" spans="1:9" x14ac:dyDescent="0.3">
      <c r="A4" s="20"/>
      <c r="B4" s="20"/>
    </row>
    <row r="5" spans="1:9" x14ac:dyDescent="0.3">
      <c r="A5" s="20"/>
      <c r="B5" s="20"/>
    </row>
    <row r="6" spans="1:9" ht="19.5" customHeight="1" x14ac:dyDescent="0.3">
      <c r="A6" s="21" t="s">
        <v>56</v>
      </c>
      <c r="B6" s="22"/>
      <c r="C6" s="3"/>
      <c r="D6" s="3"/>
      <c r="E6" s="3"/>
      <c r="F6" s="3"/>
      <c r="G6" s="3"/>
      <c r="H6" s="3"/>
      <c r="I6" s="3"/>
    </row>
    <row r="7" spans="1:9" ht="16.5" customHeight="1" x14ac:dyDescent="0.3">
      <c r="A7" s="23" t="s">
        <v>57</v>
      </c>
      <c r="B7" s="24"/>
      <c r="C7" s="9"/>
      <c r="D7" s="9" t="s">
        <v>58</v>
      </c>
      <c r="E7" s="9" t="s">
        <v>59</v>
      </c>
      <c r="F7" s="9" t="s">
        <v>60</v>
      </c>
      <c r="G7" s="9" t="s">
        <v>61</v>
      </c>
      <c r="H7" s="9" t="s">
        <v>62</v>
      </c>
      <c r="I7" s="9" t="s">
        <v>63</v>
      </c>
    </row>
    <row r="8" spans="1:9" x14ac:dyDescent="0.3">
      <c r="A8" s="25" t="s">
        <v>64</v>
      </c>
      <c r="B8" s="26"/>
      <c r="C8" s="10"/>
      <c r="D8" s="10"/>
      <c r="E8" s="10"/>
      <c r="F8" s="10"/>
      <c r="G8" s="10"/>
      <c r="H8" s="10"/>
      <c r="I8" s="10"/>
    </row>
    <row r="9" spans="1:9" x14ac:dyDescent="0.3">
      <c r="A9" s="27" t="s">
        <v>65</v>
      </c>
      <c r="B9" s="28"/>
      <c r="C9" s="11"/>
      <c r="D9" s="11">
        <v>85020.108999999997</v>
      </c>
      <c r="E9" s="11">
        <v>82803.86</v>
      </c>
      <c r="F9" s="11">
        <v>82245.649999999994</v>
      </c>
      <c r="G9" s="11">
        <v>79877.839000000007</v>
      </c>
      <c r="H9" s="11">
        <v>77252.558999999994</v>
      </c>
      <c r="I9" s="11">
        <v>83537.294999999998</v>
      </c>
    </row>
    <row r="10" spans="1:9" x14ac:dyDescent="0.3">
      <c r="A10" s="27" t="s">
        <v>66</v>
      </c>
      <c r="B10" s="28"/>
      <c r="C10" s="11"/>
      <c r="D10" s="11">
        <v>7726.72</v>
      </c>
      <c r="E10" s="11">
        <v>724.16800000000001</v>
      </c>
      <c r="F10" s="11">
        <v>2006.864</v>
      </c>
      <c r="G10" s="11">
        <v>1341.029</v>
      </c>
      <c r="H10" s="11">
        <v>798.31200000000001</v>
      </c>
      <c r="I10" s="11">
        <v>6358.259</v>
      </c>
    </row>
    <row r="11" spans="1:9" x14ac:dyDescent="0.3">
      <c r="A11" s="27" t="s">
        <v>67</v>
      </c>
      <c r="B11" s="28"/>
      <c r="C11" s="11"/>
      <c r="D11" s="11">
        <v>0</v>
      </c>
      <c r="E11" s="11">
        <v>0</v>
      </c>
      <c r="F11" s="11">
        <v>0</v>
      </c>
      <c r="G11" s="11">
        <v>0</v>
      </c>
      <c r="H11" s="11">
        <v>0</v>
      </c>
      <c r="I11" s="11">
        <v>0</v>
      </c>
    </row>
    <row r="12" spans="1:9" x14ac:dyDescent="0.3">
      <c r="A12" s="27" t="s">
        <v>68</v>
      </c>
      <c r="B12" s="28"/>
      <c r="C12" s="11"/>
      <c r="D12" s="11">
        <v>0</v>
      </c>
      <c r="E12" s="11">
        <v>17.318999999999999</v>
      </c>
      <c r="F12" s="11">
        <v>10.151999999999999</v>
      </c>
      <c r="G12" s="11">
        <v>42.762</v>
      </c>
      <c r="H12" s="11">
        <v>13.076000000000001</v>
      </c>
      <c r="I12" s="11">
        <v>0</v>
      </c>
    </row>
    <row r="13" spans="1:9" x14ac:dyDescent="0.3">
      <c r="A13" s="27" t="s">
        <v>69</v>
      </c>
      <c r="B13" s="28"/>
      <c r="C13" s="11"/>
      <c r="D13" s="11">
        <v>0</v>
      </c>
      <c r="E13" s="11">
        <v>0</v>
      </c>
      <c r="F13" s="11">
        <v>0</v>
      </c>
      <c r="G13" s="11">
        <v>0</v>
      </c>
      <c r="H13" s="11">
        <v>0</v>
      </c>
      <c r="I13" s="11">
        <v>0</v>
      </c>
    </row>
    <row r="14" spans="1:9" x14ac:dyDescent="0.3">
      <c r="A14" s="27" t="s">
        <v>70</v>
      </c>
      <c r="B14" s="28"/>
      <c r="C14" s="11"/>
      <c r="D14" s="11">
        <v>15965.811</v>
      </c>
      <c r="E14" s="11">
        <v>12866.145</v>
      </c>
      <c r="F14" s="11">
        <v>13366.36</v>
      </c>
      <c r="G14" s="11">
        <v>16633.063999999998</v>
      </c>
      <c r="H14" s="11">
        <v>20689.544999999998</v>
      </c>
      <c r="I14" s="11">
        <v>11849.828</v>
      </c>
    </row>
    <row r="15" spans="1:9" x14ac:dyDescent="0.3">
      <c r="A15" s="27" t="s">
        <v>71</v>
      </c>
      <c r="B15" s="28"/>
      <c r="C15" s="11"/>
      <c r="D15" s="11">
        <v>57.512999999999998</v>
      </c>
      <c r="E15" s="11">
        <v>61.526000000000003</v>
      </c>
      <c r="F15" s="11">
        <v>64.426000000000002</v>
      </c>
      <c r="G15" s="11">
        <v>61.567999999999998</v>
      </c>
      <c r="H15" s="11">
        <v>61.012999999999998</v>
      </c>
      <c r="I15" s="11">
        <v>57.984000000000002</v>
      </c>
    </row>
    <row r="16" spans="1:9" x14ac:dyDescent="0.3">
      <c r="A16" s="29" t="s">
        <v>72</v>
      </c>
      <c r="B16" s="30"/>
      <c r="C16" s="12"/>
      <c r="D16" s="12">
        <f t="shared" ref="D16:I16" si="0">D9+D11+D12+D13+D14+D15</f>
        <v>101043.433</v>
      </c>
      <c r="E16" s="12">
        <f t="shared" si="0"/>
        <v>95748.85</v>
      </c>
      <c r="F16" s="12">
        <f t="shared" si="0"/>
        <v>95686.588000000003</v>
      </c>
      <c r="G16" s="12">
        <f t="shared" si="0"/>
        <v>96615.233000000007</v>
      </c>
      <c r="H16" s="12">
        <f t="shared" si="0"/>
        <v>98016.192999999999</v>
      </c>
      <c r="I16" s="12">
        <f t="shared" si="0"/>
        <v>95445.106999999989</v>
      </c>
    </row>
    <row r="17" spans="1:9" x14ac:dyDescent="0.3">
      <c r="A17" s="25" t="s">
        <v>73</v>
      </c>
      <c r="B17" s="26"/>
      <c r="C17" s="10"/>
      <c r="D17" s="10"/>
      <c r="E17" s="10"/>
      <c r="F17" s="10"/>
      <c r="G17" s="10"/>
      <c r="H17" s="10"/>
      <c r="I17" s="10"/>
    </row>
    <row r="18" spans="1:9" x14ac:dyDescent="0.3">
      <c r="A18" s="27" t="s">
        <v>74</v>
      </c>
      <c r="B18" s="28"/>
      <c r="C18" s="11"/>
      <c r="D18" s="11">
        <v>12879.348</v>
      </c>
      <c r="E18" s="11">
        <v>16813.883000000002</v>
      </c>
      <c r="F18" s="11">
        <v>13852.004999999999</v>
      </c>
      <c r="G18" s="11">
        <v>12559.773999999999</v>
      </c>
      <c r="H18" s="11">
        <v>12306.679</v>
      </c>
      <c r="I18" s="11">
        <v>8237.99</v>
      </c>
    </row>
    <row r="19" spans="1:9" x14ac:dyDescent="0.3">
      <c r="A19" s="27" t="s">
        <v>75</v>
      </c>
      <c r="B19" s="28"/>
      <c r="C19" s="11"/>
      <c r="D19" s="11">
        <v>2728.5889999999999</v>
      </c>
      <c r="E19" s="11">
        <v>5981.5150000000003</v>
      </c>
      <c r="F19" s="11">
        <v>8873.17</v>
      </c>
      <c r="G19" s="11">
        <v>7693.067</v>
      </c>
      <c r="H19" s="11">
        <v>8188.6779999999999</v>
      </c>
      <c r="I19" s="11">
        <v>4352.9949999999999</v>
      </c>
    </row>
    <row r="20" spans="1:9" x14ac:dyDescent="0.3">
      <c r="A20" s="27" t="s">
        <v>76</v>
      </c>
      <c r="B20" s="28"/>
      <c r="C20" s="11"/>
      <c r="D20" s="11">
        <v>1676.2449999999999</v>
      </c>
      <c r="E20" s="11">
        <v>1467.8620000000001</v>
      </c>
      <c r="F20" s="11">
        <v>1193.44</v>
      </c>
      <c r="G20" s="11">
        <v>855.74199999999996</v>
      </c>
      <c r="H20" s="11">
        <v>1493.08</v>
      </c>
      <c r="I20" s="11">
        <v>2286.0839999999998</v>
      </c>
    </row>
    <row r="21" spans="1:9" x14ac:dyDescent="0.3">
      <c r="A21" s="27" t="s">
        <v>77</v>
      </c>
      <c r="B21" s="28"/>
      <c r="C21" s="11"/>
      <c r="D21" s="11">
        <v>12946.786</v>
      </c>
      <c r="E21" s="11">
        <v>9962.4210000000003</v>
      </c>
      <c r="F21" s="11">
        <v>9270.8979999999992</v>
      </c>
      <c r="G21" s="11">
        <v>18384.882000000001</v>
      </c>
      <c r="H21" s="11">
        <v>24005.1</v>
      </c>
      <c r="I21" s="11">
        <v>13126.388000000001</v>
      </c>
    </row>
    <row r="22" spans="1:9" x14ac:dyDescent="0.3">
      <c r="A22" s="27" t="s">
        <v>78</v>
      </c>
      <c r="B22" s="28"/>
      <c r="C22" s="11"/>
      <c r="D22" s="11">
        <v>806.37300000000005</v>
      </c>
      <c r="E22" s="11">
        <v>410.803</v>
      </c>
      <c r="F22" s="11">
        <v>674.97199999999998</v>
      </c>
      <c r="G22" s="11">
        <v>732.16800000000001</v>
      </c>
      <c r="H22" s="11">
        <v>568.83199999999999</v>
      </c>
      <c r="I22" s="11">
        <v>347.834</v>
      </c>
    </row>
    <row r="23" spans="1:9" x14ac:dyDescent="0.3">
      <c r="A23" s="27" t="s">
        <v>79</v>
      </c>
      <c r="B23" s="28"/>
      <c r="C23" s="11"/>
      <c r="D23" s="11">
        <v>5813.9229999999998</v>
      </c>
      <c r="E23" s="11">
        <v>6176.6790000000001</v>
      </c>
      <c r="F23" s="11">
        <v>5162.1809999999996</v>
      </c>
      <c r="G23" s="11">
        <v>1544.8879999999999</v>
      </c>
      <c r="H23" s="11">
        <v>1345.673</v>
      </c>
      <c r="I23" s="11">
        <v>5755.1360000000004</v>
      </c>
    </row>
    <row r="24" spans="1:9" x14ac:dyDescent="0.3">
      <c r="A24" s="29" t="s">
        <v>80</v>
      </c>
      <c r="B24" s="30"/>
      <c r="C24" s="12"/>
      <c r="D24" s="12">
        <f t="shared" ref="D24:I24" si="1">D18+D19+D20+D21+D22+D23</f>
        <v>36851.264000000003</v>
      </c>
      <c r="E24" s="12">
        <f t="shared" si="1"/>
        <v>40813.163</v>
      </c>
      <c r="F24" s="12">
        <f t="shared" si="1"/>
        <v>39026.665999999997</v>
      </c>
      <c r="G24" s="12">
        <f t="shared" si="1"/>
        <v>41770.520999999993</v>
      </c>
      <c r="H24" s="12">
        <f t="shared" si="1"/>
        <v>47908.042000000001</v>
      </c>
      <c r="I24" s="12">
        <f t="shared" si="1"/>
        <v>34106.427000000003</v>
      </c>
    </row>
    <row r="25" spans="1:9" x14ac:dyDescent="0.3">
      <c r="A25" s="29" t="s">
        <v>81</v>
      </c>
      <c r="B25" s="30"/>
      <c r="C25" s="12"/>
      <c r="D25" s="12">
        <f t="shared" ref="D25:I25" si="2">D16+D24</f>
        <v>137894.69700000001</v>
      </c>
      <c r="E25" s="12">
        <f t="shared" si="2"/>
        <v>136562.01300000001</v>
      </c>
      <c r="F25" s="12">
        <f t="shared" si="2"/>
        <v>134713.25400000002</v>
      </c>
      <c r="G25" s="12">
        <f t="shared" si="2"/>
        <v>138385.75400000002</v>
      </c>
      <c r="H25" s="12">
        <f t="shared" si="2"/>
        <v>145924.23499999999</v>
      </c>
      <c r="I25" s="12">
        <f t="shared" si="2"/>
        <v>129551.53399999999</v>
      </c>
    </row>
    <row r="26" spans="1:9" x14ac:dyDescent="0.3">
      <c r="A26" s="25" t="s">
        <v>82</v>
      </c>
      <c r="B26" s="26"/>
      <c r="C26" s="10"/>
      <c r="D26" s="10"/>
      <c r="E26" s="10"/>
      <c r="F26" s="10"/>
      <c r="G26" s="10"/>
      <c r="H26" s="10"/>
      <c r="I26" s="10"/>
    </row>
    <row r="27" spans="1:9" x14ac:dyDescent="0.3">
      <c r="A27" s="27" t="s">
        <v>83</v>
      </c>
      <c r="B27" s="28"/>
      <c r="C27" s="11"/>
      <c r="D27" s="11">
        <v>4381.1909999999998</v>
      </c>
      <c r="E27" s="11">
        <v>4381.1909999999998</v>
      </c>
      <c r="F27" s="11">
        <v>4381.1909999999998</v>
      </c>
      <c r="G27" s="11">
        <v>4381.1909999999998</v>
      </c>
      <c r="H27" s="11">
        <v>4381.1909999999998</v>
      </c>
      <c r="I27" s="11">
        <v>4381.1909999999998</v>
      </c>
    </row>
    <row r="28" spans="1:9" x14ac:dyDescent="0.3">
      <c r="A28" s="27" t="s">
        <v>84</v>
      </c>
      <c r="B28" s="28"/>
      <c r="C28" s="11"/>
      <c r="D28" s="11">
        <v>69096.682000000001</v>
      </c>
      <c r="E28" s="11">
        <v>65536.910999999993</v>
      </c>
      <c r="F28" s="11">
        <v>59811.086000000003</v>
      </c>
      <c r="G28" s="11">
        <v>71466.346999999994</v>
      </c>
      <c r="H28" s="11">
        <v>90286.286999999997</v>
      </c>
      <c r="I28" s="11">
        <v>62262.966</v>
      </c>
    </row>
    <row r="29" spans="1:9" x14ac:dyDescent="0.3">
      <c r="A29" s="29" t="s">
        <v>85</v>
      </c>
      <c r="B29" s="30"/>
      <c r="C29" s="12"/>
      <c r="D29" s="12">
        <f t="shared" ref="D29:I29" si="3">D27+D28</f>
        <v>73477.873000000007</v>
      </c>
      <c r="E29" s="12">
        <f t="shared" si="3"/>
        <v>69918.101999999999</v>
      </c>
      <c r="F29" s="12">
        <f t="shared" si="3"/>
        <v>64192.277000000002</v>
      </c>
      <c r="G29" s="12">
        <f t="shared" si="3"/>
        <v>75847.538</v>
      </c>
      <c r="H29" s="12">
        <f t="shared" si="3"/>
        <v>94667.478000000003</v>
      </c>
      <c r="I29" s="12">
        <f t="shared" si="3"/>
        <v>66644.157000000007</v>
      </c>
    </row>
    <row r="30" spans="1:9" x14ac:dyDescent="0.3">
      <c r="A30" s="25" t="s">
        <v>86</v>
      </c>
      <c r="B30" s="26"/>
      <c r="C30" s="10"/>
      <c r="D30" s="10"/>
      <c r="E30" s="10"/>
      <c r="F30" s="10"/>
      <c r="G30" s="10"/>
      <c r="H30" s="10"/>
      <c r="I30" s="10"/>
    </row>
    <row r="31" spans="1:9" x14ac:dyDescent="0.3">
      <c r="A31" s="27" t="s">
        <v>87</v>
      </c>
      <c r="B31" s="28"/>
      <c r="C31" s="11"/>
      <c r="D31" s="11">
        <v>19300.063999999998</v>
      </c>
      <c r="E31" s="11">
        <v>14168.228999999999</v>
      </c>
      <c r="F31" s="11">
        <v>9663.6190000000006</v>
      </c>
      <c r="G31" s="11">
        <v>15965.116</v>
      </c>
      <c r="H31" s="11">
        <v>10093.829</v>
      </c>
      <c r="I31" s="11">
        <v>21972</v>
      </c>
    </row>
    <row r="32" spans="1:9" x14ac:dyDescent="0.3">
      <c r="A32" s="27" t="s">
        <v>88</v>
      </c>
      <c r="B32" s="28"/>
      <c r="C32" s="11"/>
      <c r="D32" s="11">
        <v>0</v>
      </c>
      <c r="E32" s="11">
        <v>0</v>
      </c>
      <c r="F32" s="11">
        <v>0</v>
      </c>
      <c r="G32" s="11">
        <v>0</v>
      </c>
      <c r="H32" s="11">
        <v>0</v>
      </c>
      <c r="I32" s="11">
        <v>0</v>
      </c>
    </row>
    <row r="33" spans="1:9" x14ac:dyDescent="0.3">
      <c r="A33" s="27" t="s">
        <v>89</v>
      </c>
      <c r="B33" s="28"/>
      <c r="C33" s="11"/>
      <c r="D33" s="11">
        <v>664.50400000000002</v>
      </c>
      <c r="E33" s="11">
        <v>450.68400000000003</v>
      </c>
      <c r="F33" s="11">
        <v>278.75299999999999</v>
      </c>
      <c r="G33" s="11">
        <v>154.614</v>
      </c>
      <c r="H33" s="11">
        <v>70.135000000000005</v>
      </c>
      <c r="I33" s="11">
        <v>0</v>
      </c>
    </row>
    <row r="34" spans="1:9" x14ac:dyDescent="0.3">
      <c r="A34" s="27" t="s">
        <v>90</v>
      </c>
      <c r="B34" s="28"/>
      <c r="C34" s="11"/>
      <c r="D34" s="11">
        <v>3378.9409999999998</v>
      </c>
      <c r="E34" s="11">
        <v>4942.1499999999996</v>
      </c>
      <c r="F34" s="11">
        <v>10613.602999999999</v>
      </c>
      <c r="G34" s="11">
        <v>12675.472</v>
      </c>
      <c r="H34" s="11">
        <v>13286.941999999999</v>
      </c>
      <c r="I34" s="11">
        <v>2535.3490000000002</v>
      </c>
    </row>
    <row r="35" spans="1:9" x14ac:dyDescent="0.3">
      <c r="A35" s="27" t="s">
        <v>91</v>
      </c>
      <c r="B35" s="28"/>
      <c r="C35" s="11"/>
      <c r="D35" s="11">
        <v>777.79499999999996</v>
      </c>
      <c r="E35" s="11">
        <v>993.81700000000001</v>
      </c>
      <c r="F35" s="11">
        <v>1289.212</v>
      </c>
      <c r="G35" s="11">
        <v>1517.297</v>
      </c>
      <c r="H35" s="11">
        <v>1894.931</v>
      </c>
      <c r="I35" s="11">
        <v>775.77099999999996</v>
      </c>
    </row>
    <row r="36" spans="1:9" x14ac:dyDescent="0.3">
      <c r="A36" s="29" t="s">
        <v>92</v>
      </c>
      <c r="B36" s="30"/>
      <c r="C36" s="12"/>
      <c r="D36" s="12">
        <f t="shared" ref="D36:I36" si="4">D31+D32+D33+D34+D35</f>
        <v>24121.303999999996</v>
      </c>
      <c r="E36" s="12">
        <f t="shared" si="4"/>
        <v>20554.879999999997</v>
      </c>
      <c r="F36" s="12">
        <f t="shared" si="4"/>
        <v>21845.186999999998</v>
      </c>
      <c r="G36" s="12">
        <f t="shared" si="4"/>
        <v>30312.498999999996</v>
      </c>
      <c r="H36" s="12">
        <f t="shared" si="4"/>
        <v>25345.837</v>
      </c>
      <c r="I36" s="12">
        <f t="shared" si="4"/>
        <v>25283.120000000003</v>
      </c>
    </row>
    <row r="37" spans="1:9" x14ac:dyDescent="0.3">
      <c r="A37" s="25" t="s">
        <v>93</v>
      </c>
      <c r="B37" s="26"/>
      <c r="C37" s="10"/>
      <c r="D37" s="10"/>
      <c r="E37" s="10"/>
      <c r="F37" s="10"/>
      <c r="G37" s="10"/>
      <c r="H37" s="10"/>
      <c r="I37" s="10"/>
    </row>
    <row r="38" spans="1:9" x14ac:dyDescent="0.3">
      <c r="A38" s="27" t="s">
        <v>94</v>
      </c>
      <c r="B38" s="28"/>
      <c r="C38" s="11"/>
      <c r="D38" s="11">
        <v>14923.151</v>
      </c>
      <c r="E38" s="11">
        <v>12591.709000000001</v>
      </c>
      <c r="F38" s="11">
        <v>13783.299000000001</v>
      </c>
      <c r="G38" s="11">
        <v>12394.455</v>
      </c>
      <c r="H38" s="11">
        <v>13333.448</v>
      </c>
      <c r="I38" s="11">
        <v>11298.187</v>
      </c>
    </row>
    <row r="39" spans="1:9" x14ac:dyDescent="0.3">
      <c r="A39" s="27" t="s">
        <v>95</v>
      </c>
      <c r="B39" s="28"/>
      <c r="C39" s="11"/>
      <c r="D39" s="11">
        <v>0</v>
      </c>
      <c r="E39" s="11">
        <v>0</v>
      </c>
      <c r="F39" s="11">
        <v>0</v>
      </c>
      <c r="G39" s="11">
        <v>0</v>
      </c>
      <c r="H39" s="11">
        <v>0</v>
      </c>
      <c r="I39" s="11">
        <v>0</v>
      </c>
    </row>
    <row r="40" spans="1:9" x14ac:dyDescent="0.3">
      <c r="A40" s="27" t="s">
        <v>96</v>
      </c>
      <c r="B40" s="28"/>
      <c r="C40" s="11"/>
      <c r="D40" s="11">
        <v>507.76900000000001</v>
      </c>
      <c r="E40" s="11">
        <v>883.22900000000004</v>
      </c>
      <c r="F40" s="11">
        <v>1739.547</v>
      </c>
      <c r="G40" s="11">
        <v>1280.4459999999999</v>
      </c>
      <c r="H40" s="11">
        <v>229.65199999999999</v>
      </c>
      <c r="I40" s="11">
        <v>712.27499999999998</v>
      </c>
    </row>
    <row r="41" spans="1:9" x14ac:dyDescent="0.3">
      <c r="A41" s="27" t="s">
        <v>97</v>
      </c>
      <c r="B41" s="28"/>
      <c r="C41" s="11"/>
      <c r="D41" s="11">
        <v>18362.05</v>
      </c>
      <c r="E41" s="11">
        <v>25210.506000000001</v>
      </c>
      <c r="F41" s="11">
        <v>25494.293000000001</v>
      </c>
      <c r="G41" s="11">
        <v>13064.718000000001</v>
      </c>
      <c r="H41" s="11">
        <v>9878.4989999999998</v>
      </c>
      <c r="I41" s="11">
        <v>23495.967000000001</v>
      </c>
    </row>
    <row r="42" spans="1:9" x14ac:dyDescent="0.3">
      <c r="A42" s="27" t="s">
        <v>98</v>
      </c>
      <c r="B42" s="28"/>
      <c r="C42" s="11"/>
      <c r="D42" s="11">
        <v>6130.7030000000004</v>
      </c>
      <c r="E42" s="11">
        <v>7097.1660000000002</v>
      </c>
      <c r="F42" s="11">
        <v>7370.3639999999996</v>
      </c>
      <c r="G42" s="11">
        <v>5291.9719999999998</v>
      </c>
      <c r="H42" s="11">
        <v>1934.7719999999999</v>
      </c>
      <c r="I42" s="11">
        <v>2010.6210000000001</v>
      </c>
    </row>
    <row r="43" spans="1:9" x14ac:dyDescent="0.3">
      <c r="A43" s="27" t="s">
        <v>99</v>
      </c>
      <c r="B43" s="28"/>
      <c r="C43" s="11"/>
      <c r="D43" s="11">
        <v>0</v>
      </c>
      <c r="E43" s="11">
        <v>0</v>
      </c>
      <c r="F43" s="11">
        <v>0</v>
      </c>
      <c r="G43" s="11">
        <v>0</v>
      </c>
      <c r="H43" s="11">
        <v>0</v>
      </c>
      <c r="I43" s="11">
        <v>0</v>
      </c>
    </row>
    <row r="44" spans="1:9" x14ac:dyDescent="0.3">
      <c r="A44" s="27" t="s">
        <v>100</v>
      </c>
      <c r="B44" s="28"/>
      <c r="C44" s="11"/>
      <c r="D44" s="11">
        <v>262.52300000000002</v>
      </c>
      <c r="E44" s="11">
        <v>213.88300000000001</v>
      </c>
      <c r="F44" s="11">
        <v>171.58099999999999</v>
      </c>
      <c r="G44" s="11">
        <v>124.13800000000001</v>
      </c>
      <c r="H44" s="11">
        <v>79.465000000000003</v>
      </c>
      <c r="I44" s="11">
        <v>0</v>
      </c>
    </row>
    <row r="45" spans="1:9" x14ac:dyDescent="0.3">
      <c r="A45" s="27" t="s">
        <v>101</v>
      </c>
      <c r="B45" s="28"/>
      <c r="C45" s="11"/>
      <c r="D45" s="11">
        <v>33.517000000000003</v>
      </c>
      <c r="E45" s="11">
        <v>34.512</v>
      </c>
      <c r="F45" s="11">
        <v>34.704000000000001</v>
      </c>
      <c r="G45" s="11">
        <v>34.201000000000001</v>
      </c>
      <c r="H45" s="11">
        <v>34.154000000000003</v>
      </c>
      <c r="I45" s="11">
        <v>33.837000000000003</v>
      </c>
    </row>
    <row r="46" spans="1:9" x14ac:dyDescent="0.3">
      <c r="A46" s="27" t="s">
        <v>102</v>
      </c>
      <c r="B46" s="28"/>
      <c r="C46" s="11"/>
      <c r="D46" s="11">
        <v>35.090000000000003</v>
      </c>
      <c r="E46" s="11">
        <v>35.090000000000003</v>
      </c>
      <c r="F46" s="11">
        <v>35.090000000000003</v>
      </c>
      <c r="G46" s="11">
        <v>35.090000000000003</v>
      </c>
      <c r="H46" s="11">
        <v>365.92399999999998</v>
      </c>
      <c r="I46" s="11">
        <v>35.090000000000003</v>
      </c>
    </row>
    <row r="47" spans="1:9" x14ac:dyDescent="0.3">
      <c r="A47" s="27" t="s">
        <v>103</v>
      </c>
      <c r="B47" s="28"/>
      <c r="C47" s="11"/>
      <c r="D47" s="11">
        <v>40.716999999999999</v>
      </c>
      <c r="E47" s="11">
        <v>22.936</v>
      </c>
      <c r="F47" s="11">
        <v>46.911999999999999</v>
      </c>
      <c r="G47" s="11">
        <v>0.69699999999999995</v>
      </c>
      <c r="H47" s="11">
        <v>55.006</v>
      </c>
      <c r="I47" s="11">
        <v>38.28</v>
      </c>
    </row>
    <row r="48" spans="1:9" x14ac:dyDescent="0.3">
      <c r="A48" s="29" t="s">
        <v>104</v>
      </c>
      <c r="B48" s="30"/>
      <c r="C48" s="12"/>
      <c r="D48" s="12">
        <f t="shared" ref="D48:I48" si="5">D38+D39+D40+D41+D42+D43+D44+D45+D46+D47</f>
        <v>40295.519999999997</v>
      </c>
      <c r="E48" s="12">
        <f t="shared" si="5"/>
        <v>46089.031000000003</v>
      </c>
      <c r="F48" s="12">
        <f t="shared" si="5"/>
        <v>48675.789999999994</v>
      </c>
      <c r="G48" s="12">
        <f t="shared" si="5"/>
        <v>32225.717000000001</v>
      </c>
      <c r="H48" s="12">
        <f t="shared" si="5"/>
        <v>25910.920000000002</v>
      </c>
      <c r="I48" s="12">
        <f t="shared" si="5"/>
        <v>37624.256999999998</v>
      </c>
    </row>
    <row r="49" spans="1:9" x14ac:dyDescent="0.3">
      <c r="A49" s="29" t="s">
        <v>105</v>
      </c>
      <c r="B49" s="30"/>
      <c r="C49" s="12"/>
      <c r="D49" s="12">
        <f t="shared" ref="D49:I49" si="6">D36+D48</f>
        <v>64416.823999999993</v>
      </c>
      <c r="E49" s="12">
        <f t="shared" si="6"/>
        <v>66643.910999999993</v>
      </c>
      <c r="F49" s="12">
        <f t="shared" si="6"/>
        <v>70520.976999999984</v>
      </c>
      <c r="G49" s="12">
        <f t="shared" si="6"/>
        <v>62538.216</v>
      </c>
      <c r="H49" s="12">
        <f t="shared" si="6"/>
        <v>51256.756999999998</v>
      </c>
      <c r="I49" s="12">
        <f t="shared" si="6"/>
        <v>62907.377</v>
      </c>
    </row>
    <row r="50" spans="1:9" x14ac:dyDescent="0.3">
      <c r="A50" s="29" t="s">
        <v>106</v>
      </c>
      <c r="B50" s="30"/>
      <c r="C50" s="12"/>
      <c r="D50" s="12">
        <f t="shared" ref="D50:I50" si="7">D29+D49</f>
        <v>137894.69699999999</v>
      </c>
      <c r="E50" s="12">
        <f t="shared" si="7"/>
        <v>136562.01299999998</v>
      </c>
      <c r="F50" s="12">
        <f t="shared" si="7"/>
        <v>134713.25399999999</v>
      </c>
      <c r="G50" s="12">
        <f t="shared" si="7"/>
        <v>138385.75400000002</v>
      </c>
      <c r="H50" s="12">
        <f t="shared" si="7"/>
        <v>145924.23499999999</v>
      </c>
      <c r="I50" s="12">
        <f t="shared" si="7"/>
        <v>129551.53400000001</v>
      </c>
    </row>
    <row r="51" spans="1:9" x14ac:dyDescent="0.3">
      <c r="A51" s="25" t="s">
        <v>107</v>
      </c>
      <c r="B51" s="26"/>
      <c r="C51" s="10"/>
      <c r="D51" s="10"/>
      <c r="E51" s="10"/>
      <c r="F51" s="10"/>
      <c r="G51" s="10"/>
      <c r="H51" s="10"/>
      <c r="I51" s="10"/>
    </row>
    <row r="52" spans="1:9" x14ac:dyDescent="0.3">
      <c r="A52" s="27" t="s">
        <v>108</v>
      </c>
      <c r="B52" s="28"/>
      <c r="C52" s="11"/>
      <c r="D52" s="11">
        <v>7375.63</v>
      </c>
      <c r="E52" s="11">
        <v>3871.2069999999999</v>
      </c>
      <c r="F52" s="11">
        <v>6530.049</v>
      </c>
      <c r="G52" s="11">
        <v>5046.7439999999997</v>
      </c>
      <c r="H52" s="11">
        <v>3900.1419999999998</v>
      </c>
      <c r="I52" s="11">
        <v>4325.32</v>
      </c>
    </row>
    <row r="53" spans="1:9" x14ac:dyDescent="0.3">
      <c r="A53" s="27" t="s">
        <v>109</v>
      </c>
      <c r="B53" s="28"/>
      <c r="C53" s="11"/>
      <c r="D53" s="11">
        <f t="shared" ref="D53:I53" si="8">D9-D10</f>
        <v>77293.388999999996</v>
      </c>
      <c r="E53" s="11">
        <f t="shared" si="8"/>
        <v>82079.691999999995</v>
      </c>
      <c r="F53" s="11">
        <f t="shared" si="8"/>
        <v>80238.785999999993</v>
      </c>
      <c r="G53" s="11">
        <f t="shared" si="8"/>
        <v>78536.810000000012</v>
      </c>
      <c r="H53" s="11">
        <f t="shared" si="8"/>
        <v>76454.246999999988</v>
      </c>
      <c r="I53" s="11">
        <f t="shared" si="8"/>
        <v>77179.035999999993</v>
      </c>
    </row>
    <row r="54" spans="1:9" x14ac:dyDescent="0.3">
      <c r="A54" s="27" t="s">
        <v>110</v>
      </c>
      <c r="B54" s="28"/>
      <c r="C54" s="11"/>
      <c r="D54" s="11">
        <f t="shared" ref="D54:I54" si="9">D18+D19</f>
        <v>15607.937</v>
      </c>
      <c r="E54" s="11">
        <f t="shared" si="9"/>
        <v>22795.398000000001</v>
      </c>
      <c r="F54" s="11">
        <f t="shared" si="9"/>
        <v>22725.174999999999</v>
      </c>
      <c r="G54" s="11">
        <f t="shared" si="9"/>
        <v>20252.841</v>
      </c>
      <c r="H54" s="11">
        <f t="shared" si="9"/>
        <v>20495.357</v>
      </c>
      <c r="I54" s="11">
        <f t="shared" si="9"/>
        <v>12590.985000000001</v>
      </c>
    </row>
    <row r="55" spans="1:9" x14ac:dyDescent="0.3">
      <c r="A55" s="27" t="s">
        <v>111</v>
      </c>
      <c r="B55" s="28"/>
      <c r="C55" s="11"/>
      <c r="D55" s="11">
        <f t="shared" ref="D55:I55" si="10">D31+D32+D41+D42+D43-D148-D149</f>
        <v>43792.817000000003</v>
      </c>
      <c r="E55" s="11">
        <f t="shared" si="10"/>
        <v>46475.900999999998</v>
      </c>
      <c r="F55" s="11">
        <f t="shared" si="10"/>
        <v>42528.276000000005</v>
      </c>
      <c r="G55" s="11">
        <f t="shared" si="10"/>
        <v>34321.806000000004</v>
      </c>
      <c r="H55" s="11">
        <f t="shared" si="10"/>
        <v>21907.100000000002</v>
      </c>
      <c r="I55" s="11">
        <f t="shared" si="10"/>
        <v>47478.588000000003</v>
      </c>
    </row>
    <row r="56" spans="1:9" x14ac:dyDescent="0.3">
      <c r="A56" s="27" t="s">
        <v>112</v>
      </c>
      <c r="B56" s="28"/>
      <c r="C56" s="11"/>
      <c r="D56" s="11">
        <f t="shared" ref="D56:I56" si="11">D31+D32</f>
        <v>19300.063999999998</v>
      </c>
      <c r="E56" s="11">
        <f t="shared" si="11"/>
        <v>14168.228999999999</v>
      </c>
      <c r="F56" s="11">
        <f t="shared" si="11"/>
        <v>9663.6190000000006</v>
      </c>
      <c r="G56" s="11">
        <f t="shared" si="11"/>
        <v>15965.116</v>
      </c>
      <c r="H56" s="11">
        <f t="shared" si="11"/>
        <v>10093.829</v>
      </c>
      <c r="I56" s="11">
        <f t="shared" si="11"/>
        <v>21972</v>
      </c>
    </row>
    <row r="57" spans="1:9" x14ac:dyDescent="0.3">
      <c r="A57" s="27"/>
      <c r="B57" s="28"/>
      <c r="C57" s="11"/>
      <c r="D57" s="11"/>
      <c r="E57" s="11"/>
      <c r="F57" s="11"/>
      <c r="G57" s="11"/>
      <c r="H57" s="11"/>
      <c r="I57" s="11"/>
    </row>
    <row r="58" spans="1:9" x14ac:dyDescent="0.3">
      <c r="A58" s="27" t="s">
        <v>113</v>
      </c>
      <c r="B58" s="28"/>
      <c r="C58" s="11"/>
      <c r="D58" s="11">
        <f t="shared" ref="D58:I58" si="12">D55+D29</f>
        <v>117270.69</v>
      </c>
      <c r="E58" s="11">
        <f t="shared" si="12"/>
        <v>116394.003</v>
      </c>
      <c r="F58" s="11">
        <f t="shared" si="12"/>
        <v>106720.55300000001</v>
      </c>
      <c r="G58" s="11">
        <f t="shared" si="12"/>
        <v>110169.34400000001</v>
      </c>
      <c r="H58" s="11">
        <f t="shared" si="12"/>
        <v>116574.57800000001</v>
      </c>
      <c r="I58" s="11">
        <f t="shared" si="12"/>
        <v>114122.74500000001</v>
      </c>
    </row>
    <row r="59" spans="1:9" x14ac:dyDescent="0.3">
      <c r="A59" s="27" t="s">
        <v>114</v>
      </c>
      <c r="B59" s="28"/>
      <c r="C59" s="11"/>
      <c r="D59" s="11">
        <f t="shared" ref="D59:I59" si="13">D24-D22-D21</f>
        <v>23098.105000000003</v>
      </c>
      <c r="E59" s="11">
        <f t="shared" si="13"/>
        <v>30439.938999999998</v>
      </c>
      <c r="F59" s="11">
        <f t="shared" si="13"/>
        <v>29080.795999999995</v>
      </c>
      <c r="G59" s="11">
        <f t="shared" si="13"/>
        <v>22653.470999999994</v>
      </c>
      <c r="H59" s="11">
        <f t="shared" si="13"/>
        <v>23334.11</v>
      </c>
      <c r="I59" s="11">
        <f t="shared" si="13"/>
        <v>20632.205000000002</v>
      </c>
    </row>
    <row r="60" spans="1:9" x14ac:dyDescent="0.3">
      <c r="A60" s="27" t="s">
        <v>115</v>
      </c>
      <c r="B60" s="28"/>
      <c r="C60" s="11"/>
      <c r="D60" s="11">
        <f t="shared" ref="D60:I60" si="14">D48-D41-D42-D43-D44-D40-D45</f>
        <v>14998.957999999997</v>
      </c>
      <c r="E60" s="11">
        <f t="shared" si="14"/>
        <v>12649.735000000001</v>
      </c>
      <c r="F60" s="11">
        <f t="shared" si="14"/>
        <v>13865.300999999992</v>
      </c>
      <c r="G60" s="11">
        <f t="shared" si="14"/>
        <v>12430.242</v>
      </c>
      <c r="H60" s="11">
        <f t="shared" si="14"/>
        <v>13754.378000000001</v>
      </c>
      <c r="I60" s="11">
        <f t="shared" si="14"/>
        <v>11371.556999999999</v>
      </c>
    </row>
    <row r="61" spans="1:9" x14ac:dyDescent="0.3">
      <c r="A61" s="20"/>
      <c r="B61" s="20"/>
    </row>
    <row r="62" spans="1:9" ht="19.5" customHeight="1" x14ac:dyDescent="0.3">
      <c r="A62" s="21" t="s">
        <v>116</v>
      </c>
      <c r="B62" s="22"/>
      <c r="C62" s="3"/>
      <c r="D62" s="3"/>
      <c r="E62" s="3"/>
      <c r="F62" s="3"/>
      <c r="G62" s="3"/>
      <c r="H62" s="3"/>
      <c r="I62" s="3"/>
    </row>
    <row r="63" spans="1:9" ht="16.5" customHeight="1" x14ac:dyDescent="0.3">
      <c r="A63" s="23" t="s">
        <v>57</v>
      </c>
      <c r="B63" s="24"/>
      <c r="C63" s="9"/>
      <c r="D63" s="9" t="s">
        <v>58</v>
      </c>
      <c r="E63" s="9" t="s">
        <v>59</v>
      </c>
      <c r="F63" s="9" t="s">
        <v>60</v>
      </c>
      <c r="G63" s="9" t="s">
        <v>61</v>
      </c>
      <c r="H63" s="9" t="s">
        <v>62</v>
      </c>
      <c r="I63" s="9" t="s">
        <v>63</v>
      </c>
    </row>
    <row r="64" spans="1:9" x14ac:dyDescent="0.3">
      <c r="A64" s="27" t="s">
        <v>117</v>
      </c>
      <c r="B64" s="28"/>
      <c r="C64" s="11"/>
      <c r="D64" s="11">
        <v>45107.69</v>
      </c>
      <c r="E64" s="11">
        <v>58043.862999999998</v>
      </c>
      <c r="F64" s="11">
        <v>64983.821000000004</v>
      </c>
      <c r="G64" s="11">
        <v>66038.688999999998</v>
      </c>
      <c r="H64" s="11">
        <v>71892.837</v>
      </c>
      <c r="I64" s="11">
        <v>38033.124000000003</v>
      </c>
    </row>
    <row r="65" spans="1:9" x14ac:dyDescent="0.3">
      <c r="A65" s="27" t="s">
        <v>118</v>
      </c>
      <c r="B65" s="28"/>
      <c r="C65" s="11"/>
      <c r="D65" s="11">
        <v>-37035.798000000003</v>
      </c>
      <c r="E65" s="11">
        <v>-47615.550999999999</v>
      </c>
      <c r="F65" s="11">
        <v>-55428.046000000002</v>
      </c>
      <c r="G65" s="11">
        <v>-55510.428999999996</v>
      </c>
      <c r="H65" s="11">
        <v>-53387.165999999997</v>
      </c>
      <c r="I65" s="11">
        <v>-36447.218000000001</v>
      </c>
    </row>
    <row r="66" spans="1:9" x14ac:dyDescent="0.3">
      <c r="A66" s="29" t="s">
        <v>119</v>
      </c>
      <c r="B66" s="30"/>
      <c r="C66" s="12"/>
      <c r="D66" s="12">
        <f t="shared" ref="D66:I66" si="15">D64+D65</f>
        <v>8071.8919999999998</v>
      </c>
      <c r="E66" s="12">
        <f t="shared" si="15"/>
        <v>10428.311999999998</v>
      </c>
      <c r="F66" s="12">
        <f t="shared" si="15"/>
        <v>9555.7750000000015</v>
      </c>
      <c r="G66" s="12">
        <f t="shared" si="15"/>
        <v>10528.260000000002</v>
      </c>
      <c r="H66" s="12">
        <f t="shared" si="15"/>
        <v>18505.671000000002</v>
      </c>
      <c r="I66" s="12">
        <f t="shared" si="15"/>
        <v>1585.9060000000027</v>
      </c>
    </row>
    <row r="67" spans="1:9" x14ac:dyDescent="0.3">
      <c r="A67" s="27" t="s">
        <v>120</v>
      </c>
      <c r="B67" s="28"/>
      <c r="C67" s="11"/>
      <c r="D67" s="11">
        <v>-1950.056</v>
      </c>
      <c r="E67" s="11">
        <v>-1748.8589999999999</v>
      </c>
      <c r="F67" s="11">
        <v>-1818.028</v>
      </c>
      <c r="G67" s="11">
        <v>-2608.5369999999998</v>
      </c>
      <c r="H67" s="11">
        <v>-3874.6880000000001</v>
      </c>
      <c r="I67" s="11">
        <v>-1783.422</v>
      </c>
    </row>
    <row r="68" spans="1:9" x14ac:dyDescent="0.3">
      <c r="A68" s="27" t="s">
        <v>121</v>
      </c>
      <c r="B68" s="28"/>
      <c r="C68" s="11"/>
      <c r="D68" s="11">
        <v>-646.76199999999994</v>
      </c>
      <c r="E68" s="11">
        <v>-751.05200000000002</v>
      </c>
      <c r="F68" s="11">
        <v>-879.35599999999999</v>
      </c>
      <c r="G68" s="11">
        <v>-1206.105</v>
      </c>
      <c r="H68" s="11">
        <v>-1294.9739999999999</v>
      </c>
      <c r="I68" s="11">
        <v>-658.87400000000002</v>
      </c>
    </row>
    <row r="69" spans="1:9" x14ac:dyDescent="0.3">
      <c r="A69" s="27" t="s">
        <v>122</v>
      </c>
      <c r="B69" s="28"/>
      <c r="C69" s="11"/>
      <c r="D69" s="11">
        <v>104.703</v>
      </c>
      <c r="E69" s="11">
        <v>-8.99</v>
      </c>
      <c r="F69" s="11">
        <v>-104.09399999999999</v>
      </c>
      <c r="G69" s="11">
        <v>-103.367</v>
      </c>
      <c r="H69" s="11">
        <v>-6.899</v>
      </c>
      <c r="I69" s="11">
        <v>-146.447</v>
      </c>
    </row>
    <row r="70" spans="1:9" x14ac:dyDescent="0.3">
      <c r="A70" s="27" t="s">
        <v>123</v>
      </c>
      <c r="B70" s="28"/>
      <c r="C70" s="11"/>
      <c r="D70" s="11">
        <v>-414.315</v>
      </c>
      <c r="E70" s="11">
        <v>-1042.8030000000001</v>
      </c>
      <c r="F70" s="11">
        <v>-96.460999999999999</v>
      </c>
      <c r="G70" s="11">
        <v>-5.0330000000000004</v>
      </c>
      <c r="H70" s="11">
        <v>-725.66300000000001</v>
      </c>
      <c r="I70" s="11">
        <v>-529.64</v>
      </c>
    </row>
    <row r="71" spans="1:9" x14ac:dyDescent="0.3">
      <c r="A71" s="29" t="s">
        <v>124</v>
      </c>
      <c r="B71" s="30"/>
      <c r="C71" s="12"/>
      <c r="D71" s="12">
        <f t="shared" ref="D71:I71" si="16">D66+D67+D68+D69+D70</f>
        <v>5165.4620000000004</v>
      </c>
      <c r="E71" s="12">
        <f t="shared" si="16"/>
        <v>6876.6079999999984</v>
      </c>
      <c r="F71" s="12">
        <f t="shared" si="16"/>
        <v>6657.8360000000011</v>
      </c>
      <c r="G71" s="12">
        <f t="shared" si="16"/>
        <v>6605.2180000000017</v>
      </c>
      <c r="H71" s="12">
        <f t="shared" si="16"/>
        <v>12603.447000000002</v>
      </c>
      <c r="I71" s="12">
        <f t="shared" si="16"/>
        <v>-1532.4769999999974</v>
      </c>
    </row>
    <row r="72" spans="1:9" x14ac:dyDescent="0.3">
      <c r="A72" s="27" t="s">
        <v>125</v>
      </c>
      <c r="B72" s="28"/>
      <c r="C72" s="11"/>
      <c r="D72" s="11">
        <v>2526.8180000000002</v>
      </c>
      <c r="E72" s="11">
        <v>2714.34</v>
      </c>
      <c r="F72" s="11">
        <v>3246.9989999999998</v>
      </c>
      <c r="G72" s="11">
        <v>4234.7969999999996</v>
      </c>
      <c r="H72" s="11">
        <v>4271.57</v>
      </c>
      <c r="I72" s="11">
        <v>2429.5749999999998</v>
      </c>
    </row>
    <row r="73" spans="1:9" x14ac:dyDescent="0.3">
      <c r="A73" s="27" t="s">
        <v>126</v>
      </c>
      <c r="B73" s="28"/>
      <c r="C73" s="11"/>
      <c r="D73" s="11">
        <v>0</v>
      </c>
      <c r="E73" s="11">
        <v>0</v>
      </c>
      <c r="F73" s="11">
        <v>0</v>
      </c>
      <c r="G73" s="11">
        <v>0</v>
      </c>
      <c r="H73" s="11">
        <v>0</v>
      </c>
      <c r="I73" s="11">
        <v>0</v>
      </c>
    </row>
    <row r="74" spans="1:9" x14ac:dyDescent="0.3">
      <c r="A74" s="27" t="s">
        <v>127</v>
      </c>
      <c r="B74" s="28"/>
      <c r="C74" s="11"/>
      <c r="D74" s="11">
        <v>0</v>
      </c>
      <c r="E74" s="11">
        <v>0</v>
      </c>
      <c r="F74" s="11">
        <v>0</v>
      </c>
      <c r="G74" s="11">
        <v>0</v>
      </c>
      <c r="H74" s="11">
        <v>0</v>
      </c>
      <c r="I74" s="11">
        <v>0</v>
      </c>
    </row>
    <row r="75" spans="1:9" x14ac:dyDescent="0.3">
      <c r="A75" s="27" t="s">
        <v>128</v>
      </c>
      <c r="B75" s="28"/>
      <c r="C75" s="11"/>
      <c r="D75" s="11">
        <v>-2920.875</v>
      </c>
      <c r="E75" s="11">
        <v>-3571.1869999999999</v>
      </c>
      <c r="F75" s="11">
        <v>-6742.2920000000004</v>
      </c>
      <c r="G75" s="11">
        <v>-8001.1049999999996</v>
      </c>
      <c r="H75" s="11">
        <v>-3870.4050000000002</v>
      </c>
      <c r="I75" s="11">
        <v>-4653.2860000000001</v>
      </c>
    </row>
    <row r="76" spans="1:9" x14ac:dyDescent="0.3">
      <c r="A76" s="29" t="s">
        <v>129</v>
      </c>
      <c r="B76" s="30"/>
      <c r="C76" s="12"/>
      <c r="D76" s="12">
        <f t="shared" ref="D76:I76" si="17">D71+D72+D73+D74+D75</f>
        <v>4771.4050000000007</v>
      </c>
      <c r="E76" s="12">
        <f t="shared" si="17"/>
        <v>6019.7609999999986</v>
      </c>
      <c r="F76" s="12">
        <f t="shared" si="17"/>
        <v>3162.5430000000006</v>
      </c>
      <c r="G76" s="12">
        <f t="shared" si="17"/>
        <v>2838.9100000000017</v>
      </c>
      <c r="H76" s="12">
        <f t="shared" si="17"/>
        <v>13004.611999999999</v>
      </c>
      <c r="I76" s="12">
        <f t="shared" si="17"/>
        <v>-3756.1879999999974</v>
      </c>
    </row>
    <row r="77" spans="1:9" x14ac:dyDescent="0.3">
      <c r="A77" s="27" t="s">
        <v>130</v>
      </c>
      <c r="B77" s="28"/>
      <c r="C77" s="11"/>
      <c r="D77" s="11">
        <v>0</v>
      </c>
      <c r="E77" s="11">
        <v>0</v>
      </c>
      <c r="F77" s="11">
        <v>-364.05399999999997</v>
      </c>
      <c r="G77" s="11">
        <v>-520.84799999999996</v>
      </c>
      <c r="H77" s="11">
        <v>-577.125</v>
      </c>
      <c r="I77" s="11">
        <v>0</v>
      </c>
    </row>
    <row r="78" spans="1:9" x14ac:dyDescent="0.3">
      <c r="A78" s="27" t="s">
        <v>131</v>
      </c>
      <c r="B78" s="28"/>
      <c r="C78" s="11"/>
      <c r="D78" s="11">
        <v>-1050.1320000000001</v>
      </c>
      <c r="E78" s="11">
        <v>-3047.6289999999999</v>
      </c>
      <c r="F78" s="11">
        <v>-6434.4650000000001</v>
      </c>
      <c r="G78" s="11">
        <v>-1775.6659999999999</v>
      </c>
      <c r="H78" s="11">
        <v>-3752.4279999999999</v>
      </c>
      <c r="I78" s="11">
        <v>1597.527</v>
      </c>
    </row>
    <row r="79" spans="1:9" x14ac:dyDescent="0.3">
      <c r="A79" s="29" t="s">
        <v>132</v>
      </c>
      <c r="B79" s="30"/>
      <c r="C79" s="12"/>
      <c r="D79" s="12">
        <f t="shared" ref="D79:I79" si="18">D76+D77+D78</f>
        <v>3721.2730000000006</v>
      </c>
      <c r="E79" s="12">
        <f t="shared" si="18"/>
        <v>2972.1319999999987</v>
      </c>
      <c r="F79" s="12">
        <f t="shared" si="18"/>
        <v>-3635.9759999999997</v>
      </c>
      <c r="G79" s="12">
        <f t="shared" si="18"/>
        <v>542.39600000000178</v>
      </c>
      <c r="H79" s="12">
        <f t="shared" si="18"/>
        <v>8675.0589999999993</v>
      </c>
      <c r="I79" s="12">
        <f t="shared" si="18"/>
        <v>-2158.6609999999973</v>
      </c>
    </row>
    <row r="80" spans="1:9" x14ac:dyDescent="0.3">
      <c r="A80" s="25" t="s">
        <v>133</v>
      </c>
      <c r="B80" s="26"/>
      <c r="C80" s="10"/>
      <c r="D80" s="10"/>
      <c r="E80" s="10"/>
      <c r="F80" s="10"/>
      <c r="G80" s="10"/>
      <c r="H80" s="10"/>
      <c r="I80" s="10"/>
    </row>
    <row r="81" spans="1:9" x14ac:dyDescent="0.3">
      <c r="A81" s="27" t="s">
        <v>134</v>
      </c>
      <c r="B81" s="28"/>
      <c r="C81" s="11"/>
      <c r="D81" s="11">
        <v>3580.8069999999998</v>
      </c>
      <c r="E81" s="11">
        <v>3913.288</v>
      </c>
      <c r="F81" s="11">
        <v>3944.1279999999997</v>
      </c>
      <c r="G81" s="11">
        <v>3853.4520000000002</v>
      </c>
      <c r="H81" s="11">
        <v>3832.6020000000003</v>
      </c>
      <c r="I81" s="11"/>
    </row>
    <row r="82" spans="1:9" x14ac:dyDescent="0.3">
      <c r="A82" s="27" t="s">
        <v>135</v>
      </c>
      <c r="B82" s="28"/>
      <c r="C82" s="11"/>
      <c r="D82" s="11">
        <f>D76+D85</f>
        <v>7657.514000000001</v>
      </c>
      <c r="E82" s="11">
        <f>E76+E85</f>
        <v>9564.4179999999978</v>
      </c>
      <c r="F82" s="11">
        <f>F76+F85</f>
        <v>9866.3420000000006</v>
      </c>
      <c r="G82" s="11">
        <f>G76+G85</f>
        <v>10763.888000000001</v>
      </c>
      <c r="H82" s="11">
        <f>H76+H85</f>
        <v>16821.347999999998</v>
      </c>
      <c r="I82" s="11">
        <f>I76-I75</f>
        <v>897.09800000000268</v>
      </c>
    </row>
    <row r="83" spans="1:9" x14ac:dyDescent="0.3">
      <c r="A83" s="27" t="s">
        <v>136</v>
      </c>
      <c r="B83" s="28"/>
      <c r="C83" s="11"/>
      <c r="D83" s="11">
        <f>D82+D81</f>
        <v>11238.321</v>
      </c>
      <c r="E83" s="11">
        <f>E82+E81</f>
        <v>13477.705999999998</v>
      </c>
      <c r="F83" s="11">
        <f>F82+F81</f>
        <v>13810.470000000001</v>
      </c>
      <c r="G83" s="11">
        <f>G82+G81</f>
        <v>14617.34</v>
      </c>
      <c r="H83" s="11">
        <f>H82+H81</f>
        <v>20653.949999999997</v>
      </c>
      <c r="I83" s="11"/>
    </row>
    <row r="84" spans="1:9" x14ac:dyDescent="0.3">
      <c r="A84" s="27" t="s">
        <v>137</v>
      </c>
      <c r="B84" s="28"/>
      <c r="C84" s="11"/>
      <c r="D84" s="11">
        <v>34.765999999999998</v>
      </c>
      <c r="E84" s="11">
        <v>26.53</v>
      </c>
      <c r="F84" s="11">
        <v>38.493000000000002</v>
      </c>
      <c r="G84" s="11">
        <v>76.126999999999995</v>
      </c>
      <c r="H84" s="11">
        <v>53.668999999999997</v>
      </c>
      <c r="I84" s="13"/>
    </row>
    <row r="85" spans="1:9" x14ac:dyDescent="0.3">
      <c r="A85" s="27" t="s">
        <v>138</v>
      </c>
      <c r="B85" s="28"/>
      <c r="C85" s="11"/>
      <c r="D85" s="11">
        <f>-D75-D84</f>
        <v>2886.1089999999999</v>
      </c>
      <c r="E85" s="11">
        <f>-E75-E84</f>
        <v>3544.6569999999997</v>
      </c>
      <c r="F85" s="11">
        <f>-F75-F84</f>
        <v>6703.799</v>
      </c>
      <c r="G85" s="11">
        <f>-G75-G84</f>
        <v>7924.9779999999992</v>
      </c>
      <c r="H85" s="11">
        <f>-H75-H84</f>
        <v>3816.7360000000003</v>
      </c>
      <c r="I85" s="13"/>
    </row>
    <row r="86" spans="1:9" x14ac:dyDescent="0.3">
      <c r="A86" s="27" t="s">
        <v>139</v>
      </c>
      <c r="B86" s="28"/>
      <c r="C86" s="14"/>
      <c r="D86" s="14">
        <f>IF(D76&lt;=0,"n/m",-(D77+D78)/D76)</f>
        <v>0.22008863217438049</v>
      </c>
      <c r="E86" s="14">
        <f>IF(E76&lt;=0,"n/m",-(E77+E78)/E76)</f>
        <v>0.50627076390574322</v>
      </c>
      <c r="F86" s="14">
        <f>IF(F76&lt;=0,"n/m",-(F77+F78)/F76)</f>
        <v>2.1497000989393658</v>
      </c>
      <c r="G86" s="14">
        <f>IF(G76&lt;=0,"n/m",-(G77+G78)/G76)</f>
        <v>0.80894216442226019</v>
      </c>
      <c r="H86" s="14">
        <f>IF(H76&lt;=0,"n/m",-(H77+H78)/H76)</f>
        <v>0.3329244271186253</v>
      </c>
      <c r="I86" s="13"/>
    </row>
    <row r="87" spans="1:9" x14ac:dyDescent="0.3">
      <c r="A87" s="27" t="s">
        <v>140</v>
      </c>
      <c r="B87" s="28"/>
      <c r="C87" s="14"/>
      <c r="D87" s="14">
        <f>D86</f>
        <v>0.22008863217438049</v>
      </c>
      <c r="E87" s="14">
        <f>E86</f>
        <v>0.50627076390574322</v>
      </c>
      <c r="F87" s="14">
        <f>F86</f>
        <v>2.1497000989393658</v>
      </c>
      <c r="G87" s="14">
        <f>G86</f>
        <v>0.80894216442226019</v>
      </c>
      <c r="H87" s="14">
        <f>H86</f>
        <v>0.3329244271186253</v>
      </c>
      <c r="I87" s="13"/>
    </row>
    <row r="88" spans="1:9" x14ac:dyDescent="0.3">
      <c r="A88" s="27" t="s">
        <v>141</v>
      </c>
      <c r="B88" s="28"/>
      <c r="C88" s="11"/>
      <c r="D88" s="11">
        <f>IF(ISNUMBER(D87),D82*(1-D87),"n/m")</f>
        <v>5972.182217883832</v>
      </c>
      <c r="E88" s="11">
        <f>IF(ISNUMBER(E87),E82*(1-E87),"n/m")</f>
        <v>4722.2327928261584</v>
      </c>
      <c r="F88" s="11">
        <f>IF(ISNUMBER(F87),F82*(1-F87),"n/m")</f>
        <v>-11343.33437356962</v>
      </c>
      <c r="G88" s="11">
        <f>IF(ISNUMBER(G87),G82*(1-G87),"n/m")</f>
        <v>2056.5251436812068</v>
      </c>
      <c r="H88" s="11">
        <f>IF(ISNUMBER(H87),H82*(1-H87),"n/m")</f>
        <v>11221.110353736964</v>
      </c>
      <c r="I88" s="13"/>
    </row>
    <row r="89" spans="1:9" x14ac:dyDescent="0.3">
      <c r="A89" s="20"/>
      <c r="B89" s="20"/>
    </row>
    <row r="90" spans="1:9" ht="19.5" customHeight="1" x14ac:dyDescent="0.3">
      <c r="A90" s="21" t="s">
        <v>142</v>
      </c>
      <c r="B90" s="22"/>
      <c r="C90" s="3"/>
      <c r="D90" s="3"/>
      <c r="E90" s="3"/>
      <c r="F90" s="3"/>
      <c r="G90" s="3"/>
      <c r="H90" s="3"/>
      <c r="I90" s="3"/>
    </row>
    <row r="91" spans="1:9" ht="16.5" customHeight="1" x14ac:dyDescent="0.3">
      <c r="A91" s="23" t="s">
        <v>57</v>
      </c>
      <c r="B91" s="24"/>
      <c r="C91" s="9"/>
      <c r="D91" s="9" t="s">
        <v>58</v>
      </c>
      <c r="E91" s="9" t="s">
        <v>59</v>
      </c>
      <c r="F91" s="9" t="s">
        <v>60</v>
      </c>
      <c r="G91" s="9" t="s">
        <v>61</v>
      </c>
      <c r="H91" s="9" t="s">
        <v>62</v>
      </c>
      <c r="I91" s="9" t="s">
        <v>63</v>
      </c>
    </row>
    <row r="92" spans="1:9" x14ac:dyDescent="0.3">
      <c r="A92" s="27" t="s">
        <v>143</v>
      </c>
      <c r="B92" s="28"/>
      <c r="C92" s="11"/>
      <c r="D92" s="11">
        <v>10472.429</v>
      </c>
      <c r="E92" s="11">
        <v>941.86599999999999</v>
      </c>
      <c r="F92" s="11">
        <v>13397.298000000001</v>
      </c>
      <c r="G92" s="11">
        <v>13222.674999999999</v>
      </c>
      <c r="H92" s="11">
        <v>15811.428</v>
      </c>
      <c r="I92" s="11">
        <v>6062.299</v>
      </c>
    </row>
    <row r="93" spans="1:9" x14ac:dyDescent="0.3">
      <c r="A93" s="27" t="s">
        <v>144</v>
      </c>
      <c r="B93" s="28"/>
      <c r="C93" s="11"/>
      <c r="D93" s="11">
        <v>6161.19</v>
      </c>
      <c r="E93" s="11">
        <v>-3932.4789999999998</v>
      </c>
      <c r="F93" s="11">
        <v>6504.2340000000004</v>
      </c>
      <c r="G93" s="11">
        <v>6029.5450000000001</v>
      </c>
      <c r="H93" s="11">
        <v>10034.132</v>
      </c>
      <c r="I93" s="11">
        <v>-343.13099999999997</v>
      </c>
    </row>
    <row r="94" spans="1:9" x14ac:dyDescent="0.3">
      <c r="A94" s="27" t="s">
        <v>145</v>
      </c>
      <c r="B94" s="28"/>
      <c r="C94" s="11"/>
      <c r="D94" s="11">
        <v>-2962.16</v>
      </c>
      <c r="E94" s="11">
        <v>1461.646</v>
      </c>
      <c r="F94" s="11">
        <v>-1747.152</v>
      </c>
      <c r="G94" s="11">
        <v>2277.223</v>
      </c>
      <c r="H94" s="11">
        <v>3000.5349999999999</v>
      </c>
      <c r="I94" s="11">
        <v>-5082.7960000000003</v>
      </c>
    </row>
    <row r="95" spans="1:9" x14ac:dyDescent="0.3">
      <c r="A95" s="27" t="s">
        <v>146</v>
      </c>
      <c r="B95" s="28"/>
      <c r="C95" s="11"/>
      <c r="D95" s="11">
        <v>2374.8530000000001</v>
      </c>
      <c r="E95" s="11">
        <v>-4864.9560000000001</v>
      </c>
      <c r="F95" s="11">
        <v>-4883.5690000000004</v>
      </c>
      <c r="G95" s="11">
        <v>4051.0210000000002</v>
      </c>
      <c r="H95" s="11">
        <v>-9357.6869999999999</v>
      </c>
      <c r="I95" s="11">
        <v>2519.5770000000002</v>
      </c>
    </row>
    <row r="96" spans="1:9" x14ac:dyDescent="0.3">
      <c r="A96" s="27" t="s">
        <v>147</v>
      </c>
      <c r="B96" s="28"/>
      <c r="C96" s="11"/>
      <c r="D96" s="11">
        <v>-5087.1040000000003</v>
      </c>
      <c r="E96" s="11">
        <v>-1739.5509999999999</v>
      </c>
      <c r="F96" s="11">
        <v>-3418.069</v>
      </c>
      <c r="G96" s="11">
        <v>-1620.798</v>
      </c>
      <c r="H96" s="11">
        <v>-1211.491</v>
      </c>
      <c r="I96" s="11">
        <v>-7374.4279999999999</v>
      </c>
    </row>
    <row r="97" spans="1:9" x14ac:dyDescent="0.3">
      <c r="A97" s="27" t="s">
        <v>148</v>
      </c>
      <c r="B97" s="28"/>
      <c r="C97" s="11"/>
      <c r="D97" s="11">
        <v>-3125.3809999999999</v>
      </c>
      <c r="E97" s="11">
        <v>-3195.7269999999999</v>
      </c>
      <c r="F97" s="11">
        <v>-5998.5990000000002</v>
      </c>
      <c r="G97" s="11">
        <v>-8460.2060000000001</v>
      </c>
      <c r="H97" s="11">
        <v>-4921.1989999999996</v>
      </c>
      <c r="I97" s="11">
        <v>-4750.58</v>
      </c>
    </row>
    <row r="98" spans="1:9" x14ac:dyDescent="0.3">
      <c r="A98" s="27" t="s">
        <v>149</v>
      </c>
      <c r="B98" s="28"/>
      <c r="C98" s="11"/>
      <c r="D98" s="11">
        <v>-0.32</v>
      </c>
      <c r="E98" s="11">
        <v>-437.12400000000002</v>
      </c>
      <c r="F98" s="11">
        <v>-437.92700000000002</v>
      </c>
      <c r="G98" s="11">
        <v>-0.502</v>
      </c>
      <c r="H98" s="11">
        <v>-4.8000000000000001E-2</v>
      </c>
      <c r="I98" s="11">
        <v>-437.72</v>
      </c>
    </row>
    <row r="99" spans="1:9" x14ac:dyDescent="0.3">
      <c r="A99" s="20"/>
      <c r="B99" s="20"/>
    </row>
    <row r="100" spans="1:9" ht="19.5" customHeight="1" x14ac:dyDescent="0.3">
      <c r="A100" s="21" t="s">
        <v>150</v>
      </c>
      <c r="B100" s="22"/>
      <c r="C100" s="3"/>
      <c r="D100" s="3"/>
      <c r="E100" s="3"/>
      <c r="F100" s="3"/>
      <c r="G100" s="3"/>
      <c r="H100" s="3"/>
      <c r="I100" s="3"/>
    </row>
    <row r="101" spans="1:9" ht="16.5" customHeight="1" x14ac:dyDescent="0.3">
      <c r="A101" s="23" t="s">
        <v>57</v>
      </c>
      <c r="B101" s="24"/>
      <c r="C101" s="9"/>
      <c r="D101" s="9" t="s">
        <v>58</v>
      </c>
      <c r="E101" s="9" t="s">
        <v>59</v>
      </c>
      <c r="F101" s="9" t="s">
        <v>60</v>
      </c>
      <c r="G101" s="9" t="s">
        <v>61</v>
      </c>
      <c r="H101" s="9" t="s">
        <v>62</v>
      </c>
    </row>
    <row r="102" spans="1:9" x14ac:dyDescent="0.3">
      <c r="A102" s="27" t="s">
        <v>151</v>
      </c>
      <c r="B102" s="28"/>
      <c r="C102" s="15"/>
      <c r="D102" s="15">
        <v>10</v>
      </c>
      <c r="E102" s="15">
        <v>10</v>
      </c>
      <c r="F102" s="15">
        <v>10</v>
      </c>
      <c r="G102" s="15">
        <v>10</v>
      </c>
      <c r="H102" s="15">
        <v>10</v>
      </c>
    </row>
    <row r="103" spans="1:9" x14ac:dyDescent="0.3">
      <c r="A103" s="27" t="s">
        <v>152</v>
      </c>
      <c r="B103" s="28"/>
      <c r="C103" s="16"/>
      <c r="D103" s="16">
        <f>D27/D102-D107</f>
        <v>438.1191</v>
      </c>
      <c r="E103" s="16">
        <f>E27/E102-E107</f>
        <v>438.1191</v>
      </c>
      <c r="F103" s="16">
        <f>F27/F102-F107</f>
        <v>438.1191</v>
      </c>
      <c r="G103" s="16">
        <f>G27/G102-G107</f>
        <v>438.1191</v>
      </c>
      <c r="H103" s="16">
        <f>H27/H102-H107</f>
        <v>438.1191</v>
      </c>
    </row>
    <row r="104" spans="1:9" x14ac:dyDescent="0.3">
      <c r="A104" s="27" t="s">
        <v>153</v>
      </c>
      <c r="B104" s="28"/>
      <c r="C104" s="16"/>
      <c r="D104" s="16">
        <v>438.11911800000001</v>
      </c>
      <c r="E104" s="16">
        <v>438.11911800000001</v>
      </c>
      <c r="F104" s="16">
        <v>438.11911800000001</v>
      </c>
      <c r="G104" s="16">
        <v>438.11911800000001</v>
      </c>
      <c r="H104" s="16">
        <v>438.11911800000001</v>
      </c>
    </row>
    <row r="105" spans="1:9" x14ac:dyDescent="0.3">
      <c r="A105" s="27" t="s">
        <v>154</v>
      </c>
      <c r="B105" s="28"/>
      <c r="C105" s="15"/>
      <c r="D105" s="15">
        <v>117.92</v>
      </c>
      <c r="E105" s="15">
        <v>62.5</v>
      </c>
      <c r="F105" s="15">
        <v>51.3</v>
      </c>
      <c r="G105" s="15">
        <v>90.27</v>
      </c>
      <c r="H105" s="15">
        <v>165.56</v>
      </c>
    </row>
    <row r="106" spans="1:9" x14ac:dyDescent="0.3">
      <c r="A106" s="27" t="s">
        <v>155</v>
      </c>
      <c r="B106" s="28"/>
      <c r="C106" s="15"/>
      <c r="D106" s="15">
        <v>1</v>
      </c>
      <c r="E106" s="15">
        <v>1</v>
      </c>
      <c r="F106" s="65">
        <v>0</v>
      </c>
      <c r="G106" s="65">
        <v>0</v>
      </c>
      <c r="H106" s="15">
        <v>2</v>
      </c>
    </row>
    <row r="107" spans="1:9" x14ac:dyDescent="0.3">
      <c r="A107" s="27" t="s">
        <v>156</v>
      </c>
      <c r="B107" s="28"/>
      <c r="C107" s="15"/>
      <c r="D107" s="15">
        <v>0</v>
      </c>
      <c r="E107" s="15">
        <v>0</v>
      </c>
      <c r="F107" s="15">
        <v>0</v>
      </c>
      <c r="G107" s="15">
        <v>0</v>
      </c>
      <c r="H107" s="15">
        <v>0</v>
      </c>
    </row>
    <row r="108" spans="1:9" ht="19.5" customHeight="1" x14ac:dyDescent="0.3">
      <c r="A108" s="21" t="s">
        <v>157</v>
      </c>
      <c r="B108" s="22"/>
      <c r="C108" s="3"/>
      <c r="D108" s="3"/>
      <c r="E108" s="3"/>
      <c r="F108" s="3"/>
      <c r="G108" s="3"/>
      <c r="H108" s="3"/>
      <c r="I108" s="3"/>
    </row>
    <row r="109" spans="1:9" ht="30" customHeight="1" x14ac:dyDescent="0.3">
      <c r="A109" s="33" t="s">
        <v>158</v>
      </c>
      <c r="B109" s="33" t="s">
        <v>159</v>
      </c>
      <c r="C109" s="33" t="s">
        <v>160</v>
      </c>
      <c r="D109" s="33" t="s">
        <v>58</v>
      </c>
      <c r="E109" s="33" t="s">
        <v>59</v>
      </c>
      <c r="F109" s="33" t="s">
        <v>60</v>
      </c>
      <c r="G109" s="33" t="s">
        <v>61</v>
      </c>
      <c r="H109" s="33" t="s">
        <v>62</v>
      </c>
    </row>
    <row r="110" spans="1:9" ht="22.95" customHeight="1" x14ac:dyDescent="0.3">
      <c r="A110" s="90" t="s">
        <v>161</v>
      </c>
      <c r="B110" s="90"/>
      <c r="C110" s="90"/>
      <c r="D110" s="90"/>
      <c r="E110" s="90"/>
      <c r="F110" s="90"/>
      <c r="G110" s="90"/>
      <c r="H110" s="90"/>
    </row>
    <row r="111" spans="1:9" ht="34.049999999999997" customHeight="1" x14ac:dyDescent="0.3">
      <c r="A111" s="34" t="s">
        <v>162</v>
      </c>
      <c r="B111" s="35" t="s">
        <v>163</v>
      </c>
      <c r="C111" s="35" t="s">
        <v>164</v>
      </c>
      <c r="D111" s="37">
        <f>IF(OR(NOT(ISNUMBER(D24)),NOT(ISNUMBER(D48))),"n/m",IF(OR((D48)&lt;=0,(D24)&lt;0),"n/m",(D24)/(D48)))</f>
        <v>0.91452508864509019</v>
      </c>
      <c r="E111" s="37">
        <f>IF(OR(NOT(ISNUMBER(E24)),NOT(ISNUMBER(E48))),"n/m",IF(OR((E48)&lt;=0,(E24)&lt;0),"n/m",(E24)/(E48)))</f>
        <v>0.88552877147710041</v>
      </c>
      <c r="F111" s="37">
        <f>IF(OR(NOT(ISNUMBER(F24)),NOT(ISNUMBER(F48))),"n/m",IF(OR((F48)&lt;=0,(F24)&lt;0),"n/m",(F24)/(F48)))</f>
        <v>0.80176749057385621</v>
      </c>
      <c r="G111" s="37">
        <f>IF(OR(NOT(ISNUMBER(G24)),NOT(ISNUMBER(G48))),"n/m",IF(OR((G48)&lt;=0,(G24)&lt;0),"n/m",(G24)/(G48)))</f>
        <v>1.296185931254842</v>
      </c>
      <c r="H111" s="37">
        <f>IF(OR(NOT(ISNUMBER(H24)),NOT(ISNUMBER(H48))),"n/m",IF(OR((H48)&lt;=0,(H24)&lt;0),"n/m",(H24)/(H48)))</f>
        <v>1.8489517932979607</v>
      </c>
    </row>
    <row r="112" spans="1:9" ht="34.049999999999997" customHeight="1" x14ac:dyDescent="0.3">
      <c r="A112" s="34" t="s">
        <v>165</v>
      </c>
      <c r="B112" s="35" t="s">
        <v>166</v>
      </c>
      <c r="C112" s="35" t="s">
        <v>167</v>
      </c>
      <c r="D112" s="37">
        <f>IF(OR(NOT(ISNUMBER(D24-D54)),NOT(ISNUMBER(D48))),"n/m",IF(OR((D48)&lt;=0,(D24-D54)&lt;0),"n/m",(D24-D54)/(D48)))</f>
        <v>0.52718830778210601</v>
      </c>
      <c r="E112" s="37">
        <f>IF(OR(NOT(ISNUMBER(E24-E54)),NOT(ISNUMBER(E48))),"n/m",IF(OR((E48)&lt;=0,(E24-E54)&lt;0),"n/m",(E24-E54)/(E48)))</f>
        <v>0.39093390789665328</v>
      </c>
      <c r="F112" s="37">
        <f>IF(OR(NOT(ISNUMBER(F24-F54)),NOT(ISNUMBER(F48))),"n/m",IF(OR((F48)&lt;=0,(F24-F54)&lt;0),"n/m",(F24-F54)/(F48)))</f>
        <v>0.33489936167445872</v>
      </c>
      <c r="G112" s="37">
        <f>IF(OR(NOT(ISNUMBER(G24-G54)),NOT(ISNUMBER(G48))),"n/m",IF(OR((G48)&lt;=0,(G24-G54)&lt;0),"n/m",(G24-G54)/(G48)))</f>
        <v>0.66771764923027133</v>
      </c>
      <c r="H112" s="37">
        <f>IF(OR(NOT(ISNUMBER(H24-H54)),NOT(ISNUMBER(H48))),"n/m",IF(OR((H48)&lt;=0,(H24-H54)&lt;0),"n/m",(H24-H54)/(H48)))</f>
        <v>1.0579587679634685</v>
      </c>
    </row>
    <row r="113" spans="1:8" ht="34.049999999999997" customHeight="1" x14ac:dyDescent="0.3">
      <c r="A113" s="34" t="s">
        <v>168</v>
      </c>
      <c r="B113" s="35" t="s">
        <v>169</v>
      </c>
      <c r="C113" s="35" t="s">
        <v>170</v>
      </c>
      <c r="D113" s="37">
        <f>IF(OR(NOT(ISNUMBER(D157)),NOT(ISNUMBER(D48))),"n/m",IF(OR((D48)&lt;=0,(D157)&lt;0),"n/m",(D157)/(D48)))</f>
        <v>2.0011480184397672E-2</v>
      </c>
      <c r="E113" s="37">
        <f>IF(OR(NOT(ISNUMBER(E157)),NOT(ISNUMBER(E48))),"n/m",IF(OR((E48)&lt;=0,(E157)&lt;0),"n/m",(E157)/(E48)))</f>
        <v>8.913248794490819E-3</v>
      </c>
      <c r="F113" s="37">
        <f>IF(OR(NOT(ISNUMBER(F157)),NOT(ISNUMBER(F48))),"n/m",IF(OR((F48)&lt;=0,(F157)&lt;0),"n/m",(F157)/(F48)))</f>
        <v>1.3866688142092815E-2</v>
      </c>
      <c r="G113" s="37">
        <f>IF(OR(NOT(ISNUMBER(G157)),NOT(ISNUMBER(G48))),"n/m",IF(OR((G48)&lt;=0,(G157)&lt;0),"n/m",(G157)/(G48)))</f>
        <v>2.2719990993528554E-2</v>
      </c>
      <c r="H113" s="37">
        <f>IF(OR(NOT(ISNUMBER(H157)),NOT(ISNUMBER(H48))),"n/m",IF(OR((H48)&lt;=0,(H157)&lt;0),"n/m",(H157)/(H48)))</f>
        <v>4.7175167844291127E-2</v>
      </c>
    </row>
    <row r="114" spans="1:8" ht="34.049999999999997" customHeight="1" x14ac:dyDescent="0.3">
      <c r="A114" s="34" t="s">
        <v>171</v>
      </c>
      <c r="B114" s="35" t="s">
        <v>172</v>
      </c>
      <c r="C114" s="35" t="s">
        <v>173</v>
      </c>
      <c r="D114" s="38" t="str">
        <f>IF(OR(NOT(ISNUMBER(D24-D48)),NOT(ISNUMBER(1))),"n/m",IF(OR((1)&lt;=0,(D24-D48)&lt;0),"n/m",(D24-D48)/(1)))</f>
        <v>n/m</v>
      </c>
      <c r="E114" s="38" t="str">
        <f>IF(OR(NOT(ISNUMBER(E24-E48)),NOT(ISNUMBER(1))),"n/m",IF(OR((1)&lt;=0,(E24-E48)&lt;0),"n/m",(E24-E48)/(1)))</f>
        <v>n/m</v>
      </c>
      <c r="F114" s="38" t="str">
        <f>IF(OR(NOT(ISNUMBER(F24-F48)),NOT(ISNUMBER(1))),"n/m",IF(OR((1)&lt;=0,(F24-F48)&lt;0),"n/m",(F24-F48)/(1)))</f>
        <v>n/m</v>
      </c>
      <c r="G114" s="38">
        <f>IF(OR(NOT(ISNUMBER(G24-G48)),NOT(ISNUMBER(1))),"n/m",IF(OR((1)&lt;=0,(G24-G48)&lt;0),"n/m",(G24-G48)/(1)))</f>
        <v>9544.8039999999928</v>
      </c>
      <c r="H114" s="38">
        <f>IF(OR(NOT(ISNUMBER(H24-H48)),NOT(ISNUMBER(1))),"n/m",IF(OR((1)&lt;=0,(H24-H48)&lt;0),"n/m",(H24-H48)/(1)))</f>
        <v>21997.121999999999</v>
      </c>
    </row>
    <row r="115" spans="1:8" ht="22.95" customHeight="1" x14ac:dyDescent="0.3">
      <c r="A115" s="90" t="s">
        <v>174</v>
      </c>
      <c r="B115" s="90"/>
      <c r="C115" s="90"/>
      <c r="D115" s="91"/>
      <c r="E115" s="91"/>
      <c r="F115" s="91"/>
      <c r="G115" s="91"/>
      <c r="H115" s="91"/>
    </row>
    <row r="116" spans="1:8" ht="34.049999999999997" customHeight="1" x14ac:dyDescent="0.3">
      <c r="A116" s="34" t="s">
        <v>175</v>
      </c>
      <c r="B116" s="35" t="s">
        <v>176</v>
      </c>
      <c r="C116" s="35" t="s">
        <v>177</v>
      </c>
      <c r="D116" s="37">
        <f>IF(OR(NOT(ISNUMBER(-D65)),NOT(ISNUMBER(AVERAGE(I54,D54)))),"n/m",IF(OR((AVERAGE(I54,D54))&lt;=0,(-D65)&lt;0),"n/m",(-D65)/(AVERAGE(I54,D54))))</f>
        <v>2.6267527531726218</v>
      </c>
      <c r="E116" s="37">
        <f>IF(OR(NOT(ISNUMBER(-E65)),NOT(ISNUMBER(AVERAGE(D54,E54)))),"n/m",IF(OR((AVERAGE(D54,E54))&lt;=0,(-E65)&lt;0),"n/m",(-E65)/(AVERAGE(D54,E54))))</f>
        <v>2.479761249901864</v>
      </c>
      <c r="F116" s="37">
        <f>IF(OR(NOT(ISNUMBER(-F65)),NOT(ISNUMBER(AVERAGE(E54,F54)))),"n/m",IF(OR((AVERAGE(E54,F54))&lt;=0,(-F65)&lt;0),"n/m",(-F65)/(AVERAGE(E54,F54))))</f>
        <v>2.4352964976956684</v>
      </c>
      <c r="G116" s="37">
        <f>IF(OR(NOT(ISNUMBER(-G65)),NOT(ISNUMBER(AVERAGE(F54,G54)))),"n/m",IF(OR((AVERAGE(F54,G54))&lt;=0,(-G65)&lt;0),"n/m",(-G65)/(AVERAGE(F54,G54))))</f>
        <v>2.5832010951831741</v>
      </c>
      <c r="H116" s="37">
        <f>IF(OR(NOT(ISNUMBER(-H65)),NOT(ISNUMBER(AVERAGE(G54,H54)))),"n/m",IF(OR((AVERAGE(G54,H54))&lt;=0,(-H65)&lt;0),"n/m",(-H65)/(AVERAGE(G54,H54))))</f>
        <v>2.6203448800361673</v>
      </c>
    </row>
    <row r="117" spans="1:8" ht="34.049999999999997" customHeight="1" x14ac:dyDescent="0.3">
      <c r="A117" s="34" t="s">
        <v>178</v>
      </c>
      <c r="B117" s="35" t="s">
        <v>179</v>
      </c>
      <c r="C117" s="35" t="s">
        <v>180</v>
      </c>
      <c r="D117" s="37">
        <f>IF(OR(NOT(ISNUMBER(D64)),NOT(ISNUMBER(AVERAGE(I20,D20)))),"n/m",IF(OR((AVERAGE(I20,D20))&lt;=0,(D64)&lt;0),"n/m",(D64)/(AVERAGE(I20,D20))))</f>
        <v>22.768270883109405</v>
      </c>
      <c r="E117" s="37">
        <f>IF(OR(NOT(ISNUMBER(E64)),NOT(ISNUMBER(AVERAGE(D20,E20)))),"n/m",IF(OR((AVERAGE(D20,E20))&lt;=0,(E64)&lt;0),"n/m",(E64)/(AVERAGE(D20,E20))))</f>
        <v>36.922320391767833</v>
      </c>
      <c r="F117" s="37">
        <f>IF(OR(NOT(ISNUMBER(F64)),NOT(ISNUMBER(AVERAGE(E20,F20)))),"n/m",IF(OR((AVERAGE(E20,F20))&lt;=0,(F64)&lt;0),"n/m",(F64)/(AVERAGE(E20,F20))))</f>
        <v>48.836111797909446</v>
      </c>
      <c r="G117" s="37">
        <f>IF(OR(NOT(ISNUMBER(G64)),NOT(ISNUMBER(AVERAGE(F20,G20)))),"n/m",IF(OR((AVERAGE(F20,G20))&lt;=0,(G64)&lt;0),"n/m",(G64)/(AVERAGE(F20,G20))))</f>
        <v>64.453707869774377</v>
      </c>
      <c r="H117" s="37">
        <f>IF(OR(NOT(ISNUMBER(H64)),NOT(ISNUMBER(AVERAGE(G20,H20)))),"n/m",IF(OR((AVERAGE(G20,H20))&lt;=0,(H64)&lt;0),"n/m",(H64)/(AVERAGE(G20,H20))))</f>
        <v>61.216079379365482</v>
      </c>
    </row>
    <row r="118" spans="1:8" ht="34.049999999999997" customHeight="1" x14ac:dyDescent="0.3">
      <c r="A118" s="34" t="s">
        <v>181</v>
      </c>
      <c r="B118" s="35" t="s">
        <v>182</v>
      </c>
      <c r="C118" s="35" t="s">
        <v>183</v>
      </c>
      <c r="D118" s="39">
        <f>IF(OR(NOT(ISNUMBER(365*AVERAGE(I54,D54))),NOT(ISNUMBER(-D65))),"n/m",IF(OR((-D65)&lt;=0,(365*AVERAGE(I54,D54))&lt;0),"n/m",(365*AVERAGE(I54,D54))/(-D65)))</f>
        <v>138.95483675010863</v>
      </c>
      <c r="E118" s="39">
        <f>IF(OR(NOT(ISNUMBER(365*AVERAGE(D54,E54))),NOT(ISNUMBER(-E65))),"n/m",IF(OR((-E65)&lt;=0,(365*AVERAGE(D54,E54))&lt;0),"n/m",(365*AVERAGE(D54,E54))/(-E65)))</f>
        <v>147.19158951872677</v>
      </c>
      <c r="F118" s="39">
        <f>IF(OR(NOT(ISNUMBER(365*AVERAGE(E54,F54))),NOT(ISNUMBER(-F65))),"n/m",IF(OR((-F65)&lt;=0,(365*AVERAGE(E54,F54))&lt;0),"n/m",(365*AVERAGE(E54,F54))/(-F65)))</f>
        <v>149.87908057411946</v>
      </c>
      <c r="G118" s="39">
        <f>IF(OR(NOT(ISNUMBER(365*AVERAGE(F54,G54))),NOT(ISNUMBER(-G65))),"n/m",IF(OR((-G65)&lt;=0,(365*AVERAGE(F54,G54))&lt;0),"n/m",(365*AVERAGE(F54,G54))/(-G65)))</f>
        <v>141.29755545575051</v>
      </c>
      <c r="H118" s="39">
        <f>IF(OR(NOT(ISNUMBER(365*AVERAGE(G54,H54))),NOT(ISNUMBER(-H65))),"n/m",IF(OR((-H65)&lt;=0,(365*AVERAGE(G54,H54))&lt;0),"n/m",(365*AVERAGE(G54,H54))/(-H65)))</f>
        <v>139.29464124392746</v>
      </c>
    </row>
    <row r="119" spans="1:8" ht="34.049999999999997" customHeight="1" x14ac:dyDescent="0.3">
      <c r="A119" s="34" t="s">
        <v>184</v>
      </c>
      <c r="B119" s="35" t="s">
        <v>185</v>
      </c>
      <c r="C119" s="35" t="s">
        <v>186</v>
      </c>
      <c r="D119" s="39">
        <f>IF(OR(NOT(ISNUMBER(365*AVERAGE(I20,D20))),NOT(ISNUMBER(D64))),"n/m",IF(OR((D64)&lt;=0,(365*AVERAGE(I20,D20))&lt;0),"n/m",(365*AVERAGE(I20,D20))/(D64)))</f>
        <v>16.031081230273596</v>
      </c>
      <c r="E119" s="39">
        <f>IF(OR(NOT(ISNUMBER(365*AVERAGE(D20,E20))),NOT(ISNUMBER(E64))),"n/m",IF(OR((E64)&lt;=0,(365*AVERAGE(D20,E20))&lt;0),"n/m",(365*AVERAGE(D20,E20))/(E64)))</f>
        <v>9.8856192169704489</v>
      </c>
      <c r="F119" s="39">
        <f>IF(OR(NOT(ISNUMBER(365*AVERAGE(E20,F20))),NOT(ISNUMBER(F64))),"n/m",IF(OR((F64)&lt;=0,(365*AVERAGE(E20,F20))&lt;0),"n/m",(365*AVERAGE(E20,F20))/(F64)))</f>
        <v>7.4739774843341396</v>
      </c>
      <c r="G119" s="39">
        <f>IF(OR(NOT(ISNUMBER(365*AVERAGE(F20,G20))),NOT(ISNUMBER(G64))),"n/m",IF(OR((G64)&lt;=0,(365*AVERAGE(F20,G20))&lt;0),"n/m",(365*AVERAGE(F20,G20))/(G64)))</f>
        <v>5.6629790909386459</v>
      </c>
      <c r="H119" s="39">
        <f>IF(OR(NOT(ISNUMBER(365*AVERAGE(G20,H20))),NOT(ISNUMBER(H64))),"n/m",IF(OR((H64)&lt;=0,(365*AVERAGE(G20,H20))&lt;0),"n/m",(365*AVERAGE(G20,H20))/(H64)))</f>
        <v>5.9624857341490083</v>
      </c>
    </row>
    <row r="120" spans="1:8" ht="34.049999999999997" customHeight="1" x14ac:dyDescent="0.3">
      <c r="A120" s="34" t="s">
        <v>187</v>
      </c>
      <c r="B120" s="35" t="s">
        <v>188</v>
      </c>
      <c r="C120" s="35" t="s">
        <v>189</v>
      </c>
      <c r="D120" s="37">
        <f>IF(OR(NOT(ISNUMBER(D64)),NOT(ISNUMBER(D9))),"n/m",IF(OR((D9)&lt;=0,(D64)&lt;0),"n/m",(D64)/(D9)))</f>
        <v>0.53055318948132613</v>
      </c>
      <c r="E120" s="37">
        <f>IF(OR(NOT(ISNUMBER(E64)),NOT(ISNUMBER(E9))),"n/m",IF(OR((E9)&lt;=0,(E64)&lt;0),"n/m",(E64)/(E9)))</f>
        <v>0.70098015962057802</v>
      </c>
      <c r="F120" s="37">
        <f>IF(OR(NOT(ISNUMBER(F64)),NOT(ISNUMBER(F9))),"n/m",IF(OR((F9)&lt;=0,(F64)&lt;0),"n/m",(F64)/(F9)))</f>
        <v>0.79011863849334296</v>
      </c>
      <c r="G120" s="37">
        <f>IF(OR(NOT(ISNUMBER(G64)),NOT(ISNUMBER(G9))),"n/m",IF(OR((G9)&lt;=0,(G64)&lt;0),"n/m",(G64)/(G9)))</f>
        <v>0.82674606407416695</v>
      </c>
      <c r="H120" s="37">
        <f>IF(OR(NOT(ISNUMBER(H64)),NOT(ISNUMBER(H9))),"n/m",IF(OR((H9)&lt;=0,(H64)&lt;0),"n/m",(H64)/(H9)))</f>
        <v>0.93062078370763102</v>
      </c>
    </row>
    <row r="121" spans="1:8" ht="34.049999999999997" customHeight="1" x14ac:dyDescent="0.3">
      <c r="A121" s="34" t="s">
        <v>190</v>
      </c>
      <c r="B121" s="35" t="s">
        <v>191</v>
      </c>
      <c r="C121" s="35" t="s">
        <v>192</v>
      </c>
      <c r="D121" s="37">
        <f>IF(OR(NOT(ISNUMBER(D64)),NOT(ISNUMBER(D25))),"n/m",IF(OR((D25)&lt;=0,(D64)&lt;0),"n/m",(D64)/(D25)))</f>
        <v>0.32711693039218176</v>
      </c>
      <c r="E121" s="37">
        <f>IF(OR(NOT(ISNUMBER(E64)),NOT(ISNUMBER(E25))),"n/m",IF(OR((E25)&lt;=0,(E64)&lt;0),"n/m",(E64)/(E25)))</f>
        <v>0.42503666813991675</v>
      </c>
      <c r="F121" s="37">
        <f>IF(OR(NOT(ISNUMBER(F64)),NOT(ISNUMBER(F25))),"n/m",IF(OR((F25)&lt;=0,(F64)&lt;0),"n/m",(F64)/(F25)))</f>
        <v>0.4823862468647665</v>
      </c>
      <c r="G121" s="37">
        <f>IF(OR(NOT(ISNUMBER(G64)),NOT(ISNUMBER(G25))),"n/m",IF(OR((G25)&lt;=0,(G64)&lt;0),"n/m",(G64)/(G25)))</f>
        <v>0.47720727814222835</v>
      </c>
      <c r="H121" s="37">
        <f>IF(OR(NOT(ISNUMBER(H64)),NOT(ISNUMBER(H25))),"n/m",IF(OR((H25)&lt;=0,(H64)&lt;0),"n/m",(H64)/(H25)))</f>
        <v>0.49267235836459933</v>
      </c>
    </row>
    <row r="122" spans="1:8" ht="22.95" customHeight="1" x14ac:dyDescent="0.3">
      <c r="A122" s="90" t="s">
        <v>193</v>
      </c>
      <c r="B122" s="90"/>
      <c r="C122" s="90"/>
      <c r="D122" s="91"/>
      <c r="E122" s="91"/>
      <c r="F122" s="91"/>
      <c r="G122" s="91"/>
      <c r="H122" s="91"/>
    </row>
    <row r="123" spans="1:8" ht="34.049999999999997" customHeight="1" x14ac:dyDescent="0.3">
      <c r="A123" s="34" t="s">
        <v>194</v>
      </c>
      <c r="B123" s="35" t="s">
        <v>195</v>
      </c>
      <c r="C123" s="35" t="s">
        <v>196</v>
      </c>
      <c r="D123" s="40">
        <f>IF(OR(NOT(ISNUMBER(D49)),NOT(ISNUMBER(D25))),"n/m",IF(OR((D25)&lt;=0,(D49)&lt;0),"n/m",(D49)/(D25)))</f>
        <v>0.46714504184305206</v>
      </c>
      <c r="E123" s="40">
        <f>IF(OR(NOT(ISNUMBER(E49)),NOT(ISNUMBER(E25))),"n/m",IF(OR((E25)&lt;=0,(E49)&lt;0),"n/m",(E49)/(E25)))</f>
        <v>0.48801207258126744</v>
      </c>
      <c r="F123" s="40">
        <f>IF(OR(NOT(ISNUMBER(F49)),NOT(ISNUMBER(F25))),"n/m",IF(OR((F25)&lt;=0,(F49)&lt;0),"n/m",(F49)/(F25)))</f>
        <v>0.52348952241922664</v>
      </c>
      <c r="G123" s="40">
        <f>IF(OR(NOT(ISNUMBER(G49)),NOT(ISNUMBER(G25))),"n/m",IF(OR((G25)&lt;=0,(G49)&lt;0),"n/m",(G49)/(G25)))</f>
        <v>0.45191223946360831</v>
      </c>
      <c r="H123" s="40">
        <f>IF(OR(NOT(ISNUMBER(H49)),NOT(ISNUMBER(H25))),"n/m",IF(OR((H25)&lt;=0,(H49)&lt;0),"n/m",(H49)/(H25)))</f>
        <v>0.35125595827177031</v>
      </c>
    </row>
    <row r="124" spans="1:8" ht="34.049999999999997" customHeight="1" x14ac:dyDescent="0.3">
      <c r="A124" s="34" t="s">
        <v>197</v>
      </c>
      <c r="B124" s="35" t="s">
        <v>198</v>
      </c>
      <c r="C124" s="35" t="s">
        <v>199</v>
      </c>
      <c r="D124" s="37">
        <f>IF(OR(NOT(ISNUMBER(D55)),NOT(ISNUMBER(D29))),"n/m",IF(OR((D29)&lt;=0,(D55)&lt;0),"n/m",(D55)/(D29)))</f>
        <v>0.59600006385595838</v>
      </c>
      <c r="E124" s="37">
        <f>IF(OR(NOT(ISNUMBER(E55)),NOT(ISNUMBER(E29))),"n/m",IF(OR((E29)&lt;=0,(E55)&lt;0),"n/m",(E55)/(E29)))</f>
        <v>0.66471914526512743</v>
      </c>
      <c r="F124" s="37">
        <f>IF(OR(NOT(ISNUMBER(F55)),NOT(ISNUMBER(F29))),"n/m",IF(OR((F29)&lt;=0,(F55)&lt;0),"n/m",(F55)/(F29)))</f>
        <v>0.66251390334697124</v>
      </c>
      <c r="G124" s="37">
        <f>IF(OR(NOT(ISNUMBER(G55)),NOT(ISNUMBER(G29))),"n/m",IF(OR((G29)&lt;=0,(G55)&lt;0),"n/m",(G55)/(G29)))</f>
        <v>0.45251048227827784</v>
      </c>
      <c r="H124" s="37">
        <f>IF(OR(NOT(ISNUMBER(H55)),NOT(ISNUMBER(H29))),"n/m",IF(OR((H29)&lt;=0,(H55)&lt;0),"n/m",(H55)/(H29)))</f>
        <v>0.23141104487858016</v>
      </c>
    </row>
    <row r="125" spans="1:8" ht="34.049999999999997" customHeight="1" x14ac:dyDescent="0.3">
      <c r="A125" s="34" t="s">
        <v>200</v>
      </c>
      <c r="B125" s="35" t="s">
        <v>201</v>
      </c>
      <c r="C125" s="35" t="s">
        <v>202</v>
      </c>
      <c r="D125" s="40">
        <f>IF(OR(NOT(ISNUMBER(D55)),NOT(ISNUMBER(D55+D29))),"n/m",IF(OR((D55+D29)&lt;=0,(D55)&lt;0),"n/m",(D55)/(D55+D29)))</f>
        <v>0.37343360902882045</v>
      </c>
      <c r="E125" s="40">
        <f>IF(OR(NOT(ISNUMBER(E55)),NOT(ISNUMBER(E55+E29))),"n/m",IF(OR((E55+E29)&lt;=0,(E55)&lt;0),"n/m",(E55)/(E55+E29)))</f>
        <v>0.39929807208366225</v>
      </c>
      <c r="F125" s="40">
        <f>IF(OR(NOT(ISNUMBER(F55)),NOT(ISNUMBER(F55+F29))),"n/m",IF(OR((F55+F29)&lt;=0,(F55)&lt;0),"n/m",(F55)/(F55+F29)))</f>
        <v>0.39850127088453147</v>
      </c>
      <c r="G125" s="40">
        <f>IF(OR(NOT(ISNUMBER(G55)),NOT(ISNUMBER(G55+G29))),"n/m",IF(OR((G55+G29)&lt;=0,(G55)&lt;0),"n/m",(G55)/(G55+G29)))</f>
        <v>0.31153681009483003</v>
      </c>
      <c r="H125" s="40">
        <f>IF(OR(NOT(ISNUMBER(H55)),NOT(ISNUMBER(H55+H29))),"n/m",IF(OR((H55+H29)&lt;=0,(H55)&lt;0),"n/m",(H55)/(H55+H29)))</f>
        <v>0.18792347676351873</v>
      </c>
    </row>
    <row r="126" spans="1:8" ht="34.049999999999997" customHeight="1" x14ac:dyDescent="0.3">
      <c r="A126" s="34" t="s">
        <v>203</v>
      </c>
      <c r="B126" s="35" t="s">
        <v>204</v>
      </c>
      <c r="C126" s="35" t="s">
        <v>205</v>
      </c>
      <c r="D126" s="37">
        <f>IF(OR(NOT(ISNUMBER(D82)),NOT(ISNUMBER(D85))),"n/m",IF(OR((D85)&lt;=0,(D82)&lt;0),"n/m",(D82)/(D85)))</f>
        <v>2.6532310456742976</v>
      </c>
      <c r="E126" s="37">
        <f>IF(OR(NOT(ISNUMBER(E82)),NOT(ISNUMBER(E85))),"n/m",IF(OR((E85)&lt;=0,(E82)&lt;0),"n/m",(E82)/(E85)))</f>
        <v>2.6982633298510965</v>
      </c>
      <c r="F126" s="37">
        <f>IF(OR(NOT(ISNUMBER(F82)),NOT(ISNUMBER(F85))),"n/m",IF(OR((F85)&lt;=0,(F82)&lt;0),"n/m",(F82)/(F85)))</f>
        <v>1.4717538518085045</v>
      </c>
      <c r="G126" s="37">
        <f>IF(OR(NOT(ISNUMBER(G82)),NOT(ISNUMBER(G85))),"n/m",IF(OR((G85)&lt;=0,(G82)&lt;0),"n/m",(G82)/(G85)))</f>
        <v>1.3582230764552283</v>
      </c>
      <c r="H126" s="37">
        <f>IF(OR(NOT(ISNUMBER(H82)),NOT(ISNUMBER(H85))),"n/m",IF(OR((H85)&lt;=0,(H82)&lt;0),"n/m",(H82)/(H85)))</f>
        <v>4.4072600253200633</v>
      </c>
    </row>
    <row r="127" spans="1:8" ht="22.95" customHeight="1" x14ac:dyDescent="0.3">
      <c r="A127" s="90" t="s">
        <v>206</v>
      </c>
      <c r="B127" s="90"/>
      <c r="C127" s="90"/>
      <c r="D127" s="91"/>
      <c r="E127" s="91"/>
      <c r="F127" s="91"/>
      <c r="G127" s="91"/>
      <c r="H127" s="91"/>
    </row>
    <row r="128" spans="1:8" ht="34.049999999999997" customHeight="1" x14ac:dyDescent="0.3">
      <c r="A128" s="34" t="s">
        <v>207</v>
      </c>
      <c r="B128" s="35" t="s">
        <v>208</v>
      </c>
      <c r="C128" s="35" t="s">
        <v>209</v>
      </c>
      <c r="D128" s="40">
        <f>IF(OR(NOT(ISNUMBER(D66)),NOT(ISNUMBER(D64))),"n/m",IF(OR((D64)&lt;=0,(D66)&lt;0),"n/m",(D66)/(D64)))</f>
        <v>0.17894713739497631</v>
      </c>
      <c r="E128" s="40">
        <f>IF(OR(NOT(ISNUMBER(E66)),NOT(ISNUMBER(E64))),"n/m",IF(OR((E64)&lt;=0,(E66)&lt;0),"n/m",(E66)/(E64)))</f>
        <v>0.17966261135996409</v>
      </c>
      <c r="F128" s="40">
        <f>IF(OR(NOT(ISNUMBER(F66)),NOT(ISNUMBER(F64))),"n/m",IF(OR((F64)&lt;=0,(F66)&lt;0),"n/m",(F66)/(F64)))</f>
        <v>0.14704852458583501</v>
      </c>
      <c r="G128" s="40">
        <f>IF(OR(NOT(ISNUMBER(G66)),NOT(ISNUMBER(G64))),"n/m",IF(OR((G64)&lt;=0,(G66)&lt;0),"n/m",(G66)/(G64)))</f>
        <v>0.15942563608432631</v>
      </c>
      <c r="H128" s="40">
        <f>IF(OR(NOT(ISNUMBER(H66)),NOT(ISNUMBER(H64))),"n/m",IF(OR((H64)&lt;=0,(H66)&lt;0),"n/m",(H66)/(H64)))</f>
        <v>0.25740632547300923</v>
      </c>
    </row>
    <row r="129" spans="1:8" ht="34.049999999999997" customHeight="1" x14ac:dyDescent="0.3">
      <c r="A129" s="34" t="s">
        <v>210</v>
      </c>
      <c r="B129" s="35" t="s">
        <v>211</v>
      </c>
      <c r="C129" s="35" t="s">
        <v>212</v>
      </c>
      <c r="D129" s="40">
        <f>IF(OR(NOT(ISNUMBER(D82)),NOT(ISNUMBER(D64))),"n/m",IF(OR((D64)&lt;=0,(D82)&lt;0),"n/m",(D82)/(D64)))</f>
        <v>0.16976072150890459</v>
      </c>
      <c r="E129" s="40">
        <f>IF(OR(NOT(ISNUMBER(E82)),NOT(ISNUMBER(E64))),"n/m",IF(OR((E64)&lt;=0,(E82)&lt;0),"n/m",(E82)/(E64)))</f>
        <v>0.1647791429733062</v>
      </c>
      <c r="F129" s="40">
        <f>IF(OR(NOT(ISNUMBER(F82)),NOT(ISNUMBER(F64))),"n/m",IF(OR((F64)&lt;=0,(F82)&lt;0),"n/m",(F82)/(F64)))</f>
        <v>0.15182766799754666</v>
      </c>
      <c r="G129" s="40">
        <f>IF(OR(NOT(ISNUMBER(G82)),NOT(ISNUMBER(G64))),"n/m",IF(OR((G64)&lt;=0,(G82)&lt;0),"n/m",(G82)/(G64)))</f>
        <v>0.16299366572828242</v>
      </c>
      <c r="H129" s="40">
        <f>IF(OR(NOT(ISNUMBER(H82)),NOT(ISNUMBER(H64))),"n/m",IF(OR((H64)&lt;=0,(H82)&lt;0),"n/m",(H82)/(H64)))</f>
        <v>0.23397808045883622</v>
      </c>
    </row>
    <row r="130" spans="1:8" ht="34.049999999999997" customHeight="1" x14ac:dyDescent="0.3">
      <c r="A130" s="34" t="s">
        <v>213</v>
      </c>
      <c r="B130" s="35" t="s">
        <v>214</v>
      </c>
      <c r="C130" s="35" t="s">
        <v>215</v>
      </c>
      <c r="D130" s="40">
        <f>IF(OR(NOT(ISNUMBER(D79)),NOT(ISNUMBER(D64))),"n/m",IF(OR((D64)&lt;=0,(D79)&lt;0),"n/m",(D79)/(D64)))</f>
        <v>8.2497529800351119E-2</v>
      </c>
      <c r="E130" s="40">
        <f>IF(OR(NOT(ISNUMBER(E79)),NOT(ISNUMBER(E64))),"n/m",IF(OR((E64)&lt;=0,(E79)&lt;0),"n/m",(E79)/(E64)))</f>
        <v>5.120493100192175E-2</v>
      </c>
      <c r="F130" s="40" t="str">
        <f>IF(OR(NOT(ISNUMBER(F79)),NOT(ISNUMBER(F64))),"n/m",IF(OR((F64)&lt;=0,(F79)&lt;0),"n/m",(F79)/(F64)))</f>
        <v>n/m</v>
      </c>
      <c r="G130" s="40">
        <f>IF(OR(NOT(ISNUMBER(G79)),NOT(ISNUMBER(G64))),"n/m",IF(OR((G64)&lt;=0,(G79)&lt;0),"n/m",(G79)/(G64)))</f>
        <v>8.2133065966830711E-3</v>
      </c>
      <c r="H130" s="40">
        <f>IF(OR(NOT(ISNUMBER(H79)),NOT(ISNUMBER(H64))),"n/m",IF(OR((H64)&lt;=0,(H79)&lt;0),"n/m",(H79)/(H64)))</f>
        <v>0.12066652759857006</v>
      </c>
    </row>
    <row r="131" spans="1:8" ht="34.049999999999997" customHeight="1" x14ac:dyDescent="0.3">
      <c r="A131" s="34" t="s">
        <v>216</v>
      </c>
      <c r="B131" s="35" t="s">
        <v>217</v>
      </c>
      <c r="C131" s="35" t="s">
        <v>218</v>
      </c>
      <c r="D131" s="40">
        <f>IF(OR(NOT(ISNUMBER(D79)),NOT(ISNUMBER(D25))),"n/m",IF(OR((D25)&lt;=0,(D79)&lt;0),"n/m",(D79)/(D25)))</f>
        <v>2.6986338713228402E-2</v>
      </c>
      <c r="E131" s="40">
        <f>IF(OR(NOT(ISNUMBER(E79)),NOT(ISNUMBER(E25))),"n/m",IF(OR((E25)&lt;=0,(E79)&lt;0),"n/m",(E79)/(E25)))</f>
        <v>2.1763973265391149E-2</v>
      </c>
      <c r="F131" s="40" t="str">
        <f>IF(OR(NOT(ISNUMBER(F79)),NOT(ISNUMBER(F25))),"n/m",IF(OR((F25)&lt;=0,(F79)&lt;0),"n/m",(F79)/(F25)))</f>
        <v>n/m</v>
      </c>
      <c r="G131" s="40">
        <f>IF(OR(NOT(ISNUMBER(G79)),NOT(ISNUMBER(G25))),"n/m",IF(OR((G25)&lt;=0,(G79)&lt;0),"n/m",(G79)/(G25)))</f>
        <v>3.9194496855507379E-3</v>
      </c>
      <c r="H131" s="40">
        <f>IF(OR(NOT(ISNUMBER(H79)),NOT(ISNUMBER(H25))),"n/m",IF(OR((H25)&lt;=0,(H79)&lt;0),"n/m",(H79)/(H25)))</f>
        <v>5.9449062727654524E-2</v>
      </c>
    </row>
    <row r="132" spans="1:8" ht="34.049999999999997" customHeight="1" x14ac:dyDescent="0.3">
      <c r="A132" s="34" t="s">
        <v>219</v>
      </c>
      <c r="B132" s="35" t="s">
        <v>220</v>
      </c>
      <c r="C132" s="35" t="s">
        <v>221</v>
      </c>
      <c r="D132" s="40">
        <f>IF(OR(NOT(ISNUMBER(D79)),NOT(ISNUMBER(D29))),"n/m",IF(OR((D29)&lt;=0,(D79)&lt;0),"n/m",(D79)/(D29)))</f>
        <v>5.0644811125656837E-2</v>
      </c>
      <c r="E132" s="40">
        <f>IF(OR(NOT(ISNUMBER(E79)),NOT(ISNUMBER(E29))),"n/m",IF(OR((E29)&lt;=0,(E79)&lt;0),"n/m",(E79)/(E29)))</f>
        <v>4.2508762609145177E-2</v>
      </c>
      <c r="F132" s="40" t="str">
        <f>IF(OR(NOT(ISNUMBER(F79)),NOT(ISNUMBER(F29))),"n/m",IF(OR((F29)&lt;=0,(F79)&lt;0),"n/m",(F79)/(F29)))</f>
        <v>n/m</v>
      </c>
      <c r="G132" s="40">
        <f>IF(OR(NOT(ISNUMBER(G79)),NOT(ISNUMBER(G29))),"n/m",IF(OR((G29)&lt;=0,(G79)&lt;0),"n/m",(G79)/(G29)))</f>
        <v>7.1511352154898129E-3</v>
      </c>
      <c r="H132" s="40">
        <f>IF(OR(NOT(ISNUMBER(H79)),NOT(ISNUMBER(H29))),"n/m",IF(OR((H29)&lt;=0,(H79)&lt;0),"n/m",(H79)/(H29)))</f>
        <v>9.1637161813901913E-2</v>
      </c>
    </row>
    <row r="133" spans="1:8" ht="34.049999999999997" customHeight="1" x14ac:dyDescent="0.3">
      <c r="A133" s="34" t="s">
        <v>222</v>
      </c>
      <c r="B133" s="35" t="s">
        <v>223</v>
      </c>
      <c r="C133" s="35" t="s">
        <v>224</v>
      </c>
      <c r="D133" s="40">
        <f>IF(OR(NOT(ISNUMBER(D88)),NOT(ISNUMBER(D58))),"n/m",IF(OR((D58)&lt;=0,(D88)&lt;0),"n/m",(D88)/(D58)))</f>
        <v>5.0926469503026137E-2</v>
      </c>
      <c r="E133" s="40">
        <f>IF(OR(NOT(ISNUMBER(E88)),NOT(ISNUMBER(E58))),"n/m",IF(OR((E58)&lt;=0,(E88)&lt;0),"n/m",(E88)/(E58)))</f>
        <v>4.0571100495840479E-2</v>
      </c>
      <c r="F133" s="40" t="str">
        <f>IF(OR(NOT(ISNUMBER(F88)),NOT(ISNUMBER(F58))),"n/m",IF(OR((F58)&lt;=0,(F88)&lt;0),"n/m",(F88)/(F58)))</f>
        <v>n/m</v>
      </c>
      <c r="G133" s="40">
        <f>IF(OR(NOT(ISNUMBER(G88)),NOT(ISNUMBER(G58))),"n/m",IF(OR((G58)&lt;=0,(G88)&lt;0),"n/m",(G88)/(G58)))</f>
        <v>1.8666945531428475E-2</v>
      </c>
      <c r="H133" s="40">
        <f>IF(OR(NOT(ISNUMBER(H88)),NOT(ISNUMBER(H58))),"n/m",IF(OR((H58)&lt;=0,(H88)&lt;0),"n/m",(H88)/(H58)))</f>
        <v>9.6256924504903307E-2</v>
      </c>
    </row>
    <row r="134" spans="1:8" ht="34.049999999999997" customHeight="1" x14ac:dyDescent="0.3">
      <c r="A134" s="34" t="s">
        <v>225</v>
      </c>
      <c r="B134" s="35" t="s">
        <v>226</v>
      </c>
      <c r="C134" s="35" t="s">
        <v>227</v>
      </c>
      <c r="D134" s="40">
        <f>IF(OR(NOT(ISNUMBER(D82)),NOT(ISNUMBER(D25))),"n/m",IF(OR((D25)&lt;=0,(D82)&lt;0),"n/m",(D82)/(D25)))</f>
        <v>5.5531606121154903E-2</v>
      </c>
      <c r="E134" s="40">
        <f>IF(OR(NOT(ISNUMBER(E82)),NOT(ISNUMBER(E25))),"n/m",IF(OR((E25)&lt;=0,(E82)&lt;0),"n/m",(E82)/(E25)))</f>
        <v>7.0037177908325046E-2</v>
      </c>
      <c r="F134" s="40">
        <f>IF(OR(NOT(ISNUMBER(F82)),NOT(ISNUMBER(F25))),"n/m",IF(OR((F25)&lt;=0,(F82)&lt;0),"n/m",(F82)/(F25)))</f>
        <v>7.3239578935566346E-2</v>
      </c>
      <c r="G134" s="40">
        <f>IF(OR(NOT(ISNUMBER(G82)),NOT(ISNUMBER(G25))),"n/m",IF(OR((G25)&lt;=0,(G82)&lt;0),"n/m",(G82)/(G25)))</f>
        <v>7.7781763576617868E-2</v>
      </c>
      <c r="H134" s="40">
        <f>IF(OR(NOT(ISNUMBER(H82)),NOT(ISNUMBER(H25))),"n/m",IF(OR((H25)&lt;=0,(H82)&lt;0),"n/m",(H82)/(H25)))</f>
        <v>0.11527453270527682</v>
      </c>
    </row>
    <row r="135" spans="1:8" ht="22.95" customHeight="1" x14ac:dyDescent="0.3">
      <c r="A135" s="90" t="s">
        <v>228</v>
      </c>
      <c r="B135" s="90"/>
      <c r="C135" s="90"/>
      <c r="D135" s="91"/>
      <c r="E135" s="91"/>
      <c r="F135" s="91"/>
      <c r="G135" s="91"/>
      <c r="H135" s="91"/>
    </row>
    <row r="136" spans="1:8" ht="34.049999999999997" customHeight="1" x14ac:dyDescent="0.3">
      <c r="A136" s="34" t="s">
        <v>229</v>
      </c>
      <c r="B136" s="35" t="s">
        <v>230</v>
      </c>
      <c r="C136" s="35" t="s">
        <v>231</v>
      </c>
      <c r="D136" s="41">
        <f>IF(OR(NOT(ISNUMBER(D79)),NOT(ISNUMBER(D104))),"n/m",IF(OR((D104)&lt;=0,(D79)&lt;0),"n/m",(D79)/(D104)))</f>
        <v>8.4937471274650029</v>
      </c>
      <c r="E136" s="41">
        <f>IF(OR(NOT(ISNUMBER(E79)),NOT(ISNUMBER(E104))),"n/m",IF(OR((E104)&lt;=0,(E79)&lt;0),"n/m",(E79)/(E104)))</f>
        <v>6.7838445707817723</v>
      </c>
      <c r="F136" s="41" t="str">
        <f>IF(OR(NOT(ISNUMBER(F79)),NOT(ISNUMBER(F104))),"n/m",IF(OR((F104)&lt;=0,(F79)&lt;0),"n/m",(F79)/(F104)))</f>
        <v>n/m</v>
      </c>
      <c r="G136" s="41">
        <f>IF(OR(NOT(ISNUMBER(G79)),NOT(ISNUMBER(G104))),"n/m",IF(OR((G104)&lt;=0,(G79)&lt;0),"n/m",(G79)/(G104)))</f>
        <v>1.2380103440270365</v>
      </c>
      <c r="H136" s="41">
        <f>IF(OR(NOT(ISNUMBER(H79)),NOT(ISNUMBER(H104))),"n/m",IF(OR((H104)&lt;=0,(H79)&lt;0),"n/m",(H79)/(H104)))</f>
        <v>19.800685803443983</v>
      </c>
    </row>
    <row r="137" spans="1:8" ht="34.049999999999997" customHeight="1" x14ac:dyDescent="0.3">
      <c r="A137" s="34" t="s">
        <v>232</v>
      </c>
      <c r="B137" s="35" t="s">
        <v>233</v>
      </c>
      <c r="C137" s="35" t="s">
        <v>234</v>
      </c>
      <c r="D137" s="41">
        <f>IF(OR(NOT(ISNUMBER(D29)),NOT(ISNUMBER(D103))),"n/m",IF(OR((D103)&lt;=0,(D29)&lt;0),"n/m",(D29)/(D103)))</f>
        <v>167.71209700741193</v>
      </c>
      <c r="E137" s="41">
        <f>IF(OR(NOT(ISNUMBER(E29)),NOT(ISNUMBER(E103))),"n/m",IF(OR((E103)&lt;=0,(E29)&lt;0),"n/m",(E29)/(E103)))</f>
        <v>159.58697532246367</v>
      </c>
      <c r="F137" s="41">
        <f>IF(OR(NOT(ISNUMBER(F29)),NOT(ISNUMBER(F103))),"n/m",IF(OR((F103)&lt;=0,(F29)&lt;0),"n/m",(F29)/(F103)))</f>
        <v>146.51786922779672</v>
      </c>
      <c r="G137" s="41">
        <f>IF(OR(NOT(ISNUMBER(G29)),NOT(ISNUMBER(G103))),"n/m",IF(OR((G103)&lt;=0,(G29)&lt;0),"n/m",(G29)/(G103)))</f>
        <v>173.12082034314415</v>
      </c>
      <c r="H137" s="41">
        <f>IF(OR(NOT(ISNUMBER(H29)),NOT(ISNUMBER(H103))),"n/m",IF(OR((H103)&lt;=0,(H29)&lt;0),"n/m",(H29)/(H103)))</f>
        <v>216.07703932560804</v>
      </c>
    </row>
    <row r="138" spans="1:8" ht="34.049999999999997" customHeight="1" x14ac:dyDescent="0.3">
      <c r="A138" s="34" t="s">
        <v>235</v>
      </c>
      <c r="B138" s="35" t="s">
        <v>236</v>
      </c>
      <c r="C138" s="35" t="s">
        <v>237</v>
      </c>
      <c r="D138" s="37">
        <f>IF(OR(NOT(ISNUMBER(D105)),NOT(ISNUMBER(D79/D104))),"n/m",IF(OR((D79/D104)&lt;=0,(D105)&lt;0),"n/m",(D105)/(D79/D104)))</f>
        <v>13.883154069739035</v>
      </c>
      <c r="E138" s="37">
        <f>IF(OR(NOT(ISNUMBER(E105)),NOT(ISNUMBER(E79/E104))),"n/m",IF(OR((E79/E104)&lt;=0,(E105)&lt;0),"n/m",(E105)/(E79/E104)))</f>
        <v>9.2130648554640278</v>
      </c>
      <c r="F138" s="37" t="str">
        <f>IF(OR(NOT(ISNUMBER(F105)),NOT(ISNUMBER(F79/F104))),"n/m",IF(OR((F79/F104)&lt;=0,(F105)&lt;0),"n/m",(F105)/(F79/F104)))</f>
        <v>n/m</v>
      </c>
      <c r="G138" s="37">
        <f>IF(OR(NOT(ISNUMBER(G105)),NOT(ISNUMBER(G79/G104))),"n/m",IF(OR((G79/G104)&lt;=0,(G105)&lt;0),"n/m",(G105)/(G79/G104)))</f>
        <v>72.91538429829842</v>
      </c>
      <c r="H138" s="37">
        <f>IF(OR(NOT(ISNUMBER(H105)),NOT(ISNUMBER(H79/H104))),"n/m",IF(OR((H79/H104)&lt;=0,(H105)&lt;0),"n/m",(H105)/(H79/H104)))</f>
        <v>8.3613265542147914</v>
      </c>
    </row>
    <row r="139" spans="1:8" ht="34.049999999999997" customHeight="1" x14ac:dyDescent="0.3">
      <c r="A139" s="34" t="s">
        <v>238</v>
      </c>
      <c r="B139" s="35" t="s">
        <v>239</v>
      </c>
      <c r="C139" s="35" t="s">
        <v>240</v>
      </c>
      <c r="D139" s="37">
        <f>IF(OR(NOT(ISNUMBER(D105)),NOT(ISNUMBER(D29/D103))),"n/m",IF(OR((D29/D103)&lt;=0,(D105)&lt;0),"n/m",(D105)/(D29/D103)))</f>
        <v>0.7031096868032638</v>
      </c>
      <c r="E139" s="37">
        <f>IF(OR(NOT(ISNUMBER(E105)),NOT(ISNUMBER(E29/E103))),"n/m",IF(OR((E29/E103)&lt;=0,(E105)&lt;0),"n/m",(E105)/(E29/E103)))</f>
        <v>0.39163597075332512</v>
      </c>
      <c r="F139" s="37">
        <f>IF(OR(NOT(ISNUMBER(F105)),NOT(ISNUMBER(F29/F103))),"n/m",IF(OR((F29/F103)&lt;=0,(F105)&lt;0),"n/m",(F105)/(F29/F103)))</f>
        <v>0.35012794187063967</v>
      </c>
      <c r="G139" s="37">
        <f>IF(OR(NOT(ISNUMBER(G105)),NOT(ISNUMBER(G29/G103))),"n/m",IF(OR((G29/G103)&lt;=0,(G105)&lt;0),"n/m",(G105)/(G29/G103)))</f>
        <v>0.52142775098382221</v>
      </c>
      <c r="H139" s="37">
        <f>IF(OR(NOT(ISNUMBER(H105)),NOT(ISNUMBER(H29/H103))),"n/m",IF(OR((H29/H103)&lt;=0,(H105)&lt;0),"n/m",(H105)/(H29/H103)))</f>
        <v>0.76620820294800718</v>
      </c>
    </row>
    <row r="140" spans="1:8" ht="34.049999999999997" customHeight="1" x14ac:dyDescent="0.3">
      <c r="A140" s="34" t="s">
        <v>241</v>
      </c>
      <c r="B140" s="35" t="s">
        <v>242</v>
      </c>
      <c r="C140" s="35" t="s">
        <v>263</v>
      </c>
      <c r="D140" s="40">
        <f>IF(OR(NOT(ISNUMBER(D106)),NOT(ISNUMBER(D105))),"n/m",IF(OR((D105)&lt;=0,(D106)&lt;0),"n/m",(D106)/(D105)))</f>
        <v>8.4803256445047485E-3</v>
      </c>
      <c r="E140" s="40">
        <f>IF(OR(NOT(ISNUMBER(E106)),NOT(ISNUMBER(E105))),"n/m",IF(OR((E105)&lt;=0,(E106)&lt;0),"n/m",(E106)/(E105)))</f>
        <v>1.6E-2</v>
      </c>
      <c r="F140" s="64">
        <f>IF(OR(NOT(ISNUMBER(F106)),NOT(ISNUMBER(F105))),"n/m",IF(OR((F105)&lt;=0,(F106)&lt;0),"n/m",(F106)/(F105)))</f>
        <v>0</v>
      </c>
      <c r="G140" s="64">
        <f>IF(OR(NOT(ISNUMBER(G106)),NOT(ISNUMBER(G105))),"n/m",IF(OR((G105)&lt;=0,(G106)&lt;0),"n/m",(G106)/(G105)))</f>
        <v>0</v>
      </c>
      <c r="H140" s="40">
        <f>IF(OR(NOT(ISNUMBER(H106)),NOT(ISNUMBER(H105))),"n/m",IF(OR((H105)&lt;=0,(H106)&lt;0),"n/m",(H106)/(H105)))</f>
        <v>1.2080212611741966E-2</v>
      </c>
    </row>
    <row r="141" spans="1:8" ht="34.049999999999997" customHeight="1" x14ac:dyDescent="0.3">
      <c r="A141" s="34" t="s">
        <v>244</v>
      </c>
      <c r="B141" s="35" t="s">
        <v>245</v>
      </c>
      <c r="C141" s="35" t="s">
        <v>246</v>
      </c>
      <c r="D141" s="37">
        <f>IF(OR(NOT(ISNUMBER(D160)),NOT(ISNUMBER(D83))),"n/m",IF(OR((D83)&lt;=0,(D160)&lt;0),"n/m",(D160)/(D83)))</f>
        <v>8.4672094053907152</v>
      </c>
      <c r="E141" s="37">
        <f>IF(OR(NOT(ISNUMBER(E160)),NOT(ISNUMBER(E83))),"n/m",IF(OR((E83)&lt;=0,(E160)&lt;0),"n/m",(E160)/(E83)))</f>
        <v>5.5150906801201929</v>
      </c>
      <c r="F141" s="37">
        <f>IF(OR(NOT(ISNUMBER(F160)),NOT(ISNUMBER(F83))),"n/m",IF(OR((F83)&lt;=0,(F160)&lt;0),"n/m",(F160)/(F83)))</f>
        <v>4.7839328299471351</v>
      </c>
      <c r="G141" s="37">
        <f>IF(OR(NOT(ISNUMBER(G160)),NOT(ISNUMBER(G83))),"n/m",IF(OR((G83)&lt;=0,(G160)&lt;0),"n/m",(G160)/(G83)))</f>
        <v>5.0911516840273263</v>
      </c>
      <c r="H141" s="37">
        <f>IF(OR(NOT(ISNUMBER(H160)),NOT(ISNUMBER(H83))),"n/m",IF(OR((H83)&lt;=0,(H160)&lt;0),"n/m",(H160)/(H83)))</f>
        <v>4.5245291189336676</v>
      </c>
    </row>
    <row r="142" spans="1:8" ht="4.05" customHeight="1" x14ac:dyDescent="0.3">
      <c r="A142" s="32"/>
      <c r="B142" s="32"/>
      <c r="C142" s="32"/>
      <c r="D142" s="32"/>
      <c r="E142" s="32"/>
      <c r="F142" s="32"/>
      <c r="G142" s="32"/>
      <c r="H142" s="32"/>
    </row>
    <row r="143" spans="1:8" ht="4.05" customHeight="1" x14ac:dyDescent="0.3">
      <c r="B143" s="36"/>
      <c r="C143" s="36"/>
      <c r="D143" s="36"/>
      <c r="E143" s="36"/>
      <c r="F143" s="36"/>
      <c r="G143" s="36"/>
      <c r="H143" s="36"/>
    </row>
    <row r="144" spans="1:8" ht="4.05" customHeight="1" x14ac:dyDescent="0.3">
      <c r="B144" s="36"/>
      <c r="C144" s="36"/>
      <c r="D144" s="36"/>
      <c r="E144" s="36"/>
      <c r="F144" s="36"/>
      <c r="G144" s="36"/>
      <c r="H144" s="36"/>
    </row>
    <row r="145" spans="1:9" ht="4.05" customHeight="1" x14ac:dyDescent="0.3">
      <c r="B145" s="36"/>
      <c r="C145" s="36"/>
      <c r="D145" s="36"/>
      <c r="E145" s="36"/>
      <c r="F145" s="36"/>
      <c r="G145" s="36"/>
      <c r="H145" s="36"/>
    </row>
    <row r="146" spans="1:9" ht="4.05" customHeight="1" x14ac:dyDescent="0.3"/>
    <row r="147" spans="1:9" ht="22.05" customHeight="1" x14ac:dyDescent="0.3">
      <c r="A147" s="89" t="s">
        <v>247</v>
      </c>
      <c r="B147" s="89"/>
      <c r="C147" s="88"/>
      <c r="D147" s="88"/>
      <c r="E147" s="88"/>
      <c r="F147" s="88"/>
      <c r="G147" s="88"/>
      <c r="H147" s="88"/>
    </row>
    <row r="148" spans="1:9" ht="15" customHeight="1" x14ac:dyDescent="0.3">
      <c r="A148" s="20" t="s">
        <v>248</v>
      </c>
      <c r="B148" s="20"/>
      <c r="C148" s="17"/>
      <c r="D148" s="17">
        <v>0</v>
      </c>
      <c r="E148" s="17">
        <v>0</v>
      </c>
      <c r="F148" s="17">
        <v>0</v>
      </c>
      <c r="G148" s="17">
        <v>0</v>
      </c>
      <c r="H148" s="17">
        <v>0</v>
      </c>
      <c r="I148" s="17">
        <v>0</v>
      </c>
    </row>
    <row r="149" spans="1:9" ht="15" customHeight="1" x14ac:dyDescent="0.3">
      <c r="A149" s="20" t="s">
        <v>249</v>
      </c>
      <c r="B149" s="20"/>
      <c r="C149" s="17"/>
      <c r="D149" s="17">
        <v>0</v>
      </c>
      <c r="E149" s="17">
        <v>0</v>
      </c>
      <c r="F149" s="17">
        <v>0</v>
      </c>
      <c r="G149" s="17">
        <v>0</v>
      </c>
      <c r="H149" s="17">
        <v>0</v>
      </c>
      <c r="I149" s="17">
        <v>0</v>
      </c>
    </row>
    <row r="150" spans="1:9" ht="15" customHeight="1" x14ac:dyDescent="0.3">
      <c r="A150" s="20" t="s">
        <v>250</v>
      </c>
      <c r="B150" s="20"/>
      <c r="C150" s="17"/>
      <c r="D150" s="17">
        <v>0</v>
      </c>
      <c r="E150" s="17">
        <v>0</v>
      </c>
      <c r="F150" s="17">
        <v>0</v>
      </c>
      <c r="G150" s="17">
        <v>0</v>
      </c>
      <c r="H150" s="17">
        <v>0</v>
      </c>
      <c r="I150" s="17">
        <v>0</v>
      </c>
    </row>
    <row r="151" spans="1:9" ht="4.05" customHeight="1" x14ac:dyDescent="0.3">
      <c r="B151" s="31"/>
      <c r="C151" s="18"/>
      <c r="D151" s="18"/>
      <c r="E151" s="18"/>
      <c r="F151" s="18"/>
      <c r="G151" s="18"/>
      <c r="H151" s="18"/>
      <c r="I151" s="17"/>
    </row>
    <row r="152" spans="1:9" ht="4.05" customHeight="1" x14ac:dyDescent="0.3">
      <c r="B152" s="73"/>
      <c r="C152" s="74"/>
      <c r="D152" s="74"/>
      <c r="E152" s="74"/>
      <c r="F152" s="74"/>
      <c r="G152" s="74"/>
      <c r="H152" s="74"/>
    </row>
    <row r="153" spans="1:9" ht="4.05" customHeight="1" x14ac:dyDescent="0.3">
      <c r="A153" s="73"/>
      <c r="B153" s="73"/>
      <c r="C153" s="74"/>
      <c r="D153" s="74"/>
      <c r="E153" s="74"/>
      <c r="F153" s="74"/>
      <c r="G153" s="74"/>
      <c r="H153" s="74"/>
    </row>
    <row r="154" spans="1:9" ht="4.05" customHeight="1" x14ac:dyDescent="0.3"/>
    <row r="155" spans="1:9" ht="22.95" customHeight="1" x14ac:dyDescent="0.3">
      <c r="A155" s="88" t="s">
        <v>251</v>
      </c>
      <c r="B155" s="88"/>
      <c r="C155" s="88"/>
      <c r="D155" s="88"/>
      <c r="E155" s="88"/>
      <c r="F155" s="88"/>
      <c r="G155" s="88"/>
      <c r="H155" s="88"/>
    </row>
    <row r="156" spans="1:9" ht="15" customHeight="1" x14ac:dyDescent="0.3">
      <c r="D156" t="s">
        <v>58</v>
      </c>
      <c r="E156" t="s">
        <v>59</v>
      </c>
      <c r="F156" t="s">
        <v>60</v>
      </c>
      <c r="G156" t="s">
        <v>61</v>
      </c>
      <c r="H156" t="s">
        <v>62</v>
      </c>
    </row>
    <row r="157" spans="1:9" ht="15" customHeight="1" x14ac:dyDescent="0.3">
      <c r="A157" t="s">
        <v>252</v>
      </c>
      <c r="D157" s="43">
        <f>D22+D161-D162</f>
        <v>806.37300000000005</v>
      </c>
      <c r="E157" s="43">
        <f>E22+E161-E162</f>
        <v>410.803</v>
      </c>
      <c r="F157" s="43">
        <f>F22+F161-F162</f>
        <v>674.97199999999998</v>
      </c>
      <c r="G157" s="43">
        <f>G22+G161-G162</f>
        <v>732.16800000000001</v>
      </c>
      <c r="H157" s="43">
        <f>H22+H161-H162</f>
        <v>1222.3519999999999</v>
      </c>
    </row>
    <row r="158" spans="1:9" ht="15" customHeight="1" x14ac:dyDescent="0.3">
      <c r="A158" t="s">
        <v>253</v>
      </c>
      <c r="D158" s="43">
        <f>D40+D148+D149</f>
        <v>507.76900000000001</v>
      </c>
      <c r="E158" s="43">
        <f>E40+E148+E149</f>
        <v>883.22900000000004</v>
      </c>
      <c r="F158" s="43">
        <f>F40+F148+F149</f>
        <v>1739.547</v>
      </c>
      <c r="G158" s="43">
        <f>G40+G148+G149</f>
        <v>1280.4459999999999</v>
      </c>
      <c r="H158" s="43">
        <f>H40+H148+H149</f>
        <v>229.65199999999999</v>
      </c>
    </row>
    <row r="159" spans="1:9" ht="15" customHeight="1" x14ac:dyDescent="0.3">
      <c r="A159" t="s">
        <v>254</v>
      </c>
      <c r="D159" s="43">
        <f>D105*D103</f>
        <v>51663.004271999998</v>
      </c>
      <c r="E159" s="43">
        <f>E105*E103</f>
        <v>27382.443749999999</v>
      </c>
      <c r="F159" s="43">
        <f>F105*F103</f>
        <v>22475.509829999999</v>
      </c>
      <c r="G159" s="43">
        <f>G105*G103</f>
        <v>39549.011157000001</v>
      </c>
      <c r="H159" s="43">
        <f>H105*H103</f>
        <v>72534.998196</v>
      </c>
    </row>
    <row r="160" spans="1:9" ht="15" customHeight="1" x14ac:dyDescent="0.3">
      <c r="A160" t="s">
        <v>255</v>
      </c>
      <c r="D160" s="43">
        <f>D159+D55+D158-D157</f>
        <v>95157.217271999994</v>
      </c>
      <c r="E160" s="43">
        <f>E159+E55+E158-E157</f>
        <v>74330.770749999996</v>
      </c>
      <c r="F160" s="43">
        <f>F159+F55+F158-F157</f>
        <v>66068.36083000002</v>
      </c>
      <c r="G160" s="43">
        <f>G159+G55+G158-G157</f>
        <v>74419.095157000003</v>
      </c>
      <c r="H160" s="43">
        <f>H159+H55+H158-H157</f>
        <v>93449.398196000009</v>
      </c>
    </row>
    <row r="161" spans="1:8" ht="15" customHeight="1" x14ac:dyDescent="0.3">
      <c r="A161" t="s">
        <v>256</v>
      </c>
      <c r="D161" s="43">
        <v>0</v>
      </c>
      <c r="E161" s="43">
        <v>0</v>
      </c>
      <c r="F161" s="43">
        <v>0</v>
      </c>
      <c r="G161" s="43">
        <v>0</v>
      </c>
      <c r="H161" s="43">
        <v>653.52</v>
      </c>
    </row>
    <row r="162" spans="1:8" ht="15" customHeight="1" x14ac:dyDescent="0.3">
      <c r="A162" t="s">
        <v>257</v>
      </c>
      <c r="D162" s="43">
        <v>0</v>
      </c>
      <c r="E162" s="43">
        <v>0</v>
      </c>
      <c r="F162" s="43">
        <v>0</v>
      </c>
      <c r="G162" s="43">
        <v>0</v>
      </c>
      <c r="H162" s="43">
        <v>0</v>
      </c>
    </row>
    <row r="163" spans="1:8" ht="15" customHeight="1" x14ac:dyDescent="0.3">
      <c r="B163" s="42"/>
      <c r="C163" s="42"/>
      <c r="D163" s="42"/>
      <c r="E163" s="42"/>
      <c r="F163" s="42"/>
      <c r="G163" s="42"/>
      <c r="H163" s="42"/>
    </row>
    <row r="164" spans="1:8" ht="15" customHeight="1" x14ac:dyDescent="0.3">
      <c r="B164" s="42"/>
      <c r="C164" s="42"/>
      <c r="D164" s="42"/>
      <c r="E164" s="42"/>
      <c r="F164" s="42"/>
      <c r="G164" s="42"/>
      <c r="H164" s="42"/>
    </row>
  </sheetData>
  <mergeCells count="7">
    <mergeCell ref="A155:H155"/>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FA98A"/>
    <pageSetUpPr fitToPage="1"/>
  </sheetPr>
  <dimension ref="A1:I161"/>
  <sheetViews>
    <sheetView showGridLines="0" workbookViewId="0">
      <pane xSplit="3" ySplit="7" topLeftCell="D8" activePane="bottomRight" state="frozen"/>
      <selection pane="topRight"/>
      <selection pane="bottomLeft"/>
      <selection pane="bottomRight" activeCell="B204" sqref="B204"/>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264</v>
      </c>
      <c r="B1" s="20"/>
    </row>
    <row r="2" spans="1:9" x14ac:dyDescent="0.3">
      <c r="A2" s="75" t="s">
        <v>265</v>
      </c>
      <c r="B2" s="20"/>
    </row>
    <row r="3" spans="1:9" ht="6" customHeight="1" x14ac:dyDescent="0.3">
      <c r="B3" s="20"/>
    </row>
    <row r="4" spans="1:9" x14ac:dyDescent="0.3">
      <c r="A4" s="20"/>
      <c r="B4" s="20"/>
    </row>
    <row r="5" spans="1:9" x14ac:dyDescent="0.3">
      <c r="A5" s="20"/>
      <c r="B5" s="20"/>
    </row>
    <row r="6" spans="1:9" ht="19.5" customHeight="1" x14ac:dyDescent="0.3">
      <c r="A6" s="21" t="s">
        <v>56</v>
      </c>
      <c r="B6" s="22"/>
      <c r="C6" s="3"/>
      <c r="D6" s="3"/>
      <c r="E6" s="3"/>
      <c r="F6" s="3"/>
      <c r="G6" s="3"/>
      <c r="H6" s="3"/>
      <c r="I6" s="3"/>
    </row>
    <row r="7" spans="1:9" ht="16.5" customHeight="1" x14ac:dyDescent="0.3">
      <c r="A7" s="23" t="s">
        <v>57</v>
      </c>
      <c r="B7" s="24"/>
      <c r="C7" s="9"/>
      <c r="D7" s="9" t="s">
        <v>58</v>
      </c>
      <c r="E7" s="9" t="s">
        <v>59</v>
      </c>
      <c r="F7" s="9" t="s">
        <v>60</v>
      </c>
      <c r="G7" s="9" t="s">
        <v>61</v>
      </c>
      <c r="H7" s="9" t="s">
        <v>62</v>
      </c>
      <c r="I7" s="9" t="s">
        <v>63</v>
      </c>
    </row>
    <row r="8" spans="1:9" x14ac:dyDescent="0.3">
      <c r="A8" s="25" t="s">
        <v>64</v>
      </c>
      <c r="B8" s="26"/>
      <c r="C8" s="10"/>
      <c r="D8" s="10"/>
      <c r="E8" s="10"/>
      <c r="F8" s="10"/>
      <c r="G8" s="10"/>
      <c r="H8" s="10"/>
      <c r="I8" s="10"/>
    </row>
    <row r="9" spans="1:9" x14ac:dyDescent="0.3">
      <c r="A9" s="27" t="s">
        <v>65</v>
      </c>
      <c r="B9" s="28"/>
      <c r="C9" s="11"/>
      <c r="D9" s="11">
        <v>44215.538999999997</v>
      </c>
      <c r="E9" s="11">
        <v>56784.84</v>
      </c>
      <c r="F9" s="11">
        <v>62354.608</v>
      </c>
      <c r="G9" s="11">
        <v>65995.597999999998</v>
      </c>
      <c r="H9" s="11">
        <v>62836.212</v>
      </c>
      <c r="I9" s="11">
        <v>44297.940999999999</v>
      </c>
    </row>
    <row r="10" spans="1:9" x14ac:dyDescent="0.3">
      <c r="A10" s="27" t="s">
        <v>66</v>
      </c>
      <c r="B10" s="28"/>
      <c r="C10" s="11"/>
      <c r="D10" s="11">
        <v>2854.2930000000001</v>
      </c>
      <c r="E10" s="11">
        <v>15352.8</v>
      </c>
      <c r="F10" s="11">
        <v>1676.796</v>
      </c>
      <c r="G10" s="11">
        <v>471.17399999999998</v>
      </c>
      <c r="H10" s="11">
        <v>125.70399999999999</v>
      </c>
      <c r="I10" s="11">
        <v>871.38599999999997</v>
      </c>
    </row>
    <row r="11" spans="1:9" x14ac:dyDescent="0.3">
      <c r="A11" s="27" t="s">
        <v>67</v>
      </c>
      <c r="B11" s="28"/>
      <c r="C11" s="11"/>
      <c r="D11" s="11">
        <v>0</v>
      </c>
      <c r="E11" s="11">
        <v>0</v>
      </c>
      <c r="F11" s="11">
        <v>0</v>
      </c>
      <c r="G11" s="11">
        <v>0</v>
      </c>
      <c r="H11" s="11">
        <v>0</v>
      </c>
      <c r="I11" s="11">
        <v>0</v>
      </c>
    </row>
    <row r="12" spans="1:9" x14ac:dyDescent="0.3">
      <c r="A12" s="27" t="s">
        <v>68</v>
      </c>
      <c r="B12" s="28"/>
      <c r="C12" s="11"/>
      <c r="D12" s="11">
        <v>6.0170000000000003</v>
      </c>
      <c r="E12" s="11">
        <v>10.414999999999999</v>
      </c>
      <c r="F12" s="11">
        <v>6.9459999999999997</v>
      </c>
      <c r="G12" s="11">
        <v>84.81</v>
      </c>
      <c r="H12" s="11">
        <v>62.426000000000002</v>
      </c>
      <c r="I12" s="11">
        <v>9.0229999999999997</v>
      </c>
    </row>
    <row r="13" spans="1:9" x14ac:dyDescent="0.3">
      <c r="A13" s="27" t="s">
        <v>69</v>
      </c>
      <c r="B13" s="28"/>
      <c r="C13" s="11"/>
      <c r="D13" s="11">
        <v>0</v>
      </c>
      <c r="E13" s="11">
        <v>0</v>
      </c>
      <c r="F13" s="11">
        <v>0</v>
      </c>
      <c r="G13" s="11">
        <v>0</v>
      </c>
      <c r="H13" s="11">
        <v>0</v>
      </c>
      <c r="I13" s="11">
        <v>0</v>
      </c>
    </row>
    <row r="14" spans="1:9" x14ac:dyDescent="0.3">
      <c r="A14" s="27" t="s">
        <v>70</v>
      </c>
      <c r="B14" s="28"/>
      <c r="C14" s="11"/>
      <c r="D14" s="11">
        <v>5020</v>
      </c>
      <c r="E14" s="11">
        <v>5020</v>
      </c>
      <c r="F14" s="11">
        <v>5030</v>
      </c>
      <c r="G14" s="11">
        <v>6322</v>
      </c>
      <c r="H14" s="11">
        <v>20371.11</v>
      </c>
      <c r="I14" s="11">
        <v>5020</v>
      </c>
    </row>
    <row r="15" spans="1:9" x14ac:dyDescent="0.3">
      <c r="A15" s="27" t="s">
        <v>71</v>
      </c>
      <c r="B15" s="28"/>
      <c r="C15" s="11"/>
      <c r="D15" s="11">
        <v>74.305999999999997</v>
      </c>
      <c r="E15" s="11">
        <v>76.965999999999994</v>
      </c>
      <c r="F15" s="11">
        <v>76.489999999999995</v>
      </c>
      <c r="G15" s="11">
        <v>95.436999999999998</v>
      </c>
      <c r="H15" s="11">
        <v>83.918999999999997</v>
      </c>
      <c r="I15" s="11">
        <v>75.616</v>
      </c>
    </row>
    <row r="16" spans="1:9" x14ac:dyDescent="0.3">
      <c r="A16" s="29" t="s">
        <v>72</v>
      </c>
      <c r="B16" s="30"/>
      <c r="C16" s="12"/>
      <c r="D16" s="12">
        <f t="shared" ref="D16:I16" si="0">D9+D11+D12+D13+D14+D15</f>
        <v>49315.861999999994</v>
      </c>
      <c r="E16" s="12">
        <f t="shared" si="0"/>
        <v>61892.220999999998</v>
      </c>
      <c r="F16" s="12">
        <f t="shared" si="0"/>
        <v>67468.044000000009</v>
      </c>
      <c r="G16" s="12">
        <f t="shared" si="0"/>
        <v>72497.845000000001</v>
      </c>
      <c r="H16" s="12">
        <f t="shared" si="0"/>
        <v>83353.666999999987</v>
      </c>
      <c r="I16" s="12">
        <f t="shared" si="0"/>
        <v>49402.58</v>
      </c>
    </row>
    <row r="17" spans="1:9" x14ac:dyDescent="0.3">
      <c r="A17" s="25" t="s">
        <v>73</v>
      </c>
      <c r="B17" s="26"/>
      <c r="C17" s="10"/>
      <c r="D17" s="10"/>
      <c r="E17" s="10"/>
      <c r="F17" s="10"/>
      <c r="G17" s="10"/>
      <c r="H17" s="10"/>
      <c r="I17" s="10"/>
    </row>
    <row r="18" spans="1:9" x14ac:dyDescent="0.3">
      <c r="A18" s="27" t="s">
        <v>74</v>
      </c>
      <c r="B18" s="28"/>
      <c r="C18" s="11"/>
      <c r="D18" s="11">
        <v>9738.7170000000006</v>
      </c>
      <c r="E18" s="11">
        <v>12853.605</v>
      </c>
      <c r="F18" s="11">
        <v>9925.8549999999996</v>
      </c>
      <c r="G18" s="11">
        <v>12277.288</v>
      </c>
      <c r="H18" s="11">
        <v>12461.312</v>
      </c>
      <c r="I18" s="11">
        <v>8395.61</v>
      </c>
    </row>
    <row r="19" spans="1:9" x14ac:dyDescent="0.3">
      <c r="A19" s="27" t="s">
        <v>75</v>
      </c>
      <c r="B19" s="28"/>
      <c r="C19" s="11"/>
      <c r="D19" s="11">
        <v>2150.183</v>
      </c>
      <c r="E19" s="11">
        <v>2695.6210000000001</v>
      </c>
      <c r="F19" s="11">
        <v>3874.605</v>
      </c>
      <c r="G19" s="11">
        <v>3256.5529999999999</v>
      </c>
      <c r="H19" s="11">
        <v>4442.9889999999996</v>
      </c>
      <c r="I19" s="11">
        <v>1779.404</v>
      </c>
    </row>
    <row r="20" spans="1:9" x14ac:dyDescent="0.3">
      <c r="A20" s="27" t="s">
        <v>76</v>
      </c>
      <c r="B20" s="28"/>
      <c r="C20" s="11"/>
      <c r="D20" s="11">
        <v>1679.704</v>
      </c>
      <c r="E20" s="11">
        <v>2066.212</v>
      </c>
      <c r="F20" s="11">
        <v>2600.9850000000001</v>
      </c>
      <c r="G20" s="11">
        <v>4188.7449999999999</v>
      </c>
      <c r="H20" s="11">
        <v>4610.1819999999998</v>
      </c>
      <c r="I20" s="11">
        <v>3052.13</v>
      </c>
    </row>
    <row r="21" spans="1:9" x14ac:dyDescent="0.3">
      <c r="A21" s="27" t="s">
        <v>77</v>
      </c>
      <c r="B21" s="28"/>
      <c r="C21" s="11"/>
      <c r="D21" s="11">
        <v>149.148</v>
      </c>
      <c r="E21" s="11">
        <v>198.346</v>
      </c>
      <c r="F21" s="11">
        <v>3689.556</v>
      </c>
      <c r="G21" s="11">
        <v>4220.2619999999997</v>
      </c>
      <c r="H21" s="11">
        <v>11102.413</v>
      </c>
      <c r="I21" s="11">
        <v>75.245000000000005</v>
      </c>
    </row>
    <row r="22" spans="1:9" x14ac:dyDescent="0.3">
      <c r="A22" s="27" t="s">
        <v>78</v>
      </c>
      <c r="B22" s="28"/>
      <c r="C22" s="11"/>
      <c r="D22" s="11">
        <v>490.32900000000001</v>
      </c>
      <c r="E22" s="11">
        <v>793.57600000000002</v>
      </c>
      <c r="F22" s="11">
        <v>740.70699999999999</v>
      </c>
      <c r="G22" s="11">
        <v>1133.412</v>
      </c>
      <c r="H22" s="11">
        <v>1615.481</v>
      </c>
      <c r="I22" s="11">
        <v>1046.2670000000001</v>
      </c>
    </row>
    <row r="23" spans="1:9" x14ac:dyDescent="0.3">
      <c r="A23" s="27" t="s">
        <v>79</v>
      </c>
      <c r="B23" s="28"/>
      <c r="C23" s="11"/>
      <c r="D23" s="11">
        <v>2715.335</v>
      </c>
      <c r="E23" s="11">
        <v>1714.6289999999999</v>
      </c>
      <c r="F23" s="11">
        <v>1407.9590000000001</v>
      </c>
      <c r="G23" s="11">
        <v>1791.577</v>
      </c>
      <c r="H23" s="11">
        <v>1520.2270000000001</v>
      </c>
      <c r="I23" s="11">
        <v>2258.5349999999999</v>
      </c>
    </row>
    <row r="24" spans="1:9" x14ac:dyDescent="0.3">
      <c r="A24" s="29" t="s">
        <v>80</v>
      </c>
      <c r="B24" s="30"/>
      <c r="C24" s="12"/>
      <c r="D24" s="12">
        <f t="shared" ref="D24:I24" si="1">D18+D19+D20+D21+D22+D23</f>
        <v>16923.416000000001</v>
      </c>
      <c r="E24" s="12">
        <f t="shared" si="1"/>
        <v>20321.989000000001</v>
      </c>
      <c r="F24" s="12">
        <f t="shared" si="1"/>
        <v>22239.666999999998</v>
      </c>
      <c r="G24" s="12">
        <f t="shared" si="1"/>
        <v>26867.837</v>
      </c>
      <c r="H24" s="12">
        <f t="shared" si="1"/>
        <v>35752.603999999999</v>
      </c>
      <c r="I24" s="12">
        <f t="shared" si="1"/>
        <v>16607.190999999999</v>
      </c>
    </row>
    <row r="25" spans="1:9" x14ac:dyDescent="0.3">
      <c r="A25" s="29" t="s">
        <v>81</v>
      </c>
      <c r="B25" s="30"/>
      <c r="C25" s="12"/>
      <c r="D25" s="12">
        <f t="shared" ref="D25:I25" si="2">D16+D24</f>
        <v>66239.277999999991</v>
      </c>
      <c r="E25" s="12">
        <f t="shared" si="2"/>
        <v>82214.209999999992</v>
      </c>
      <c r="F25" s="12">
        <f t="shared" si="2"/>
        <v>89707.71100000001</v>
      </c>
      <c r="G25" s="12">
        <f t="shared" si="2"/>
        <v>99365.682000000001</v>
      </c>
      <c r="H25" s="12">
        <f t="shared" si="2"/>
        <v>119106.27099999998</v>
      </c>
      <c r="I25" s="12">
        <f t="shared" si="2"/>
        <v>66009.771000000008</v>
      </c>
    </row>
    <row r="26" spans="1:9" x14ac:dyDescent="0.3">
      <c r="A26" s="25" t="s">
        <v>82</v>
      </c>
      <c r="B26" s="26"/>
      <c r="C26" s="10"/>
      <c r="D26" s="10"/>
      <c r="E26" s="10"/>
      <c r="F26" s="10"/>
      <c r="G26" s="10"/>
      <c r="H26" s="10"/>
      <c r="I26" s="10"/>
    </row>
    <row r="27" spans="1:9" x14ac:dyDescent="0.3">
      <c r="A27" s="27" t="s">
        <v>83</v>
      </c>
      <c r="B27" s="28"/>
      <c r="C27" s="11"/>
      <c r="D27" s="11">
        <v>10983.462</v>
      </c>
      <c r="E27" s="11">
        <v>10983.462</v>
      </c>
      <c r="F27" s="11">
        <v>10733.462</v>
      </c>
      <c r="G27" s="11">
        <v>10475.626</v>
      </c>
      <c r="H27" s="11">
        <v>10475.626</v>
      </c>
      <c r="I27" s="11">
        <v>10983.462</v>
      </c>
    </row>
    <row r="28" spans="1:9" x14ac:dyDescent="0.3">
      <c r="A28" s="27" t="s">
        <v>84</v>
      </c>
      <c r="B28" s="28"/>
      <c r="C28" s="11"/>
      <c r="D28" s="11">
        <v>26559.079000000002</v>
      </c>
      <c r="E28" s="11">
        <v>29575.553</v>
      </c>
      <c r="F28" s="11">
        <v>34179.652000000002</v>
      </c>
      <c r="G28" s="11">
        <v>42140.281999999999</v>
      </c>
      <c r="H28" s="11">
        <v>60985.966</v>
      </c>
      <c r="I28" s="11">
        <v>20337.368999999999</v>
      </c>
    </row>
    <row r="29" spans="1:9" x14ac:dyDescent="0.3">
      <c r="A29" s="29" t="s">
        <v>85</v>
      </c>
      <c r="B29" s="30"/>
      <c r="C29" s="12"/>
      <c r="D29" s="12">
        <f t="shared" ref="D29:I29" si="3">D27+D28</f>
        <v>37542.540999999997</v>
      </c>
      <c r="E29" s="12">
        <f t="shared" si="3"/>
        <v>40559.014999999999</v>
      </c>
      <c r="F29" s="12">
        <f t="shared" si="3"/>
        <v>44913.114000000001</v>
      </c>
      <c r="G29" s="12">
        <f t="shared" si="3"/>
        <v>52615.907999999996</v>
      </c>
      <c r="H29" s="12">
        <f t="shared" si="3"/>
        <v>71461.592000000004</v>
      </c>
      <c r="I29" s="12">
        <f t="shared" si="3"/>
        <v>31320.830999999998</v>
      </c>
    </row>
    <row r="30" spans="1:9" x14ac:dyDescent="0.3">
      <c r="A30" s="25" t="s">
        <v>86</v>
      </c>
      <c r="B30" s="26"/>
      <c r="C30" s="10"/>
      <c r="D30" s="10"/>
      <c r="E30" s="10"/>
      <c r="F30" s="10"/>
      <c r="G30" s="10"/>
      <c r="H30" s="10"/>
      <c r="I30" s="10"/>
    </row>
    <row r="31" spans="1:9" x14ac:dyDescent="0.3">
      <c r="A31" s="27" t="s">
        <v>87</v>
      </c>
      <c r="B31" s="28"/>
      <c r="C31" s="11"/>
      <c r="D31" s="11">
        <v>12636.749</v>
      </c>
      <c r="E31" s="11">
        <v>18747.867999999999</v>
      </c>
      <c r="F31" s="11">
        <v>17233.337</v>
      </c>
      <c r="G31" s="11">
        <v>14285.786</v>
      </c>
      <c r="H31" s="11">
        <v>9781.6389999999992</v>
      </c>
      <c r="I31" s="11">
        <v>15173.102000000001</v>
      </c>
    </row>
    <row r="32" spans="1:9" x14ac:dyDescent="0.3">
      <c r="A32" s="27" t="s">
        <v>88</v>
      </c>
      <c r="B32" s="28"/>
      <c r="C32" s="11"/>
      <c r="D32" s="11">
        <v>0</v>
      </c>
      <c r="E32" s="11">
        <v>27.135999999999999</v>
      </c>
      <c r="F32" s="11">
        <v>31.408000000000001</v>
      </c>
      <c r="G32" s="11">
        <v>34.67</v>
      </c>
      <c r="H32" s="11">
        <v>28.495000000000001</v>
      </c>
      <c r="I32" s="11">
        <v>0</v>
      </c>
    </row>
    <row r="33" spans="1:9" x14ac:dyDescent="0.3">
      <c r="A33" s="27" t="s">
        <v>89</v>
      </c>
      <c r="B33" s="28"/>
      <c r="C33" s="11"/>
      <c r="D33" s="11">
        <v>49.569000000000003</v>
      </c>
      <c r="E33" s="11">
        <v>786.75800000000004</v>
      </c>
      <c r="F33" s="11">
        <v>605.92600000000004</v>
      </c>
      <c r="G33" s="11">
        <v>450.48700000000002</v>
      </c>
      <c r="H33" s="11">
        <v>322.30399999999997</v>
      </c>
      <c r="I33" s="11">
        <v>0</v>
      </c>
    </row>
    <row r="34" spans="1:9" x14ac:dyDescent="0.3">
      <c r="A34" s="27" t="s">
        <v>90</v>
      </c>
      <c r="B34" s="28"/>
      <c r="C34" s="11"/>
      <c r="D34" s="11">
        <v>3889.9070000000002</v>
      </c>
      <c r="E34" s="11">
        <v>5656.4989999999998</v>
      </c>
      <c r="F34" s="11">
        <v>8669.2109999999993</v>
      </c>
      <c r="G34" s="11">
        <v>13044.29</v>
      </c>
      <c r="H34" s="11">
        <v>13822.897999999999</v>
      </c>
      <c r="I34" s="11">
        <v>3379.44</v>
      </c>
    </row>
    <row r="35" spans="1:9" x14ac:dyDescent="0.3">
      <c r="A35" s="27" t="s">
        <v>91</v>
      </c>
      <c r="B35" s="28"/>
      <c r="C35" s="11"/>
      <c r="D35" s="11">
        <v>671.06399999999996</v>
      </c>
      <c r="E35" s="11">
        <v>243.54300000000001</v>
      </c>
      <c r="F35" s="11">
        <v>2039.694</v>
      </c>
      <c r="G35" s="11">
        <v>336.74099999999999</v>
      </c>
      <c r="H35" s="11">
        <v>358.85199999999998</v>
      </c>
      <c r="I35" s="11">
        <v>822.62300000000005</v>
      </c>
    </row>
    <row r="36" spans="1:9" x14ac:dyDescent="0.3">
      <c r="A36" s="29" t="s">
        <v>92</v>
      </c>
      <c r="B36" s="30"/>
      <c r="C36" s="12"/>
      <c r="D36" s="12">
        <f t="shared" ref="D36:I36" si="4">D31+D32+D33+D34+D35</f>
        <v>17247.288999999997</v>
      </c>
      <c r="E36" s="12">
        <f t="shared" si="4"/>
        <v>25461.804</v>
      </c>
      <c r="F36" s="12">
        <f t="shared" si="4"/>
        <v>28579.575999999997</v>
      </c>
      <c r="G36" s="12">
        <f t="shared" si="4"/>
        <v>28151.974000000002</v>
      </c>
      <c r="H36" s="12">
        <f t="shared" si="4"/>
        <v>24314.187999999998</v>
      </c>
      <c r="I36" s="12">
        <f t="shared" si="4"/>
        <v>19375.165000000001</v>
      </c>
    </row>
    <row r="37" spans="1:9" x14ac:dyDescent="0.3">
      <c r="A37" s="25" t="s">
        <v>93</v>
      </c>
      <c r="B37" s="26"/>
      <c r="C37" s="10"/>
      <c r="D37" s="10"/>
      <c r="E37" s="10"/>
      <c r="F37" s="10"/>
      <c r="G37" s="10"/>
      <c r="H37" s="10"/>
      <c r="I37" s="10"/>
    </row>
    <row r="38" spans="1:9" x14ac:dyDescent="0.3">
      <c r="A38" s="27" t="s">
        <v>94</v>
      </c>
      <c r="B38" s="28"/>
      <c r="C38" s="11"/>
      <c r="D38" s="11">
        <v>7511.6369999999997</v>
      </c>
      <c r="E38" s="11">
        <v>9117.4140000000007</v>
      </c>
      <c r="F38" s="11">
        <v>12518.18</v>
      </c>
      <c r="G38" s="11">
        <v>12482.233</v>
      </c>
      <c r="H38" s="11">
        <v>17926.267</v>
      </c>
      <c r="I38" s="11">
        <v>7951.2209999999995</v>
      </c>
    </row>
    <row r="39" spans="1:9" x14ac:dyDescent="0.3">
      <c r="A39" s="27" t="s">
        <v>95</v>
      </c>
      <c r="B39" s="28"/>
      <c r="C39" s="11"/>
      <c r="D39" s="11">
        <v>0</v>
      </c>
      <c r="E39" s="11">
        <v>0</v>
      </c>
      <c r="F39" s="11">
        <v>0</v>
      </c>
      <c r="G39" s="11">
        <v>0</v>
      </c>
      <c r="H39" s="11">
        <v>0</v>
      </c>
      <c r="I39" s="11">
        <v>0</v>
      </c>
    </row>
    <row r="40" spans="1:9" x14ac:dyDescent="0.3">
      <c r="A40" s="27" t="s">
        <v>96</v>
      </c>
      <c r="B40" s="28"/>
      <c r="C40" s="11"/>
      <c r="D40" s="11">
        <v>260.95299999999997</v>
      </c>
      <c r="E40" s="11">
        <v>665.12199999999996</v>
      </c>
      <c r="F40" s="11">
        <v>880.03899999999999</v>
      </c>
      <c r="G40" s="11">
        <v>865.94500000000005</v>
      </c>
      <c r="H40" s="11">
        <v>320.43400000000003</v>
      </c>
      <c r="I40" s="11">
        <v>547.18899999999996</v>
      </c>
    </row>
    <row r="41" spans="1:9" x14ac:dyDescent="0.3">
      <c r="A41" s="27" t="s">
        <v>97</v>
      </c>
      <c r="B41" s="28"/>
      <c r="C41" s="11"/>
      <c r="D41" s="11">
        <v>1894.115</v>
      </c>
      <c r="E41" s="11">
        <v>3572.0729999999999</v>
      </c>
      <c r="F41" s="11">
        <v>0</v>
      </c>
      <c r="G41" s="11">
        <v>1645.316</v>
      </c>
      <c r="H41" s="11">
        <v>822.28499999999997</v>
      </c>
      <c r="I41" s="11">
        <v>6642.3119999999999</v>
      </c>
    </row>
    <row r="42" spans="1:9" x14ac:dyDescent="0.3">
      <c r="A42" s="27" t="s">
        <v>98</v>
      </c>
      <c r="B42" s="28"/>
      <c r="C42" s="11"/>
      <c r="D42" s="11">
        <v>1704.6120000000001</v>
      </c>
      <c r="E42" s="11">
        <v>2619.8000000000002</v>
      </c>
      <c r="F42" s="11">
        <v>2599.4009999999998</v>
      </c>
      <c r="G42" s="11">
        <v>3407.7020000000002</v>
      </c>
      <c r="H42" s="11">
        <v>3933.328</v>
      </c>
      <c r="I42" s="11">
        <v>125</v>
      </c>
    </row>
    <row r="43" spans="1:9" x14ac:dyDescent="0.3">
      <c r="A43" s="27" t="s">
        <v>99</v>
      </c>
      <c r="B43" s="28"/>
      <c r="C43" s="11"/>
      <c r="D43" s="11">
        <v>0</v>
      </c>
      <c r="E43" s="11">
        <v>6.8369999999999997</v>
      </c>
      <c r="F43" s="11">
        <v>10.257</v>
      </c>
      <c r="G43" s="11">
        <v>13.909000000000001</v>
      </c>
      <c r="H43" s="11">
        <v>14.323</v>
      </c>
      <c r="I43" s="11">
        <v>0</v>
      </c>
    </row>
    <row r="44" spans="1:9" x14ac:dyDescent="0.3">
      <c r="A44" s="27" t="s">
        <v>100</v>
      </c>
      <c r="B44" s="28"/>
      <c r="C44" s="11"/>
      <c r="D44" s="11">
        <v>49.997</v>
      </c>
      <c r="E44" s="11">
        <v>184.57599999999999</v>
      </c>
      <c r="F44" s="11">
        <v>179.76599999999999</v>
      </c>
      <c r="G44" s="11">
        <v>155.43899999999999</v>
      </c>
      <c r="H44" s="11">
        <v>128.18299999999999</v>
      </c>
      <c r="I44" s="11">
        <v>0</v>
      </c>
    </row>
    <row r="45" spans="1:9" x14ac:dyDescent="0.3">
      <c r="A45" s="27" t="s">
        <v>101</v>
      </c>
      <c r="B45" s="28"/>
      <c r="C45" s="11"/>
      <c r="D45" s="11">
        <v>28.134</v>
      </c>
      <c r="E45" s="11">
        <v>27.568999999999999</v>
      </c>
      <c r="F45" s="11">
        <v>27.378</v>
      </c>
      <c r="G45" s="11">
        <v>27.256</v>
      </c>
      <c r="H45" s="11">
        <v>26.876999999999999</v>
      </c>
      <c r="I45" s="11">
        <v>48.052999999999997</v>
      </c>
    </row>
    <row r="46" spans="1:9" x14ac:dyDescent="0.3">
      <c r="A46" s="27" t="s">
        <v>102</v>
      </c>
      <c r="B46" s="28"/>
      <c r="C46" s="11"/>
      <c r="D46" s="11">
        <v>0</v>
      </c>
      <c r="E46" s="11">
        <v>0</v>
      </c>
      <c r="F46" s="11">
        <v>0</v>
      </c>
      <c r="G46" s="11">
        <v>0</v>
      </c>
      <c r="H46" s="11">
        <v>158.79400000000001</v>
      </c>
      <c r="I46" s="11">
        <v>0</v>
      </c>
    </row>
    <row r="47" spans="1:9" x14ac:dyDescent="0.3">
      <c r="A47" s="27" t="s">
        <v>103</v>
      </c>
      <c r="B47" s="28"/>
      <c r="C47" s="11"/>
      <c r="D47" s="11">
        <v>0</v>
      </c>
      <c r="E47" s="11">
        <v>0</v>
      </c>
      <c r="F47" s="11">
        <v>0</v>
      </c>
      <c r="G47" s="11">
        <v>0</v>
      </c>
      <c r="H47" s="11">
        <v>0</v>
      </c>
      <c r="I47" s="11">
        <v>0</v>
      </c>
    </row>
    <row r="48" spans="1:9" x14ac:dyDescent="0.3">
      <c r="A48" s="29" t="s">
        <v>104</v>
      </c>
      <c r="B48" s="30"/>
      <c r="C48" s="12"/>
      <c r="D48" s="12">
        <f t="shared" ref="D48:I48" si="5">D38+D39+D40+D41+D42+D43+D44+D45+D46+D47</f>
        <v>11449.447999999999</v>
      </c>
      <c r="E48" s="12">
        <f t="shared" si="5"/>
        <v>16193.390999999998</v>
      </c>
      <c r="F48" s="12">
        <f t="shared" si="5"/>
        <v>16215.021000000001</v>
      </c>
      <c r="G48" s="12">
        <f t="shared" si="5"/>
        <v>18597.8</v>
      </c>
      <c r="H48" s="12">
        <f t="shared" si="5"/>
        <v>23330.491000000005</v>
      </c>
      <c r="I48" s="12">
        <f t="shared" si="5"/>
        <v>15313.775</v>
      </c>
    </row>
    <row r="49" spans="1:9" x14ac:dyDescent="0.3">
      <c r="A49" s="29" t="s">
        <v>105</v>
      </c>
      <c r="B49" s="30"/>
      <c r="C49" s="12"/>
      <c r="D49" s="12">
        <f t="shared" ref="D49:I49" si="6">D36+D48</f>
        <v>28696.736999999994</v>
      </c>
      <c r="E49" s="12">
        <f t="shared" si="6"/>
        <v>41655.195</v>
      </c>
      <c r="F49" s="12">
        <f t="shared" si="6"/>
        <v>44794.596999999994</v>
      </c>
      <c r="G49" s="12">
        <f t="shared" si="6"/>
        <v>46749.774000000005</v>
      </c>
      <c r="H49" s="12">
        <f t="shared" si="6"/>
        <v>47644.679000000004</v>
      </c>
      <c r="I49" s="12">
        <f t="shared" si="6"/>
        <v>34688.94</v>
      </c>
    </row>
    <row r="50" spans="1:9" x14ac:dyDescent="0.3">
      <c r="A50" s="29" t="s">
        <v>106</v>
      </c>
      <c r="B50" s="30"/>
      <c r="C50" s="12"/>
      <c r="D50" s="12">
        <f t="shared" ref="D50:I50" si="7">D29+D49</f>
        <v>66239.277999999991</v>
      </c>
      <c r="E50" s="12">
        <f t="shared" si="7"/>
        <v>82214.209999999992</v>
      </c>
      <c r="F50" s="12">
        <f t="shared" si="7"/>
        <v>89707.710999999996</v>
      </c>
      <c r="G50" s="12">
        <f t="shared" si="7"/>
        <v>99365.682000000001</v>
      </c>
      <c r="H50" s="12">
        <f t="shared" si="7"/>
        <v>119106.27100000001</v>
      </c>
      <c r="I50" s="12">
        <f t="shared" si="7"/>
        <v>66009.771000000008</v>
      </c>
    </row>
    <row r="51" spans="1:9" x14ac:dyDescent="0.3">
      <c r="A51" s="25" t="s">
        <v>107</v>
      </c>
      <c r="B51" s="26"/>
      <c r="C51" s="10"/>
      <c r="D51" s="10"/>
      <c r="E51" s="10"/>
      <c r="F51" s="10"/>
      <c r="G51" s="10"/>
      <c r="H51" s="10"/>
      <c r="I51" s="10"/>
    </row>
    <row r="52" spans="1:9" x14ac:dyDescent="0.3">
      <c r="A52" s="27" t="s">
        <v>108</v>
      </c>
      <c r="B52" s="28"/>
      <c r="C52" s="11"/>
      <c r="D52" s="11">
        <f>3515.408+D150</f>
        <v>3576.6320000000001</v>
      </c>
      <c r="E52" s="11">
        <f>3975.712+E150</f>
        <v>4108.3069999999998</v>
      </c>
      <c r="F52" s="11">
        <f>4804.356+F150</f>
        <v>6676.2209999999995</v>
      </c>
      <c r="G52" s="11">
        <f>4575.18+G150</f>
        <v>5396.6050000000005</v>
      </c>
      <c r="H52" s="11">
        <f>5869.802+H150</f>
        <v>7322.7829999999994</v>
      </c>
      <c r="I52" s="11">
        <f>3886.684+I150</f>
        <v>4173.9430000000002</v>
      </c>
    </row>
    <row r="53" spans="1:9" x14ac:dyDescent="0.3">
      <c r="A53" s="27" t="s">
        <v>109</v>
      </c>
      <c r="B53" s="28"/>
      <c r="C53" s="11"/>
      <c r="D53" s="11">
        <f t="shared" ref="D53:I53" si="8">D9-D10</f>
        <v>41361.245999999999</v>
      </c>
      <c r="E53" s="11">
        <f t="shared" si="8"/>
        <v>41432.039999999994</v>
      </c>
      <c r="F53" s="11">
        <f t="shared" si="8"/>
        <v>60677.811999999998</v>
      </c>
      <c r="G53" s="11">
        <f t="shared" si="8"/>
        <v>65524.423999999999</v>
      </c>
      <c r="H53" s="11">
        <f t="shared" si="8"/>
        <v>62710.508000000002</v>
      </c>
      <c r="I53" s="11">
        <f t="shared" si="8"/>
        <v>43426.555</v>
      </c>
    </row>
    <row r="54" spans="1:9" x14ac:dyDescent="0.3">
      <c r="A54" s="27" t="s">
        <v>110</v>
      </c>
      <c r="B54" s="28"/>
      <c r="C54" s="11"/>
      <c r="D54" s="11">
        <f t="shared" ref="D54:I54" si="9">D18+D19</f>
        <v>11888.900000000001</v>
      </c>
      <c r="E54" s="11">
        <f t="shared" si="9"/>
        <v>15549.225999999999</v>
      </c>
      <c r="F54" s="11">
        <f t="shared" si="9"/>
        <v>13800.46</v>
      </c>
      <c r="G54" s="11">
        <f t="shared" si="9"/>
        <v>15533.841</v>
      </c>
      <c r="H54" s="11">
        <f t="shared" si="9"/>
        <v>16904.300999999999</v>
      </c>
      <c r="I54" s="11">
        <f t="shared" si="9"/>
        <v>10175.014000000001</v>
      </c>
    </row>
    <row r="55" spans="1:9" x14ac:dyDescent="0.3">
      <c r="A55" s="27" t="s">
        <v>111</v>
      </c>
      <c r="B55" s="28"/>
      <c r="C55" s="11"/>
      <c r="D55" s="11">
        <f t="shared" ref="D55:I55" si="10">D31+D32+D41+D42+D43-D148-D149</f>
        <v>16235.475999999999</v>
      </c>
      <c r="E55" s="11">
        <f t="shared" si="10"/>
        <v>24973.713999999996</v>
      </c>
      <c r="F55" s="11">
        <f t="shared" si="10"/>
        <v>19874.403000000002</v>
      </c>
      <c r="G55" s="11">
        <f t="shared" si="10"/>
        <v>19387.383000000002</v>
      </c>
      <c r="H55" s="11">
        <f t="shared" si="10"/>
        <v>14580.07</v>
      </c>
      <c r="I55" s="11">
        <f t="shared" si="10"/>
        <v>21940.414000000001</v>
      </c>
    </row>
    <row r="56" spans="1:9" x14ac:dyDescent="0.3">
      <c r="A56" s="27" t="s">
        <v>112</v>
      </c>
      <c r="B56" s="28"/>
      <c r="C56" s="11"/>
      <c r="D56" s="11">
        <f t="shared" ref="D56:I56" si="11">D31+D32</f>
        <v>12636.749</v>
      </c>
      <c r="E56" s="11">
        <f t="shared" si="11"/>
        <v>18775.003999999997</v>
      </c>
      <c r="F56" s="11">
        <f t="shared" si="11"/>
        <v>17264.744999999999</v>
      </c>
      <c r="G56" s="11">
        <f t="shared" si="11"/>
        <v>14320.456</v>
      </c>
      <c r="H56" s="11">
        <f t="shared" si="11"/>
        <v>9810.134</v>
      </c>
      <c r="I56" s="11">
        <f t="shared" si="11"/>
        <v>15173.102000000001</v>
      </c>
    </row>
    <row r="57" spans="1:9" x14ac:dyDescent="0.3">
      <c r="A57" s="27"/>
      <c r="B57" s="28"/>
      <c r="C57" s="11"/>
      <c r="D57" s="11"/>
      <c r="E57" s="11"/>
      <c r="F57" s="11"/>
      <c r="G57" s="11"/>
      <c r="H57" s="11"/>
      <c r="I57" s="11"/>
    </row>
    <row r="58" spans="1:9" x14ac:dyDescent="0.3">
      <c r="A58" s="27" t="s">
        <v>113</v>
      </c>
      <c r="B58" s="28"/>
      <c r="C58" s="11"/>
      <c r="D58" s="11">
        <f t="shared" ref="D58:I58" si="12">D55+D29</f>
        <v>53778.016999999993</v>
      </c>
      <c r="E58" s="11">
        <f t="shared" si="12"/>
        <v>65532.728999999992</v>
      </c>
      <c r="F58" s="11">
        <f t="shared" si="12"/>
        <v>64787.517000000007</v>
      </c>
      <c r="G58" s="11">
        <f t="shared" si="12"/>
        <v>72003.290999999997</v>
      </c>
      <c r="H58" s="11">
        <f t="shared" si="12"/>
        <v>86041.662000000011</v>
      </c>
      <c r="I58" s="11">
        <f t="shared" si="12"/>
        <v>53261.244999999995</v>
      </c>
    </row>
    <row r="59" spans="1:9" x14ac:dyDescent="0.3">
      <c r="A59" s="27" t="s">
        <v>114</v>
      </c>
      <c r="B59" s="28"/>
      <c r="C59" s="11"/>
      <c r="D59" s="11">
        <f t="shared" ref="D59:I59" si="13">D24-D22-D21</f>
        <v>16283.939</v>
      </c>
      <c r="E59" s="11">
        <f t="shared" si="13"/>
        <v>19330.066999999999</v>
      </c>
      <c r="F59" s="11">
        <f t="shared" si="13"/>
        <v>17809.403999999999</v>
      </c>
      <c r="G59" s="11">
        <f t="shared" si="13"/>
        <v>21514.163</v>
      </c>
      <c r="H59" s="11">
        <f t="shared" si="13"/>
        <v>23034.71</v>
      </c>
      <c r="I59" s="11">
        <f t="shared" si="13"/>
        <v>15485.678999999998</v>
      </c>
    </row>
    <row r="60" spans="1:9" x14ac:dyDescent="0.3">
      <c r="A60" s="27" t="s">
        <v>115</v>
      </c>
      <c r="B60" s="28"/>
      <c r="C60" s="11"/>
      <c r="D60" s="11">
        <f t="shared" ref="D60:I60" si="14">D48-D41-D42-D43-D44-D40-D45</f>
        <v>7511.6369999999988</v>
      </c>
      <c r="E60" s="11">
        <f t="shared" si="14"/>
        <v>9117.4139999999989</v>
      </c>
      <c r="F60" s="11">
        <f t="shared" si="14"/>
        <v>12518.18</v>
      </c>
      <c r="G60" s="11">
        <f t="shared" si="14"/>
        <v>12482.233</v>
      </c>
      <c r="H60" s="11">
        <f t="shared" si="14"/>
        <v>18085.061000000002</v>
      </c>
      <c r="I60" s="11">
        <f t="shared" si="14"/>
        <v>7951.2209999999995</v>
      </c>
    </row>
    <row r="61" spans="1:9" x14ac:dyDescent="0.3">
      <c r="A61" s="20"/>
      <c r="B61" s="20"/>
    </row>
    <row r="62" spans="1:9" ht="19.5" customHeight="1" x14ac:dyDescent="0.3">
      <c r="A62" s="21" t="s">
        <v>116</v>
      </c>
      <c r="B62" s="22"/>
      <c r="C62" s="3"/>
      <c r="D62" s="3"/>
      <c r="E62" s="3"/>
      <c r="F62" s="3"/>
      <c r="G62" s="3"/>
      <c r="H62" s="3"/>
      <c r="I62" s="3"/>
    </row>
    <row r="63" spans="1:9" ht="16.5" customHeight="1" x14ac:dyDescent="0.3">
      <c r="A63" s="23" t="s">
        <v>57</v>
      </c>
      <c r="B63" s="24"/>
      <c r="C63" s="9"/>
      <c r="D63" s="9" t="s">
        <v>58</v>
      </c>
      <c r="E63" s="9" t="s">
        <v>59</v>
      </c>
      <c r="F63" s="9" t="s">
        <v>60</v>
      </c>
      <c r="G63" s="9" t="s">
        <v>61</v>
      </c>
      <c r="H63" s="9" t="s">
        <v>62</v>
      </c>
      <c r="I63" s="9" t="s">
        <v>63</v>
      </c>
    </row>
    <row r="64" spans="1:9" x14ac:dyDescent="0.3">
      <c r="A64" s="27" t="s">
        <v>117</v>
      </c>
      <c r="B64" s="28"/>
      <c r="C64" s="11"/>
      <c r="D64" s="11">
        <v>35538.300999999999</v>
      </c>
      <c r="E64" s="11">
        <v>48519.622000000003</v>
      </c>
      <c r="F64" s="11">
        <v>62075.258999999998</v>
      </c>
      <c r="G64" s="11">
        <v>66452.347999999998</v>
      </c>
      <c r="H64" s="11">
        <v>68942.445999999996</v>
      </c>
      <c r="I64" s="11">
        <v>29117.734</v>
      </c>
    </row>
    <row r="65" spans="1:9" x14ac:dyDescent="0.3">
      <c r="A65" s="27" t="s">
        <v>118</v>
      </c>
      <c r="B65" s="28"/>
      <c r="C65" s="11"/>
      <c r="D65" s="11">
        <v>-28135.419000000002</v>
      </c>
      <c r="E65" s="11">
        <v>-36244.156000000003</v>
      </c>
      <c r="F65" s="11">
        <v>-43901.906000000003</v>
      </c>
      <c r="G65" s="11">
        <v>-45488.063999999998</v>
      </c>
      <c r="H65" s="11">
        <v>-45195.63</v>
      </c>
      <c r="I65" s="11">
        <v>-29816.947</v>
      </c>
    </row>
    <row r="66" spans="1:9" x14ac:dyDescent="0.3">
      <c r="A66" s="29" t="s">
        <v>119</v>
      </c>
      <c r="B66" s="30"/>
      <c r="C66" s="12"/>
      <c r="D66" s="12">
        <f t="shared" ref="D66:I66" si="15">D64+D65</f>
        <v>7402.8819999999978</v>
      </c>
      <c r="E66" s="12">
        <f t="shared" si="15"/>
        <v>12275.466</v>
      </c>
      <c r="F66" s="12">
        <f t="shared" si="15"/>
        <v>18173.352999999996</v>
      </c>
      <c r="G66" s="12">
        <f t="shared" si="15"/>
        <v>20964.284</v>
      </c>
      <c r="H66" s="12">
        <f t="shared" si="15"/>
        <v>23746.815999999999</v>
      </c>
      <c r="I66" s="12">
        <f t="shared" si="15"/>
        <v>-699.21299999999974</v>
      </c>
    </row>
    <row r="67" spans="1:9" x14ac:dyDescent="0.3">
      <c r="A67" s="27" t="s">
        <v>120</v>
      </c>
      <c r="B67" s="28"/>
      <c r="C67" s="11"/>
      <c r="D67" s="11">
        <v>-1013.852</v>
      </c>
      <c r="E67" s="11">
        <v>-1483.876</v>
      </c>
      <c r="F67" s="11">
        <v>-3751.096</v>
      </c>
      <c r="G67" s="11">
        <v>-5471.808</v>
      </c>
      <c r="H67" s="11">
        <v>-4123.7539999999999</v>
      </c>
      <c r="I67" s="11">
        <v>-845.37900000000002</v>
      </c>
    </row>
    <row r="68" spans="1:9" x14ac:dyDescent="0.3">
      <c r="A68" s="27" t="s">
        <v>121</v>
      </c>
      <c r="B68" s="28"/>
      <c r="C68" s="11"/>
      <c r="D68" s="11">
        <v>-813.48900000000003</v>
      </c>
      <c r="E68" s="11">
        <v>-971.45299999999997</v>
      </c>
      <c r="F68" s="11">
        <v>-1380.607</v>
      </c>
      <c r="G68" s="11">
        <v>-1852.1479999999999</v>
      </c>
      <c r="H68" s="11">
        <v>-2176.3200000000002</v>
      </c>
      <c r="I68" s="11">
        <v>-784.70600000000002</v>
      </c>
    </row>
    <row r="69" spans="1:9" x14ac:dyDescent="0.3">
      <c r="A69" s="27" t="s">
        <v>122</v>
      </c>
      <c r="B69" s="28"/>
      <c r="C69" s="11"/>
      <c r="D69" s="11">
        <v>0</v>
      </c>
      <c r="E69" s="11">
        <v>-209.92</v>
      </c>
      <c r="F69" s="11">
        <v>-191.42099999999999</v>
      </c>
      <c r="G69" s="11">
        <v>-357.19099999999997</v>
      </c>
      <c r="H69" s="11">
        <v>-514.42999999999995</v>
      </c>
      <c r="I69" s="11">
        <v>0</v>
      </c>
    </row>
    <row r="70" spans="1:9" x14ac:dyDescent="0.3">
      <c r="A70" s="27" t="s">
        <v>123</v>
      </c>
      <c r="B70" s="28"/>
      <c r="C70" s="11"/>
      <c r="D70" s="11">
        <v>-524.14200000000005</v>
      </c>
      <c r="E70" s="11">
        <v>-742.28</v>
      </c>
      <c r="F70" s="11">
        <v>-995.46</v>
      </c>
      <c r="G70" s="11">
        <v>-569.54499999999996</v>
      </c>
      <c r="H70" s="11">
        <v>-1207.018</v>
      </c>
      <c r="I70" s="11">
        <v>-89.998999999999995</v>
      </c>
    </row>
    <row r="71" spans="1:9" x14ac:dyDescent="0.3">
      <c r="A71" s="29" t="s">
        <v>124</v>
      </c>
      <c r="B71" s="30"/>
      <c r="C71" s="12"/>
      <c r="D71" s="12">
        <f t="shared" ref="D71:I71" si="16">D66+D67+D68+D69+D70</f>
        <v>5051.3989999999976</v>
      </c>
      <c r="E71" s="12">
        <f t="shared" si="16"/>
        <v>8867.9369999999999</v>
      </c>
      <c r="F71" s="12">
        <f t="shared" si="16"/>
        <v>11854.768999999997</v>
      </c>
      <c r="G71" s="12">
        <f t="shared" si="16"/>
        <v>12713.591999999999</v>
      </c>
      <c r="H71" s="12">
        <f t="shared" si="16"/>
        <v>15725.293999999998</v>
      </c>
      <c r="I71" s="12">
        <f t="shared" si="16"/>
        <v>-2419.2969999999996</v>
      </c>
    </row>
    <row r="72" spans="1:9" x14ac:dyDescent="0.3">
      <c r="A72" s="27" t="s">
        <v>125</v>
      </c>
      <c r="B72" s="28"/>
      <c r="C72" s="11"/>
      <c r="D72" s="11">
        <v>3732.1320000000001</v>
      </c>
      <c r="E72" s="11">
        <v>56.600999999999999</v>
      </c>
      <c r="F72" s="11">
        <v>146.64599999999999</v>
      </c>
      <c r="G72" s="11">
        <v>238.45099999999999</v>
      </c>
      <c r="H72" s="11">
        <v>8462.6560000000009</v>
      </c>
      <c r="I72" s="11">
        <v>131.97800000000001</v>
      </c>
    </row>
    <row r="73" spans="1:9" x14ac:dyDescent="0.3">
      <c r="A73" s="27" t="s">
        <v>126</v>
      </c>
      <c r="B73" s="28"/>
      <c r="C73" s="11"/>
      <c r="D73" s="11">
        <v>0</v>
      </c>
      <c r="E73" s="11">
        <v>0</v>
      </c>
      <c r="F73" s="11">
        <v>0</v>
      </c>
      <c r="G73" s="11">
        <v>117.691</v>
      </c>
      <c r="H73" s="11">
        <v>1031.075</v>
      </c>
      <c r="I73" s="11">
        <v>0</v>
      </c>
    </row>
    <row r="74" spans="1:9" x14ac:dyDescent="0.3">
      <c r="A74" s="27" t="s">
        <v>127</v>
      </c>
      <c r="B74" s="28"/>
      <c r="C74" s="11"/>
      <c r="D74" s="11">
        <v>0</v>
      </c>
      <c r="E74" s="11">
        <v>0</v>
      </c>
      <c r="F74" s="11">
        <v>0</v>
      </c>
      <c r="G74" s="11">
        <v>0</v>
      </c>
      <c r="H74" s="11">
        <v>0</v>
      </c>
      <c r="I74" s="11">
        <v>0</v>
      </c>
    </row>
    <row r="75" spans="1:9" x14ac:dyDescent="0.3">
      <c r="A75" s="27" t="s">
        <v>128</v>
      </c>
      <c r="B75" s="28"/>
      <c r="C75" s="11"/>
      <c r="D75" s="11">
        <v>-1493.93</v>
      </c>
      <c r="E75" s="11">
        <v>-1741.0260000000001</v>
      </c>
      <c r="F75" s="11">
        <v>-2750.748</v>
      </c>
      <c r="G75" s="11">
        <v>-4138.2860000000001</v>
      </c>
      <c r="H75" s="11">
        <v>-3554.788</v>
      </c>
      <c r="I75" s="11">
        <v>-2981.7220000000002</v>
      </c>
    </row>
    <row r="76" spans="1:9" x14ac:dyDescent="0.3">
      <c r="A76" s="29" t="s">
        <v>129</v>
      </c>
      <c r="B76" s="30"/>
      <c r="C76" s="12"/>
      <c r="D76" s="12">
        <f t="shared" ref="D76:I76" si="17">D71+D72+D73+D74+D75</f>
        <v>7289.6009999999969</v>
      </c>
      <c r="E76" s="12">
        <f t="shared" si="17"/>
        <v>7183.5120000000006</v>
      </c>
      <c r="F76" s="12">
        <f t="shared" si="17"/>
        <v>9250.6669999999976</v>
      </c>
      <c r="G76" s="12">
        <f t="shared" si="17"/>
        <v>8931.4479999999985</v>
      </c>
      <c r="H76" s="12">
        <f t="shared" si="17"/>
        <v>21664.236999999997</v>
      </c>
      <c r="I76" s="12">
        <f t="shared" si="17"/>
        <v>-5269.0409999999993</v>
      </c>
    </row>
    <row r="77" spans="1:9" x14ac:dyDescent="0.3">
      <c r="A77" s="27" t="s">
        <v>130</v>
      </c>
      <c r="B77" s="28"/>
      <c r="C77" s="11"/>
      <c r="D77" s="11">
        <v>0</v>
      </c>
      <c r="E77" s="11">
        <v>0</v>
      </c>
      <c r="F77" s="11">
        <v>-12.192</v>
      </c>
      <c r="G77" s="11">
        <v>-45.804000000000002</v>
      </c>
      <c r="H77" s="11">
        <v>-38.972000000000001</v>
      </c>
      <c r="I77" s="11">
        <v>0</v>
      </c>
    </row>
    <row r="78" spans="1:9" x14ac:dyDescent="0.3">
      <c r="A78" s="27" t="s">
        <v>131</v>
      </c>
      <c r="B78" s="28"/>
      <c r="C78" s="11"/>
      <c r="D78" s="11">
        <v>-1035.492</v>
      </c>
      <c r="E78" s="11">
        <v>-3557.172</v>
      </c>
      <c r="F78" s="11">
        <v>-4746.8059999999996</v>
      </c>
      <c r="G78" s="11">
        <v>-3613.1170000000002</v>
      </c>
      <c r="H78" s="11">
        <v>-4588.8909999999996</v>
      </c>
      <c r="I78" s="11">
        <v>425.77600000000001</v>
      </c>
    </row>
    <row r="79" spans="1:9" x14ac:dyDescent="0.3">
      <c r="A79" s="29" t="s">
        <v>132</v>
      </c>
      <c r="B79" s="30"/>
      <c r="C79" s="12"/>
      <c r="D79" s="12">
        <f t="shared" ref="D79:I79" si="18">D76+D77+D78</f>
        <v>6254.1089999999967</v>
      </c>
      <c r="E79" s="12">
        <f t="shared" si="18"/>
        <v>3626.3400000000006</v>
      </c>
      <c r="F79" s="12">
        <f t="shared" si="18"/>
        <v>4491.668999999999</v>
      </c>
      <c r="G79" s="12">
        <f t="shared" si="18"/>
        <v>5272.5269999999982</v>
      </c>
      <c r="H79" s="12">
        <f t="shared" si="18"/>
        <v>17036.373999999996</v>
      </c>
      <c r="I79" s="12">
        <f t="shared" si="18"/>
        <v>-4843.2649999999994</v>
      </c>
    </row>
    <row r="80" spans="1:9" x14ac:dyDescent="0.3">
      <c r="A80" s="25" t="s">
        <v>133</v>
      </c>
      <c r="B80" s="26"/>
      <c r="C80" s="10"/>
      <c r="D80" s="10"/>
      <c r="E80" s="10"/>
      <c r="F80" s="10"/>
      <c r="G80" s="10"/>
      <c r="H80" s="10"/>
      <c r="I80" s="10"/>
    </row>
    <row r="81" spans="1:9" x14ac:dyDescent="0.3">
      <c r="A81" s="27" t="s">
        <v>134</v>
      </c>
      <c r="B81" s="28"/>
      <c r="C81" s="11"/>
      <c r="D81" s="11">
        <v>3287.7019999999998</v>
      </c>
      <c r="E81" s="11">
        <v>3233.9769999999999</v>
      </c>
      <c r="F81" s="11">
        <v>3475.3490000000002</v>
      </c>
      <c r="G81" s="11">
        <v>4520.3469999999998</v>
      </c>
      <c r="H81" s="11">
        <v>4413.3</v>
      </c>
      <c r="I81" s="11"/>
    </row>
    <row r="82" spans="1:9" x14ac:dyDescent="0.3">
      <c r="A82" s="27" t="s">
        <v>135</v>
      </c>
      <c r="B82" s="28"/>
      <c r="C82" s="11"/>
      <c r="D82" s="11">
        <f>D76+D85</f>
        <v>8736.8789999999972</v>
      </c>
      <c r="E82" s="11">
        <f>E76+E85</f>
        <v>8873.5370000000003</v>
      </c>
      <c r="F82" s="11">
        <f>F76+F85</f>
        <v>11933.841999999997</v>
      </c>
      <c r="G82" s="11">
        <f>G76+G85</f>
        <v>12986.867999999999</v>
      </c>
      <c r="H82" s="11">
        <f>H76+H85</f>
        <v>25078.190999999999</v>
      </c>
      <c r="I82" s="11">
        <f>I76-I75</f>
        <v>-2287.3189999999991</v>
      </c>
    </row>
    <row r="83" spans="1:9" x14ac:dyDescent="0.3">
      <c r="A83" s="27" t="s">
        <v>136</v>
      </c>
      <c r="B83" s="28"/>
      <c r="C83" s="11"/>
      <c r="D83" s="11">
        <f>D82+D81</f>
        <v>12024.580999999996</v>
      </c>
      <c r="E83" s="11">
        <f>E82+E81</f>
        <v>12107.513999999999</v>
      </c>
      <c r="F83" s="11">
        <f>F82+F81</f>
        <v>15409.190999999997</v>
      </c>
      <c r="G83" s="11">
        <f>G82+G81</f>
        <v>17507.214999999997</v>
      </c>
      <c r="H83" s="11">
        <f>H82+H81</f>
        <v>29491.490999999998</v>
      </c>
      <c r="I83" s="11"/>
    </row>
    <row r="84" spans="1:9" x14ac:dyDescent="0.3">
      <c r="A84" s="27" t="s">
        <v>137</v>
      </c>
      <c r="B84" s="28"/>
      <c r="C84" s="11"/>
      <c r="D84" s="11">
        <v>46.652000000000001</v>
      </c>
      <c r="E84" s="11">
        <v>51.000999999999998</v>
      </c>
      <c r="F84" s="11">
        <v>67.572999999999993</v>
      </c>
      <c r="G84" s="11">
        <v>82.866</v>
      </c>
      <c r="H84" s="11">
        <v>140.834</v>
      </c>
      <c r="I84" s="13"/>
    </row>
    <row r="85" spans="1:9" x14ac:dyDescent="0.3">
      <c r="A85" s="27" t="s">
        <v>138</v>
      </c>
      <c r="B85" s="28"/>
      <c r="C85" s="11"/>
      <c r="D85" s="11">
        <f>-D75-D84</f>
        <v>1447.278</v>
      </c>
      <c r="E85" s="11">
        <f>-E75-E84</f>
        <v>1690.0250000000001</v>
      </c>
      <c r="F85" s="11">
        <f>-F75-F84</f>
        <v>2683.1750000000002</v>
      </c>
      <c r="G85" s="11">
        <f>-G75-G84</f>
        <v>4055.42</v>
      </c>
      <c r="H85" s="11">
        <f>-H75-H84</f>
        <v>3413.9540000000002</v>
      </c>
      <c r="I85" s="13"/>
    </row>
    <row r="86" spans="1:9" x14ac:dyDescent="0.3">
      <c r="A86" s="27" t="s">
        <v>139</v>
      </c>
      <c r="B86" s="28"/>
      <c r="C86" s="14"/>
      <c r="D86" s="14">
        <f>IF(D76&lt;=0,"n/m",-(D77+D78)/D76)</f>
        <v>0.14205057313836525</v>
      </c>
      <c r="E86" s="14">
        <f>IF(E76&lt;=0,"n/m",-(E77+E78)/E76)</f>
        <v>0.49518564178635738</v>
      </c>
      <c r="F86" s="14">
        <f>IF(F76&lt;=0,"n/m",-(F77+F78)/F76)</f>
        <v>0.51444917431359283</v>
      </c>
      <c r="G86" s="14">
        <f>IF(G76&lt;=0,"n/m",-(G77+G78)/G76)</f>
        <v>0.40966716707078188</v>
      </c>
      <c r="H86" s="14">
        <f>IF(H76&lt;=0,"n/m",-(H77+H78)/H76)</f>
        <v>0.21361763167565051</v>
      </c>
      <c r="I86" s="13"/>
    </row>
    <row r="87" spans="1:9" x14ac:dyDescent="0.3">
      <c r="A87" s="27" t="s">
        <v>140</v>
      </c>
      <c r="B87" s="28"/>
      <c r="C87" s="14"/>
      <c r="D87" s="14">
        <f>D86</f>
        <v>0.14205057313836525</v>
      </c>
      <c r="E87" s="14">
        <f>E86</f>
        <v>0.49518564178635738</v>
      </c>
      <c r="F87" s="14">
        <f>F86</f>
        <v>0.51444917431359283</v>
      </c>
      <c r="G87" s="14">
        <f>G86</f>
        <v>0.40966716707078188</v>
      </c>
      <c r="H87" s="14">
        <f>H86</f>
        <v>0.21361763167565051</v>
      </c>
      <c r="I87" s="13"/>
    </row>
    <row r="88" spans="1:9" x14ac:dyDescent="0.3">
      <c r="A88" s="27" t="s">
        <v>141</v>
      </c>
      <c r="B88" s="28"/>
      <c r="C88" s="11"/>
      <c r="D88" s="11">
        <f>IF(ISNUMBER(D87),D82*(1-D87),"n/m")</f>
        <v>7495.8003306094506</v>
      </c>
      <c r="E88" s="11">
        <f>IF(ISNUMBER(E87),E82*(1-E87),"n/m")</f>
        <v>4479.4888857400119</v>
      </c>
      <c r="F88" s="11">
        <f>IF(ISNUMBER(F87),F82*(1-F87),"n/m")</f>
        <v>5794.486836711123</v>
      </c>
      <c r="G88" s="11">
        <f>IF(ISNUMBER(G87),G82*(1-G87),"n/m")</f>
        <v>7666.5745773178087</v>
      </c>
      <c r="H88" s="11">
        <f>IF(ISNUMBER(H87),H82*(1-H87),"n/m")</f>
        <v>19721.047231870387</v>
      </c>
      <c r="I88" s="13"/>
    </row>
    <row r="89" spans="1:9" x14ac:dyDescent="0.3">
      <c r="A89" s="20"/>
      <c r="B89" s="20"/>
    </row>
    <row r="90" spans="1:9" ht="19.5" customHeight="1" x14ac:dyDescent="0.3">
      <c r="A90" s="21" t="s">
        <v>142</v>
      </c>
      <c r="B90" s="22"/>
      <c r="C90" s="3"/>
      <c r="D90" s="3"/>
      <c r="E90" s="3"/>
      <c r="F90" s="3"/>
      <c r="G90" s="3"/>
      <c r="H90" s="3"/>
      <c r="I90" s="3"/>
    </row>
    <row r="91" spans="1:9" ht="16.5" customHeight="1" x14ac:dyDescent="0.3">
      <c r="A91" s="23" t="s">
        <v>57</v>
      </c>
      <c r="B91" s="24"/>
      <c r="C91" s="9"/>
      <c r="D91" s="9" t="s">
        <v>58</v>
      </c>
      <c r="E91" s="9" t="s">
        <v>59</v>
      </c>
      <c r="F91" s="9" t="s">
        <v>60</v>
      </c>
      <c r="G91" s="9" t="s">
        <v>61</v>
      </c>
      <c r="H91" s="9" t="s">
        <v>62</v>
      </c>
      <c r="I91" s="9" t="s">
        <v>63</v>
      </c>
    </row>
    <row r="92" spans="1:9" x14ac:dyDescent="0.3">
      <c r="A92" s="27" t="s">
        <v>143</v>
      </c>
      <c r="B92" s="28"/>
      <c r="C92" s="11"/>
      <c r="D92" s="11">
        <v>9013.1689999999999</v>
      </c>
      <c r="E92" s="11">
        <v>12905.198</v>
      </c>
      <c r="F92" s="11">
        <v>19906.827000000001</v>
      </c>
      <c r="G92" s="11">
        <v>12810.291999999999</v>
      </c>
      <c r="H92" s="11">
        <v>23320.309000000001</v>
      </c>
      <c r="I92" s="11">
        <v>1047.1959999999999</v>
      </c>
    </row>
    <row r="93" spans="1:9" x14ac:dyDescent="0.3">
      <c r="A93" s="27" t="s">
        <v>144</v>
      </c>
      <c r="B93" s="28"/>
      <c r="C93" s="11"/>
      <c r="D93" s="11">
        <v>6551.9669999999996</v>
      </c>
      <c r="E93" s="11">
        <v>8330.107</v>
      </c>
      <c r="F93" s="11">
        <v>20143.665000000001</v>
      </c>
      <c r="G93" s="11">
        <v>9496.2430000000004</v>
      </c>
      <c r="H93" s="11">
        <v>19316.636999999999</v>
      </c>
      <c r="I93" s="11">
        <v>-937.72400000000005</v>
      </c>
    </row>
    <row r="94" spans="1:9" x14ac:dyDescent="0.3">
      <c r="A94" s="27" t="s">
        <v>145</v>
      </c>
      <c r="B94" s="28"/>
      <c r="C94" s="11"/>
      <c r="D94" s="11">
        <v>251.00700000000001</v>
      </c>
      <c r="E94" s="11">
        <v>-15819.32</v>
      </c>
      <c r="F94" s="11">
        <v>-12174.483</v>
      </c>
      <c r="G94" s="11">
        <v>-3030.8850000000002</v>
      </c>
      <c r="H94" s="11">
        <v>-9999.0400000000009</v>
      </c>
      <c r="I94" s="11">
        <v>-823.58699999999999</v>
      </c>
    </row>
    <row r="95" spans="1:9" x14ac:dyDescent="0.3">
      <c r="A95" s="27" t="s">
        <v>146</v>
      </c>
      <c r="B95" s="28"/>
      <c r="C95" s="11"/>
      <c r="D95" s="11">
        <v>-6732.6880000000001</v>
      </c>
      <c r="E95" s="11">
        <v>6601.5159999999996</v>
      </c>
      <c r="F95" s="11">
        <v>-6632.4030000000002</v>
      </c>
      <c r="G95" s="11">
        <v>-7482.3620000000001</v>
      </c>
      <c r="H95" s="11">
        <v>-7569.1610000000001</v>
      </c>
      <c r="I95" s="11">
        <v>2786.3919999999998</v>
      </c>
    </row>
    <row r="96" spans="1:9" x14ac:dyDescent="0.3">
      <c r="A96" s="27" t="s">
        <v>147</v>
      </c>
      <c r="B96" s="28"/>
      <c r="C96" s="11"/>
      <c r="D96" s="11">
        <v>-3285.3</v>
      </c>
      <c r="E96" s="11">
        <v>-15790.494000000001</v>
      </c>
      <c r="F96" s="11">
        <v>-9071.1260000000002</v>
      </c>
      <c r="G96" s="11">
        <v>-3099.319</v>
      </c>
      <c r="H96" s="11">
        <v>-423.78100000000001</v>
      </c>
      <c r="I96" s="11">
        <v>-855.476</v>
      </c>
    </row>
    <row r="97" spans="1:9" x14ac:dyDescent="0.3">
      <c r="A97" s="27" t="s">
        <v>148</v>
      </c>
      <c r="B97" s="28"/>
      <c r="C97" s="11"/>
      <c r="D97" s="11">
        <v>-1733.6210000000001</v>
      </c>
      <c r="E97" s="11">
        <v>-1296.7809999999999</v>
      </c>
      <c r="F97" s="11">
        <v>-2527.7860000000001</v>
      </c>
      <c r="G97" s="11">
        <v>-4145.5379999999996</v>
      </c>
      <c r="H97" s="11">
        <v>-4093.0120000000002</v>
      </c>
      <c r="I97" s="11">
        <v>-3011.9920000000002</v>
      </c>
    </row>
    <row r="98" spans="1:9" x14ac:dyDescent="0.3">
      <c r="A98" s="27" t="s">
        <v>149</v>
      </c>
      <c r="B98" s="28"/>
      <c r="C98" s="11"/>
      <c r="D98" s="11">
        <v>-19.919</v>
      </c>
      <c r="E98" s="11">
        <v>-0.56499999999999995</v>
      </c>
      <c r="F98" s="11">
        <v>-0.191</v>
      </c>
      <c r="G98" s="11">
        <v>-0.122</v>
      </c>
      <c r="H98" s="11">
        <v>-0.379</v>
      </c>
      <c r="I98" s="11">
        <v>-289.36099999999999</v>
      </c>
    </row>
    <row r="99" spans="1:9" x14ac:dyDescent="0.3">
      <c r="A99" s="20"/>
      <c r="B99" s="20"/>
    </row>
    <row r="100" spans="1:9" ht="19.5" customHeight="1" x14ac:dyDescent="0.3">
      <c r="A100" s="21" t="s">
        <v>150</v>
      </c>
      <c r="B100" s="22"/>
      <c r="C100" s="3"/>
      <c r="D100" s="3"/>
      <c r="E100" s="3"/>
      <c r="F100" s="3"/>
      <c r="G100" s="3"/>
      <c r="H100" s="3"/>
      <c r="I100" s="3"/>
    </row>
    <row r="101" spans="1:9" ht="16.5" customHeight="1" x14ac:dyDescent="0.3">
      <c r="A101" s="23" t="s">
        <v>57</v>
      </c>
      <c r="B101" s="24"/>
      <c r="C101" s="9"/>
      <c r="D101" s="9" t="s">
        <v>58</v>
      </c>
      <c r="E101" s="9" t="s">
        <v>59</v>
      </c>
      <c r="F101" s="9" t="s">
        <v>60</v>
      </c>
      <c r="G101" s="9" t="s">
        <v>61</v>
      </c>
      <c r="H101" s="9" t="s">
        <v>62</v>
      </c>
    </row>
    <row r="102" spans="1:9" x14ac:dyDescent="0.3">
      <c r="A102" s="27" t="s">
        <v>151</v>
      </c>
      <c r="B102" s="28"/>
      <c r="C102" s="15"/>
      <c r="D102" s="15">
        <v>10</v>
      </c>
      <c r="E102" s="15">
        <v>10</v>
      </c>
      <c r="F102" s="15">
        <v>10</v>
      </c>
      <c r="G102" s="15">
        <v>10</v>
      </c>
      <c r="H102" s="15">
        <v>10</v>
      </c>
    </row>
    <row r="103" spans="1:9" x14ac:dyDescent="0.3">
      <c r="A103" s="27" t="s">
        <v>152</v>
      </c>
      <c r="B103" s="28"/>
      <c r="C103" s="16"/>
      <c r="D103" s="16">
        <f>D27/D102-D107</f>
        <v>1098.3462</v>
      </c>
      <c r="E103" s="16">
        <f>E27/E102-E107</f>
        <v>1079.8011999999999</v>
      </c>
      <c r="F103" s="16">
        <f>F27/F102-F107</f>
        <v>1073.3462</v>
      </c>
      <c r="G103" s="16">
        <f>G27/G102-G107</f>
        <v>1047.5626</v>
      </c>
      <c r="H103" s="16">
        <f>H27/H102-H107</f>
        <v>1047.5626</v>
      </c>
    </row>
    <row r="104" spans="1:9" x14ac:dyDescent="0.3">
      <c r="A104" s="27" t="s">
        <v>153</v>
      </c>
      <c r="B104" s="28"/>
      <c r="C104" s="16"/>
      <c r="D104" s="16">
        <v>1098.346</v>
      </c>
      <c r="E104" s="16">
        <v>1097.5239999999999</v>
      </c>
      <c r="F104" s="16">
        <v>1073.405</v>
      </c>
      <c r="G104" s="16">
        <v>1058.9110000000001</v>
      </c>
      <c r="H104" s="16">
        <v>1047.5630000000001</v>
      </c>
    </row>
    <row r="105" spans="1:9" x14ac:dyDescent="0.3">
      <c r="A105" s="27" t="s">
        <v>154</v>
      </c>
      <c r="B105" s="28"/>
      <c r="C105" s="15"/>
      <c r="D105" s="15">
        <v>46.98</v>
      </c>
      <c r="E105" s="15">
        <v>27.35</v>
      </c>
      <c r="F105" s="15">
        <v>28.33</v>
      </c>
      <c r="G105" s="15">
        <v>38</v>
      </c>
      <c r="H105" s="15">
        <v>84.28</v>
      </c>
    </row>
    <row r="106" spans="1:9" x14ac:dyDescent="0.3">
      <c r="A106" s="27" t="s">
        <v>155</v>
      </c>
      <c r="B106" s="28"/>
      <c r="C106" s="15"/>
      <c r="D106" s="65">
        <v>0</v>
      </c>
      <c r="E106" s="65">
        <v>0</v>
      </c>
      <c r="F106" s="65">
        <v>0</v>
      </c>
      <c r="G106" s="65">
        <v>0</v>
      </c>
      <c r="H106" s="65">
        <v>0</v>
      </c>
    </row>
    <row r="107" spans="1:9" x14ac:dyDescent="0.3">
      <c r="A107" s="27" t="s">
        <v>156</v>
      </c>
      <c r="B107" s="28"/>
      <c r="C107" s="15"/>
      <c r="D107" s="15">
        <v>0</v>
      </c>
      <c r="E107" s="15">
        <v>18.545000000000002</v>
      </c>
      <c r="F107" s="15">
        <v>0</v>
      </c>
      <c r="G107" s="15">
        <v>0</v>
      </c>
      <c r="H107" s="15">
        <v>0</v>
      </c>
    </row>
    <row r="108" spans="1:9" ht="19.5" customHeight="1" x14ac:dyDescent="0.3">
      <c r="A108" s="21" t="s">
        <v>157</v>
      </c>
      <c r="B108" s="22"/>
      <c r="C108" s="3"/>
      <c r="D108" s="3"/>
      <c r="E108" s="3"/>
      <c r="F108" s="3"/>
      <c r="G108" s="3"/>
      <c r="H108" s="3"/>
      <c r="I108" s="3"/>
    </row>
    <row r="109" spans="1:9" ht="30" customHeight="1" x14ac:dyDescent="0.3">
      <c r="A109" s="33" t="s">
        <v>158</v>
      </c>
      <c r="B109" s="33" t="s">
        <v>159</v>
      </c>
      <c r="C109" s="33" t="s">
        <v>160</v>
      </c>
      <c r="D109" s="33" t="s">
        <v>58</v>
      </c>
      <c r="E109" s="33" t="s">
        <v>59</v>
      </c>
      <c r="F109" s="33" t="s">
        <v>60</v>
      </c>
      <c r="G109" s="33" t="s">
        <v>61</v>
      </c>
      <c r="H109" s="33" t="s">
        <v>62</v>
      </c>
    </row>
    <row r="110" spans="1:9" ht="22.95" customHeight="1" x14ac:dyDescent="0.3">
      <c r="A110" s="90" t="s">
        <v>161</v>
      </c>
      <c r="B110" s="90"/>
      <c r="C110" s="90"/>
      <c r="D110" s="90"/>
      <c r="E110" s="90"/>
      <c r="F110" s="90"/>
      <c r="G110" s="90"/>
      <c r="H110" s="90"/>
    </row>
    <row r="111" spans="1:9" ht="34.049999999999997" customHeight="1" x14ac:dyDescent="0.3">
      <c r="A111" s="34" t="s">
        <v>162</v>
      </c>
      <c r="B111" s="35" t="s">
        <v>163</v>
      </c>
      <c r="C111" s="35" t="s">
        <v>164</v>
      </c>
      <c r="D111" s="37">
        <f>IF(OR(NOT(ISNUMBER(D24)),NOT(ISNUMBER(D48))),"n/m",IF(OR((D48)&lt;=0,(D24)&lt;0),"n/m",(D24)/(D48)))</f>
        <v>1.4780988568182505</v>
      </c>
      <c r="E111" s="37">
        <f>IF(OR(NOT(ISNUMBER(E24)),NOT(ISNUMBER(E48))),"n/m",IF(OR((E48)&lt;=0,(E24)&lt;0),"n/m",(E24)/(E48)))</f>
        <v>1.2549557408945418</v>
      </c>
      <c r="F111" s="37">
        <f>IF(OR(NOT(ISNUMBER(F24)),NOT(ISNUMBER(F48))),"n/m",IF(OR((F48)&lt;=0,(F24)&lt;0),"n/m",(F24)/(F48)))</f>
        <v>1.3715472215546312</v>
      </c>
      <c r="G111" s="37">
        <f>IF(OR(NOT(ISNUMBER(G24)),NOT(ISNUMBER(G48))),"n/m",IF(OR((G48)&lt;=0,(G24)&lt;0),"n/m",(G24)/(G48)))</f>
        <v>1.4446782415124371</v>
      </c>
      <c r="H111" s="37">
        <f>IF(OR(NOT(ISNUMBER(H24)),NOT(ISNUMBER(H48))),"n/m",IF(OR((H48)&lt;=0,(H24)&lt;0),"n/m",(H24)/(H48)))</f>
        <v>1.5324411303645513</v>
      </c>
    </row>
    <row r="112" spans="1:9" ht="34.049999999999997" customHeight="1" x14ac:dyDescent="0.3">
      <c r="A112" s="34" t="s">
        <v>165</v>
      </c>
      <c r="B112" s="35" t="s">
        <v>166</v>
      </c>
      <c r="C112" s="35" t="s">
        <v>167</v>
      </c>
      <c r="D112" s="37">
        <f>IF(OR(NOT(ISNUMBER(D24-D54)),NOT(ISNUMBER(D48))),"n/m",IF(OR((D48)&lt;=0,(D24-D54)&lt;0),"n/m",(D24-D54)/(D48)))</f>
        <v>0.43971691910387301</v>
      </c>
      <c r="E112" s="37">
        <f>IF(OR(NOT(ISNUMBER(E24-E54)),NOT(ISNUMBER(E48))),"n/m",IF(OR((E48)&lt;=0,(E24-E54)&lt;0),"n/m",(E24-E54)/(E48)))</f>
        <v>0.29473524106223353</v>
      </c>
      <c r="F112" s="37">
        <f>IF(OR(NOT(ISNUMBER(F24-F54)),NOT(ISNUMBER(F48))),"n/m",IF(OR((F48)&lt;=0,(F24-F54)&lt;0),"n/m",(F24-F54)/(F48)))</f>
        <v>0.5204561252187091</v>
      </c>
      <c r="G112" s="37">
        <f>IF(OR(NOT(ISNUMBER(G24-G54)),NOT(ISNUMBER(G48))),"n/m",IF(OR((G48)&lt;=0,(G24-G54)&lt;0),"n/m",(G24-G54)/(G48)))</f>
        <v>0.60942670638462615</v>
      </c>
      <c r="H112" s="37">
        <f>IF(OR(NOT(ISNUMBER(H24-H54)),NOT(ISNUMBER(H48))),"n/m",IF(OR((H48)&lt;=0,(H24-H54)&lt;0),"n/m",(H24-H54)/(H48)))</f>
        <v>0.80788282595509864</v>
      </c>
    </row>
    <row r="113" spans="1:8" ht="34.049999999999997" customHeight="1" x14ac:dyDescent="0.3">
      <c r="A113" s="34" t="s">
        <v>168</v>
      </c>
      <c r="B113" s="35" t="s">
        <v>169</v>
      </c>
      <c r="C113" s="35" t="s">
        <v>170</v>
      </c>
      <c r="D113" s="37">
        <f>IF(OR(NOT(ISNUMBER(D154)),NOT(ISNUMBER(D48))),"n/m",IF(OR((D48)&lt;=0,(D154)&lt;0),"n/m",(D154)/(D48)))</f>
        <v>4.2825558053104403E-2</v>
      </c>
      <c r="E113" s="37">
        <f>IF(OR(NOT(ISNUMBER(E154)),NOT(ISNUMBER(E48))),"n/m",IF(OR((E48)&lt;=0,(E154)&lt;0),"n/m",(E154)/(E48)))</f>
        <v>4.9006165540003331E-2</v>
      </c>
      <c r="F113" s="37">
        <f>IF(OR(NOT(ISNUMBER(F154)),NOT(ISNUMBER(F48))),"n/m",IF(OR((F48)&lt;=0,(F154)&lt;0),"n/m",(F154)/(F48)))</f>
        <v>4.5680298533070048E-2</v>
      </c>
      <c r="G113" s="37">
        <f>IF(OR(NOT(ISNUMBER(G154)),NOT(ISNUMBER(G48))),"n/m",IF(OR((G48)&lt;=0,(G154)&lt;0),"n/m",(G154)/(G48)))</f>
        <v>7.3767434857886421E-2</v>
      </c>
      <c r="H113" s="37">
        <f>IF(OR(NOT(ISNUMBER(H154)),NOT(ISNUMBER(H48))),"n/m",IF(OR((H48)&lt;=0,(H154)&lt;0),"n/m",(H154)/(H48)))</f>
        <v>6.9243334827372452E-2</v>
      </c>
    </row>
    <row r="114" spans="1:8" ht="34.049999999999997" customHeight="1" x14ac:dyDescent="0.3">
      <c r="A114" s="34" t="s">
        <v>171</v>
      </c>
      <c r="B114" s="35" t="s">
        <v>172</v>
      </c>
      <c r="C114" s="35" t="s">
        <v>173</v>
      </c>
      <c r="D114" s="38">
        <f>IF(OR(NOT(ISNUMBER(D24-D48)),NOT(ISNUMBER(1))),"n/m",IF(OR((1)&lt;=0,(D24-D48)&lt;0),"n/m",(D24-D48)/(1)))</f>
        <v>5473.9680000000026</v>
      </c>
      <c r="E114" s="38">
        <f>IF(OR(NOT(ISNUMBER(E24-E48)),NOT(ISNUMBER(1))),"n/m",IF(OR((1)&lt;=0,(E24-E48)&lt;0),"n/m",(E24-E48)/(1)))</f>
        <v>4128.5980000000036</v>
      </c>
      <c r="F114" s="38">
        <f>IF(OR(NOT(ISNUMBER(F24-F48)),NOT(ISNUMBER(1))),"n/m",IF(OR((1)&lt;=0,(F24-F48)&lt;0),"n/m",(F24-F48)/(1)))</f>
        <v>6024.645999999997</v>
      </c>
      <c r="G114" s="38">
        <f>IF(OR(NOT(ISNUMBER(G24-G48)),NOT(ISNUMBER(1))),"n/m",IF(OR((1)&lt;=0,(G24-G48)&lt;0),"n/m",(G24-G48)/(1)))</f>
        <v>8270.0370000000003</v>
      </c>
      <c r="H114" s="38">
        <f>IF(OR(NOT(ISNUMBER(H24-H48)),NOT(ISNUMBER(1))),"n/m",IF(OR((1)&lt;=0,(H24-H48)&lt;0),"n/m",(H24-H48)/(1)))</f>
        <v>12422.112999999994</v>
      </c>
    </row>
    <row r="115" spans="1:8" ht="22.95" customHeight="1" x14ac:dyDescent="0.3">
      <c r="A115" s="90" t="s">
        <v>174</v>
      </c>
      <c r="B115" s="90"/>
      <c r="C115" s="90"/>
      <c r="D115" s="91"/>
      <c r="E115" s="91"/>
      <c r="F115" s="91"/>
      <c r="G115" s="91"/>
      <c r="H115" s="91"/>
    </row>
    <row r="116" spans="1:8" ht="34.049999999999997" customHeight="1" x14ac:dyDescent="0.3">
      <c r="A116" s="34" t="s">
        <v>175</v>
      </c>
      <c r="B116" s="35" t="s">
        <v>176</v>
      </c>
      <c r="C116" s="35" t="s">
        <v>177</v>
      </c>
      <c r="D116" s="37">
        <f>IF(OR(NOT(ISNUMBER(-D65)),NOT(ISNUMBER(AVERAGE(I54,D54)))),"n/m",IF(OR((AVERAGE(I54,D54))&lt;=0,(-D65)&lt;0),"n/m",(-D65)/(AVERAGE(I54,D54))))</f>
        <v>2.5503561154199565</v>
      </c>
      <c r="E116" s="37">
        <f>IF(OR(NOT(ISNUMBER(-E65)),NOT(ISNUMBER(AVERAGE(D54,E54)))),"n/m",IF(OR((AVERAGE(D54,E54))&lt;=0,(-E65)&lt;0),"n/m",(-E65)/(AVERAGE(D54,E54))))</f>
        <v>2.6418827583195736</v>
      </c>
      <c r="F116" s="37">
        <f>IF(OR(NOT(ISNUMBER(-F65)),NOT(ISNUMBER(AVERAGE(E54,F54)))),"n/m",IF(OR((AVERAGE(E54,F54))&lt;=0,(-F65)&lt;0),"n/m",(-F65)/(AVERAGE(E54,F54))))</f>
        <v>2.991643999189634</v>
      </c>
      <c r="G116" s="37">
        <f>IF(OR(NOT(ISNUMBER(-G65)),NOT(ISNUMBER(AVERAGE(F54,G54)))),"n/m",IF(OR((AVERAGE(F54,G54))&lt;=0,(-G65)&lt;0),"n/m",(-G65)/(AVERAGE(F54,G54))))</f>
        <v>3.1013565995658121</v>
      </c>
      <c r="H116" s="37">
        <f>IF(OR(NOT(ISNUMBER(-H65)),NOT(ISNUMBER(AVERAGE(G54,H54)))),"n/m",IF(OR((AVERAGE(G54,H54))&lt;=0,(-H65)&lt;0),"n/m",(-H65)/(AVERAGE(G54,H54))))</f>
        <v>2.7865732877055658</v>
      </c>
    </row>
    <row r="117" spans="1:8" ht="34.049999999999997" customHeight="1" x14ac:dyDescent="0.3">
      <c r="A117" s="34" t="s">
        <v>178</v>
      </c>
      <c r="B117" s="35" t="s">
        <v>179</v>
      </c>
      <c r="C117" s="35" t="s">
        <v>180</v>
      </c>
      <c r="D117" s="37">
        <f>IF(OR(NOT(ISNUMBER(D64)),NOT(ISNUMBER(AVERAGE(I20,D20)))),"n/m",IF(OR((AVERAGE(I20,D20))&lt;=0,(D64)&lt;0),"n/m",(D64)/(AVERAGE(I20,D20))))</f>
        <v>15.020941563038772</v>
      </c>
      <c r="E117" s="37">
        <f>IF(OR(NOT(ISNUMBER(E64)),NOT(ISNUMBER(AVERAGE(D20,E20)))),"n/m",IF(OR((AVERAGE(D20,E20))&lt;=0,(E64)&lt;0),"n/m",(E64)/(AVERAGE(D20,E20))))</f>
        <v>25.905344380386534</v>
      </c>
      <c r="F117" s="37">
        <f>IF(OR(NOT(ISNUMBER(F64)),NOT(ISNUMBER(AVERAGE(E20,F20)))),"n/m",IF(OR((AVERAGE(E20,F20))&lt;=0,(F64)&lt;0),"n/m",(F64)/(AVERAGE(E20,F20))))</f>
        <v>26.600659453629234</v>
      </c>
      <c r="G117" s="37">
        <f>IF(OR(NOT(ISNUMBER(G64)),NOT(ISNUMBER(AVERAGE(F20,G20)))),"n/m",IF(OR((AVERAGE(F20,G20))&lt;=0,(G64)&lt;0),"n/m",(G64)/(AVERAGE(F20,G20))))</f>
        <v>19.574371293114748</v>
      </c>
      <c r="H117" s="37">
        <f>IF(OR(NOT(ISNUMBER(H64)),NOT(ISNUMBER(AVERAGE(G20,H20)))),"n/m",IF(OR((AVERAGE(G20,H20))&lt;=0,(H64)&lt;0),"n/m",(H64)/(AVERAGE(G20,H20))))</f>
        <v>15.67064847793373</v>
      </c>
    </row>
    <row r="118" spans="1:8" ht="34.049999999999997" customHeight="1" x14ac:dyDescent="0.3">
      <c r="A118" s="34" t="s">
        <v>181</v>
      </c>
      <c r="B118" s="35" t="s">
        <v>182</v>
      </c>
      <c r="C118" s="35" t="s">
        <v>183</v>
      </c>
      <c r="D118" s="39">
        <f>IF(OR(NOT(ISNUMBER(365*AVERAGE(I54,D54))),NOT(ISNUMBER(-D65))),"n/m",IF(OR((-D65)&lt;=0,(365*AVERAGE(I54,D54))&lt;0),"n/m",(365*AVERAGE(I54,D54))/(-D65)))</f>
        <v>143.11726813096334</v>
      </c>
      <c r="E118" s="39">
        <f>IF(OR(NOT(ISNUMBER(365*AVERAGE(D54,E54))),NOT(ISNUMBER(-E65))),"n/m",IF(OR((-E65)&lt;=0,(365*AVERAGE(D54,E54))&lt;0),"n/m",(365*AVERAGE(D54,E54))/(-E65)))</f>
        <v>138.1590454196257</v>
      </c>
      <c r="F118" s="39">
        <f>IF(OR(NOT(ISNUMBER(365*AVERAGE(E54,F54))),NOT(ISNUMBER(-F65))),"n/m",IF(OR((-F65)&lt;=0,(365*AVERAGE(E54,F54))&lt;0),"n/m",(365*AVERAGE(E54,F54))/(-F65)))</f>
        <v>122.0064954583065</v>
      </c>
      <c r="G118" s="39">
        <f>IF(OR(NOT(ISNUMBER(365*AVERAGE(F54,G54))),NOT(ISNUMBER(-G65))),"n/m",IF(OR((-G65)&lt;=0,(365*AVERAGE(F54,G54))&lt;0),"n/m",(365*AVERAGE(F54,G54))/(-G65)))</f>
        <v>117.69043264844159</v>
      </c>
      <c r="H118" s="39">
        <f>IF(OR(NOT(ISNUMBER(365*AVERAGE(G54,H54))),NOT(ISNUMBER(-H65))),"n/m",IF(OR((-H65)&lt;=0,(365*AVERAGE(G54,H54))&lt;0),"n/m",(365*AVERAGE(G54,H54))/(-H65)))</f>
        <v>130.98525045452405</v>
      </c>
    </row>
    <row r="119" spans="1:8" ht="34.049999999999997" customHeight="1" x14ac:dyDescent="0.3">
      <c r="A119" s="34" t="s">
        <v>184</v>
      </c>
      <c r="B119" s="35" t="s">
        <v>185</v>
      </c>
      <c r="C119" s="35" t="s">
        <v>186</v>
      </c>
      <c r="D119" s="39">
        <f>IF(OR(NOT(ISNUMBER(365*AVERAGE(I20,D20))),NOT(ISNUMBER(D64))),"n/m",IF(OR((D64)&lt;=0,(365*AVERAGE(I20,D20))&lt;0),"n/m",(365*AVERAGE(I20,D20))/(D64)))</f>
        <v>24.299408826550263</v>
      </c>
      <c r="E119" s="39">
        <f>IF(OR(NOT(ISNUMBER(365*AVERAGE(D20,E20))),NOT(ISNUMBER(E64))),"n/m",IF(OR((E64)&lt;=0,(365*AVERAGE(D20,E20))&lt;0),"n/m",(365*AVERAGE(D20,E20))/(E64)))</f>
        <v>14.089756717395696</v>
      </c>
      <c r="F119" s="39">
        <f>IF(OR(NOT(ISNUMBER(365*AVERAGE(E20,F20))),NOT(ISNUMBER(F64))),"n/m",IF(OR((F64)&lt;=0,(365*AVERAGE(E20,F20))&lt;0),"n/m",(365*AVERAGE(E20,F20))/(F64)))</f>
        <v>13.72146433573479</v>
      </c>
      <c r="G119" s="39">
        <f>IF(OR(NOT(ISNUMBER(365*AVERAGE(F20,G20))),NOT(ISNUMBER(G64))),"n/m",IF(OR((G64)&lt;=0,(365*AVERAGE(F20,G20))&lt;0),"n/m",(365*AVERAGE(F20,G20))/(G64)))</f>
        <v>18.646831335440545</v>
      </c>
      <c r="H119" s="39">
        <f>IF(OR(NOT(ISNUMBER(365*AVERAGE(G20,H20))),NOT(ISNUMBER(H64))),"n/m",IF(OR((H64)&lt;=0,(365*AVERAGE(G20,H20))&lt;0),"n/m",(365*AVERAGE(G20,H20))/(H64)))</f>
        <v>23.291952500495849</v>
      </c>
    </row>
    <row r="120" spans="1:8" ht="34.049999999999997" customHeight="1" x14ac:dyDescent="0.3">
      <c r="A120" s="34" t="s">
        <v>187</v>
      </c>
      <c r="B120" s="35" t="s">
        <v>188</v>
      </c>
      <c r="C120" s="35" t="s">
        <v>189</v>
      </c>
      <c r="D120" s="37">
        <f>IF(OR(NOT(ISNUMBER(D64)),NOT(ISNUMBER(D9))),"n/m",IF(OR((D9)&lt;=0,(D64)&lt;0),"n/m",(D64)/(D9)))</f>
        <v>0.8037513915639477</v>
      </c>
      <c r="E120" s="37">
        <f>IF(OR(NOT(ISNUMBER(E64)),NOT(ISNUMBER(E9))),"n/m",IF(OR((E9)&lt;=0,(E64)&lt;0),"n/m",(E64)/(E9)))</f>
        <v>0.85444675022417971</v>
      </c>
      <c r="F120" s="37">
        <f>IF(OR(NOT(ISNUMBER(F64)),NOT(ISNUMBER(F9))),"n/m",IF(OR((F9)&lt;=0,(F64)&lt;0),"n/m",(F64)/(F9)))</f>
        <v>0.99551999428815263</v>
      </c>
      <c r="G120" s="37">
        <f>IF(OR(NOT(ISNUMBER(G64)),NOT(ISNUMBER(G9))),"n/m",IF(OR((G9)&lt;=0,(G64)&lt;0),"n/m",(G64)/(G9)))</f>
        <v>1.0069209161495893</v>
      </c>
      <c r="H120" s="37">
        <f>IF(OR(NOT(ISNUMBER(H64)),NOT(ISNUMBER(H9))),"n/m",IF(OR((H9)&lt;=0,(H64)&lt;0),"n/m",(H64)/(H9)))</f>
        <v>1.0971769908727151</v>
      </c>
    </row>
    <row r="121" spans="1:8" ht="34.049999999999997" customHeight="1" x14ac:dyDescent="0.3">
      <c r="A121" s="34" t="s">
        <v>190</v>
      </c>
      <c r="B121" s="35" t="s">
        <v>191</v>
      </c>
      <c r="C121" s="35" t="s">
        <v>192</v>
      </c>
      <c r="D121" s="37">
        <f>IF(OR(NOT(ISNUMBER(D64)),NOT(ISNUMBER(D25))),"n/m",IF(OR((D25)&lt;=0,(D64)&lt;0),"n/m",(D64)/(D25)))</f>
        <v>0.53651401514370378</v>
      </c>
      <c r="E121" s="37">
        <f>IF(OR(NOT(ISNUMBER(E64)),NOT(ISNUMBER(E25))),"n/m",IF(OR((E25)&lt;=0,(E64)&lt;0),"n/m",(E64)/(E25)))</f>
        <v>0.59016101960962719</v>
      </c>
      <c r="F121" s="37">
        <f>IF(OR(NOT(ISNUMBER(F64)),NOT(ISNUMBER(F25))),"n/m",IF(OR((F25)&lt;=0,(F64)&lt;0),"n/m",(F64)/(F25)))</f>
        <v>0.69197238797008198</v>
      </c>
      <c r="G121" s="37">
        <f>IF(OR(NOT(ISNUMBER(G64)),NOT(ISNUMBER(G25))),"n/m",IF(OR((G25)&lt;=0,(G64)&lt;0),"n/m",(G64)/(G25)))</f>
        <v>0.66876558045462819</v>
      </c>
      <c r="H121" s="37">
        <f>IF(OR(NOT(ISNUMBER(H64)),NOT(ISNUMBER(H25))),"n/m",IF(OR((H25)&lt;=0,(H64)&lt;0),"n/m",(H64)/(H25)))</f>
        <v>0.57883136984449801</v>
      </c>
    </row>
    <row r="122" spans="1:8" ht="22.95" customHeight="1" x14ac:dyDescent="0.3">
      <c r="A122" s="90" t="s">
        <v>193</v>
      </c>
      <c r="B122" s="90"/>
      <c r="C122" s="90"/>
      <c r="D122" s="91"/>
      <c r="E122" s="91"/>
      <c r="F122" s="91"/>
      <c r="G122" s="91"/>
      <c r="H122" s="91"/>
    </row>
    <row r="123" spans="1:8" ht="34.049999999999997" customHeight="1" x14ac:dyDescent="0.3">
      <c r="A123" s="34" t="s">
        <v>194</v>
      </c>
      <c r="B123" s="35" t="s">
        <v>195</v>
      </c>
      <c r="C123" s="35" t="s">
        <v>196</v>
      </c>
      <c r="D123" s="40">
        <f>IF(OR(NOT(ISNUMBER(D49)),NOT(ISNUMBER(D25))),"n/m",IF(OR((D25)&lt;=0,(D49)&lt;0),"n/m",(D49)/(D25)))</f>
        <v>0.43322840867921292</v>
      </c>
      <c r="E123" s="40">
        <f>IF(OR(NOT(ISNUMBER(E49)),NOT(ISNUMBER(E25))),"n/m",IF(OR((E25)&lt;=0,(E49)&lt;0),"n/m",(E49)/(E25)))</f>
        <v>0.50666660909348882</v>
      </c>
      <c r="F123" s="40">
        <f>IF(OR(NOT(ISNUMBER(F49)),NOT(ISNUMBER(F25))),"n/m",IF(OR((F25)&lt;=0,(F49)&lt;0),"n/m",(F49)/(F25)))</f>
        <v>0.49933942690835115</v>
      </c>
      <c r="G123" s="40">
        <f>IF(OR(NOT(ISNUMBER(G49)),NOT(ISNUMBER(G25))),"n/m",IF(OR((G25)&lt;=0,(G49)&lt;0),"n/m",(G49)/(G25)))</f>
        <v>0.4704820926001394</v>
      </c>
      <c r="H123" s="40">
        <f>IF(OR(NOT(ISNUMBER(H49)),NOT(ISNUMBER(H25))),"n/m",IF(OR((H25)&lt;=0,(H49)&lt;0),"n/m",(H49)/(H25)))</f>
        <v>0.40001822406143511</v>
      </c>
    </row>
    <row r="124" spans="1:8" ht="34.049999999999997" customHeight="1" x14ac:dyDescent="0.3">
      <c r="A124" s="34" t="s">
        <v>197</v>
      </c>
      <c r="B124" s="35" t="s">
        <v>198</v>
      </c>
      <c r="C124" s="35" t="s">
        <v>199</v>
      </c>
      <c r="D124" s="37">
        <f>IF(OR(NOT(ISNUMBER(D55)),NOT(ISNUMBER(D29))),"n/m",IF(OR((D29)&lt;=0,(D55)&lt;0),"n/m",(D55)/(D29)))</f>
        <v>0.43245543768601064</v>
      </c>
      <c r="E124" s="37">
        <f>IF(OR(NOT(ISNUMBER(E55)),NOT(ISNUMBER(E29))),"n/m",IF(OR((E29)&lt;=0,(E55)&lt;0),"n/m",(E55)/(E29)))</f>
        <v>0.61573768495117542</v>
      </c>
      <c r="F124" s="37">
        <f>IF(OR(NOT(ISNUMBER(F55)),NOT(ISNUMBER(F29))),"n/m",IF(OR((F29)&lt;=0,(F55)&lt;0),"n/m",(F55)/(F29)))</f>
        <v>0.44250779404874935</v>
      </c>
      <c r="G124" s="37">
        <f>IF(OR(NOT(ISNUMBER(G55)),NOT(ISNUMBER(G29))),"n/m",IF(OR((G29)&lt;=0,(G55)&lt;0),"n/m",(G55)/(G29)))</f>
        <v>0.36846998820204724</v>
      </c>
      <c r="H124" s="37">
        <f>IF(OR(NOT(ISNUMBER(H55)),NOT(ISNUMBER(H29))),"n/m",IF(OR((H29)&lt;=0,(H55)&lt;0),"n/m",(H55)/(H29)))</f>
        <v>0.20402666092297522</v>
      </c>
    </row>
    <row r="125" spans="1:8" ht="34.049999999999997" customHeight="1" x14ac:dyDescent="0.3">
      <c r="A125" s="34" t="s">
        <v>200</v>
      </c>
      <c r="B125" s="35" t="s">
        <v>201</v>
      </c>
      <c r="C125" s="35" t="s">
        <v>202</v>
      </c>
      <c r="D125" s="40">
        <f>IF(OR(NOT(ISNUMBER(D55)),NOT(ISNUMBER(D55+D29))),"n/m",IF(OR((D55+D29)&lt;=0,(D55)&lt;0),"n/m",(D55)/(D55+D29)))</f>
        <v>0.30189800416032447</v>
      </c>
      <c r="E125" s="40">
        <f>IF(OR(NOT(ISNUMBER(E55)),NOT(ISNUMBER(E55+E29))),"n/m",IF(OR((E55+E29)&lt;=0,(E55)&lt;0),"n/m",(E55)/(E55+E29)))</f>
        <v>0.381087654689308</v>
      </c>
      <c r="F125" s="40">
        <f>IF(OR(NOT(ISNUMBER(F55)),NOT(ISNUMBER(F55+F29))),"n/m",IF(OR((F55+F29)&lt;=0,(F55)&lt;0),"n/m",(F55)/(F55+F29)))</f>
        <v>0.30676284445350793</v>
      </c>
      <c r="G125" s="40">
        <f>IF(OR(NOT(ISNUMBER(G55)),NOT(ISNUMBER(G55+G29))),"n/m",IF(OR((G55+G29)&lt;=0,(G55)&lt;0),"n/m",(G55)/(G55+G29)))</f>
        <v>0.2692569010491479</v>
      </c>
      <c r="H125" s="40">
        <f>IF(OR(NOT(ISNUMBER(H55)),NOT(ISNUMBER(H55+H29))),"n/m",IF(OR((H55+H29)&lt;=0,(H55)&lt;0),"n/m",(H55)/(H55+H29)))</f>
        <v>0.1694536072536581</v>
      </c>
    </row>
    <row r="126" spans="1:8" ht="34.049999999999997" customHeight="1" x14ac:dyDescent="0.3">
      <c r="A126" s="34" t="s">
        <v>203</v>
      </c>
      <c r="B126" s="35" t="s">
        <v>204</v>
      </c>
      <c r="C126" s="35" t="s">
        <v>205</v>
      </c>
      <c r="D126" s="37">
        <f>IF(OR(NOT(ISNUMBER(D82)),NOT(ISNUMBER(D85))),"n/m",IF(OR((D85)&lt;=0,(D82)&lt;0),"n/m",(D82)/(D85)))</f>
        <v>6.0367662605249279</v>
      </c>
      <c r="E126" s="37">
        <f>IF(OR(NOT(ISNUMBER(E82)),NOT(ISNUMBER(E85))),"n/m",IF(OR((E85)&lt;=0,(E82)&lt;0),"n/m",(E82)/(E85)))</f>
        <v>5.2505359388174728</v>
      </c>
      <c r="F126" s="37">
        <f>IF(OR(NOT(ISNUMBER(F82)),NOT(ISNUMBER(F85))),"n/m",IF(OR((F85)&lt;=0,(F82)&lt;0),"n/m",(F82)/(F85)))</f>
        <v>4.4476569735481268</v>
      </c>
      <c r="G126" s="37">
        <f>IF(OR(NOT(ISNUMBER(G82)),NOT(ISNUMBER(G85))),"n/m",IF(OR((G85)&lt;=0,(G82)&lt;0),"n/m",(G82)/(G85)))</f>
        <v>3.2023484620581835</v>
      </c>
      <c r="H126" s="37">
        <f>IF(OR(NOT(ISNUMBER(H82)),NOT(ISNUMBER(H85))),"n/m",IF(OR((H85)&lt;=0,(H82)&lt;0),"n/m",(H82)/(H85)))</f>
        <v>7.3457905408215804</v>
      </c>
    </row>
    <row r="127" spans="1:8" ht="22.95" customHeight="1" x14ac:dyDescent="0.3">
      <c r="A127" s="90" t="s">
        <v>206</v>
      </c>
      <c r="B127" s="90"/>
      <c r="C127" s="90"/>
      <c r="D127" s="91"/>
      <c r="E127" s="91"/>
      <c r="F127" s="91"/>
      <c r="G127" s="91"/>
      <c r="H127" s="91"/>
    </row>
    <row r="128" spans="1:8" ht="34.049999999999997" customHeight="1" x14ac:dyDescent="0.3">
      <c r="A128" s="34" t="s">
        <v>207</v>
      </c>
      <c r="B128" s="35" t="s">
        <v>208</v>
      </c>
      <c r="C128" s="35" t="s">
        <v>209</v>
      </c>
      <c r="D128" s="40">
        <f>IF(OR(NOT(ISNUMBER(D66)),NOT(ISNUMBER(D64))),"n/m",IF(OR((D64)&lt;=0,(D66)&lt;0),"n/m",(D66)/(D64)))</f>
        <v>0.20830714445240356</v>
      </c>
      <c r="E128" s="40">
        <f>IF(OR(NOT(ISNUMBER(E66)),NOT(ISNUMBER(E64))),"n/m",IF(OR((E64)&lt;=0,(E66)&lt;0),"n/m",(E66)/(E64)))</f>
        <v>0.25300003367709667</v>
      </c>
      <c r="F128" s="40">
        <f>IF(OR(NOT(ISNUMBER(F66)),NOT(ISNUMBER(F64))),"n/m",IF(OR((F64)&lt;=0,(F66)&lt;0),"n/m",(F66)/(F64)))</f>
        <v>0.29276322471727417</v>
      </c>
      <c r="G128" s="40">
        <f>IF(OR(NOT(ISNUMBER(G66)),NOT(ISNUMBER(G64))),"n/m",IF(OR((G64)&lt;=0,(G66)&lt;0),"n/m",(G66)/(G64)))</f>
        <v>0.31547845382378364</v>
      </c>
      <c r="H128" s="40">
        <f>IF(OR(NOT(ISNUMBER(H66)),NOT(ISNUMBER(H64))),"n/m",IF(OR((H64)&lt;=0,(H66)&lt;0),"n/m",(H66)/(H64)))</f>
        <v>0.34444405990469212</v>
      </c>
    </row>
    <row r="129" spans="1:8" ht="34.049999999999997" customHeight="1" x14ac:dyDescent="0.3">
      <c r="A129" s="34" t="s">
        <v>210</v>
      </c>
      <c r="B129" s="35" t="s">
        <v>211</v>
      </c>
      <c r="C129" s="35" t="s">
        <v>212</v>
      </c>
      <c r="D129" s="40">
        <f>IF(OR(NOT(ISNUMBER(D82)),NOT(ISNUMBER(D64))),"n/m",IF(OR((D64)&lt;=0,(D82)&lt;0),"n/m",(D82)/(D64)))</f>
        <v>0.24584402613957254</v>
      </c>
      <c r="E129" s="40">
        <f>IF(OR(NOT(ISNUMBER(E82)),NOT(ISNUMBER(E64))),"n/m",IF(OR((E64)&lt;=0,(E82)&lt;0),"n/m",(E82)/(E64)))</f>
        <v>0.18288553443388325</v>
      </c>
      <c r="F129" s="40">
        <f>IF(OR(NOT(ISNUMBER(F82)),NOT(ISNUMBER(F64))),"n/m",IF(OR((F64)&lt;=0,(F82)&lt;0),"n/m",(F82)/(F64)))</f>
        <v>0.19224796146239193</v>
      </c>
      <c r="G129" s="40">
        <f>IF(OR(NOT(ISNUMBER(G82)),NOT(ISNUMBER(G64))),"n/m",IF(OR((G64)&lt;=0,(G82)&lt;0),"n/m",(G82)/(G64)))</f>
        <v>0.19543128859795894</v>
      </c>
      <c r="H129" s="40">
        <f>IF(OR(NOT(ISNUMBER(H82)),NOT(ISNUMBER(H64))),"n/m",IF(OR((H64)&lt;=0,(H82)&lt;0),"n/m",(H82)/(H64)))</f>
        <v>0.36375545770453227</v>
      </c>
    </row>
    <row r="130" spans="1:8" ht="34.049999999999997" customHeight="1" x14ac:dyDescent="0.3">
      <c r="A130" s="34" t="s">
        <v>213</v>
      </c>
      <c r="B130" s="35" t="s">
        <v>214</v>
      </c>
      <c r="C130" s="35" t="s">
        <v>215</v>
      </c>
      <c r="D130" s="40">
        <f>IF(OR(NOT(ISNUMBER(D79)),NOT(ISNUMBER(D64))),"n/m",IF(OR((D64)&lt;=0,(D79)&lt;0),"n/m",(D79)/(D64)))</f>
        <v>0.1759822170452098</v>
      </c>
      <c r="E130" s="40">
        <f>IF(OR(NOT(ISNUMBER(E79)),NOT(ISNUMBER(E64))),"n/m",IF(OR((E64)&lt;=0,(E79)&lt;0),"n/m",(E79)/(E64)))</f>
        <v>7.4739658936337147E-2</v>
      </c>
      <c r="F130" s="40">
        <f>IF(OR(NOT(ISNUMBER(F79)),NOT(ISNUMBER(F64))),"n/m",IF(OR((F64)&lt;=0,(F79)&lt;0),"n/m",(F79)/(F64)))</f>
        <v>7.2358441549152441E-2</v>
      </c>
      <c r="G130" s="40">
        <f>IF(OR(NOT(ISNUMBER(G79)),NOT(ISNUMBER(G64))),"n/m",IF(OR((G64)&lt;=0,(G79)&lt;0),"n/m",(G79)/(G64)))</f>
        <v>7.9342975209845082E-2</v>
      </c>
      <c r="H130" s="40">
        <f>IF(OR(NOT(ISNUMBER(H79)),NOT(ISNUMBER(H64))),"n/m",IF(OR((H64)&lt;=0,(H79)&lt;0),"n/m",(H79)/(H64)))</f>
        <v>0.24711008947956384</v>
      </c>
    </row>
    <row r="131" spans="1:8" ht="34.049999999999997" customHeight="1" x14ac:dyDescent="0.3">
      <c r="A131" s="34" t="s">
        <v>216</v>
      </c>
      <c r="B131" s="35" t="s">
        <v>217</v>
      </c>
      <c r="C131" s="35" t="s">
        <v>218</v>
      </c>
      <c r="D131" s="40">
        <f>IF(OR(NOT(ISNUMBER(D79)),NOT(ISNUMBER(D25))),"n/m",IF(OR((D25)&lt;=0,(D79)&lt;0),"n/m",(D79)/(D25)))</f>
        <v>9.4416925860816264E-2</v>
      </c>
      <c r="E131" s="40">
        <f>IF(OR(NOT(ISNUMBER(E79)),NOT(ISNUMBER(E25))),"n/m",IF(OR((E25)&lt;=0,(E79)&lt;0),"n/m",(E79)/(E25)))</f>
        <v>4.4108433323144514E-2</v>
      </c>
      <c r="F131" s="40">
        <f>IF(OR(NOT(ISNUMBER(F79)),NOT(ISNUMBER(F25))),"n/m",IF(OR((F25)&lt;=0,(F79)&lt;0),"n/m",(F79)/(F25)))</f>
        <v>5.0070043588560612E-2</v>
      </c>
      <c r="G131" s="40">
        <f>IF(OR(NOT(ISNUMBER(G79)),NOT(ISNUMBER(G25))),"n/m",IF(OR((G25)&lt;=0,(G79)&lt;0),"n/m",(G79)/(G25)))</f>
        <v>5.3061850871209217E-2</v>
      </c>
      <c r="H131" s="40">
        <f>IF(OR(NOT(ISNUMBER(H79)),NOT(ISNUMBER(H25))),"n/m",IF(OR((H25)&lt;=0,(H79)&lt;0),"n/m",(H79)/(H25)))</f>
        <v>0.14303507159585241</v>
      </c>
    </row>
    <row r="132" spans="1:8" ht="34.049999999999997" customHeight="1" x14ac:dyDescent="0.3">
      <c r="A132" s="34" t="s">
        <v>219</v>
      </c>
      <c r="B132" s="35" t="s">
        <v>220</v>
      </c>
      <c r="C132" s="35" t="s">
        <v>221</v>
      </c>
      <c r="D132" s="40">
        <f>IF(OR(NOT(ISNUMBER(D79)),NOT(ISNUMBER(D29))),"n/m",IF(OR((D29)&lt;=0,(D79)&lt;0),"n/m",(D79)/(D29)))</f>
        <v>0.16658725897109622</v>
      </c>
      <c r="E132" s="40">
        <f>IF(OR(NOT(ISNUMBER(E79)),NOT(ISNUMBER(E29))),"n/m",IF(OR((E29)&lt;=0,(E79)&lt;0),"n/m",(E79)/(E29)))</f>
        <v>8.9408976031592494E-2</v>
      </c>
      <c r="F132" s="40">
        <f>IF(OR(NOT(ISNUMBER(F79)),NOT(ISNUMBER(F29))),"n/m",IF(OR((F29)&lt;=0,(F79)&lt;0),"n/m",(F79)/(F29)))</f>
        <v>0.10000796203977304</v>
      </c>
      <c r="G132" s="40">
        <f>IF(OR(NOT(ISNUMBER(G79)),NOT(ISNUMBER(G29))),"n/m",IF(OR((G29)&lt;=0,(G79)&lt;0),"n/m",(G79)/(G29)))</f>
        <v>0.10020784968682853</v>
      </c>
      <c r="H132" s="40">
        <f>IF(OR(NOT(ISNUMBER(H79)),NOT(ISNUMBER(H29))),"n/m",IF(OR((H29)&lt;=0,(H79)&lt;0),"n/m",(H79)/(H29)))</f>
        <v>0.2383990269906105</v>
      </c>
    </row>
    <row r="133" spans="1:8" ht="34.049999999999997" customHeight="1" x14ac:dyDescent="0.3">
      <c r="A133" s="34" t="s">
        <v>222</v>
      </c>
      <c r="B133" s="35" t="s">
        <v>223</v>
      </c>
      <c r="C133" s="35" t="s">
        <v>224</v>
      </c>
      <c r="D133" s="40">
        <f>IF(OR(NOT(ISNUMBER(D88)),NOT(ISNUMBER(D58))),"n/m",IF(OR((D58)&lt;=0,(D88)&lt;0),"n/m",(D88)/(D58)))</f>
        <v>0.13938409686265396</v>
      </c>
      <c r="E133" s="40">
        <f>IF(OR(NOT(ISNUMBER(E88)),NOT(ISNUMBER(E58))),"n/m",IF(OR((E58)&lt;=0,(E88)&lt;0),"n/m",(E88)/(E58)))</f>
        <v>6.8354987715222609E-2</v>
      </c>
      <c r="F133" s="40">
        <f>IF(OR(NOT(ISNUMBER(F88)),NOT(ISNUMBER(F58))),"n/m",IF(OR((F58)&lt;=0,(F88)&lt;0),"n/m",(F88)/(F58)))</f>
        <v>8.9438322458184685E-2</v>
      </c>
      <c r="G133" s="40">
        <f>IF(OR(NOT(ISNUMBER(G88)),NOT(ISNUMBER(G58))),"n/m",IF(OR((G58)&lt;=0,(G88)&lt;0),"n/m",(G88)/(G58)))</f>
        <v>0.10647533565261356</v>
      </c>
      <c r="H133" s="40">
        <f>IF(OR(NOT(ISNUMBER(H88)),NOT(ISNUMBER(H58))),"n/m",IF(OR((H58)&lt;=0,(H88)&lt;0),"n/m",(H88)/(H58)))</f>
        <v>0.22920346694221672</v>
      </c>
    </row>
    <row r="134" spans="1:8" ht="34.049999999999997" customHeight="1" x14ac:dyDescent="0.3">
      <c r="A134" s="34" t="s">
        <v>225</v>
      </c>
      <c r="B134" s="35" t="s">
        <v>226</v>
      </c>
      <c r="C134" s="35" t="s">
        <v>227</v>
      </c>
      <c r="D134" s="40">
        <f>IF(OR(NOT(ISNUMBER(D82)),NOT(ISNUMBER(D25))),"n/m",IF(OR((D25)&lt;=0,(D82)&lt;0),"n/m",(D82)/(D25)))</f>
        <v>0.13189876556323574</v>
      </c>
      <c r="E134" s="40">
        <f>IF(OR(NOT(ISNUMBER(E82)),NOT(ISNUMBER(E25))),"n/m",IF(OR((E25)&lt;=0,(E82)&lt;0),"n/m",(E82)/(E25)))</f>
        <v>0.10793191347335213</v>
      </c>
      <c r="F134" s="40">
        <f>IF(OR(NOT(ISNUMBER(F82)),NOT(ISNUMBER(F25))),"n/m",IF(OR((F25)&lt;=0,(F82)&lt;0),"n/m",(F82)/(F25)))</f>
        <v>0.13303028097551164</v>
      </c>
      <c r="G134" s="40">
        <f>IF(OR(NOT(ISNUMBER(G82)),NOT(ISNUMBER(G25))),"n/m",IF(OR((G25)&lt;=0,(G82)&lt;0),"n/m",(G82)/(G25)))</f>
        <v>0.13069771915820996</v>
      </c>
      <c r="H134" s="40">
        <f>IF(OR(NOT(ISNUMBER(H82)),NOT(ISNUMBER(H25))),"n/m",IF(OR((H25)&lt;=0,(H82)&lt;0),"n/m",(H82)/(H25)))</f>
        <v>0.21055306987152678</v>
      </c>
    </row>
    <row r="135" spans="1:8" ht="22.95" customHeight="1" x14ac:dyDescent="0.3">
      <c r="A135" s="90" t="s">
        <v>228</v>
      </c>
      <c r="B135" s="90"/>
      <c r="C135" s="90"/>
      <c r="D135" s="91"/>
      <c r="E135" s="91"/>
      <c r="F135" s="91"/>
      <c r="G135" s="91"/>
      <c r="H135" s="91"/>
    </row>
    <row r="136" spans="1:8" ht="34.049999999999997" customHeight="1" x14ac:dyDescent="0.3">
      <c r="A136" s="34" t="s">
        <v>229</v>
      </c>
      <c r="B136" s="35" t="s">
        <v>230</v>
      </c>
      <c r="C136" s="35" t="s">
        <v>231</v>
      </c>
      <c r="D136" s="41">
        <f>IF(OR(NOT(ISNUMBER(D79)),NOT(ISNUMBER(D104))),"n/m",IF(OR((D104)&lt;=0,(D79)&lt;0),"n/m",(D79)/(D104)))</f>
        <v>5.6941155155115029</v>
      </c>
      <c r="E136" s="41">
        <f>IF(OR(NOT(ISNUMBER(E79)),NOT(ISNUMBER(E104))),"n/m",IF(OR((E104)&lt;=0,(E79)&lt;0),"n/m",(E79)/(E104)))</f>
        <v>3.3041099784606085</v>
      </c>
      <c r="F136" s="41">
        <f>IF(OR(NOT(ISNUMBER(F79)),NOT(ISNUMBER(F104))),"n/m",IF(OR((F104)&lt;=0,(F79)&lt;0),"n/m",(F79)/(F104)))</f>
        <v>4.1845053824045904</v>
      </c>
      <c r="G136" s="41">
        <f>IF(OR(NOT(ISNUMBER(G79)),NOT(ISNUMBER(G104))),"n/m",IF(OR((G104)&lt;=0,(G79)&lt;0),"n/m",(G79)/(G104)))</f>
        <v>4.9791974962957211</v>
      </c>
      <c r="H136" s="41">
        <f>IF(OR(NOT(ISNUMBER(H79)),NOT(ISNUMBER(H104))),"n/m",IF(OR((H104)&lt;=0,(H79)&lt;0),"n/m",(H79)/(H104)))</f>
        <v>16.262863426829693</v>
      </c>
    </row>
    <row r="137" spans="1:8" ht="34.049999999999997" customHeight="1" x14ac:dyDescent="0.3">
      <c r="A137" s="34" t="s">
        <v>232</v>
      </c>
      <c r="B137" s="35" t="s">
        <v>233</v>
      </c>
      <c r="C137" s="35" t="s">
        <v>234</v>
      </c>
      <c r="D137" s="41">
        <f>IF(OR(NOT(ISNUMBER(D29)),NOT(ISNUMBER(D103))),"n/m",IF(OR((D103)&lt;=0,(D29)&lt;0),"n/m",(D29)/(D103)))</f>
        <v>34.180972265393187</v>
      </c>
      <c r="E137" s="41">
        <f>IF(OR(NOT(ISNUMBER(E29)),NOT(ISNUMBER(E103))),"n/m",IF(OR((E103)&lt;=0,(E29)&lt;0),"n/m",(E29)/(E103)))</f>
        <v>37.561557627459578</v>
      </c>
      <c r="F137" s="41">
        <f>IF(OR(NOT(ISNUMBER(F29)),NOT(ISNUMBER(F103))),"n/m",IF(OR((F103)&lt;=0,(F29)&lt;0),"n/m",(F29)/(F103)))</f>
        <v>41.844014540695262</v>
      </c>
      <c r="G137" s="41">
        <f>IF(OR(NOT(ISNUMBER(G29)),NOT(ISNUMBER(G103))),"n/m",IF(OR((G103)&lt;=0,(G29)&lt;0),"n/m",(G29)/(G103)))</f>
        <v>50.226982139301263</v>
      </c>
      <c r="H137" s="41">
        <f>IF(OR(NOT(ISNUMBER(H29)),NOT(ISNUMBER(H103))),"n/m",IF(OR((H103)&lt;=0,(H29)&lt;0),"n/m",(H29)/(H103)))</f>
        <v>68.217013474898792</v>
      </c>
    </row>
    <row r="138" spans="1:8" ht="34.049999999999997" customHeight="1" x14ac:dyDescent="0.3">
      <c r="A138" s="34" t="s">
        <v>235</v>
      </c>
      <c r="B138" s="35" t="s">
        <v>236</v>
      </c>
      <c r="C138" s="35" t="s">
        <v>237</v>
      </c>
      <c r="D138" s="37">
        <f>IF(OR(NOT(ISNUMBER(D105)),NOT(ISNUMBER(D79/D104))),"n/m",IF(OR((D79/D104)&lt;=0,(D105)&lt;0),"n/m",(D105)/(D79/D104)))</f>
        <v>8.2506229232653325</v>
      </c>
      <c r="E138" s="37">
        <f>IF(OR(NOT(ISNUMBER(E105)),NOT(ISNUMBER(E79/E104))),"n/m",IF(OR((E79/E104)&lt;=0,(E105)&lt;0),"n/m",(E105)/(E79/E104)))</f>
        <v>8.2775695053414715</v>
      </c>
      <c r="F138" s="37">
        <f>IF(OR(NOT(ISNUMBER(F105)),NOT(ISNUMBER(F79/F104))),"n/m",IF(OR((F79/F104)&lt;=0,(F105)&lt;0),"n/m",(F105)/(F79/F104)))</f>
        <v>6.7702147353244424</v>
      </c>
      <c r="G138" s="37">
        <f>IF(OR(NOT(ISNUMBER(G105)),NOT(ISNUMBER(G79/G104))),"n/m",IF(OR((G79/G104)&lt;=0,(G105)&lt;0),"n/m",(G105)/(G79/G104)))</f>
        <v>7.6317519094733912</v>
      </c>
      <c r="H138" s="37">
        <f>IF(OR(NOT(ISNUMBER(H105)),NOT(ISNUMBER(H79/H104))),"n/m",IF(OR((H79/H104)&lt;=0,(H105)&lt;0),"n/m",(H105)/(H79/H104)))</f>
        <v>5.1823592062489379</v>
      </c>
    </row>
    <row r="139" spans="1:8" ht="34.049999999999997" customHeight="1" x14ac:dyDescent="0.3">
      <c r="A139" s="34" t="s">
        <v>238</v>
      </c>
      <c r="B139" s="35" t="s">
        <v>239</v>
      </c>
      <c r="C139" s="35" t="s">
        <v>240</v>
      </c>
      <c r="D139" s="37">
        <f>IF(OR(NOT(ISNUMBER(D105)),NOT(ISNUMBER(D29/D103))),"n/m",IF(OR((D29/D103)&lt;=0,(D105)&lt;0),"n/m",(D105)/(D29/D103)))</f>
        <v>1.3744489078669448</v>
      </c>
      <c r="E139" s="37">
        <f>IF(OR(NOT(ISNUMBER(E105)),NOT(ISNUMBER(E29/E103))),"n/m",IF(OR((E29/E103)&lt;=0,(E105)&lt;0),"n/m",(E105)/(E29/E103)))</f>
        <v>0.72813806794864222</v>
      </c>
      <c r="F139" s="37">
        <f>IF(OR(NOT(ISNUMBER(F105)),NOT(ISNUMBER(F29/F103))),"n/m",IF(OR((F29/F103)&lt;=0,(F105)&lt;0),"n/m",(F105)/(F29/F103)))</f>
        <v>0.67703828877240613</v>
      </c>
      <c r="G139" s="37">
        <f>IF(OR(NOT(ISNUMBER(G105)),NOT(ISNUMBER(G29/G103))),"n/m",IF(OR((G29/G103)&lt;=0,(G105)&lt;0),"n/m",(G105)/(G29/G103)))</f>
        <v>0.75656546305349337</v>
      </c>
      <c r="H139" s="37">
        <f>IF(OR(NOT(ISNUMBER(H105)),NOT(ISNUMBER(H29/H103))),"n/m",IF(OR((H29/H103)&lt;=0,(H105)&lt;0),"n/m",(H105)/(H29/H103)))</f>
        <v>1.2354689205356633</v>
      </c>
    </row>
    <row r="140" spans="1:8" ht="34.049999999999997" customHeight="1" x14ac:dyDescent="0.3">
      <c r="A140" s="34" t="s">
        <v>241</v>
      </c>
      <c r="B140" s="35" t="s">
        <v>242</v>
      </c>
      <c r="C140" s="35" t="s">
        <v>243</v>
      </c>
      <c r="D140" s="64">
        <f>IF(OR(NOT(ISNUMBER(D106)),NOT(ISNUMBER(D105))),"n/m",IF(OR((D105)&lt;=0,(D106)&lt;0),"n/m",(D106)/(D105)))</f>
        <v>0</v>
      </c>
      <c r="E140" s="64">
        <f>IF(OR(NOT(ISNUMBER(E106)),NOT(ISNUMBER(E105))),"n/m",IF(OR((E105)&lt;=0,(E106)&lt;0),"n/m",(E106)/(E105)))</f>
        <v>0</v>
      </c>
      <c r="F140" s="64">
        <f>IF(OR(NOT(ISNUMBER(F106)),NOT(ISNUMBER(F105))),"n/m",IF(OR((F105)&lt;=0,(F106)&lt;0),"n/m",(F106)/(F105)))</f>
        <v>0</v>
      </c>
      <c r="G140" s="64">
        <f>IF(OR(NOT(ISNUMBER(G106)),NOT(ISNUMBER(G105))),"n/m",IF(OR((G105)&lt;=0,(G106)&lt;0),"n/m",(G106)/(G105)))</f>
        <v>0</v>
      </c>
      <c r="H140" s="64">
        <f>IF(OR(NOT(ISNUMBER(H106)),NOT(ISNUMBER(H105))),"n/m",IF(OR((H105)&lt;=0,(H106)&lt;0),"n/m",(H106)/(H105)))</f>
        <v>0</v>
      </c>
    </row>
    <row r="141" spans="1:8" ht="34.049999999999997" customHeight="1" x14ac:dyDescent="0.3">
      <c r="A141" s="34" t="s">
        <v>244</v>
      </c>
      <c r="B141" s="35" t="s">
        <v>245</v>
      </c>
      <c r="C141" s="35" t="s">
        <v>246</v>
      </c>
      <c r="D141" s="37">
        <f>IF(OR(NOT(ISNUMBER(D157)),NOT(ISNUMBER(D83))),"n/m",IF(OR((D83)&lt;=0,(D157)&lt;0),"n/m",(D157)/(D83)))</f>
        <v>5.6223501239668989</v>
      </c>
      <c r="E141" s="37">
        <f>IF(OR(NOT(ISNUMBER(E157)),NOT(ISNUMBER(E83))),"n/m",IF(OR((E83)&lt;=0,(E157)&lt;0),"n/m",(E157)/(E83)))</f>
        <v>4.4912459172048038</v>
      </c>
      <c r="F141" s="37">
        <f>IF(OR(NOT(ISNUMBER(F157)),NOT(ISNUMBER(F83))),"n/m",IF(OR((F83)&lt;=0,(F157)&lt;0),"n/m",(F157)/(F83)))</f>
        <v>3.2721791070017887</v>
      </c>
      <c r="G141" s="37">
        <f>IF(OR(NOT(ISNUMBER(G157)),NOT(ISNUMBER(G83))),"n/m",IF(OR((G83)&lt;=0,(G157)&lt;0),"n/m",(G157)/(G83)))</f>
        <v>3.3522633268626687</v>
      </c>
      <c r="H141" s="37">
        <f>IF(OR(NOT(ISNUMBER(H157)),NOT(ISNUMBER(H83))),"n/m",IF(OR((H83)&lt;=0,(H157)&lt;0),"n/m",(H157)/(H83)))</f>
        <v>3.4441662826745523</v>
      </c>
    </row>
    <row r="142" spans="1:8" ht="4.05" customHeight="1" x14ac:dyDescent="0.3">
      <c r="A142" s="32"/>
      <c r="B142" s="32"/>
      <c r="C142" s="32"/>
      <c r="D142" s="32"/>
      <c r="E142" s="32"/>
      <c r="F142" s="32"/>
      <c r="G142" s="32"/>
      <c r="H142" s="32"/>
    </row>
    <row r="143" spans="1:8" ht="4.05" customHeight="1" x14ac:dyDescent="0.3">
      <c r="B143" s="36"/>
      <c r="C143" s="36"/>
      <c r="D143" s="36"/>
      <c r="E143" s="36"/>
      <c r="F143" s="36"/>
      <c r="G143" s="36"/>
      <c r="H143" s="36"/>
    </row>
    <row r="144" spans="1:8" ht="4.05" customHeight="1" x14ac:dyDescent="0.3">
      <c r="B144" s="36"/>
      <c r="C144" s="36"/>
      <c r="D144" s="36"/>
      <c r="E144" s="36"/>
      <c r="F144" s="36"/>
      <c r="G144" s="36"/>
      <c r="H144" s="36"/>
    </row>
    <row r="145" spans="1:9" ht="4.05" customHeight="1" x14ac:dyDescent="0.3">
      <c r="B145" s="36"/>
      <c r="C145" s="36"/>
      <c r="D145" s="36"/>
      <c r="E145" s="36"/>
      <c r="F145" s="36"/>
      <c r="G145" s="36"/>
      <c r="H145" s="36"/>
    </row>
    <row r="146" spans="1:9" ht="4.05" customHeight="1" x14ac:dyDescent="0.3"/>
    <row r="147" spans="1:9" ht="22.05" customHeight="1" x14ac:dyDescent="0.3">
      <c r="A147" s="89" t="s">
        <v>247</v>
      </c>
      <c r="B147" s="89"/>
      <c r="C147" s="88"/>
      <c r="D147" s="88"/>
      <c r="E147" s="88"/>
      <c r="F147" s="88"/>
      <c r="G147" s="88"/>
      <c r="H147" s="88"/>
    </row>
    <row r="148" spans="1:9" ht="15" customHeight="1" x14ac:dyDescent="0.3">
      <c r="A148" s="20" t="s">
        <v>248</v>
      </c>
      <c r="B148" s="20"/>
      <c r="C148" s="17"/>
      <c r="D148" s="17">
        <v>0</v>
      </c>
      <c r="E148" s="17">
        <v>0</v>
      </c>
      <c r="F148" s="17">
        <v>0</v>
      </c>
      <c r="G148" s="17">
        <v>0</v>
      </c>
      <c r="H148" s="17">
        <v>0</v>
      </c>
      <c r="I148" s="17">
        <v>0</v>
      </c>
    </row>
    <row r="149" spans="1:9" ht="15" customHeight="1" x14ac:dyDescent="0.3">
      <c r="A149" s="20" t="s">
        <v>249</v>
      </c>
      <c r="B149" s="20"/>
      <c r="C149" s="17"/>
      <c r="D149" s="17">
        <v>0</v>
      </c>
      <c r="E149" s="17">
        <v>0</v>
      </c>
      <c r="F149" s="17">
        <v>0</v>
      </c>
      <c r="G149" s="17">
        <v>0</v>
      </c>
      <c r="H149" s="17">
        <v>0</v>
      </c>
      <c r="I149" s="17">
        <v>0</v>
      </c>
    </row>
    <row r="150" spans="1:9" ht="15" customHeight="1" x14ac:dyDescent="0.3">
      <c r="A150" s="20" t="s">
        <v>250</v>
      </c>
      <c r="B150" s="20"/>
      <c r="C150" s="17"/>
      <c r="D150" s="17">
        <v>61.223999999999997</v>
      </c>
      <c r="E150" s="17">
        <v>132.595</v>
      </c>
      <c r="F150" s="17">
        <v>1871.865</v>
      </c>
      <c r="G150" s="17">
        <v>821.42499999999995</v>
      </c>
      <c r="H150" s="17">
        <v>1452.981</v>
      </c>
      <c r="I150" s="17">
        <v>287.25900000000001</v>
      </c>
    </row>
    <row r="151" spans="1:9" ht="15" customHeight="1" x14ac:dyDescent="0.3"/>
    <row r="152" spans="1:9" ht="22.95" customHeight="1" x14ac:dyDescent="0.3">
      <c r="A152" s="88" t="s">
        <v>251</v>
      </c>
      <c r="B152" s="88"/>
      <c r="C152" s="88"/>
      <c r="D152" s="88"/>
      <c r="E152" s="88"/>
      <c r="F152" s="88"/>
      <c r="G152" s="88"/>
      <c r="H152" s="88"/>
    </row>
    <row r="153" spans="1:9" ht="15" customHeight="1" x14ac:dyDescent="0.3">
      <c r="D153" t="s">
        <v>58</v>
      </c>
      <c r="E153" t="s">
        <v>59</v>
      </c>
      <c r="F153" t="s">
        <v>60</v>
      </c>
      <c r="G153" t="s">
        <v>61</v>
      </c>
      <c r="H153" t="s">
        <v>62</v>
      </c>
    </row>
    <row r="154" spans="1:9" ht="15" customHeight="1" x14ac:dyDescent="0.3">
      <c r="A154" t="s">
        <v>252</v>
      </c>
      <c r="D154" s="43">
        <f>D22+D158-D159</f>
        <v>490.32900000000001</v>
      </c>
      <c r="E154" s="43">
        <f>E22+E158-E159</f>
        <v>793.57600000000002</v>
      </c>
      <c r="F154" s="43">
        <f>F22+F158-F159</f>
        <v>740.70699999999999</v>
      </c>
      <c r="G154" s="43">
        <f>G22+G158-G159</f>
        <v>1371.912</v>
      </c>
      <c r="H154" s="43">
        <f>H22+H158-H159</f>
        <v>1615.481</v>
      </c>
    </row>
    <row r="155" spans="1:9" ht="15" customHeight="1" x14ac:dyDescent="0.3">
      <c r="A155" t="s">
        <v>253</v>
      </c>
      <c r="D155" s="43">
        <f>D40+D148+D149</f>
        <v>260.95299999999997</v>
      </c>
      <c r="E155" s="43">
        <f>E40+E148+E149</f>
        <v>665.12199999999996</v>
      </c>
      <c r="F155" s="43">
        <f>F40+F148+F149</f>
        <v>880.03899999999999</v>
      </c>
      <c r="G155" s="43">
        <f>G40+G148+G149</f>
        <v>865.94500000000005</v>
      </c>
      <c r="H155" s="43">
        <f>H40+H148+H149</f>
        <v>320.43400000000003</v>
      </c>
    </row>
    <row r="156" spans="1:9" ht="15" customHeight="1" x14ac:dyDescent="0.3">
      <c r="A156" t="s">
        <v>254</v>
      </c>
      <c r="D156" s="43">
        <f>D105*D103</f>
        <v>51600.304475999998</v>
      </c>
      <c r="E156" s="43">
        <f>E105*E103</f>
        <v>29532.562819999999</v>
      </c>
      <c r="F156" s="43">
        <f>F105*F103</f>
        <v>30407.897845999996</v>
      </c>
      <c r="G156" s="43">
        <f>G105*G103</f>
        <v>39807.378799999999</v>
      </c>
      <c r="H156" s="43">
        <f>H105*H103</f>
        <v>88288.575928000006</v>
      </c>
    </row>
    <row r="157" spans="1:9" ht="15" customHeight="1" x14ac:dyDescent="0.3">
      <c r="A157" t="s">
        <v>255</v>
      </c>
      <c r="D157" s="43">
        <f>D156+D55+D155-D154</f>
        <v>67606.404475999996</v>
      </c>
      <c r="E157" s="43">
        <f>E156+E55+E155-E154</f>
        <v>54377.822820000001</v>
      </c>
      <c r="F157" s="43">
        <f>F156+F55+F155-F154</f>
        <v>50421.632845999993</v>
      </c>
      <c r="G157" s="43">
        <f>G156+G55+G155-G154</f>
        <v>58688.794800000003</v>
      </c>
      <c r="H157" s="43">
        <f>H156+H55+H155-H154</f>
        <v>101573.59892800001</v>
      </c>
    </row>
    <row r="158" spans="1:9" ht="15" customHeight="1" x14ac:dyDescent="0.3">
      <c r="A158" t="s">
        <v>256</v>
      </c>
      <c r="D158" s="43">
        <v>0</v>
      </c>
      <c r="E158" s="43">
        <v>0</v>
      </c>
      <c r="F158" s="43">
        <v>0</v>
      </c>
      <c r="G158" s="43">
        <v>238.5</v>
      </c>
      <c r="H158" s="43">
        <v>0</v>
      </c>
    </row>
    <row r="159" spans="1:9" ht="15" customHeight="1" x14ac:dyDescent="0.3">
      <c r="A159" t="s">
        <v>257</v>
      </c>
      <c r="D159" s="43">
        <v>0</v>
      </c>
      <c r="E159" s="43">
        <v>0</v>
      </c>
      <c r="F159" s="43">
        <v>0</v>
      </c>
      <c r="G159" s="43">
        <v>0</v>
      </c>
      <c r="H159" s="43">
        <v>0</v>
      </c>
    </row>
    <row r="160" spans="1:9" ht="15" customHeight="1" x14ac:dyDescent="0.3">
      <c r="B160" s="42"/>
      <c r="C160" s="42"/>
      <c r="D160" s="42"/>
      <c r="E160" s="42"/>
      <c r="F160" s="42"/>
      <c r="G160" s="42"/>
      <c r="H160" s="42"/>
    </row>
    <row r="161" spans="2:8" ht="15" customHeight="1" x14ac:dyDescent="0.3">
      <c r="B161" s="42"/>
      <c r="C161" s="42"/>
      <c r="D161" s="42"/>
      <c r="E161" s="42"/>
      <c r="F161" s="42"/>
      <c r="G161" s="42"/>
      <c r="H161" s="42"/>
    </row>
  </sheetData>
  <mergeCells count="7">
    <mergeCell ref="A152:H152"/>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FA98A"/>
    <pageSetUpPr fitToPage="1"/>
  </sheetPr>
  <dimension ref="A1:I164"/>
  <sheetViews>
    <sheetView showGridLines="0" workbookViewId="0">
      <pane xSplit="3" ySplit="7" topLeftCell="D8" activePane="bottomRight" state="frozen"/>
      <selection pane="topRight"/>
      <selection pane="bottomLeft"/>
      <selection pane="bottomRight" activeCell="D160" sqref="D160"/>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266</v>
      </c>
      <c r="B1" s="20"/>
    </row>
    <row r="2" spans="1:9" x14ac:dyDescent="0.3">
      <c r="A2" s="75" t="s">
        <v>267</v>
      </c>
      <c r="B2" s="20"/>
    </row>
    <row r="3" spans="1:9" ht="6" customHeight="1" x14ac:dyDescent="0.3">
      <c r="B3" s="20"/>
    </row>
    <row r="4" spans="1:9" x14ac:dyDescent="0.3">
      <c r="A4" s="20"/>
      <c r="B4" s="20"/>
    </row>
    <row r="5" spans="1:9" x14ac:dyDescent="0.3">
      <c r="A5" s="20"/>
      <c r="B5" s="20"/>
    </row>
    <row r="6" spans="1:9" ht="19.5" customHeight="1" x14ac:dyDescent="0.3">
      <c r="A6" s="21" t="s">
        <v>56</v>
      </c>
      <c r="B6" s="22"/>
      <c r="C6" s="3"/>
      <c r="D6" s="3"/>
      <c r="E6" s="3"/>
      <c r="F6" s="3"/>
      <c r="G6" s="3"/>
      <c r="H6" s="3"/>
      <c r="I6" s="3"/>
    </row>
    <row r="7" spans="1:9" ht="16.5" customHeight="1" x14ac:dyDescent="0.3">
      <c r="A7" s="23" t="s">
        <v>57</v>
      </c>
      <c r="B7" s="24"/>
      <c r="C7" s="9"/>
      <c r="D7" s="9" t="s">
        <v>58</v>
      </c>
      <c r="E7" s="9" t="s">
        <v>59</v>
      </c>
      <c r="F7" s="9" t="s">
        <v>60</v>
      </c>
      <c r="G7" s="9" t="s">
        <v>61</v>
      </c>
      <c r="H7" s="9" t="s">
        <v>62</v>
      </c>
      <c r="I7" s="9" t="s">
        <v>63</v>
      </c>
    </row>
    <row r="8" spans="1:9" x14ac:dyDescent="0.3">
      <c r="A8" s="25" t="s">
        <v>64</v>
      </c>
      <c r="B8" s="26"/>
      <c r="C8" s="10"/>
      <c r="D8" s="10"/>
      <c r="E8" s="10"/>
      <c r="F8" s="10"/>
      <c r="G8" s="10"/>
      <c r="H8" s="10"/>
      <c r="I8" s="10"/>
    </row>
    <row r="9" spans="1:9" x14ac:dyDescent="0.3">
      <c r="A9" s="27" t="s">
        <v>65</v>
      </c>
      <c r="B9" s="28"/>
      <c r="C9" s="11"/>
      <c r="D9" s="11">
        <v>21422.215</v>
      </c>
      <c r="E9" s="11">
        <v>74126.315000000002</v>
      </c>
      <c r="F9" s="11">
        <v>104425.181</v>
      </c>
      <c r="G9" s="11">
        <v>110845.663</v>
      </c>
      <c r="H9" s="11">
        <v>109579.08900000001</v>
      </c>
      <c r="I9" s="11">
        <v>22065.171999999999</v>
      </c>
    </row>
    <row r="10" spans="1:9" x14ac:dyDescent="0.3">
      <c r="A10" s="27" t="s">
        <v>66</v>
      </c>
      <c r="B10" s="28"/>
      <c r="C10" s="11"/>
      <c r="D10" s="11">
        <v>202.08699999999999</v>
      </c>
      <c r="E10" s="11">
        <v>29802.17</v>
      </c>
      <c r="F10" s="11">
        <v>34531.171999999999</v>
      </c>
      <c r="G10" s="11">
        <v>700.15300000000002</v>
      </c>
      <c r="H10" s="11">
        <v>296.57400000000001</v>
      </c>
      <c r="I10" s="11">
        <v>2.8079999999999998</v>
      </c>
    </row>
    <row r="11" spans="1:9" x14ac:dyDescent="0.3">
      <c r="A11" s="27" t="s">
        <v>67</v>
      </c>
      <c r="B11" s="28"/>
      <c r="C11" s="11"/>
      <c r="D11" s="11">
        <v>89.334000000000003</v>
      </c>
      <c r="E11" s="11">
        <v>132.26300000000001</v>
      </c>
      <c r="F11" s="11">
        <v>181.38</v>
      </c>
      <c r="G11" s="11">
        <v>131.16499999999999</v>
      </c>
      <c r="H11" s="11">
        <v>126.44499999999999</v>
      </c>
      <c r="I11" s="11">
        <v>60.322000000000003</v>
      </c>
    </row>
    <row r="12" spans="1:9" x14ac:dyDescent="0.3">
      <c r="A12" s="27" t="s">
        <v>68</v>
      </c>
      <c r="B12" s="28"/>
      <c r="C12" s="11"/>
      <c r="D12" s="11">
        <v>0</v>
      </c>
      <c r="E12" s="11">
        <v>11029.755999999999</v>
      </c>
      <c r="F12" s="11">
        <v>10957.736999999999</v>
      </c>
      <c r="G12" s="11">
        <v>10745.7</v>
      </c>
      <c r="H12" s="11">
        <v>10533.666999999999</v>
      </c>
      <c r="I12" s="11">
        <v>0</v>
      </c>
    </row>
    <row r="13" spans="1:9" x14ac:dyDescent="0.3">
      <c r="A13" s="27" t="s">
        <v>69</v>
      </c>
      <c r="B13" s="28"/>
      <c r="C13" s="11"/>
      <c r="D13" s="11">
        <v>0</v>
      </c>
      <c r="E13" s="11">
        <v>0</v>
      </c>
      <c r="F13" s="11">
        <v>0</v>
      </c>
      <c r="G13" s="11">
        <v>0</v>
      </c>
      <c r="H13" s="11">
        <v>0</v>
      </c>
      <c r="I13" s="11">
        <v>0</v>
      </c>
    </row>
    <row r="14" spans="1:9" x14ac:dyDescent="0.3">
      <c r="A14" s="27" t="s">
        <v>70</v>
      </c>
      <c r="B14" s="28"/>
      <c r="C14" s="11"/>
      <c r="D14" s="11">
        <v>15.349</v>
      </c>
      <c r="E14" s="11">
        <v>66.656999999999996</v>
      </c>
      <c r="F14" s="11">
        <v>0</v>
      </c>
      <c r="G14" s="11">
        <v>0</v>
      </c>
      <c r="H14" s="11">
        <v>0</v>
      </c>
      <c r="I14" s="11">
        <v>0</v>
      </c>
    </row>
    <row r="15" spans="1:9" x14ac:dyDescent="0.3">
      <c r="A15" s="27" t="s">
        <v>71</v>
      </c>
      <c r="B15" s="28"/>
      <c r="C15" s="11"/>
      <c r="D15" s="11">
        <v>86.600999999999999</v>
      </c>
      <c r="E15" s="11">
        <v>126.274</v>
      </c>
      <c r="F15" s="11">
        <v>129.69999999999999</v>
      </c>
      <c r="G15" s="11">
        <v>129.69999999999999</v>
      </c>
      <c r="H15" s="11">
        <v>133.42500000000001</v>
      </c>
      <c r="I15" s="11">
        <v>99.100999999999999</v>
      </c>
    </row>
    <row r="16" spans="1:9" x14ac:dyDescent="0.3">
      <c r="A16" s="29" t="s">
        <v>72</v>
      </c>
      <c r="B16" s="30"/>
      <c r="C16" s="12"/>
      <c r="D16" s="12">
        <f t="shared" ref="D16:I16" si="0">D9+D11+D12+D13+D14+D15</f>
        <v>21613.498999999996</v>
      </c>
      <c r="E16" s="12">
        <f t="shared" si="0"/>
        <v>85481.265000000014</v>
      </c>
      <c r="F16" s="12">
        <f t="shared" si="0"/>
        <v>115693.99799999999</v>
      </c>
      <c r="G16" s="12">
        <f t="shared" si="0"/>
        <v>121852.22799999999</v>
      </c>
      <c r="H16" s="12">
        <f t="shared" si="0"/>
        <v>120372.62600000002</v>
      </c>
      <c r="I16" s="12">
        <f t="shared" si="0"/>
        <v>22224.594999999998</v>
      </c>
    </row>
    <row r="17" spans="1:9" x14ac:dyDescent="0.3">
      <c r="A17" s="25" t="s">
        <v>73</v>
      </c>
      <c r="B17" s="26"/>
      <c r="C17" s="10"/>
      <c r="D17" s="10"/>
      <c r="E17" s="10"/>
      <c r="F17" s="10"/>
      <c r="G17" s="10"/>
      <c r="H17" s="10"/>
      <c r="I17" s="10"/>
    </row>
    <row r="18" spans="1:9" x14ac:dyDescent="0.3">
      <c r="A18" s="27" t="s">
        <v>74</v>
      </c>
      <c r="B18" s="28"/>
      <c r="C18" s="11"/>
      <c r="D18" s="11">
        <v>4250.7539999999999</v>
      </c>
      <c r="E18" s="11">
        <v>11939.147000000001</v>
      </c>
      <c r="F18" s="11">
        <v>8011.1809999999996</v>
      </c>
      <c r="G18" s="11">
        <v>9099.1299999999992</v>
      </c>
      <c r="H18" s="11">
        <v>10377.008</v>
      </c>
      <c r="I18" s="11">
        <v>3505.8090000000002</v>
      </c>
    </row>
    <row r="19" spans="1:9" x14ac:dyDescent="0.3">
      <c r="A19" s="27" t="s">
        <v>75</v>
      </c>
      <c r="B19" s="28"/>
      <c r="C19" s="11"/>
      <c r="D19" s="11">
        <v>1189.1980000000001</v>
      </c>
      <c r="E19" s="11">
        <v>3697.721</v>
      </c>
      <c r="F19" s="11">
        <v>7112.3270000000002</v>
      </c>
      <c r="G19" s="11">
        <v>7495.7049999999999</v>
      </c>
      <c r="H19" s="11">
        <v>9337.6170000000002</v>
      </c>
      <c r="I19" s="11">
        <v>1187.752</v>
      </c>
    </row>
    <row r="20" spans="1:9" x14ac:dyDescent="0.3">
      <c r="A20" s="27" t="s">
        <v>76</v>
      </c>
      <c r="B20" s="28"/>
      <c r="C20" s="11"/>
      <c r="D20" s="11">
        <v>1449.6</v>
      </c>
      <c r="E20" s="11">
        <v>2412.7579999999998</v>
      </c>
      <c r="F20" s="11">
        <v>3572.4450000000002</v>
      </c>
      <c r="G20" s="11">
        <v>5545.241</v>
      </c>
      <c r="H20" s="11">
        <v>6911.3220000000001</v>
      </c>
      <c r="I20" s="11">
        <v>1050.6400000000001</v>
      </c>
    </row>
    <row r="21" spans="1:9" x14ac:dyDescent="0.3">
      <c r="A21" s="27" t="s">
        <v>77</v>
      </c>
      <c r="B21" s="28"/>
      <c r="C21" s="11"/>
      <c r="D21" s="11">
        <v>4397.6989999999996</v>
      </c>
      <c r="E21" s="11">
        <v>3843.01</v>
      </c>
      <c r="F21" s="11">
        <v>250</v>
      </c>
      <c r="G21" s="11">
        <v>250</v>
      </c>
      <c r="H21" s="11">
        <v>9210.1</v>
      </c>
      <c r="I21" s="11">
        <v>0</v>
      </c>
    </row>
    <row r="22" spans="1:9" x14ac:dyDescent="0.3">
      <c r="A22" s="27" t="s">
        <v>78</v>
      </c>
      <c r="B22" s="28"/>
      <c r="C22" s="11"/>
      <c r="D22" s="11">
        <v>900.77800000000002</v>
      </c>
      <c r="E22" s="11">
        <v>2306.6329999999998</v>
      </c>
      <c r="F22" s="11">
        <v>970.45699999999999</v>
      </c>
      <c r="G22" s="11">
        <v>2932.9839999999999</v>
      </c>
      <c r="H22" s="11">
        <v>2665.3380000000002</v>
      </c>
      <c r="I22" s="11">
        <v>561.17399999999998</v>
      </c>
    </row>
    <row r="23" spans="1:9" x14ac:dyDescent="0.3">
      <c r="A23" s="27" t="s">
        <v>79</v>
      </c>
      <c r="B23" s="28"/>
      <c r="C23" s="11"/>
      <c r="D23" s="11">
        <v>250.703</v>
      </c>
      <c r="E23" s="11">
        <v>4017.5430000000001</v>
      </c>
      <c r="F23" s="11">
        <v>3218.0889999999999</v>
      </c>
      <c r="G23" s="11">
        <v>461.01100000000002</v>
      </c>
      <c r="H23" s="11">
        <v>1971.18</v>
      </c>
      <c r="I23" s="11">
        <v>677.94600000000003</v>
      </c>
    </row>
    <row r="24" spans="1:9" x14ac:dyDescent="0.3">
      <c r="A24" s="29" t="s">
        <v>80</v>
      </c>
      <c r="B24" s="30"/>
      <c r="C24" s="12"/>
      <c r="D24" s="12">
        <f t="shared" ref="D24:I24" si="1">D18+D19+D20+D21+D22+D23</f>
        <v>12438.732</v>
      </c>
      <c r="E24" s="12">
        <f t="shared" si="1"/>
        <v>28216.812000000002</v>
      </c>
      <c r="F24" s="12">
        <f t="shared" si="1"/>
        <v>23134.499</v>
      </c>
      <c r="G24" s="12">
        <f t="shared" si="1"/>
        <v>25784.071</v>
      </c>
      <c r="H24" s="12">
        <f t="shared" si="1"/>
        <v>40472.565000000002</v>
      </c>
      <c r="I24" s="12">
        <f t="shared" si="1"/>
        <v>6983.3209999999999</v>
      </c>
    </row>
    <row r="25" spans="1:9" x14ac:dyDescent="0.3">
      <c r="A25" s="29" t="s">
        <v>81</v>
      </c>
      <c r="B25" s="30"/>
      <c r="C25" s="12"/>
      <c r="D25" s="12">
        <f t="shared" ref="D25:I25" si="2">D16+D24</f>
        <v>34052.231</v>
      </c>
      <c r="E25" s="12">
        <f t="shared" si="2"/>
        <v>113698.07700000002</v>
      </c>
      <c r="F25" s="12">
        <f t="shared" si="2"/>
        <v>138828.497</v>
      </c>
      <c r="G25" s="12">
        <f t="shared" si="2"/>
        <v>147636.299</v>
      </c>
      <c r="H25" s="12">
        <f t="shared" si="2"/>
        <v>160845.19100000002</v>
      </c>
      <c r="I25" s="12">
        <f t="shared" si="2"/>
        <v>29207.915999999997</v>
      </c>
    </row>
    <row r="26" spans="1:9" x14ac:dyDescent="0.3">
      <c r="A26" s="25" t="s">
        <v>82</v>
      </c>
      <c r="B26" s="26"/>
      <c r="C26" s="10"/>
      <c r="D26" s="10"/>
      <c r="E26" s="10"/>
      <c r="F26" s="10"/>
      <c r="G26" s="10"/>
      <c r="H26" s="10"/>
      <c r="I26" s="10"/>
    </row>
    <row r="27" spans="1:9" x14ac:dyDescent="0.3">
      <c r="A27" s="27" t="s">
        <v>83</v>
      </c>
      <c r="B27" s="28"/>
      <c r="C27" s="11"/>
      <c r="D27" s="11">
        <v>13798.15</v>
      </c>
      <c r="E27" s="11">
        <v>21803.09</v>
      </c>
      <c r="F27" s="11">
        <v>24528.475999999999</v>
      </c>
      <c r="G27" s="11">
        <v>24528.475999999999</v>
      </c>
      <c r="H27" s="11">
        <v>24528.475999999999</v>
      </c>
      <c r="I27" s="11">
        <v>13798.15</v>
      </c>
    </row>
    <row r="28" spans="1:9" x14ac:dyDescent="0.3">
      <c r="A28" s="27" t="s">
        <v>84</v>
      </c>
      <c r="B28" s="28"/>
      <c r="C28" s="11"/>
      <c r="D28" s="11">
        <v>9477.5210000000006</v>
      </c>
      <c r="E28" s="11">
        <v>35932.966</v>
      </c>
      <c r="F28" s="11">
        <v>40647.260999999999</v>
      </c>
      <c r="G28" s="11">
        <v>48870.377</v>
      </c>
      <c r="H28" s="11">
        <v>59743.732000000004</v>
      </c>
      <c r="I28" s="11">
        <v>6006.17</v>
      </c>
    </row>
    <row r="29" spans="1:9" x14ac:dyDescent="0.3">
      <c r="A29" s="29" t="s">
        <v>85</v>
      </c>
      <c r="B29" s="30"/>
      <c r="C29" s="12"/>
      <c r="D29" s="12">
        <f t="shared" ref="D29:I29" si="3">D27+D28</f>
        <v>23275.671000000002</v>
      </c>
      <c r="E29" s="12">
        <f t="shared" si="3"/>
        <v>57736.055999999997</v>
      </c>
      <c r="F29" s="12">
        <f t="shared" si="3"/>
        <v>65175.736999999994</v>
      </c>
      <c r="G29" s="12">
        <f t="shared" si="3"/>
        <v>73398.853000000003</v>
      </c>
      <c r="H29" s="12">
        <f t="shared" si="3"/>
        <v>84272.207999999999</v>
      </c>
      <c r="I29" s="12">
        <f t="shared" si="3"/>
        <v>19804.32</v>
      </c>
    </row>
    <row r="30" spans="1:9" x14ac:dyDescent="0.3">
      <c r="A30" s="25" t="s">
        <v>86</v>
      </c>
      <c r="B30" s="26"/>
      <c r="C30" s="10"/>
      <c r="D30" s="10"/>
      <c r="E30" s="10"/>
      <c r="F30" s="10"/>
      <c r="G30" s="10"/>
      <c r="H30" s="10"/>
      <c r="I30" s="10"/>
    </row>
    <row r="31" spans="1:9" x14ac:dyDescent="0.3">
      <c r="A31" s="27" t="s">
        <v>87</v>
      </c>
      <c r="B31" s="28"/>
      <c r="C31" s="11"/>
      <c r="D31" s="11">
        <v>491.50200000000001</v>
      </c>
      <c r="E31" s="11">
        <v>19555.996999999999</v>
      </c>
      <c r="F31" s="11">
        <v>31777.087</v>
      </c>
      <c r="G31" s="11">
        <v>29908.287</v>
      </c>
      <c r="H31" s="11">
        <v>24208.633000000002</v>
      </c>
      <c r="I31" s="11">
        <v>447.327</v>
      </c>
    </row>
    <row r="32" spans="1:9" x14ac:dyDescent="0.3">
      <c r="A32" s="27" t="s">
        <v>88</v>
      </c>
      <c r="B32" s="28"/>
      <c r="C32" s="11"/>
      <c r="D32" s="11">
        <v>73.593000000000004</v>
      </c>
      <c r="E32" s="11">
        <v>89.965000000000003</v>
      </c>
      <c r="F32" s="11">
        <v>118.97199999999999</v>
      </c>
      <c r="G32" s="11">
        <v>117.45399999999999</v>
      </c>
      <c r="H32" s="11">
        <v>101.211</v>
      </c>
      <c r="I32" s="11">
        <v>57.655999999999999</v>
      </c>
    </row>
    <row r="33" spans="1:9" x14ac:dyDescent="0.3">
      <c r="A33" s="27" t="s">
        <v>89</v>
      </c>
      <c r="B33" s="28"/>
      <c r="C33" s="11"/>
      <c r="D33" s="11">
        <v>6.6070000000000002</v>
      </c>
      <c r="E33" s="11">
        <v>1982.3009999999999</v>
      </c>
      <c r="F33" s="11">
        <v>2745.8490000000002</v>
      </c>
      <c r="G33" s="11">
        <v>2164.9589999999998</v>
      </c>
      <c r="H33" s="11">
        <v>1647.63</v>
      </c>
      <c r="I33" s="11">
        <v>0</v>
      </c>
    </row>
    <row r="34" spans="1:9" x14ac:dyDescent="0.3">
      <c r="A34" s="27" t="s">
        <v>90</v>
      </c>
      <c r="B34" s="28"/>
      <c r="C34" s="11"/>
      <c r="D34" s="11">
        <v>3960.489</v>
      </c>
      <c r="E34" s="11">
        <v>7433.2139999999999</v>
      </c>
      <c r="F34" s="11">
        <v>10312.402</v>
      </c>
      <c r="G34" s="11">
        <v>14931.049000000001</v>
      </c>
      <c r="H34" s="11">
        <v>19694.421999999999</v>
      </c>
      <c r="I34" s="11">
        <v>3643.6080000000002</v>
      </c>
    </row>
    <row r="35" spans="1:9" x14ac:dyDescent="0.3">
      <c r="A35" s="27" t="s">
        <v>91</v>
      </c>
      <c r="B35" s="28"/>
      <c r="C35" s="11"/>
      <c r="D35" s="11">
        <v>82.38</v>
      </c>
      <c r="E35" s="11">
        <v>179.291</v>
      </c>
      <c r="F35" s="11">
        <v>211.595</v>
      </c>
      <c r="G35" s="11">
        <v>250.23</v>
      </c>
      <c r="H35" s="11">
        <v>283.58999999999997</v>
      </c>
      <c r="I35" s="11">
        <v>72.546999999999997</v>
      </c>
    </row>
    <row r="36" spans="1:9" x14ac:dyDescent="0.3">
      <c r="A36" s="29" t="s">
        <v>92</v>
      </c>
      <c r="B36" s="30"/>
      <c r="C36" s="12"/>
      <c r="D36" s="12">
        <f t="shared" ref="D36:I36" si="4">D31+D32+D33+D34+D35</f>
        <v>4614.5709999999999</v>
      </c>
      <c r="E36" s="12">
        <f t="shared" si="4"/>
        <v>29240.768</v>
      </c>
      <c r="F36" s="12">
        <f t="shared" si="4"/>
        <v>45165.905000000006</v>
      </c>
      <c r="G36" s="12">
        <f t="shared" si="4"/>
        <v>47371.979000000007</v>
      </c>
      <c r="H36" s="12">
        <f t="shared" si="4"/>
        <v>45935.485999999997</v>
      </c>
      <c r="I36" s="12">
        <f t="shared" si="4"/>
        <v>4221.1379999999999</v>
      </c>
    </row>
    <row r="37" spans="1:9" x14ac:dyDescent="0.3">
      <c r="A37" s="25" t="s">
        <v>93</v>
      </c>
      <c r="B37" s="26"/>
      <c r="C37" s="10"/>
      <c r="D37" s="10"/>
      <c r="E37" s="10"/>
      <c r="F37" s="10"/>
      <c r="G37" s="10"/>
      <c r="H37" s="10"/>
      <c r="I37" s="10"/>
    </row>
    <row r="38" spans="1:9" x14ac:dyDescent="0.3">
      <c r="A38" s="27" t="s">
        <v>94</v>
      </c>
      <c r="B38" s="28"/>
      <c r="C38" s="11"/>
      <c r="D38" s="11">
        <v>1822.6420000000001</v>
      </c>
      <c r="E38" s="11">
        <v>6917.1490000000003</v>
      </c>
      <c r="F38" s="11">
        <v>6516.4620000000004</v>
      </c>
      <c r="G38" s="11">
        <v>6108.79</v>
      </c>
      <c r="H38" s="11">
        <v>3934.5079999999998</v>
      </c>
      <c r="I38" s="11">
        <v>1163.2460000000001</v>
      </c>
    </row>
    <row r="39" spans="1:9" x14ac:dyDescent="0.3">
      <c r="A39" s="27" t="s">
        <v>95</v>
      </c>
      <c r="B39" s="28"/>
      <c r="C39" s="11"/>
      <c r="D39" s="11">
        <v>435.09699999999998</v>
      </c>
      <c r="E39" s="11">
        <v>862.30899999999997</v>
      </c>
      <c r="F39" s="11">
        <v>584.80899999999997</v>
      </c>
      <c r="G39" s="11">
        <v>432.70400000000001</v>
      </c>
      <c r="H39" s="11">
        <v>588.07600000000002</v>
      </c>
      <c r="I39" s="11">
        <v>367.952</v>
      </c>
    </row>
    <row r="40" spans="1:9" x14ac:dyDescent="0.3">
      <c r="A40" s="27" t="s">
        <v>96</v>
      </c>
      <c r="B40" s="28"/>
      <c r="C40" s="11"/>
      <c r="D40" s="11">
        <v>0</v>
      </c>
      <c r="E40" s="11">
        <v>0</v>
      </c>
      <c r="F40" s="11">
        <v>0</v>
      </c>
      <c r="G40" s="11">
        <v>0</v>
      </c>
      <c r="H40" s="11">
        <v>0</v>
      </c>
      <c r="I40" s="11">
        <v>0</v>
      </c>
    </row>
    <row r="41" spans="1:9" x14ac:dyDescent="0.3">
      <c r="A41" s="27" t="s">
        <v>97</v>
      </c>
      <c r="B41" s="28"/>
      <c r="C41" s="11"/>
      <c r="D41" s="11">
        <v>1616.787</v>
      </c>
      <c r="E41" s="11">
        <v>10605.249</v>
      </c>
      <c r="F41" s="11">
        <v>11917.981</v>
      </c>
      <c r="G41" s="11">
        <v>8837.9339999999993</v>
      </c>
      <c r="H41" s="11">
        <v>9764.6479999999992</v>
      </c>
      <c r="I41" s="11">
        <v>1869.1669999999999</v>
      </c>
    </row>
    <row r="42" spans="1:9" x14ac:dyDescent="0.3">
      <c r="A42" s="27" t="s">
        <v>98</v>
      </c>
      <c r="B42" s="28"/>
      <c r="C42" s="11"/>
      <c r="D42" s="11">
        <v>361.52100000000002</v>
      </c>
      <c r="E42" s="11">
        <v>2985.087</v>
      </c>
      <c r="F42" s="11">
        <v>4176.4930000000004</v>
      </c>
      <c r="G42" s="11">
        <v>5066.8680000000004</v>
      </c>
      <c r="H42" s="11">
        <v>6104.0649999999996</v>
      </c>
      <c r="I42" s="11">
        <v>303.91199999999998</v>
      </c>
    </row>
    <row r="43" spans="1:9" x14ac:dyDescent="0.3">
      <c r="A43" s="27" t="s">
        <v>99</v>
      </c>
      <c r="B43" s="28"/>
      <c r="C43" s="11"/>
      <c r="D43" s="11">
        <v>24.686</v>
      </c>
      <c r="E43" s="11">
        <v>68.331999999999994</v>
      </c>
      <c r="F43" s="11">
        <v>50.463000000000001</v>
      </c>
      <c r="G43" s="11">
        <v>46.206000000000003</v>
      </c>
      <c r="H43" s="11">
        <v>43.098999999999997</v>
      </c>
      <c r="I43" s="11">
        <v>23.736999999999998</v>
      </c>
    </row>
    <row r="44" spans="1:9" x14ac:dyDescent="0.3">
      <c r="A44" s="27" t="s">
        <v>100</v>
      </c>
      <c r="B44" s="28"/>
      <c r="C44" s="11"/>
      <c r="D44" s="11">
        <v>15.654</v>
      </c>
      <c r="E44" s="11">
        <v>366.464</v>
      </c>
      <c r="F44" s="11">
        <v>604.29200000000003</v>
      </c>
      <c r="G44" s="11">
        <v>580.89099999999996</v>
      </c>
      <c r="H44" s="11">
        <v>515.17499999999995</v>
      </c>
      <c r="I44" s="11">
        <v>0</v>
      </c>
    </row>
    <row r="45" spans="1:9" x14ac:dyDescent="0.3">
      <c r="A45" s="27" t="s">
        <v>101</v>
      </c>
      <c r="B45" s="28"/>
      <c r="C45" s="11"/>
      <c r="D45" s="11">
        <v>38.478999999999999</v>
      </c>
      <c r="E45" s="11">
        <v>37.156999999999996</v>
      </c>
      <c r="F45" s="11">
        <v>36.000999999999998</v>
      </c>
      <c r="G45" s="11">
        <v>35.646000000000001</v>
      </c>
      <c r="H45" s="11">
        <v>41.182000000000002</v>
      </c>
      <c r="I45" s="11">
        <v>40.051000000000002</v>
      </c>
    </row>
    <row r="46" spans="1:9" x14ac:dyDescent="0.3">
      <c r="A46" s="27" t="s">
        <v>102</v>
      </c>
      <c r="B46" s="28"/>
      <c r="C46" s="11"/>
      <c r="D46" s="11">
        <v>0</v>
      </c>
      <c r="E46" s="11">
        <v>0</v>
      </c>
      <c r="F46" s="11">
        <v>0</v>
      </c>
      <c r="G46" s="11">
        <v>56.81</v>
      </c>
      <c r="H46" s="11">
        <v>0</v>
      </c>
      <c r="I46" s="11">
        <v>0</v>
      </c>
    </row>
    <row r="47" spans="1:9" x14ac:dyDescent="0.3">
      <c r="A47" s="27" t="s">
        <v>103</v>
      </c>
      <c r="B47" s="28"/>
      <c r="C47" s="11"/>
      <c r="D47" s="11">
        <v>1847.123</v>
      </c>
      <c r="E47" s="11">
        <v>4879.5060000000003</v>
      </c>
      <c r="F47" s="11">
        <v>4600.3540000000003</v>
      </c>
      <c r="G47" s="11">
        <v>5699.6180000000004</v>
      </c>
      <c r="H47" s="11">
        <v>9646.7440000000006</v>
      </c>
      <c r="I47" s="11">
        <v>1414.393</v>
      </c>
    </row>
    <row r="48" spans="1:9" x14ac:dyDescent="0.3">
      <c r="A48" s="29" t="s">
        <v>104</v>
      </c>
      <c r="B48" s="30"/>
      <c r="C48" s="12"/>
      <c r="D48" s="12">
        <f t="shared" ref="D48:I48" si="5">D38+D39+D40+D41+D42+D43+D44+D45+D46+D47</f>
        <v>6161.9889999999996</v>
      </c>
      <c r="E48" s="12">
        <f t="shared" si="5"/>
        <v>26721.253000000001</v>
      </c>
      <c r="F48" s="12">
        <f t="shared" si="5"/>
        <v>28486.855000000003</v>
      </c>
      <c r="G48" s="12">
        <f t="shared" si="5"/>
        <v>26865.467000000004</v>
      </c>
      <c r="H48" s="12">
        <f t="shared" si="5"/>
        <v>30637.496999999996</v>
      </c>
      <c r="I48" s="12">
        <f t="shared" si="5"/>
        <v>5182.4579999999996</v>
      </c>
    </row>
    <row r="49" spans="1:9" x14ac:dyDescent="0.3">
      <c r="A49" s="29" t="s">
        <v>105</v>
      </c>
      <c r="B49" s="30"/>
      <c r="C49" s="12"/>
      <c r="D49" s="12">
        <f t="shared" ref="D49:I49" si="6">D36+D48</f>
        <v>10776.56</v>
      </c>
      <c r="E49" s="12">
        <f t="shared" si="6"/>
        <v>55962.021000000001</v>
      </c>
      <c r="F49" s="12">
        <f t="shared" si="6"/>
        <v>73652.760000000009</v>
      </c>
      <c r="G49" s="12">
        <f t="shared" si="6"/>
        <v>74237.446000000011</v>
      </c>
      <c r="H49" s="12">
        <f t="shared" si="6"/>
        <v>76572.982999999993</v>
      </c>
      <c r="I49" s="12">
        <f t="shared" si="6"/>
        <v>9403.5959999999995</v>
      </c>
    </row>
    <row r="50" spans="1:9" x14ac:dyDescent="0.3">
      <c r="A50" s="29" t="s">
        <v>106</v>
      </c>
      <c r="B50" s="30"/>
      <c r="C50" s="12"/>
      <c r="D50" s="12">
        <f t="shared" ref="D50:I50" si="7">D29+D49</f>
        <v>34052.231</v>
      </c>
      <c r="E50" s="12">
        <f t="shared" si="7"/>
        <v>113698.07699999999</v>
      </c>
      <c r="F50" s="12">
        <f t="shared" si="7"/>
        <v>138828.497</v>
      </c>
      <c r="G50" s="12">
        <f t="shared" si="7"/>
        <v>147636.299</v>
      </c>
      <c r="H50" s="12">
        <f t="shared" si="7"/>
        <v>160845.19099999999</v>
      </c>
      <c r="I50" s="12">
        <f t="shared" si="7"/>
        <v>29207.915999999997</v>
      </c>
    </row>
    <row r="51" spans="1:9" x14ac:dyDescent="0.3">
      <c r="A51" s="25" t="s">
        <v>107</v>
      </c>
      <c r="B51" s="26"/>
      <c r="C51" s="10"/>
      <c r="D51" s="10"/>
      <c r="E51" s="10"/>
      <c r="F51" s="10"/>
      <c r="G51" s="10"/>
      <c r="H51" s="10"/>
      <c r="I51" s="10"/>
    </row>
    <row r="52" spans="1:9" x14ac:dyDescent="0.3">
      <c r="A52" s="27" t="s">
        <v>108</v>
      </c>
      <c r="B52" s="28"/>
      <c r="C52" s="11"/>
      <c r="D52" s="11">
        <v>863.03800000000001</v>
      </c>
      <c r="E52" s="11">
        <v>2683.21</v>
      </c>
      <c r="F52" s="11">
        <v>2623.3420000000001</v>
      </c>
      <c r="G52" s="11">
        <v>2726.6640000000002</v>
      </c>
      <c r="H52" s="11">
        <v>2034.1410000000001</v>
      </c>
      <c r="I52" s="11">
        <v>354.58600000000001</v>
      </c>
    </row>
    <row r="53" spans="1:9" x14ac:dyDescent="0.3">
      <c r="A53" s="27" t="s">
        <v>109</v>
      </c>
      <c r="B53" s="28"/>
      <c r="C53" s="11"/>
      <c r="D53" s="11">
        <f t="shared" ref="D53:I53" si="8">D9-D10</f>
        <v>21220.128000000001</v>
      </c>
      <c r="E53" s="11">
        <f t="shared" si="8"/>
        <v>44324.145000000004</v>
      </c>
      <c r="F53" s="11">
        <f t="shared" si="8"/>
        <v>69894.008999999991</v>
      </c>
      <c r="G53" s="11">
        <f t="shared" si="8"/>
        <v>110145.51</v>
      </c>
      <c r="H53" s="11">
        <f t="shared" si="8"/>
        <v>109282.51500000001</v>
      </c>
      <c r="I53" s="11">
        <f t="shared" si="8"/>
        <v>22062.363999999998</v>
      </c>
    </row>
    <row r="54" spans="1:9" x14ac:dyDescent="0.3">
      <c r="A54" s="27" t="s">
        <v>110</v>
      </c>
      <c r="B54" s="28"/>
      <c r="C54" s="11"/>
      <c r="D54" s="11">
        <f t="shared" ref="D54:I54" si="9">D18+D19</f>
        <v>5439.9520000000002</v>
      </c>
      <c r="E54" s="11">
        <f t="shared" si="9"/>
        <v>15636.868</v>
      </c>
      <c r="F54" s="11">
        <f t="shared" si="9"/>
        <v>15123.508</v>
      </c>
      <c r="G54" s="11">
        <f t="shared" si="9"/>
        <v>16594.834999999999</v>
      </c>
      <c r="H54" s="11">
        <f t="shared" si="9"/>
        <v>19714.625</v>
      </c>
      <c r="I54" s="11">
        <f t="shared" si="9"/>
        <v>4693.5609999999997</v>
      </c>
    </row>
    <row r="55" spans="1:9" x14ac:dyDescent="0.3">
      <c r="A55" s="27" t="s">
        <v>111</v>
      </c>
      <c r="B55" s="28"/>
      <c r="C55" s="11"/>
      <c r="D55" s="11">
        <f t="shared" ref="D55:I55" si="10">D31+D32+D41+D42+D43-D148-D149</f>
        <v>2568.0890000000004</v>
      </c>
      <c r="E55" s="11">
        <f t="shared" si="10"/>
        <v>25917.630000000005</v>
      </c>
      <c r="F55" s="11">
        <f t="shared" si="10"/>
        <v>40653.996000000006</v>
      </c>
      <c r="G55" s="11">
        <f t="shared" si="10"/>
        <v>36589.749000000003</v>
      </c>
      <c r="H55" s="11">
        <f t="shared" si="10"/>
        <v>40036.47</v>
      </c>
      <c r="I55" s="11">
        <f t="shared" si="10"/>
        <v>2701.799</v>
      </c>
    </row>
    <row r="56" spans="1:9" x14ac:dyDescent="0.3">
      <c r="A56" s="27" t="s">
        <v>112</v>
      </c>
      <c r="B56" s="28"/>
      <c r="C56" s="11"/>
      <c r="D56" s="11">
        <f t="shared" ref="D56:I56" si="11">D31+D32</f>
        <v>565.09500000000003</v>
      </c>
      <c r="E56" s="11">
        <f t="shared" si="11"/>
        <v>19645.962</v>
      </c>
      <c r="F56" s="11">
        <f t="shared" si="11"/>
        <v>31896.059000000001</v>
      </c>
      <c r="G56" s="11">
        <f t="shared" si="11"/>
        <v>30025.741000000002</v>
      </c>
      <c r="H56" s="11">
        <f t="shared" si="11"/>
        <v>24309.844000000001</v>
      </c>
      <c r="I56" s="11">
        <f t="shared" si="11"/>
        <v>504.983</v>
      </c>
    </row>
    <row r="57" spans="1:9" x14ac:dyDescent="0.3">
      <c r="A57" s="27"/>
      <c r="B57" s="28"/>
      <c r="C57" s="11"/>
      <c r="D57" s="11"/>
      <c r="E57" s="11"/>
      <c r="F57" s="11"/>
      <c r="G57" s="11"/>
      <c r="H57" s="11"/>
      <c r="I57" s="11"/>
    </row>
    <row r="58" spans="1:9" x14ac:dyDescent="0.3">
      <c r="A58" s="27" t="s">
        <v>113</v>
      </c>
      <c r="B58" s="28"/>
      <c r="C58" s="11"/>
      <c r="D58" s="11">
        <f t="shared" ref="D58:I58" si="12">D55+D29</f>
        <v>25843.760000000002</v>
      </c>
      <c r="E58" s="11">
        <f t="shared" si="12"/>
        <v>83653.686000000002</v>
      </c>
      <c r="F58" s="11">
        <f t="shared" si="12"/>
        <v>105829.73300000001</v>
      </c>
      <c r="G58" s="11">
        <f t="shared" si="12"/>
        <v>109988.60200000001</v>
      </c>
      <c r="H58" s="11">
        <f t="shared" si="12"/>
        <v>124308.678</v>
      </c>
      <c r="I58" s="11">
        <f t="shared" si="12"/>
        <v>22506.118999999999</v>
      </c>
    </row>
    <row r="59" spans="1:9" x14ac:dyDescent="0.3">
      <c r="A59" s="27" t="s">
        <v>114</v>
      </c>
      <c r="B59" s="28"/>
      <c r="C59" s="11"/>
      <c r="D59" s="11">
        <f t="shared" ref="D59:I59" si="13">D24-D22-D21</f>
        <v>7140.2550000000001</v>
      </c>
      <c r="E59" s="11">
        <f t="shared" si="13"/>
        <v>22067.169000000002</v>
      </c>
      <c r="F59" s="11">
        <f t="shared" si="13"/>
        <v>21914.042000000001</v>
      </c>
      <c r="G59" s="11">
        <f t="shared" si="13"/>
        <v>22601.087</v>
      </c>
      <c r="H59" s="11">
        <f t="shared" si="13"/>
        <v>28597.127</v>
      </c>
      <c r="I59" s="11">
        <f t="shared" si="13"/>
        <v>6422.1469999999999</v>
      </c>
    </row>
    <row r="60" spans="1:9" x14ac:dyDescent="0.3">
      <c r="A60" s="27" t="s">
        <v>115</v>
      </c>
      <c r="B60" s="28"/>
      <c r="C60" s="11"/>
      <c r="D60" s="11">
        <f t="shared" ref="D60:I60" si="14">D48-D41-D42-D43-D44-D40-D45</f>
        <v>4104.8619999999992</v>
      </c>
      <c r="E60" s="11">
        <f t="shared" si="14"/>
        <v>12658.964000000002</v>
      </c>
      <c r="F60" s="11">
        <f t="shared" si="14"/>
        <v>11701.625000000004</v>
      </c>
      <c r="G60" s="11">
        <f t="shared" si="14"/>
        <v>12297.922000000002</v>
      </c>
      <c r="H60" s="11">
        <f t="shared" si="14"/>
        <v>14169.327999999996</v>
      </c>
      <c r="I60" s="11">
        <f t="shared" si="14"/>
        <v>2945.5909999999999</v>
      </c>
    </row>
    <row r="61" spans="1:9" x14ac:dyDescent="0.3">
      <c r="A61" s="20"/>
      <c r="B61" s="20"/>
    </row>
    <row r="62" spans="1:9" ht="19.5" customHeight="1" x14ac:dyDescent="0.3">
      <c r="A62" s="21" t="s">
        <v>116</v>
      </c>
      <c r="B62" s="22"/>
      <c r="C62" s="3"/>
      <c r="D62" s="3"/>
      <c r="E62" s="3"/>
      <c r="F62" s="3"/>
      <c r="G62" s="3"/>
      <c r="H62" s="3"/>
      <c r="I62" s="3"/>
    </row>
    <row r="63" spans="1:9" ht="16.5" customHeight="1" x14ac:dyDescent="0.3">
      <c r="A63" s="23" t="s">
        <v>57</v>
      </c>
      <c r="B63" s="24"/>
      <c r="C63" s="9"/>
      <c r="D63" s="9" t="s">
        <v>58</v>
      </c>
      <c r="E63" s="9" t="s">
        <v>59</v>
      </c>
      <c r="F63" s="9" t="s">
        <v>60</v>
      </c>
      <c r="G63" s="9" t="s">
        <v>61</v>
      </c>
      <c r="H63" s="9" t="s">
        <v>62</v>
      </c>
      <c r="I63" s="9" t="s">
        <v>63</v>
      </c>
    </row>
    <row r="64" spans="1:9" x14ac:dyDescent="0.3">
      <c r="A64" s="27" t="s">
        <v>117</v>
      </c>
      <c r="B64" s="28"/>
      <c r="C64" s="11"/>
      <c r="D64" s="11">
        <v>24271.285</v>
      </c>
      <c r="E64" s="11">
        <v>54243.118000000002</v>
      </c>
      <c r="F64" s="11">
        <v>68069.282000000007</v>
      </c>
      <c r="G64" s="11">
        <v>80026.225999999995</v>
      </c>
      <c r="H64" s="11">
        <v>88956.327999999994</v>
      </c>
      <c r="I64" s="11">
        <v>17231.708999999999</v>
      </c>
    </row>
    <row r="65" spans="1:9" x14ac:dyDescent="0.3">
      <c r="A65" s="27" t="s">
        <v>118</v>
      </c>
      <c r="B65" s="28"/>
      <c r="C65" s="11"/>
      <c r="D65" s="11">
        <v>-18206.88</v>
      </c>
      <c r="E65" s="11">
        <v>-38779.542000000001</v>
      </c>
      <c r="F65" s="11">
        <v>-47650.809000000001</v>
      </c>
      <c r="G65" s="11">
        <v>-54345.821000000004</v>
      </c>
      <c r="H65" s="11">
        <v>-57384.978000000003</v>
      </c>
      <c r="I65" s="11">
        <v>-16582.605</v>
      </c>
    </row>
    <row r="66" spans="1:9" x14ac:dyDescent="0.3">
      <c r="A66" s="29" t="s">
        <v>119</v>
      </c>
      <c r="B66" s="30"/>
      <c r="C66" s="12"/>
      <c r="D66" s="12">
        <f t="shared" ref="D66:I66" si="15">D64+D65</f>
        <v>6064.4049999999988</v>
      </c>
      <c r="E66" s="12">
        <f t="shared" si="15"/>
        <v>15463.576000000001</v>
      </c>
      <c r="F66" s="12">
        <f t="shared" si="15"/>
        <v>20418.473000000005</v>
      </c>
      <c r="G66" s="12">
        <f t="shared" si="15"/>
        <v>25680.404999999992</v>
      </c>
      <c r="H66" s="12">
        <f t="shared" si="15"/>
        <v>31571.349999999991</v>
      </c>
      <c r="I66" s="12">
        <f t="shared" si="15"/>
        <v>649.10399999999936</v>
      </c>
    </row>
    <row r="67" spans="1:9" x14ac:dyDescent="0.3">
      <c r="A67" s="27" t="s">
        <v>120</v>
      </c>
      <c r="B67" s="28"/>
      <c r="C67" s="11"/>
      <c r="D67" s="11">
        <v>-189.53700000000001</v>
      </c>
      <c r="E67" s="11">
        <v>-1603.3230000000001</v>
      </c>
      <c r="F67" s="11">
        <v>-2705.2629999999999</v>
      </c>
      <c r="G67" s="11">
        <v>-3285.9229999999998</v>
      </c>
      <c r="H67" s="11">
        <v>-2935.1390000000001</v>
      </c>
      <c r="I67" s="11">
        <v>-204.34399999999999</v>
      </c>
    </row>
    <row r="68" spans="1:9" x14ac:dyDescent="0.3">
      <c r="A68" s="27" t="s">
        <v>121</v>
      </c>
      <c r="B68" s="28"/>
      <c r="C68" s="11"/>
      <c r="D68" s="11">
        <v>-524.70899999999995</v>
      </c>
      <c r="E68" s="11">
        <v>-1299.4390000000001</v>
      </c>
      <c r="F68" s="11">
        <v>-1381.633</v>
      </c>
      <c r="G68" s="11">
        <v>-1516.046</v>
      </c>
      <c r="H68" s="11">
        <v>-1688.886</v>
      </c>
      <c r="I68" s="11">
        <v>-468.65100000000001</v>
      </c>
    </row>
    <row r="69" spans="1:9" x14ac:dyDescent="0.3">
      <c r="A69" s="27" t="s">
        <v>122</v>
      </c>
      <c r="B69" s="28"/>
      <c r="C69" s="11"/>
      <c r="D69" s="11">
        <v>0</v>
      </c>
      <c r="E69" s="11">
        <v>0</v>
      </c>
      <c r="F69" s="11">
        <v>0</v>
      </c>
      <c r="G69" s="11">
        <v>0</v>
      </c>
      <c r="H69" s="11">
        <v>0</v>
      </c>
      <c r="I69" s="11">
        <v>0</v>
      </c>
    </row>
    <row r="70" spans="1:9" x14ac:dyDescent="0.3">
      <c r="A70" s="27" t="s">
        <v>123</v>
      </c>
      <c r="B70" s="28"/>
      <c r="C70" s="11"/>
      <c r="D70" s="11">
        <v>-377.94600000000003</v>
      </c>
      <c r="E70" s="11">
        <v>-808.96400000000006</v>
      </c>
      <c r="F70" s="11">
        <v>-750.07799999999997</v>
      </c>
      <c r="G70" s="11">
        <v>-826.875</v>
      </c>
      <c r="H70" s="11">
        <v>-1479.2760000000001</v>
      </c>
      <c r="I70" s="11">
        <v>-0.56699999999999995</v>
      </c>
    </row>
    <row r="71" spans="1:9" x14ac:dyDescent="0.3">
      <c r="A71" s="29" t="s">
        <v>124</v>
      </c>
      <c r="B71" s="30"/>
      <c r="C71" s="12"/>
      <c r="D71" s="12">
        <f t="shared" ref="D71:I71" si="16">D66+D67+D68+D69+D70</f>
        <v>4972.2129999999988</v>
      </c>
      <c r="E71" s="12">
        <f t="shared" si="16"/>
        <v>11751.85</v>
      </c>
      <c r="F71" s="12">
        <f t="shared" si="16"/>
        <v>15581.499000000007</v>
      </c>
      <c r="G71" s="12">
        <f t="shared" si="16"/>
        <v>20051.560999999994</v>
      </c>
      <c r="H71" s="12">
        <f t="shared" si="16"/>
        <v>25468.048999999992</v>
      </c>
      <c r="I71" s="12">
        <f t="shared" si="16"/>
        <v>-24.458000000000645</v>
      </c>
    </row>
    <row r="72" spans="1:9" x14ac:dyDescent="0.3">
      <c r="A72" s="27" t="s">
        <v>125</v>
      </c>
      <c r="B72" s="28"/>
      <c r="C72" s="11"/>
      <c r="D72" s="11">
        <v>81.709999999999994</v>
      </c>
      <c r="E72" s="11">
        <v>230.69499999999999</v>
      </c>
      <c r="F72" s="11">
        <v>436.173</v>
      </c>
      <c r="G72" s="11">
        <v>540.37300000000005</v>
      </c>
      <c r="H72" s="11">
        <v>760.77200000000005</v>
      </c>
      <c r="I72" s="11">
        <v>36.134</v>
      </c>
    </row>
    <row r="73" spans="1:9" x14ac:dyDescent="0.3">
      <c r="A73" s="27" t="s">
        <v>126</v>
      </c>
      <c r="B73" s="28"/>
      <c r="C73" s="11"/>
      <c r="D73" s="11">
        <v>160.54300000000001</v>
      </c>
      <c r="E73" s="11">
        <v>745.85199999999998</v>
      </c>
      <c r="F73" s="11">
        <v>527.702</v>
      </c>
      <c r="G73" s="11">
        <v>299.31799999999998</v>
      </c>
      <c r="H73" s="11">
        <v>1068.8309999999999</v>
      </c>
      <c r="I73" s="11">
        <v>48.856999999999999</v>
      </c>
    </row>
    <row r="74" spans="1:9" x14ac:dyDescent="0.3">
      <c r="A74" s="27" t="s">
        <v>127</v>
      </c>
      <c r="B74" s="28"/>
      <c r="C74" s="11"/>
      <c r="D74" s="11">
        <v>2.8490000000000002</v>
      </c>
      <c r="E74" s="11">
        <v>1.3080000000000001</v>
      </c>
      <c r="F74" s="11">
        <v>0</v>
      </c>
      <c r="G74" s="11">
        <v>0</v>
      </c>
      <c r="H74" s="11">
        <v>0</v>
      </c>
      <c r="I74" s="11">
        <v>0</v>
      </c>
    </row>
    <row r="75" spans="1:9" x14ac:dyDescent="0.3">
      <c r="A75" s="27" t="s">
        <v>128</v>
      </c>
      <c r="B75" s="28"/>
      <c r="C75" s="11"/>
      <c r="D75" s="11">
        <v>-109.623</v>
      </c>
      <c r="E75" s="11">
        <v>-1201.6120000000001</v>
      </c>
      <c r="F75" s="11">
        <v>-3645.2649999999999</v>
      </c>
      <c r="G75" s="11">
        <v>-5536.2979999999998</v>
      </c>
      <c r="H75" s="11">
        <v>-5772.1319999999996</v>
      </c>
      <c r="I75" s="11">
        <v>-233.8</v>
      </c>
    </row>
    <row r="76" spans="1:9" x14ac:dyDescent="0.3">
      <c r="A76" s="29" t="s">
        <v>129</v>
      </c>
      <c r="B76" s="30"/>
      <c r="C76" s="12"/>
      <c r="D76" s="12">
        <f t="shared" ref="D76:I76" si="17">D71+D72+D73+D74+D75</f>
        <v>5107.6919999999991</v>
      </c>
      <c r="E76" s="12">
        <f t="shared" si="17"/>
        <v>11528.093000000001</v>
      </c>
      <c r="F76" s="12">
        <f t="shared" si="17"/>
        <v>12900.109000000008</v>
      </c>
      <c r="G76" s="12">
        <f t="shared" si="17"/>
        <v>15354.953999999994</v>
      </c>
      <c r="H76" s="12">
        <f t="shared" si="17"/>
        <v>21525.51999999999</v>
      </c>
      <c r="I76" s="12">
        <f t="shared" si="17"/>
        <v>-173.26700000000065</v>
      </c>
    </row>
    <row r="77" spans="1:9" x14ac:dyDescent="0.3">
      <c r="A77" s="27" t="s">
        <v>130</v>
      </c>
      <c r="B77" s="28"/>
      <c r="C77" s="11"/>
      <c r="D77" s="11">
        <v>0</v>
      </c>
      <c r="E77" s="11">
        <v>0</v>
      </c>
      <c r="F77" s="11">
        <v>-45.66</v>
      </c>
      <c r="G77" s="11">
        <v>-55.222999999999999</v>
      </c>
      <c r="H77" s="11">
        <v>0</v>
      </c>
      <c r="I77" s="11">
        <v>0</v>
      </c>
    </row>
    <row r="78" spans="1:9" x14ac:dyDescent="0.3">
      <c r="A78" s="27" t="s">
        <v>131</v>
      </c>
      <c r="B78" s="28"/>
      <c r="C78" s="11"/>
      <c r="D78" s="11">
        <v>-1636.3409999999999</v>
      </c>
      <c r="E78" s="11">
        <v>-4415.5529999999999</v>
      </c>
      <c r="F78" s="11">
        <v>-5414.768</v>
      </c>
      <c r="G78" s="11">
        <v>-7076.6149999999998</v>
      </c>
      <c r="H78" s="11">
        <v>-8199.3179999999993</v>
      </c>
      <c r="I78" s="11">
        <v>113.886</v>
      </c>
    </row>
    <row r="79" spans="1:9" x14ac:dyDescent="0.3">
      <c r="A79" s="29" t="s">
        <v>132</v>
      </c>
      <c r="B79" s="30"/>
      <c r="C79" s="12"/>
      <c r="D79" s="12">
        <f t="shared" ref="D79:I79" si="18">D76+D77+D78</f>
        <v>3471.3509999999992</v>
      </c>
      <c r="E79" s="12">
        <f t="shared" si="18"/>
        <v>7112.5400000000009</v>
      </c>
      <c r="F79" s="12">
        <f t="shared" si="18"/>
        <v>7439.6810000000078</v>
      </c>
      <c r="G79" s="12">
        <f t="shared" si="18"/>
        <v>8223.1159999999945</v>
      </c>
      <c r="H79" s="12">
        <f t="shared" si="18"/>
        <v>13326.20199999999</v>
      </c>
      <c r="I79" s="12">
        <f t="shared" si="18"/>
        <v>-59.381000000000654</v>
      </c>
    </row>
    <row r="80" spans="1:9" x14ac:dyDescent="0.3">
      <c r="A80" s="25" t="s">
        <v>133</v>
      </c>
      <c r="B80" s="26"/>
      <c r="C80" s="10"/>
      <c r="D80" s="10"/>
      <c r="E80" s="10"/>
      <c r="F80" s="10"/>
      <c r="G80" s="10"/>
      <c r="H80" s="10"/>
      <c r="I80" s="10"/>
    </row>
    <row r="81" spans="1:9" x14ac:dyDescent="0.3">
      <c r="A81" s="27" t="s">
        <v>134</v>
      </c>
      <c r="B81" s="28"/>
      <c r="C81" s="11"/>
      <c r="D81" s="11">
        <v>1599.5509999999999</v>
      </c>
      <c r="E81" s="11">
        <v>2950.143</v>
      </c>
      <c r="F81" s="11">
        <v>3649.886</v>
      </c>
      <c r="G81" s="11">
        <v>4058.0509999999999</v>
      </c>
      <c r="H81" s="11">
        <v>4969.7390000000005</v>
      </c>
      <c r="I81" s="11"/>
    </row>
    <row r="82" spans="1:9" x14ac:dyDescent="0.3">
      <c r="A82" s="27" t="s">
        <v>135</v>
      </c>
      <c r="B82" s="28"/>
      <c r="C82" s="11"/>
      <c r="D82" s="11">
        <f>D76+D85</f>
        <v>5199.8039999999992</v>
      </c>
      <c r="E82" s="11">
        <f>E76+E85</f>
        <v>12523.317000000001</v>
      </c>
      <c r="F82" s="11">
        <f>F76+F85</f>
        <v>15524.919000000007</v>
      </c>
      <c r="G82" s="11">
        <f>G76+G85</f>
        <v>20878.690999999995</v>
      </c>
      <c r="H82" s="11">
        <f>H76+H85</f>
        <v>27199.797999999988</v>
      </c>
      <c r="I82" s="11">
        <f>I76-I75</f>
        <v>60.532999999999362</v>
      </c>
    </row>
    <row r="83" spans="1:9" x14ac:dyDescent="0.3">
      <c r="A83" s="27" t="s">
        <v>136</v>
      </c>
      <c r="B83" s="28"/>
      <c r="C83" s="11"/>
      <c r="D83" s="11">
        <f>D82+D81</f>
        <v>6799.3549999999996</v>
      </c>
      <c r="E83" s="11">
        <f>E82+E81</f>
        <v>15473.460000000001</v>
      </c>
      <c r="F83" s="11">
        <f>F82+F81</f>
        <v>19174.805000000008</v>
      </c>
      <c r="G83" s="11">
        <f>G82+G81</f>
        <v>24936.741999999995</v>
      </c>
      <c r="H83" s="11">
        <f>H82+H81</f>
        <v>32169.536999999989</v>
      </c>
      <c r="I83" s="11"/>
    </row>
    <row r="84" spans="1:9" x14ac:dyDescent="0.3">
      <c r="A84" s="27" t="s">
        <v>137</v>
      </c>
      <c r="B84" s="28"/>
      <c r="C84" s="11"/>
      <c r="D84" s="11">
        <v>17.510999999999999</v>
      </c>
      <c r="E84" s="11">
        <v>206.38800000000001</v>
      </c>
      <c r="F84" s="11">
        <v>1020.455</v>
      </c>
      <c r="G84" s="11">
        <v>12.561</v>
      </c>
      <c r="H84" s="11">
        <v>97.853999999999999</v>
      </c>
      <c r="I84" s="13"/>
    </row>
    <row r="85" spans="1:9" x14ac:dyDescent="0.3">
      <c r="A85" s="27" t="s">
        <v>138</v>
      </c>
      <c r="B85" s="28"/>
      <c r="C85" s="11"/>
      <c r="D85" s="11">
        <f>-D75-D84</f>
        <v>92.112000000000009</v>
      </c>
      <c r="E85" s="11">
        <f>-E75-E84</f>
        <v>995.22400000000005</v>
      </c>
      <c r="F85" s="11">
        <f>-F75-F84</f>
        <v>2624.81</v>
      </c>
      <c r="G85" s="11">
        <f>-G75-G84</f>
        <v>5523.7370000000001</v>
      </c>
      <c r="H85" s="11">
        <f>-H75-H84</f>
        <v>5674.2779999999993</v>
      </c>
      <c r="I85" s="13"/>
    </row>
    <row r="86" spans="1:9" x14ac:dyDescent="0.3">
      <c r="A86" s="27" t="s">
        <v>139</v>
      </c>
      <c r="B86" s="28"/>
      <c r="C86" s="14"/>
      <c r="D86" s="14">
        <f>IF(D76&lt;=0,"n/m",-(D77+D78)/D76)</f>
        <v>0.32036798616674617</v>
      </c>
      <c r="E86" s="14">
        <f>IF(E76&lt;=0,"n/m",-(E77+E78)/E76)</f>
        <v>0.38302544922217402</v>
      </c>
      <c r="F86" s="14">
        <f>IF(F76&lt;=0,"n/m",-(F77+F78)/F76)</f>
        <v>0.42328541565036365</v>
      </c>
      <c r="G86" s="14">
        <f>IF(G76&lt;=0,"n/m",-(G77+G78)/G76)</f>
        <v>0.46446495378625052</v>
      </c>
      <c r="H86" s="14">
        <f>IF(H76&lt;=0,"n/m",-(H77+H78)/H76)</f>
        <v>0.3809114948210312</v>
      </c>
      <c r="I86" s="13"/>
    </row>
    <row r="87" spans="1:9" x14ac:dyDescent="0.3">
      <c r="A87" s="27" t="s">
        <v>140</v>
      </c>
      <c r="B87" s="28"/>
      <c r="C87" s="14"/>
      <c r="D87" s="14">
        <f>D86</f>
        <v>0.32036798616674617</v>
      </c>
      <c r="E87" s="14">
        <f>E86</f>
        <v>0.38302544922217402</v>
      </c>
      <c r="F87" s="14">
        <f>F86</f>
        <v>0.42328541565036365</v>
      </c>
      <c r="G87" s="14">
        <f>G86</f>
        <v>0.46446495378625052</v>
      </c>
      <c r="H87" s="14">
        <f>H86</f>
        <v>0.3809114948210312</v>
      </c>
      <c r="I87" s="13"/>
    </row>
    <row r="88" spans="1:9" x14ac:dyDescent="0.3">
      <c r="A88" s="27" t="s">
        <v>141</v>
      </c>
      <c r="B88" s="28"/>
      <c r="C88" s="11"/>
      <c r="D88" s="11">
        <f>IF(ISNUMBER(D87),D82*(1-D87),"n/m")</f>
        <v>3533.9532640582083</v>
      </c>
      <c r="E88" s="11">
        <f>IF(ISNUMBER(E87),E82*(1-E87),"n/m")</f>
        <v>7726.5678803233113</v>
      </c>
      <c r="F88" s="11">
        <f>IF(ISNUMBER(F87),F82*(1-F87),"n/m")</f>
        <v>8953.4472081467775</v>
      </c>
      <c r="G88" s="11">
        <f>IF(ISNUMBER(G87),G82*(1-G87),"n/m")</f>
        <v>11181.270749567593</v>
      </c>
      <c r="H88" s="11">
        <f>IF(ISNUMBER(H87),H82*(1-H87),"n/m")</f>
        <v>16839.082284989898</v>
      </c>
      <c r="I88" s="13"/>
    </row>
    <row r="89" spans="1:9" x14ac:dyDescent="0.3">
      <c r="A89" s="20"/>
      <c r="B89" s="20"/>
    </row>
    <row r="90" spans="1:9" ht="19.5" customHeight="1" x14ac:dyDescent="0.3">
      <c r="A90" s="21" t="s">
        <v>142</v>
      </c>
      <c r="B90" s="22"/>
      <c r="C90" s="3"/>
      <c r="D90" s="3"/>
      <c r="E90" s="3"/>
      <c r="F90" s="3"/>
      <c r="G90" s="3"/>
      <c r="H90" s="3"/>
      <c r="I90" s="3"/>
    </row>
    <row r="91" spans="1:9" ht="16.5" customHeight="1" x14ac:dyDescent="0.3">
      <c r="A91" s="23" t="s">
        <v>57</v>
      </c>
      <c r="B91" s="24"/>
      <c r="C91" s="9"/>
      <c r="D91" s="9" t="s">
        <v>58</v>
      </c>
      <c r="E91" s="9" t="s">
        <v>59</v>
      </c>
      <c r="F91" s="9" t="s">
        <v>60</v>
      </c>
      <c r="G91" s="9" t="s">
        <v>61</v>
      </c>
      <c r="H91" s="9" t="s">
        <v>62</v>
      </c>
      <c r="I91" s="9" t="s">
        <v>63</v>
      </c>
    </row>
    <row r="92" spans="1:9" x14ac:dyDescent="0.3">
      <c r="A92" s="27" t="s">
        <v>143</v>
      </c>
      <c r="B92" s="28"/>
      <c r="C92" s="11"/>
      <c r="D92" s="11">
        <v>0</v>
      </c>
      <c r="E92" s="11">
        <v>0</v>
      </c>
      <c r="F92" s="11">
        <v>0</v>
      </c>
      <c r="G92" s="11">
        <v>0</v>
      </c>
      <c r="H92" s="11">
        <v>0</v>
      </c>
      <c r="I92" s="11">
        <v>0</v>
      </c>
    </row>
    <row r="93" spans="1:9" x14ac:dyDescent="0.3">
      <c r="A93" s="27" t="s">
        <v>144</v>
      </c>
      <c r="B93" s="28"/>
      <c r="C93" s="11"/>
      <c r="D93" s="11">
        <v>5739.0969999999998</v>
      </c>
      <c r="E93" s="11">
        <v>7567.5640000000003</v>
      </c>
      <c r="F93" s="11">
        <v>16030.998</v>
      </c>
      <c r="G93" s="11">
        <v>22284.607</v>
      </c>
      <c r="H93" s="11">
        <v>24313.207999999999</v>
      </c>
      <c r="I93" s="11">
        <v>1013.426</v>
      </c>
    </row>
    <row r="94" spans="1:9" x14ac:dyDescent="0.3">
      <c r="A94" s="27" t="s">
        <v>145</v>
      </c>
      <c r="B94" s="28"/>
      <c r="C94" s="11"/>
      <c r="D94" s="11">
        <v>-5141.6580000000004</v>
      </c>
      <c r="E94" s="11">
        <v>-26064.704000000002</v>
      </c>
      <c r="F94" s="11">
        <v>-29667.172999999999</v>
      </c>
      <c r="G94" s="11">
        <v>-8158.0360000000001</v>
      </c>
      <c r="H94" s="11">
        <v>-11259.19</v>
      </c>
      <c r="I94" s="11">
        <v>-545.10900000000004</v>
      </c>
    </row>
    <row r="95" spans="1:9" x14ac:dyDescent="0.3">
      <c r="A95" s="27" t="s">
        <v>146</v>
      </c>
      <c r="B95" s="28"/>
      <c r="C95" s="11"/>
      <c r="D95" s="11">
        <v>-5.4550000000000001</v>
      </c>
      <c r="E95" s="11">
        <v>19345.922999999999</v>
      </c>
      <c r="F95" s="11">
        <v>10897.767</v>
      </c>
      <c r="G95" s="11">
        <v>-8479.9959999999992</v>
      </c>
      <c r="H95" s="11">
        <v>-12739.191999999999</v>
      </c>
      <c r="I95" s="11">
        <v>-1181.854</v>
      </c>
    </row>
    <row r="96" spans="1:9" x14ac:dyDescent="0.3">
      <c r="A96" s="27" t="s">
        <v>147</v>
      </c>
      <c r="B96" s="28"/>
      <c r="C96" s="11"/>
      <c r="D96" s="11">
        <v>-1007.205</v>
      </c>
      <c r="E96" s="11">
        <v>-28425.596000000001</v>
      </c>
      <c r="F96" s="11">
        <v>-33903.442000000003</v>
      </c>
      <c r="G96" s="11">
        <v>-8478.8760000000002</v>
      </c>
      <c r="H96" s="11">
        <v>-3477.6469999999999</v>
      </c>
      <c r="I96" s="11">
        <v>-586.40899999999999</v>
      </c>
    </row>
    <row r="97" spans="1:9" x14ac:dyDescent="0.3">
      <c r="A97" s="27" t="s">
        <v>148</v>
      </c>
      <c r="B97" s="28"/>
      <c r="C97" s="11"/>
      <c r="D97" s="11">
        <v>-94.843000000000004</v>
      </c>
      <c r="E97" s="11">
        <v>-985.17200000000003</v>
      </c>
      <c r="F97" s="11">
        <v>-2483.1010000000001</v>
      </c>
      <c r="G97" s="11">
        <v>-6993.06</v>
      </c>
      <c r="H97" s="11">
        <v>-5559.451</v>
      </c>
      <c r="I97" s="11">
        <v>-232.70599999999999</v>
      </c>
    </row>
    <row r="98" spans="1:9" x14ac:dyDescent="0.3">
      <c r="A98" s="27" t="s">
        <v>149</v>
      </c>
      <c r="B98" s="28"/>
      <c r="C98" s="11"/>
      <c r="D98" s="11">
        <v>-1.5720000000000001</v>
      </c>
      <c r="E98" s="11">
        <v>-1.3220000000000001</v>
      </c>
      <c r="F98" s="11">
        <v>-1.1559999999999999</v>
      </c>
      <c r="G98" s="11">
        <v>-0.35499999999999998</v>
      </c>
      <c r="H98" s="11">
        <v>-2447.3110000000001</v>
      </c>
      <c r="I98" s="11">
        <v>-1038.557</v>
      </c>
    </row>
    <row r="99" spans="1:9" x14ac:dyDescent="0.3">
      <c r="A99" s="20"/>
      <c r="B99" s="20"/>
    </row>
    <row r="100" spans="1:9" ht="19.5" customHeight="1" x14ac:dyDescent="0.3">
      <c r="A100" s="21" t="s">
        <v>150</v>
      </c>
      <c r="B100" s="22"/>
      <c r="C100" s="3"/>
      <c r="D100" s="3"/>
      <c r="E100" s="3"/>
      <c r="F100" s="3"/>
      <c r="G100" s="3"/>
      <c r="H100" s="3"/>
      <c r="I100" s="3"/>
    </row>
    <row r="101" spans="1:9" ht="16.5" customHeight="1" x14ac:dyDescent="0.3">
      <c r="A101" s="23" t="s">
        <v>57</v>
      </c>
      <c r="B101" s="24"/>
      <c r="C101" s="9"/>
      <c r="D101" s="9" t="s">
        <v>58</v>
      </c>
      <c r="E101" s="9" t="s">
        <v>59</v>
      </c>
      <c r="F101" s="9" t="s">
        <v>60</v>
      </c>
      <c r="G101" s="9" t="s">
        <v>61</v>
      </c>
      <c r="H101" s="9" t="s">
        <v>62</v>
      </c>
    </row>
    <row r="102" spans="1:9" x14ac:dyDescent="0.3">
      <c r="A102" s="27" t="s">
        <v>151</v>
      </c>
      <c r="B102" s="28"/>
      <c r="C102" s="15"/>
      <c r="D102" s="15">
        <v>10</v>
      </c>
      <c r="E102" s="15">
        <v>10</v>
      </c>
      <c r="F102" s="15">
        <v>10</v>
      </c>
      <c r="G102" s="15">
        <v>10</v>
      </c>
      <c r="H102" s="15">
        <v>10</v>
      </c>
    </row>
    <row r="103" spans="1:9" x14ac:dyDescent="0.3">
      <c r="A103" s="27" t="s">
        <v>152</v>
      </c>
      <c r="B103" s="28"/>
      <c r="C103" s="16"/>
      <c r="D103" s="16">
        <f>D27/D102-D107</f>
        <v>1379.8150000000001</v>
      </c>
      <c r="E103" s="16">
        <f>E27/E102-E107</f>
        <v>2180.3090000000002</v>
      </c>
      <c r="F103" s="16">
        <f>F27/F102-F107</f>
        <v>2452.8476000000001</v>
      </c>
      <c r="G103" s="16">
        <f>G27/G102-G107</f>
        <v>2452.8476000000001</v>
      </c>
      <c r="H103" s="16">
        <f>H27/H102-H107</f>
        <v>2452.8476000000001</v>
      </c>
    </row>
    <row r="104" spans="1:9" x14ac:dyDescent="0.3">
      <c r="A104" s="27" t="s">
        <v>153</v>
      </c>
      <c r="B104" s="28"/>
      <c r="C104" s="16"/>
      <c r="D104" s="16">
        <v>1379.8150000000001</v>
      </c>
      <c r="E104" s="16">
        <v>2180.3090000000002</v>
      </c>
      <c r="F104" s="16">
        <f>F103</f>
        <v>2452.8476000000001</v>
      </c>
      <c r="G104" s="16">
        <v>2452.8470000000002</v>
      </c>
      <c r="H104" s="16">
        <v>2452.8470000000002</v>
      </c>
    </row>
    <row r="105" spans="1:9" x14ac:dyDescent="0.3">
      <c r="A105" s="27" t="s">
        <v>154</v>
      </c>
      <c r="B105" s="28"/>
      <c r="C105" s="15"/>
      <c r="D105" s="15">
        <v>23</v>
      </c>
      <c r="E105" s="15">
        <v>14.17</v>
      </c>
      <c r="F105" s="15">
        <v>11.76</v>
      </c>
      <c r="G105" s="15">
        <v>22.91</v>
      </c>
      <c r="H105" s="15">
        <v>44.67</v>
      </c>
    </row>
    <row r="106" spans="1:9" x14ac:dyDescent="0.3">
      <c r="A106" s="27" t="s">
        <v>155</v>
      </c>
      <c r="B106" s="28"/>
      <c r="C106" s="15"/>
      <c r="D106" s="65">
        <v>0</v>
      </c>
      <c r="E106" s="65">
        <v>0</v>
      </c>
      <c r="F106" s="65">
        <v>0</v>
      </c>
      <c r="G106" s="15">
        <v>1</v>
      </c>
      <c r="H106" s="15">
        <v>1.25</v>
      </c>
    </row>
    <row r="107" spans="1:9" x14ac:dyDescent="0.3">
      <c r="A107" s="27" t="s">
        <v>156</v>
      </c>
      <c r="B107" s="28"/>
      <c r="C107" s="15"/>
      <c r="D107" s="15">
        <v>0</v>
      </c>
      <c r="E107" s="15">
        <v>0</v>
      </c>
      <c r="F107" s="15">
        <v>0</v>
      </c>
      <c r="G107" s="15">
        <v>0</v>
      </c>
      <c r="H107" s="15">
        <v>0</v>
      </c>
    </row>
    <row r="108" spans="1:9" ht="19.5" customHeight="1" x14ac:dyDescent="0.3">
      <c r="A108" s="21" t="s">
        <v>157</v>
      </c>
      <c r="B108" s="22"/>
      <c r="C108" s="3"/>
      <c r="D108" s="3"/>
      <c r="E108" s="3"/>
      <c r="F108" s="3"/>
      <c r="G108" s="3"/>
      <c r="H108" s="3"/>
      <c r="I108" s="3"/>
    </row>
    <row r="109" spans="1:9" ht="30" customHeight="1" x14ac:dyDescent="0.3">
      <c r="A109" s="33" t="s">
        <v>158</v>
      </c>
      <c r="B109" s="33" t="s">
        <v>159</v>
      </c>
      <c r="C109" s="33" t="s">
        <v>160</v>
      </c>
      <c r="D109" s="33" t="s">
        <v>58</v>
      </c>
      <c r="E109" s="33" t="s">
        <v>59</v>
      </c>
      <c r="F109" s="33" t="s">
        <v>60</v>
      </c>
      <c r="G109" s="33" t="s">
        <v>61</v>
      </c>
      <c r="H109" s="33" t="s">
        <v>62</v>
      </c>
    </row>
    <row r="110" spans="1:9" ht="22.95" customHeight="1" x14ac:dyDescent="0.3">
      <c r="A110" s="90" t="s">
        <v>161</v>
      </c>
      <c r="B110" s="90"/>
      <c r="C110" s="90"/>
      <c r="D110" s="90"/>
      <c r="E110" s="90"/>
      <c r="F110" s="90"/>
      <c r="G110" s="90"/>
      <c r="H110" s="90"/>
    </row>
    <row r="111" spans="1:9" ht="34.049999999999997" customHeight="1" x14ac:dyDescent="0.3">
      <c r="A111" s="34" t="s">
        <v>162</v>
      </c>
      <c r="B111" s="35" t="s">
        <v>163</v>
      </c>
      <c r="C111" s="35" t="s">
        <v>164</v>
      </c>
      <c r="D111" s="37">
        <f>IF(OR(NOT(ISNUMBER(D24)),NOT(ISNUMBER(D48))),"n/m",IF(OR((D48)&lt;=0,(D24)&lt;0),"n/m",(D24)/(D48)))</f>
        <v>2.01862288296847</v>
      </c>
      <c r="E111" s="37">
        <f>IF(OR(NOT(ISNUMBER(E24)),NOT(ISNUMBER(E48))),"n/m",IF(OR((E48)&lt;=0,(E24)&lt;0),"n/m",(E24)/(E48)))</f>
        <v>1.0559688948718087</v>
      </c>
      <c r="F111" s="37">
        <f>IF(OR(NOT(ISNUMBER(F24)),NOT(ISNUMBER(F48))),"n/m",IF(OR((F48)&lt;=0,(F24)&lt;0),"n/m",(F24)/(F48)))</f>
        <v>0.81211137558007007</v>
      </c>
      <c r="G111" s="37">
        <f>IF(OR(NOT(ISNUMBER(G24)),NOT(ISNUMBER(G48))),"n/m",IF(OR((G48)&lt;=0,(G24)&lt;0),"n/m",(G24)/(G48)))</f>
        <v>0.95974773116730094</v>
      </c>
      <c r="H111" s="37">
        <f>IF(OR(NOT(ISNUMBER(H24)),NOT(ISNUMBER(H48))),"n/m",IF(OR((H48)&lt;=0,(H24)&lt;0),"n/m",(H24)/(H48)))</f>
        <v>1.3210140828410366</v>
      </c>
    </row>
    <row r="112" spans="1:9" ht="34.049999999999997" customHeight="1" x14ac:dyDescent="0.3">
      <c r="A112" s="34" t="s">
        <v>165</v>
      </c>
      <c r="B112" s="35" t="s">
        <v>166</v>
      </c>
      <c r="C112" s="35" t="s">
        <v>167</v>
      </c>
      <c r="D112" s="37">
        <f>IF(OR(NOT(ISNUMBER(D24-D54)),NOT(ISNUMBER(D48))),"n/m",IF(OR((D48)&lt;=0,(D24-D54)&lt;0),"n/m",(D24-D54)/(D48)))</f>
        <v>1.1357988467684703</v>
      </c>
      <c r="E112" s="37">
        <f>IF(OR(NOT(ISNUMBER(E24-E54)),NOT(ISNUMBER(E48))),"n/m",IF(OR((E48)&lt;=0,(E24-E54)&lt;0),"n/m",(E24-E54)/(E48)))</f>
        <v>0.47078421060569281</v>
      </c>
      <c r="F112" s="37">
        <f>IF(OR(NOT(ISNUMBER(F24-F54)),NOT(ISNUMBER(F48))),"n/m",IF(OR((F48)&lt;=0,(F24-F54)&lt;0),"n/m",(F24-F54)/(F48)))</f>
        <v>0.28121710873313321</v>
      </c>
      <c r="G112" s="37">
        <f>IF(OR(NOT(ISNUMBER(G24-G54)),NOT(ISNUMBER(G48))),"n/m",IF(OR((G48)&lt;=0,(G24-G54)&lt;0),"n/m",(G24-G54)/(G48)))</f>
        <v>0.3420463898878065</v>
      </c>
      <c r="H112" s="37">
        <f>IF(OR(NOT(ISNUMBER(H24-H54)),NOT(ISNUMBER(H48))),"n/m",IF(OR((H48)&lt;=0,(H24-H54)&lt;0),"n/m",(H24-H54)/(H48)))</f>
        <v>0.67753380767364924</v>
      </c>
    </row>
    <row r="113" spans="1:8" ht="34.049999999999997" customHeight="1" x14ac:dyDescent="0.3">
      <c r="A113" s="34" t="s">
        <v>168</v>
      </c>
      <c r="B113" s="35" t="s">
        <v>169</v>
      </c>
      <c r="C113" s="35" t="s">
        <v>170</v>
      </c>
      <c r="D113" s="37">
        <f>IF(OR(NOT(ISNUMBER(D157)),NOT(ISNUMBER(D48))),"n/m",IF(OR((D48)&lt;=0,(D157)&lt;0),"n/m",(D157)/(D48)))</f>
        <v>0.14618299383526975</v>
      </c>
      <c r="E113" s="37">
        <f>IF(OR(NOT(ISNUMBER(E157)),NOT(ISNUMBER(E48))),"n/m",IF(OR((E48)&lt;=0,(E157)&lt;0),"n/m",(E157)/(E48)))</f>
        <v>8.632203736853207E-2</v>
      </c>
      <c r="F113" s="37">
        <f>IF(OR(NOT(ISNUMBER(F157)),NOT(ISNUMBER(F48))),"n/m",IF(OR((F48)&lt;=0,(F157)&lt;0),"n/m",(F157)/(F48)))</f>
        <v>3.0925035424233385E-2</v>
      </c>
      <c r="G113" s="37">
        <f>IF(OR(NOT(ISNUMBER(G157)),NOT(ISNUMBER(G48))),"n/m",IF(OR((G48)&lt;=0,(G157)&lt;0),"n/m",(G157)/(G48)))</f>
        <v>0.10599048957533475</v>
      </c>
      <c r="H113" s="37">
        <f>IF(OR(NOT(ISNUMBER(H157)),NOT(ISNUMBER(H48))),"n/m",IF(OR((H48)&lt;=0,(H157)&lt;0),"n/m",(H157)/(H48)))</f>
        <v>8.4205246923402408E-2</v>
      </c>
    </row>
    <row r="114" spans="1:8" ht="34.049999999999997" customHeight="1" x14ac:dyDescent="0.3">
      <c r="A114" s="34" t="s">
        <v>171</v>
      </c>
      <c r="B114" s="35" t="s">
        <v>172</v>
      </c>
      <c r="C114" s="35" t="s">
        <v>173</v>
      </c>
      <c r="D114" s="38">
        <f>IF(OR(NOT(ISNUMBER(D24-D48)),NOT(ISNUMBER(1))),"n/m",IF(OR((1)&lt;=0,(D24-D48)&lt;0),"n/m",(D24-D48)/(1)))</f>
        <v>6276.7430000000004</v>
      </c>
      <c r="E114" s="38">
        <f>IF(OR(NOT(ISNUMBER(E24-E48)),NOT(ISNUMBER(1))),"n/m",IF(OR((1)&lt;=0,(E24-E48)&lt;0),"n/m",(E24-E48)/(1)))</f>
        <v>1495.5590000000011</v>
      </c>
      <c r="F114" s="38" t="str">
        <f>IF(OR(NOT(ISNUMBER(F24-F48)),NOT(ISNUMBER(1))),"n/m",IF(OR((1)&lt;=0,(F24-F48)&lt;0),"n/m",(F24-F48)/(1)))</f>
        <v>n/m</v>
      </c>
      <c r="G114" s="38" t="str">
        <f>IF(OR(NOT(ISNUMBER(G24-G48)),NOT(ISNUMBER(1))),"n/m",IF(OR((1)&lt;=0,(G24-G48)&lt;0),"n/m",(G24-G48)/(1)))</f>
        <v>n/m</v>
      </c>
      <c r="H114" s="38">
        <f>IF(OR(NOT(ISNUMBER(H24-H48)),NOT(ISNUMBER(1))),"n/m",IF(OR((1)&lt;=0,(H24-H48)&lt;0),"n/m",(H24-H48)/(1)))</f>
        <v>9835.0680000000066</v>
      </c>
    </row>
    <row r="115" spans="1:8" ht="22.95" customHeight="1" x14ac:dyDescent="0.3">
      <c r="A115" s="90" t="s">
        <v>174</v>
      </c>
      <c r="B115" s="90"/>
      <c r="C115" s="90"/>
      <c r="D115" s="91"/>
      <c r="E115" s="91"/>
      <c r="F115" s="91"/>
      <c r="G115" s="91"/>
      <c r="H115" s="91"/>
    </row>
    <row r="116" spans="1:8" ht="34.049999999999997" customHeight="1" x14ac:dyDescent="0.3">
      <c r="A116" s="34" t="s">
        <v>175</v>
      </c>
      <c r="B116" s="35" t="s">
        <v>176</v>
      </c>
      <c r="C116" s="35" t="s">
        <v>177</v>
      </c>
      <c r="D116" s="37">
        <f>IF(OR(NOT(ISNUMBER(-D65)),NOT(ISNUMBER(AVERAGE(I54,D54)))),"n/m",IF(OR((AVERAGE(I54,D54))&lt;=0,(-D65)&lt;0),"n/m",(-D65)/(AVERAGE(I54,D54))))</f>
        <v>3.593399445976929</v>
      </c>
      <c r="E116" s="37">
        <f>IF(OR(NOT(ISNUMBER(-E65)),NOT(ISNUMBER(AVERAGE(D54,E54)))),"n/m",IF(OR((AVERAGE(D54,E54))&lt;=0,(-E65)&lt;0),"n/m",(-E65)/(AVERAGE(D54,E54))))</f>
        <v>3.6798285509863442</v>
      </c>
      <c r="F116" s="37">
        <f>IF(OR(NOT(ISNUMBER(-F65)),NOT(ISNUMBER(AVERAGE(E54,F54)))),"n/m",IF(OR((AVERAGE(E54,F54))&lt;=0,(-F65)&lt;0),"n/m",(-F65)/(AVERAGE(E54,F54))))</f>
        <v>3.0981941833220765</v>
      </c>
      <c r="G116" s="37">
        <f>IF(OR(NOT(ISNUMBER(-G65)),NOT(ISNUMBER(AVERAGE(F54,G54)))),"n/m",IF(OR((AVERAGE(F54,G54))&lt;=0,(-G65)&lt;0),"n/m",(-G65)/(AVERAGE(F54,G54))))</f>
        <v>3.4267755412065504</v>
      </c>
      <c r="H116" s="37">
        <f>IF(OR(NOT(ISNUMBER(-H65)),NOT(ISNUMBER(AVERAGE(G54,H54)))),"n/m",IF(OR((AVERAGE(G54,H54))&lt;=0,(-H65)&lt;0),"n/m",(-H65)/(AVERAGE(G54,H54))))</f>
        <v>3.1608830315846066</v>
      </c>
    </row>
    <row r="117" spans="1:8" ht="34.049999999999997" customHeight="1" x14ac:dyDescent="0.3">
      <c r="A117" s="34" t="s">
        <v>178</v>
      </c>
      <c r="B117" s="35" t="s">
        <v>179</v>
      </c>
      <c r="C117" s="35" t="s">
        <v>180</v>
      </c>
      <c r="D117" s="37">
        <f>IF(OR(NOT(ISNUMBER(D64)),NOT(ISNUMBER(AVERAGE(I20,D20)))),"n/m",IF(OR((AVERAGE(I20,D20))&lt;=0,(D64)&lt;0),"n/m",(D64)/(AVERAGE(I20,D20))))</f>
        <v>19.415164144242155</v>
      </c>
      <c r="E117" s="37">
        <f>IF(OR(NOT(ISNUMBER(E64)),NOT(ISNUMBER(AVERAGE(D20,E20)))),"n/m",IF(OR((AVERAGE(D20,E20))&lt;=0,(E64)&lt;0),"n/m",(E64)/(AVERAGE(D20,E20))))</f>
        <v>28.088084014998095</v>
      </c>
      <c r="F117" s="37">
        <f>IF(OR(NOT(ISNUMBER(F64)),NOT(ISNUMBER(AVERAGE(E20,F20)))),"n/m",IF(OR((AVERAGE(E20,F20))&lt;=0,(F64)&lt;0),"n/m",(F64)/(AVERAGE(E20,F20))))</f>
        <v>22.745855737892271</v>
      </c>
      <c r="G117" s="37">
        <f>IF(OR(NOT(ISNUMBER(G64)),NOT(ISNUMBER(AVERAGE(F20,G20)))),"n/m",IF(OR((AVERAGE(F20,G20))&lt;=0,(G64)&lt;0),"n/m",(G64)/(AVERAGE(F20,G20))))</f>
        <v>17.554064923929165</v>
      </c>
      <c r="H117" s="37">
        <f>IF(OR(NOT(ISNUMBER(H64)),NOT(ISNUMBER(AVERAGE(G20,H20)))),"n/m",IF(OR((AVERAGE(G20,H20))&lt;=0,(H64)&lt;0),"n/m",(H64)/(AVERAGE(G20,H20))))</f>
        <v>14.282644096931071</v>
      </c>
    </row>
    <row r="118" spans="1:8" ht="34.049999999999997" customHeight="1" x14ac:dyDescent="0.3">
      <c r="A118" s="34" t="s">
        <v>181</v>
      </c>
      <c r="B118" s="35" t="s">
        <v>182</v>
      </c>
      <c r="C118" s="35" t="s">
        <v>183</v>
      </c>
      <c r="D118" s="39">
        <f>IF(OR(NOT(ISNUMBER(365*AVERAGE(I54,D54))),NOT(ISNUMBER(-D65))),"n/m",IF(OR((-D65)&lt;=0,(365*AVERAGE(I54,D54))&lt;0),"n/m",(365*AVERAGE(I54,D54))/(-D65)))</f>
        <v>101.57512558439446</v>
      </c>
      <c r="E118" s="39">
        <f>IF(OR(NOT(ISNUMBER(365*AVERAGE(D54,E54))),NOT(ISNUMBER(-E65))),"n/m",IF(OR((-E65)&lt;=0,(365*AVERAGE(D54,E54))&lt;0),"n/m",(365*AVERAGE(D54,E54))/(-E65)))</f>
        <v>99.189403784088</v>
      </c>
      <c r="F118" s="39">
        <f>IF(OR(NOT(ISNUMBER(365*AVERAGE(E54,F54))),NOT(ISNUMBER(-F65))),"n/m",IF(OR((-F65)&lt;=0,(365*AVERAGE(E54,F54))&lt;0),"n/m",(365*AVERAGE(E54,F54))/(-F65)))</f>
        <v>117.81056267061489</v>
      </c>
      <c r="G118" s="39">
        <f>IF(OR(NOT(ISNUMBER(365*AVERAGE(F54,G54))),NOT(ISNUMBER(-G65))),"n/m",IF(OR((-G65)&lt;=0,(365*AVERAGE(F54,G54))&lt;0),"n/m",(365*AVERAGE(F54,G54))/(-G65)))</f>
        <v>106.51412548353994</v>
      </c>
      <c r="H118" s="39">
        <f>IF(OR(NOT(ISNUMBER(365*AVERAGE(G54,H54))),NOT(ISNUMBER(-H65))),"n/m",IF(OR((-H65)&lt;=0,(365*AVERAGE(G54,H54))&lt;0),"n/m",(365*AVERAGE(G54,H54))/(-H65)))</f>
        <v>115.47406099903009</v>
      </c>
    </row>
    <row r="119" spans="1:8" ht="34.049999999999997" customHeight="1" x14ac:dyDescent="0.3">
      <c r="A119" s="34" t="s">
        <v>184</v>
      </c>
      <c r="B119" s="35" t="s">
        <v>185</v>
      </c>
      <c r="C119" s="35" t="s">
        <v>186</v>
      </c>
      <c r="D119" s="39">
        <f>IF(OR(NOT(ISNUMBER(365*AVERAGE(I20,D20))),NOT(ISNUMBER(D64))),"n/m",IF(OR((D64)&lt;=0,(365*AVERAGE(I20,D20))&lt;0),"n/m",(365*AVERAGE(I20,D20))/(D64)))</f>
        <v>18.799738044359827</v>
      </c>
      <c r="E119" s="39">
        <f>IF(OR(NOT(ISNUMBER(365*AVERAGE(D20,E20))),NOT(ISNUMBER(E64))),"n/m",IF(OR((E64)&lt;=0,(365*AVERAGE(D20,E20))&lt;0),"n/m",(365*AVERAGE(D20,E20))/(E64)))</f>
        <v>12.994834386179642</v>
      </c>
      <c r="F119" s="39">
        <f>IF(OR(NOT(ISNUMBER(365*AVERAGE(E20,F20))),NOT(ISNUMBER(F64))),"n/m",IF(OR((F64)&lt;=0,(365*AVERAGE(E20,F20))&lt;0),"n/m",(365*AVERAGE(E20,F20))/(F64)))</f>
        <v>16.046879229606091</v>
      </c>
      <c r="G119" s="39">
        <f>IF(OR(NOT(ISNUMBER(365*AVERAGE(F20,G20))),NOT(ISNUMBER(G64))),"n/m",IF(OR((G64)&lt;=0,(365*AVERAGE(F20,G20))&lt;0),"n/m",(365*AVERAGE(F20,G20))/(G64)))</f>
        <v>20.792904753499183</v>
      </c>
      <c r="H119" s="39">
        <f>IF(OR(NOT(ISNUMBER(365*AVERAGE(G20,H20))),NOT(ISNUMBER(H64))),"n/m",IF(OR((H64)&lt;=0,(365*AVERAGE(G20,H20))&lt;0),"n/m",(365*AVERAGE(G20,H20))/(H64)))</f>
        <v>25.555492212987932</v>
      </c>
    </row>
    <row r="120" spans="1:8" ht="34.049999999999997" customHeight="1" x14ac:dyDescent="0.3">
      <c r="A120" s="34" t="s">
        <v>187</v>
      </c>
      <c r="B120" s="35" t="s">
        <v>188</v>
      </c>
      <c r="C120" s="35" t="s">
        <v>189</v>
      </c>
      <c r="D120" s="37">
        <f>IF(OR(NOT(ISNUMBER(D64)),NOT(ISNUMBER(D9))),"n/m",IF(OR((D9)&lt;=0,(D64)&lt;0),"n/m",(D64)/(D9)))</f>
        <v>1.1329960510619466</v>
      </c>
      <c r="E120" s="37">
        <f>IF(OR(NOT(ISNUMBER(E64)),NOT(ISNUMBER(E9))),"n/m",IF(OR((E9)&lt;=0,(E64)&lt;0),"n/m",(E64)/(E9)))</f>
        <v>0.73176601318978285</v>
      </c>
      <c r="F120" s="37">
        <f>IF(OR(NOT(ISNUMBER(F64)),NOT(ISNUMBER(F9))),"n/m",IF(OR((F9)&lt;=0,(F64)&lt;0),"n/m",(F64)/(F9)))</f>
        <v>0.65184739301529204</v>
      </c>
      <c r="G120" s="37">
        <f>IF(OR(NOT(ISNUMBER(G64)),NOT(ISNUMBER(G9))),"n/m",IF(OR((G9)&lt;=0,(G64)&lt;0),"n/m",(G64)/(G9)))</f>
        <v>0.72196082222901214</v>
      </c>
      <c r="H120" s="37">
        <f>IF(OR(NOT(ISNUMBER(H64)),NOT(ISNUMBER(H9))),"n/m",IF(OR((H9)&lt;=0,(H64)&lt;0),"n/m",(H64)/(H9)))</f>
        <v>0.81180021491144161</v>
      </c>
    </row>
    <row r="121" spans="1:8" ht="34.049999999999997" customHeight="1" x14ac:dyDescent="0.3">
      <c r="A121" s="34" t="s">
        <v>190</v>
      </c>
      <c r="B121" s="35" t="s">
        <v>191</v>
      </c>
      <c r="C121" s="35" t="s">
        <v>192</v>
      </c>
      <c r="D121" s="37">
        <f>IF(OR(NOT(ISNUMBER(D64)),NOT(ISNUMBER(D25))),"n/m",IF(OR((D25)&lt;=0,(D64)&lt;0),"n/m",(D64)/(D25)))</f>
        <v>0.71276636764269574</v>
      </c>
      <c r="E121" s="37">
        <f>IF(OR(NOT(ISNUMBER(E64)),NOT(ISNUMBER(E25))),"n/m",IF(OR((E25)&lt;=0,(E64)&lt;0),"n/m",(E64)/(E25)))</f>
        <v>0.4770803467502796</v>
      </c>
      <c r="F121" s="37">
        <f>IF(OR(NOT(ISNUMBER(F64)),NOT(ISNUMBER(F25))),"n/m",IF(OR((F25)&lt;=0,(F64)&lt;0),"n/m",(F64)/(F25)))</f>
        <v>0.49031202866080159</v>
      </c>
      <c r="G121" s="37">
        <f>IF(OR(NOT(ISNUMBER(G64)),NOT(ISNUMBER(G25))),"n/m",IF(OR((G25)&lt;=0,(G64)&lt;0),"n/m",(G64)/(G25)))</f>
        <v>0.54204979765850125</v>
      </c>
      <c r="H121" s="37">
        <f>IF(OR(NOT(ISNUMBER(H64)),NOT(ISNUMBER(H25))),"n/m",IF(OR((H25)&lt;=0,(H64)&lt;0),"n/m",(H64)/(H25)))</f>
        <v>0.55305556508680442</v>
      </c>
    </row>
    <row r="122" spans="1:8" ht="22.95" customHeight="1" x14ac:dyDescent="0.3">
      <c r="A122" s="90" t="s">
        <v>193</v>
      </c>
      <c r="B122" s="90"/>
      <c r="C122" s="90"/>
      <c r="D122" s="91"/>
      <c r="E122" s="91"/>
      <c r="F122" s="91"/>
      <c r="G122" s="91"/>
      <c r="H122" s="91"/>
    </row>
    <row r="123" spans="1:8" ht="34.049999999999997" customHeight="1" x14ac:dyDescent="0.3">
      <c r="A123" s="34" t="s">
        <v>194</v>
      </c>
      <c r="B123" s="35" t="s">
        <v>195</v>
      </c>
      <c r="C123" s="35" t="s">
        <v>196</v>
      </c>
      <c r="D123" s="40">
        <f>IF(OR(NOT(ISNUMBER(D49)),NOT(ISNUMBER(D25))),"n/m",IF(OR((D25)&lt;=0,(D49)&lt;0),"n/m",(D49)/(D25)))</f>
        <v>0.31647148170702821</v>
      </c>
      <c r="E123" s="40">
        <f>IF(OR(NOT(ISNUMBER(E49)),NOT(ISNUMBER(E25))),"n/m",IF(OR((E25)&lt;=0,(E49)&lt;0),"n/m",(E49)/(E25)))</f>
        <v>0.49219848282922141</v>
      </c>
      <c r="F123" s="40">
        <f>IF(OR(NOT(ISNUMBER(F49)),NOT(ISNUMBER(F25))),"n/m",IF(OR((F25)&lt;=0,(F49)&lt;0),"n/m",(F49)/(F25)))</f>
        <v>0.53053055814614203</v>
      </c>
      <c r="G123" s="40">
        <f>IF(OR(NOT(ISNUMBER(G49)),NOT(ISNUMBER(G25))),"n/m",IF(OR((G25)&lt;=0,(G49)&lt;0),"n/m",(G49)/(G25)))</f>
        <v>0.5028400637434024</v>
      </c>
      <c r="H123" s="40">
        <f>IF(OR(NOT(ISNUMBER(H49)),NOT(ISNUMBER(H25))),"n/m",IF(OR((H25)&lt;=0,(H49)&lt;0),"n/m",(H49)/(H25)))</f>
        <v>0.4760663500346739</v>
      </c>
    </row>
    <row r="124" spans="1:8" ht="34.049999999999997" customHeight="1" x14ac:dyDescent="0.3">
      <c r="A124" s="34" t="s">
        <v>197</v>
      </c>
      <c r="B124" s="35" t="s">
        <v>198</v>
      </c>
      <c r="C124" s="35" t="s">
        <v>199</v>
      </c>
      <c r="D124" s="37">
        <f>IF(OR(NOT(ISNUMBER(D55)),NOT(ISNUMBER(D29))),"n/m",IF(OR((D29)&lt;=0,(D55)&lt;0),"n/m",(D55)/(D29)))</f>
        <v>0.11033361830900601</v>
      </c>
      <c r="E124" s="37">
        <f>IF(OR(NOT(ISNUMBER(E55)),NOT(ISNUMBER(E29))),"n/m",IF(OR((E29)&lt;=0,(E55)&lt;0),"n/m",(E55)/(E29)))</f>
        <v>0.44889851845785944</v>
      </c>
      <c r="F124" s="37">
        <f>IF(OR(NOT(ISNUMBER(F55)),NOT(ISNUMBER(F29))),"n/m",IF(OR((F29)&lt;=0,(F55)&lt;0),"n/m",(F55)/(F29)))</f>
        <v>0.62375966688339879</v>
      </c>
      <c r="G124" s="37">
        <f>IF(OR(NOT(ISNUMBER(G55)),NOT(ISNUMBER(G29))),"n/m",IF(OR((G29)&lt;=0,(G55)&lt;0),"n/m",(G55)/(G29)))</f>
        <v>0.49850573278032018</v>
      </c>
      <c r="H124" s="37">
        <f>IF(OR(NOT(ISNUMBER(H55)),NOT(ISNUMBER(H29))),"n/m",IF(OR((H29)&lt;=0,(H55)&lt;0),"n/m",(H55)/(H29)))</f>
        <v>0.47508509566997464</v>
      </c>
    </row>
    <row r="125" spans="1:8" ht="34.049999999999997" customHeight="1" x14ac:dyDescent="0.3">
      <c r="A125" s="34" t="s">
        <v>200</v>
      </c>
      <c r="B125" s="35" t="s">
        <v>201</v>
      </c>
      <c r="C125" s="35" t="s">
        <v>202</v>
      </c>
      <c r="D125" s="40">
        <f>IF(OR(NOT(ISNUMBER(D55)),NOT(ISNUMBER(D55+D29))),"n/m",IF(OR((D55+D29)&lt;=0,(D55)&lt;0),"n/m",(D55)/(D55+D29)))</f>
        <v>9.9369789844821352E-2</v>
      </c>
      <c r="E125" s="40">
        <f>IF(OR(NOT(ISNUMBER(E55)),NOT(ISNUMBER(E55+E29))),"n/m",IF(OR((E55+E29)&lt;=0,(E55)&lt;0),"n/m",(E55)/(E55+E29)))</f>
        <v>0.30982053797366449</v>
      </c>
      <c r="F125" s="40">
        <f>IF(OR(NOT(ISNUMBER(F55)),NOT(ISNUMBER(F55+F29))),"n/m",IF(OR((F55+F29)&lt;=0,(F55)&lt;0),"n/m",(F55)/(F55+F29)))</f>
        <v>0.38414531386940193</v>
      </c>
      <c r="G125" s="40">
        <f>IF(OR(NOT(ISNUMBER(G55)),NOT(ISNUMBER(G55+G29))),"n/m",IF(OR((G55+G29)&lt;=0,(G55)&lt;0),"n/m",(G55)/(G55+G29)))</f>
        <v>0.33266855232872222</v>
      </c>
      <c r="H125" s="40">
        <f>IF(OR(NOT(ISNUMBER(H55)),NOT(ISNUMBER(H55+H29))),"n/m",IF(OR((H55+H29)&lt;=0,(H55)&lt;0),"n/m",(H55)/(H55+H29)))</f>
        <v>0.3220730092552348</v>
      </c>
    </row>
    <row r="126" spans="1:8" ht="34.049999999999997" customHeight="1" x14ac:dyDescent="0.3">
      <c r="A126" s="34" t="s">
        <v>203</v>
      </c>
      <c r="B126" s="35" t="s">
        <v>204</v>
      </c>
      <c r="C126" s="35" t="s">
        <v>205</v>
      </c>
      <c r="D126" s="37">
        <f>IF(OR(NOT(ISNUMBER(D82)),NOT(ISNUMBER(D85))),"n/m",IF(OR((D85)&lt;=0,(D82)&lt;0),"n/m",(D82)/(D85)))</f>
        <v>56.450885878061477</v>
      </c>
      <c r="E126" s="37">
        <f>IF(OR(NOT(ISNUMBER(E82)),NOT(ISNUMBER(E85))),"n/m",IF(OR((E85)&lt;=0,(E82)&lt;0),"n/m",(E82)/(E85)))</f>
        <v>12.583415391911771</v>
      </c>
      <c r="F126" s="37">
        <f>IF(OR(NOT(ISNUMBER(F82)),NOT(ISNUMBER(F85))),"n/m",IF(OR((F85)&lt;=0,(F82)&lt;0),"n/m",(F82)/(F85)))</f>
        <v>5.9146829675290808</v>
      </c>
      <c r="G126" s="37">
        <f>IF(OR(NOT(ISNUMBER(G82)),NOT(ISNUMBER(G85))),"n/m",IF(OR((G85)&lt;=0,(G82)&lt;0),"n/m",(G82)/(G85)))</f>
        <v>3.7798126521954241</v>
      </c>
      <c r="H126" s="37">
        <f>IF(OR(NOT(ISNUMBER(H82)),NOT(ISNUMBER(H85))),"n/m",IF(OR((H85)&lt;=0,(H82)&lt;0),"n/m",(H82)/(H85)))</f>
        <v>4.7935258018729412</v>
      </c>
    </row>
    <row r="127" spans="1:8" ht="22.95" customHeight="1" x14ac:dyDescent="0.3">
      <c r="A127" s="90" t="s">
        <v>206</v>
      </c>
      <c r="B127" s="90"/>
      <c r="C127" s="90"/>
      <c r="D127" s="91"/>
      <c r="E127" s="91"/>
      <c r="F127" s="91"/>
      <c r="G127" s="91"/>
      <c r="H127" s="91"/>
    </row>
    <row r="128" spans="1:8" ht="34.049999999999997" customHeight="1" x14ac:dyDescent="0.3">
      <c r="A128" s="34" t="s">
        <v>207</v>
      </c>
      <c r="B128" s="35" t="s">
        <v>208</v>
      </c>
      <c r="C128" s="35" t="s">
        <v>209</v>
      </c>
      <c r="D128" s="40">
        <f>IF(OR(NOT(ISNUMBER(D66)),NOT(ISNUMBER(D64))),"n/m",IF(OR((D64)&lt;=0,(D66)&lt;0),"n/m",(D66)/(D64)))</f>
        <v>0.24985924725452316</v>
      </c>
      <c r="E128" s="40">
        <f>IF(OR(NOT(ISNUMBER(E66)),NOT(ISNUMBER(E64))),"n/m",IF(OR((E64)&lt;=0,(E66)&lt;0),"n/m",(E66)/(E64)))</f>
        <v>0.28507903988852556</v>
      </c>
      <c r="F128" s="40">
        <f>IF(OR(NOT(ISNUMBER(F66)),NOT(ISNUMBER(F64))),"n/m",IF(OR((F64)&lt;=0,(F66)&lt;0),"n/m",(F66)/(F64)))</f>
        <v>0.29996604048210768</v>
      </c>
      <c r="G128" s="40">
        <f>IF(OR(NOT(ISNUMBER(G66)),NOT(ISNUMBER(G64))),"n/m",IF(OR((G64)&lt;=0,(G66)&lt;0),"n/m",(G66)/(G64)))</f>
        <v>0.32089986350224731</v>
      </c>
      <c r="H128" s="40">
        <f>IF(OR(NOT(ISNUMBER(H66)),NOT(ISNUMBER(H64))),"n/m",IF(OR((H64)&lt;=0,(H66)&lt;0),"n/m",(H66)/(H64)))</f>
        <v>0.35490842202929052</v>
      </c>
    </row>
    <row r="129" spans="1:8" ht="34.049999999999997" customHeight="1" x14ac:dyDescent="0.3">
      <c r="A129" s="34" t="s">
        <v>210</v>
      </c>
      <c r="B129" s="35" t="s">
        <v>211</v>
      </c>
      <c r="C129" s="35" t="s">
        <v>212</v>
      </c>
      <c r="D129" s="40">
        <f>IF(OR(NOT(ISNUMBER(D82)),NOT(ISNUMBER(D64))),"n/m",IF(OR((D64)&lt;=0,(D82)&lt;0),"n/m",(D82)/(D64)))</f>
        <v>0.2142368646736256</v>
      </c>
      <c r="E129" s="40">
        <f>IF(OR(NOT(ISNUMBER(E82)),NOT(ISNUMBER(E64))),"n/m",IF(OR((E64)&lt;=0,(E82)&lt;0),"n/m",(E82)/(E64)))</f>
        <v>0.23087384099122032</v>
      </c>
      <c r="F129" s="40">
        <f>IF(OR(NOT(ISNUMBER(F82)),NOT(ISNUMBER(F64))),"n/m",IF(OR((F64)&lt;=0,(F82)&lt;0),"n/m",(F82)/(F64)))</f>
        <v>0.22807525720632701</v>
      </c>
      <c r="G129" s="40">
        <f>IF(OR(NOT(ISNUMBER(G82)),NOT(ISNUMBER(G64))),"n/m",IF(OR((G64)&lt;=0,(G82)&lt;0),"n/m",(G82)/(G64)))</f>
        <v>0.26089810857755552</v>
      </c>
      <c r="H129" s="40">
        <f>IF(OR(NOT(ISNUMBER(H82)),NOT(ISNUMBER(H64))),"n/m",IF(OR((H64)&lt;=0,(H82)&lt;0),"n/m",(H82)/(H64)))</f>
        <v>0.3057657460861018</v>
      </c>
    </row>
    <row r="130" spans="1:8" ht="34.049999999999997" customHeight="1" x14ac:dyDescent="0.3">
      <c r="A130" s="34" t="s">
        <v>213</v>
      </c>
      <c r="B130" s="35" t="s">
        <v>214</v>
      </c>
      <c r="C130" s="35" t="s">
        <v>215</v>
      </c>
      <c r="D130" s="40">
        <f>IF(OR(NOT(ISNUMBER(D79)),NOT(ISNUMBER(D64))),"n/m",IF(OR((D64)&lt;=0,(D79)&lt;0),"n/m",(D79)/(D64)))</f>
        <v>0.14302295902338913</v>
      </c>
      <c r="E130" s="40">
        <f>IF(OR(NOT(ISNUMBER(E79)),NOT(ISNUMBER(E64))),"n/m",IF(OR((E64)&lt;=0,(E79)&lt;0),"n/m",(E79)/(E64)))</f>
        <v>0.13112336204567002</v>
      </c>
      <c r="F130" s="40">
        <f>IF(OR(NOT(ISNUMBER(F79)),NOT(ISNUMBER(F64))),"n/m",IF(OR((F64)&lt;=0,(F79)&lt;0),"n/m",(F79)/(F64)))</f>
        <v>0.10929571726641699</v>
      </c>
      <c r="G130" s="40">
        <f>IF(OR(NOT(ISNUMBER(G79)),NOT(ISNUMBER(G64))),"n/m",IF(OR((G64)&lt;=0,(G79)&lt;0),"n/m",(G79)/(G64)))</f>
        <v>0.10275526425549537</v>
      </c>
      <c r="H130" s="40">
        <f>IF(OR(NOT(ISNUMBER(H79)),NOT(ISNUMBER(H64))),"n/m",IF(OR((H64)&lt;=0,(H79)&lt;0),"n/m",(H79)/(H64)))</f>
        <v>0.14980611609777766</v>
      </c>
    </row>
    <row r="131" spans="1:8" ht="34.049999999999997" customHeight="1" x14ac:dyDescent="0.3">
      <c r="A131" s="34" t="s">
        <v>216</v>
      </c>
      <c r="B131" s="35" t="s">
        <v>217</v>
      </c>
      <c r="C131" s="35" t="s">
        <v>218</v>
      </c>
      <c r="D131" s="40">
        <f>IF(OR(NOT(ISNUMBER(D79)),NOT(ISNUMBER(D25))),"n/m",IF(OR((D25)&lt;=0,(D79)&lt;0),"n/m",(D79)/(D25)))</f>
        <v>0.10194195499261118</v>
      </c>
      <c r="E131" s="40">
        <f>IF(OR(NOT(ISNUMBER(E79)),NOT(ISNUMBER(E25))),"n/m",IF(OR((E25)&lt;=0,(E79)&lt;0),"n/m",(E79)/(E25)))</f>
        <v>6.2556379031810716E-2</v>
      </c>
      <c r="F131" s="40">
        <f>IF(OR(NOT(ISNUMBER(F79)),NOT(ISNUMBER(F25))),"n/m",IF(OR((F25)&lt;=0,(F79)&lt;0),"n/m",(F79)/(F25)))</f>
        <v>5.3589004856834314E-2</v>
      </c>
      <c r="G131" s="40">
        <f>IF(OR(NOT(ISNUMBER(G79)),NOT(ISNUMBER(G25))),"n/m",IF(OR((G25)&lt;=0,(G79)&lt;0),"n/m",(G79)/(G25)))</f>
        <v>5.5698470198037101E-2</v>
      </c>
      <c r="H131" s="40">
        <f>IF(OR(NOT(ISNUMBER(H79)),NOT(ISNUMBER(H25))),"n/m",IF(OR((H25)&lt;=0,(H79)&lt;0),"n/m",(H79)/(H25)))</f>
        <v>8.2851106191915852E-2</v>
      </c>
    </row>
    <row r="132" spans="1:8" ht="34.049999999999997" customHeight="1" x14ac:dyDescent="0.3">
      <c r="A132" s="34" t="s">
        <v>219</v>
      </c>
      <c r="B132" s="35" t="s">
        <v>220</v>
      </c>
      <c r="C132" s="35" t="s">
        <v>221</v>
      </c>
      <c r="D132" s="40">
        <f>IF(OR(NOT(ISNUMBER(D79)),NOT(ISNUMBER(D29))),"n/m",IF(OR((D29)&lt;=0,(D79)&lt;0),"n/m",(D79)/(D29)))</f>
        <v>0.14914074872427949</v>
      </c>
      <c r="E132" s="40">
        <f>IF(OR(NOT(ISNUMBER(E79)),NOT(ISNUMBER(E29))),"n/m",IF(OR((E29)&lt;=0,(E79)&lt;0),"n/m",(E79)/(E29)))</f>
        <v>0.12319061073378482</v>
      </c>
      <c r="F132" s="40">
        <f>IF(OR(NOT(ISNUMBER(F79)),NOT(ISNUMBER(F29))),"n/m",IF(OR((F29)&lt;=0,(F79)&lt;0),"n/m",(F79)/(F29)))</f>
        <v>0.11414801492770245</v>
      </c>
      <c r="G132" s="40">
        <f>IF(OR(NOT(ISNUMBER(G79)),NOT(ISNUMBER(G29))),"n/m",IF(OR((G29)&lt;=0,(G79)&lt;0),"n/m",(G79)/(G29)))</f>
        <v>0.1120333038446799</v>
      </c>
      <c r="H132" s="40">
        <f>IF(OR(NOT(ISNUMBER(H79)),NOT(ISNUMBER(H29))),"n/m",IF(OR((H29)&lt;=0,(H79)&lt;0),"n/m",(H79)/(H29)))</f>
        <v>0.15813282120245373</v>
      </c>
    </row>
    <row r="133" spans="1:8" ht="34.049999999999997" customHeight="1" x14ac:dyDescent="0.3">
      <c r="A133" s="34" t="s">
        <v>222</v>
      </c>
      <c r="B133" s="35" t="s">
        <v>223</v>
      </c>
      <c r="C133" s="35" t="s">
        <v>224</v>
      </c>
      <c r="D133" s="40">
        <f>IF(OR(NOT(ISNUMBER(D88)),NOT(ISNUMBER(D58))),"n/m",IF(OR((D58)&lt;=0,(D88)&lt;0),"n/m",(D88)/(D58)))</f>
        <v>0.13674299962769382</v>
      </c>
      <c r="E133" s="40">
        <f>IF(OR(NOT(ISNUMBER(E88)),NOT(ISNUMBER(E58))),"n/m",IF(OR((E58)&lt;=0,(E88)&lt;0),"n/m",(E88)/(E58)))</f>
        <v>9.2363746892435927E-2</v>
      </c>
      <c r="F133" s="40">
        <f>IF(OR(NOT(ISNUMBER(F88)),NOT(ISNUMBER(F58))),"n/m",IF(OR((F58)&lt;=0,(F88)&lt;0),"n/m",(F88)/(F58)))</f>
        <v>8.4602379259019547E-2</v>
      </c>
      <c r="G133" s="40">
        <f>IF(OR(NOT(ISNUMBER(G88)),NOT(ISNUMBER(G58))),"n/m",IF(OR((G58)&lt;=0,(G88)&lt;0),"n/m",(G88)/(G58)))</f>
        <v>0.10165844956887071</v>
      </c>
      <c r="H133" s="40">
        <f>IF(OR(NOT(ISNUMBER(H88)),NOT(ISNUMBER(H58))),"n/m",IF(OR((H58)&lt;=0,(H88)&lt;0),"n/m",(H88)/(H58)))</f>
        <v>0.13546184028270253</v>
      </c>
    </row>
    <row r="134" spans="1:8" ht="34.049999999999997" customHeight="1" x14ac:dyDescent="0.3">
      <c r="A134" s="34" t="s">
        <v>225</v>
      </c>
      <c r="B134" s="35" t="s">
        <v>226</v>
      </c>
      <c r="C134" s="35" t="s">
        <v>227</v>
      </c>
      <c r="D134" s="40">
        <f>IF(OR(NOT(ISNUMBER(D82)),NOT(ISNUMBER(D25))),"n/m",IF(OR((D25)&lt;=0,(D82)&lt;0),"n/m",(D82)/(D25)))</f>
        <v>0.15270083184857988</v>
      </c>
      <c r="E134" s="40">
        <f>IF(OR(NOT(ISNUMBER(E82)),NOT(ISNUMBER(E25))),"n/m",IF(OR((E25)&lt;=0,(E82)&lt;0),"n/m",(E82)/(E25)))</f>
        <v>0.11014537211566031</v>
      </c>
      <c r="F134" s="40">
        <f>IF(OR(NOT(ISNUMBER(F82)),NOT(ISNUMBER(F25))),"n/m",IF(OR((F25)&lt;=0,(F82)&lt;0),"n/m",(F82)/(F25)))</f>
        <v>0.11182804204816831</v>
      </c>
      <c r="G134" s="40">
        <f>IF(OR(NOT(ISNUMBER(G82)),NOT(ISNUMBER(G25))),"n/m",IF(OR((G25)&lt;=0,(G82)&lt;0),"n/m",(G82)/(G25)))</f>
        <v>0.14141976696394967</v>
      </c>
      <c r="H134" s="40">
        <f>IF(OR(NOT(ISNUMBER(H82)),NOT(ISNUMBER(H25))),"n/m",IF(OR((H25)&lt;=0,(H82)&lt;0),"n/m",(H82)/(H25)))</f>
        <v>0.16910544748583739</v>
      </c>
    </row>
    <row r="135" spans="1:8" ht="22.95" customHeight="1" x14ac:dyDescent="0.3">
      <c r="A135" s="90" t="s">
        <v>228</v>
      </c>
      <c r="B135" s="90"/>
      <c r="C135" s="90"/>
      <c r="D135" s="91"/>
      <c r="E135" s="91"/>
      <c r="F135" s="91"/>
      <c r="G135" s="91"/>
      <c r="H135" s="91"/>
    </row>
    <row r="136" spans="1:8" ht="34.049999999999997" customHeight="1" x14ac:dyDescent="0.3">
      <c r="A136" s="34" t="s">
        <v>229</v>
      </c>
      <c r="B136" s="35" t="s">
        <v>230</v>
      </c>
      <c r="C136" s="35" t="s">
        <v>231</v>
      </c>
      <c r="D136" s="41">
        <f>IF(OR(NOT(ISNUMBER(D79)),NOT(ISNUMBER(D104))),"n/m",IF(OR((D104)&lt;=0,(D79)&lt;0),"n/m",(D79)/(D104)))</f>
        <v>2.5158090033808875</v>
      </c>
      <c r="E136" s="41">
        <f>IF(OR(NOT(ISNUMBER(E79)),NOT(ISNUMBER(E104))),"n/m",IF(OR((E104)&lt;=0,(E79)&lt;0),"n/m",(E79)/(E104)))</f>
        <v>3.2621706372812294</v>
      </c>
      <c r="F136" s="41">
        <f>IF(OR(NOT(ISNUMBER(F79)),NOT(ISNUMBER(F104))),"n/m",IF(OR((F104)&lt;=0,(F79)&lt;0),"n/m",(F79)/(F104)))</f>
        <v>3.0330791851886794</v>
      </c>
      <c r="G136" s="41">
        <f>IF(OR(NOT(ISNUMBER(G79)),NOT(ISNUMBER(G104))),"n/m",IF(OR((G104)&lt;=0,(G79)&lt;0),"n/m",(G79)/(G104)))</f>
        <v>3.3524781610919856</v>
      </c>
      <c r="H136" s="41">
        <f>IF(OR(NOT(ISNUMBER(H79)),NOT(ISNUMBER(H104))),"n/m",IF(OR((H104)&lt;=0,(H79)&lt;0),"n/m",(H79)/(H104)))</f>
        <v>5.4329528095311241</v>
      </c>
    </row>
    <row r="137" spans="1:8" ht="34.049999999999997" customHeight="1" x14ac:dyDescent="0.3">
      <c r="A137" s="34" t="s">
        <v>232</v>
      </c>
      <c r="B137" s="35" t="s">
        <v>233</v>
      </c>
      <c r="C137" s="35" t="s">
        <v>234</v>
      </c>
      <c r="D137" s="41">
        <f>IF(OR(NOT(ISNUMBER(D29)),NOT(ISNUMBER(D103))),"n/m",IF(OR((D103)&lt;=0,(D29)&lt;0),"n/m",(D29)/(D103)))</f>
        <v>16.868689643176804</v>
      </c>
      <c r="E137" s="41">
        <f>IF(OR(NOT(ISNUMBER(E29)),NOT(ISNUMBER(E103))),"n/m",IF(OR((E103)&lt;=0,(E29)&lt;0),"n/m",(E29)/(E103)))</f>
        <v>26.480675904195227</v>
      </c>
      <c r="F137" s="41">
        <f>IF(OR(NOT(ISNUMBER(F29)),NOT(ISNUMBER(F103))),"n/m",IF(OR((F103)&lt;=0,(F29)&lt;0),"n/m",(F29)/(F103)))</f>
        <v>26.571458006604239</v>
      </c>
      <c r="G137" s="41">
        <f>IF(OR(NOT(ISNUMBER(G29)),NOT(ISNUMBER(G103))),"n/m",IF(OR((G103)&lt;=0,(G29)&lt;0),"n/m",(G29)/(G103)))</f>
        <v>29.923935347634316</v>
      </c>
      <c r="H137" s="41">
        <f>IF(OR(NOT(ISNUMBER(H29)),NOT(ISNUMBER(H103))),"n/m",IF(OR((H103)&lt;=0,(H29)&lt;0),"n/m",(H29)/(H103)))</f>
        <v>34.356887072804682</v>
      </c>
    </row>
    <row r="138" spans="1:8" ht="34.049999999999997" customHeight="1" x14ac:dyDescent="0.3">
      <c r="A138" s="34" t="s">
        <v>235</v>
      </c>
      <c r="B138" s="35" t="s">
        <v>236</v>
      </c>
      <c r="C138" s="35" t="s">
        <v>237</v>
      </c>
      <c r="D138" s="37">
        <f>IF(OR(NOT(ISNUMBER(D105)),NOT(ISNUMBER(D79/D104))),"n/m",IF(OR((D79/D104)&lt;=0,(D105)&lt;0),"n/m",(D105)/(D79/D104)))</f>
        <v>9.1421884447870596</v>
      </c>
      <c r="E138" s="37">
        <f>IF(OR(NOT(ISNUMBER(E105)),NOT(ISNUMBER(E79/E104))),"n/m",IF(OR((E79/E104)&lt;=0,(E105)&lt;0),"n/m",(E105)/(E79/E104)))</f>
        <v>4.3437335368236942</v>
      </c>
      <c r="F138" s="37">
        <f>IF(OR(NOT(ISNUMBER(F105)),NOT(ISNUMBER(F79/F104))),"n/m",IF(OR((F79/F104)&lt;=0,(F105)&lt;0),"n/m",(F105)/(F79/F104)))</f>
        <v>3.877247932539039</v>
      </c>
      <c r="G138" s="37">
        <f>IF(OR(NOT(ISNUMBER(G105)),NOT(ISNUMBER(G79/G104))),"n/m",IF(OR((G79/G104)&lt;=0,(G105)&lt;0),"n/m",(G105)/(G79/G104)))</f>
        <v>6.8337507059367812</v>
      </c>
      <c r="H138" s="37">
        <f>IF(OR(NOT(ISNUMBER(H105)),NOT(ISNUMBER(H79/H104))),"n/m",IF(OR((H79/H104)&lt;=0,(H105)&lt;0),"n/m",(H105)/(H79/H104)))</f>
        <v>8.2220482242427426</v>
      </c>
    </row>
    <row r="139" spans="1:8" ht="34.049999999999997" customHeight="1" x14ac:dyDescent="0.3">
      <c r="A139" s="34" t="s">
        <v>238</v>
      </c>
      <c r="B139" s="35" t="s">
        <v>239</v>
      </c>
      <c r="C139" s="35" t="s">
        <v>240</v>
      </c>
      <c r="D139" s="37">
        <f>IF(OR(NOT(ISNUMBER(D105)),NOT(ISNUMBER(D29/D103))),"n/m",IF(OR((D29/D103)&lt;=0,(D105)&lt;0),"n/m",(D105)/(D29/D103)))</f>
        <v>1.3634728296339984</v>
      </c>
      <c r="E139" s="37">
        <f>IF(OR(NOT(ISNUMBER(E105)),NOT(ISNUMBER(E29/E103))),"n/m",IF(OR((E29/E103)&lt;=0,(E105)&lt;0),"n/m",(E105)/(E29/E103)))</f>
        <v>0.53510718726613404</v>
      </c>
      <c r="F139" s="37">
        <f>IF(OR(NOT(ISNUMBER(F105)),NOT(ISNUMBER(F29/F103))),"n/m",IF(OR((F29/F103)&lt;=0,(F105)&lt;0),"n/m",(F105)/(F29/F103)))</f>
        <v>0.44258015488186969</v>
      </c>
      <c r="G139" s="37">
        <f>IF(OR(NOT(ISNUMBER(G105)),NOT(ISNUMBER(G29/G103))),"n/m",IF(OR((G29/G103)&lt;=0,(G105)&lt;0),"n/m",(G105)/(G29/G103)))</f>
        <v>0.76560785651514207</v>
      </c>
      <c r="H139" s="37">
        <f>IF(OR(NOT(ISNUMBER(H105)),NOT(ISNUMBER(H29/H103))),"n/m",IF(OR((H29/H103)&lt;=0,(H105)&lt;0),"n/m",(H105)/(H29/H103)))</f>
        <v>1.3001759998029245</v>
      </c>
    </row>
    <row r="140" spans="1:8" ht="34.049999999999997" customHeight="1" x14ac:dyDescent="0.3">
      <c r="A140" s="34" t="s">
        <v>241</v>
      </c>
      <c r="B140" s="35" t="s">
        <v>242</v>
      </c>
      <c r="C140" s="35" t="s">
        <v>268</v>
      </c>
      <c r="D140" s="64">
        <f>IF(OR(NOT(ISNUMBER(D106)),NOT(ISNUMBER(D105))),"n/m",IF(OR((D105)&lt;=0,(D106)&lt;0),"n/m",(D106)/(D105)))</f>
        <v>0</v>
      </c>
      <c r="E140" s="64">
        <f>IF(OR(NOT(ISNUMBER(E106)),NOT(ISNUMBER(E105))),"n/m",IF(OR((E105)&lt;=0,(E106)&lt;0),"n/m",(E106)/(E105)))</f>
        <v>0</v>
      </c>
      <c r="F140" s="64">
        <f>IF(OR(NOT(ISNUMBER(F106)),NOT(ISNUMBER(F105))),"n/m",IF(OR((F105)&lt;=0,(F106)&lt;0),"n/m",(F106)/(F105)))</f>
        <v>0</v>
      </c>
      <c r="G140" s="40">
        <f>IF(OR(NOT(ISNUMBER(G106)),NOT(ISNUMBER(G105))),"n/m",IF(OR((G105)&lt;=0,(G106)&lt;0),"n/m",(G106)/(G105)))</f>
        <v>4.3649061545176782E-2</v>
      </c>
      <c r="H140" s="40">
        <f>IF(OR(NOT(ISNUMBER(H106)),NOT(ISNUMBER(H105))),"n/m",IF(OR((H105)&lt;=0,(H106)&lt;0),"n/m",(H106)/(H105)))</f>
        <v>2.7982986344302664E-2</v>
      </c>
    </row>
    <row r="141" spans="1:8" ht="34.049999999999997" customHeight="1" x14ac:dyDescent="0.3">
      <c r="A141" s="34" t="s">
        <v>244</v>
      </c>
      <c r="B141" s="35" t="s">
        <v>245</v>
      </c>
      <c r="C141" s="35" t="s">
        <v>246</v>
      </c>
      <c r="D141" s="37">
        <f>IF(OR(NOT(ISNUMBER(D160)),NOT(ISNUMBER(D83))),"n/m",IF(OR((D83)&lt;=0,(D160)&lt;0),"n/m",(D160)/(D83)))</f>
        <v>4.9126800998035849</v>
      </c>
      <c r="E141" s="37">
        <f>IF(OR(NOT(ISNUMBER(E160)),NOT(ISNUMBER(E83))),"n/m",IF(OR((E83)&lt;=0,(E160)&lt;0),"n/m",(E160)/(E83)))</f>
        <v>3.9999441320816422</v>
      </c>
      <c r="F141" s="37">
        <f>IF(OR(NOT(ISNUMBER(F160)),NOT(ISNUMBER(F83))),"n/m",IF(OR((F83)&lt;=0,(F160)&lt;0),"n/m",(F160)/(F83)))</f>
        <v>3.9638226712605413</v>
      </c>
      <c r="G141" s="37">
        <f>IF(OR(NOT(ISNUMBER(G160)),NOT(ISNUMBER(G83))),"n/m",IF(OR((G83)&lt;=0,(G160)&lt;0),"n/m",(G160)/(G83)))</f>
        <v>3.9028355635230949</v>
      </c>
      <c r="H141" s="37">
        <f>IF(OR(NOT(ISNUMBER(H160)),NOT(ISNUMBER(H83))),"n/m",IF(OR((H83)&lt;=0,(H160)&lt;0),"n/m",(H160)/(H83)))</f>
        <v>4.5760845203336329</v>
      </c>
    </row>
    <row r="142" spans="1:8" ht="4.05" customHeight="1" x14ac:dyDescent="0.3">
      <c r="A142" s="32"/>
      <c r="B142" s="32"/>
      <c r="C142" s="32"/>
      <c r="D142" s="32"/>
      <c r="E142" s="32"/>
      <c r="F142" s="32"/>
      <c r="G142" s="32"/>
      <c r="H142" s="32"/>
    </row>
    <row r="143" spans="1:8" ht="4.05" customHeight="1" x14ac:dyDescent="0.3">
      <c r="B143" s="36"/>
      <c r="C143" s="36"/>
      <c r="D143" s="36"/>
      <c r="E143" s="36"/>
      <c r="F143" s="36"/>
      <c r="G143" s="36"/>
      <c r="H143" s="36"/>
    </row>
    <row r="144" spans="1:8" ht="4.05" customHeight="1" x14ac:dyDescent="0.3">
      <c r="B144" s="36"/>
      <c r="C144" s="36"/>
      <c r="D144" s="36"/>
      <c r="E144" s="36"/>
      <c r="F144" s="36"/>
      <c r="G144" s="36"/>
      <c r="H144" s="36"/>
    </row>
    <row r="145" spans="1:9" ht="4.05" customHeight="1" x14ac:dyDescent="0.3">
      <c r="B145" s="36"/>
      <c r="C145" s="36"/>
      <c r="D145" s="36"/>
      <c r="E145" s="36"/>
      <c r="F145" s="36"/>
      <c r="G145" s="36"/>
      <c r="H145" s="36"/>
    </row>
    <row r="146" spans="1:9" ht="4.05" customHeight="1" x14ac:dyDescent="0.3"/>
    <row r="147" spans="1:9" ht="22.05" customHeight="1" x14ac:dyDescent="0.3">
      <c r="A147" s="89" t="s">
        <v>247</v>
      </c>
      <c r="B147" s="89"/>
      <c r="C147" s="88"/>
      <c r="D147" s="88"/>
      <c r="E147" s="88"/>
      <c r="F147" s="88"/>
      <c r="G147" s="88"/>
      <c r="H147" s="88"/>
    </row>
    <row r="148" spans="1:9" ht="15" customHeight="1" x14ac:dyDescent="0.3">
      <c r="A148" s="20" t="s">
        <v>248</v>
      </c>
      <c r="B148" s="20"/>
      <c r="C148" s="17"/>
      <c r="D148" s="17">
        <v>0</v>
      </c>
      <c r="E148" s="17">
        <v>7387</v>
      </c>
      <c r="F148" s="17">
        <v>7387</v>
      </c>
      <c r="G148" s="17">
        <v>7387</v>
      </c>
      <c r="H148" s="17">
        <v>0</v>
      </c>
      <c r="I148" s="17">
        <v>0</v>
      </c>
    </row>
    <row r="149" spans="1:9" ht="15" customHeight="1" x14ac:dyDescent="0.3">
      <c r="A149" s="20" t="s">
        <v>249</v>
      </c>
      <c r="B149" s="20"/>
      <c r="C149" s="17"/>
      <c r="D149" s="17">
        <v>0</v>
      </c>
      <c r="E149" s="17">
        <v>0</v>
      </c>
      <c r="F149" s="17">
        <v>0</v>
      </c>
      <c r="G149" s="17">
        <v>0</v>
      </c>
      <c r="H149" s="17">
        <v>185.18600000000001</v>
      </c>
      <c r="I149" s="17">
        <v>0</v>
      </c>
    </row>
    <row r="150" spans="1:9" ht="15" customHeight="1" x14ac:dyDescent="0.3">
      <c r="A150" s="20" t="s">
        <v>250</v>
      </c>
      <c r="B150" s="20"/>
      <c r="C150" s="17"/>
      <c r="D150" s="17">
        <v>0</v>
      </c>
      <c r="E150" s="17">
        <v>0</v>
      </c>
      <c r="F150" s="17">
        <v>0</v>
      </c>
      <c r="G150" s="17">
        <v>0</v>
      </c>
      <c r="H150" s="17">
        <v>0</v>
      </c>
      <c r="I150" s="17">
        <v>0</v>
      </c>
    </row>
    <row r="151" spans="1:9" ht="4.05" customHeight="1" x14ac:dyDescent="0.3">
      <c r="B151" s="31"/>
      <c r="C151" s="18"/>
      <c r="D151" s="18"/>
      <c r="E151" s="18"/>
      <c r="F151" s="18"/>
      <c r="G151" s="18"/>
      <c r="H151" s="18"/>
      <c r="I151" s="17"/>
    </row>
    <row r="152" spans="1:9" ht="4.05" customHeight="1" x14ac:dyDescent="0.3">
      <c r="B152" s="73"/>
      <c r="C152" s="74"/>
      <c r="D152" s="74"/>
      <c r="E152" s="74"/>
      <c r="F152" s="74"/>
      <c r="G152" s="74"/>
      <c r="H152" s="74"/>
    </row>
    <row r="153" spans="1:9" ht="4.05" customHeight="1" x14ac:dyDescent="0.3">
      <c r="A153" s="73"/>
      <c r="B153" s="73"/>
      <c r="C153" s="74"/>
      <c r="D153" s="74"/>
      <c r="E153" s="74"/>
      <c r="F153" s="74"/>
      <c r="G153" s="74"/>
      <c r="H153" s="74"/>
    </row>
    <row r="154" spans="1:9" ht="4.05" customHeight="1" x14ac:dyDescent="0.3"/>
    <row r="155" spans="1:9" ht="22.95" customHeight="1" x14ac:dyDescent="0.3">
      <c r="A155" s="88" t="s">
        <v>251</v>
      </c>
      <c r="B155" s="88"/>
      <c r="C155" s="88"/>
      <c r="D155" s="88"/>
      <c r="E155" s="88"/>
      <c r="F155" s="88"/>
      <c r="G155" s="88"/>
      <c r="H155" s="88"/>
    </row>
    <row r="156" spans="1:9" ht="15" customHeight="1" x14ac:dyDescent="0.3">
      <c r="D156" t="s">
        <v>58</v>
      </c>
      <c r="E156" t="s">
        <v>59</v>
      </c>
      <c r="F156" t="s">
        <v>60</v>
      </c>
      <c r="G156" t="s">
        <v>61</v>
      </c>
      <c r="H156" t="s">
        <v>62</v>
      </c>
    </row>
    <row r="157" spans="1:9" ht="15" customHeight="1" x14ac:dyDescent="0.3">
      <c r="A157" t="s">
        <v>252</v>
      </c>
      <c r="D157" s="43">
        <f>D22+D161-D162</f>
        <v>900.77800000000002</v>
      </c>
      <c r="E157" s="43">
        <f>E22+E161-E162</f>
        <v>2306.6329999999998</v>
      </c>
      <c r="F157" s="43">
        <f>F22+F161-F162</f>
        <v>880.95699999999999</v>
      </c>
      <c r="G157" s="43">
        <f>G22+G161-G162</f>
        <v>2847.4839999999999</v>
      </c>
      <c r="H157" s="43">
        <f>H22+H161-H162</f>
        <v>2579.8380000000002</v>
      </c>
    </row>
    <row r="158" spans="1:9" ht="15" customHeight="1" x14ac:dyDescent="0.3">
      <c r="A158" t="s">
        <v>253</v>
      </c>
      <c r="D158" s="43">
        <f>D40+D148+D149</f>
        <v>0</v>
      </c>
      <c r="E158" s="43">
        <f>E40+E148+E149</f>
        <v>7387</v>
      </c>
      <c r="F158" s="43">
        <f>F40+F148+F149</f>
        <v>7387</v>
      </c>
      <c r="G158" s="43">
        <f>G40+G148+G149</f>
        <v>7387</v>
      </c>
      <c r="H158" s="43">
        <f>H40+H148+H149</f>
        <v>185.18600000000001</v>
      </c>
    </row>
    <row r="159" spans="1:9" ht="15" customHeight="1" x14ac:dyDescent="0.3">
      <c r="A159" t="s">
        <v>254</v>
      </c>
      <c r="D159" s="43">
        <f>D105*D103</f>
        <v>31735.745000000003</v>
      </c>
      <c r="E159" s="43">
        <f>E105*E103</f>
        <v>30894.978530000004</v>
      </c>
      <c r="F159" s="43">
        <f>F105*F103</f>
        <v>28845.487776000002</v>
      </c>
      <c r="G159" s="43">
        <f>G105*G103</f>
        <v>56194.738516000005</v>
      </c>
      <c r="H159" s="43">
        <f>H105*H103</f>
        <v>109568.702292</v>
      </c>
    </row>
    <row r="160" spans="1:9" ht="15" customHeight="1" x14ac:dyDescent="0.3">
      <c r="A160" t="s">
        <v>255</v>
      </c>
      <c r="D160" s="43">
        <f>D159+D55+D158-D157</f>
        <v>33403.056000000004</v>
      </c>
      <c r="E160" s="43">
        <f>E159+E55+E158-E157</f>
        <v>61892.975530000011</v>
      </c>
      <c r="F160" s="43">
        <f>F159+F55+F158-F157</f>
        <v>76005.526776000013</v>
      </c>
      <c r="G160" s="43">
        <f>G159+G55+G158-G157</f>
        <v>97324.003516000012</v>
      </c>
      <c r="H160" s="43">
        <f>H159+H55+H158-H157</f>
        <v>147210.520292</v>
      </c>
    </row>
    <row r="161" spans="1:8" ht="15" customHeight="1" x14ac:dyDescent="0.3">
      <c r="A161" t="s">
        <v>256</v>
      </c>
      <c r="D161" s="43">
        <v>0</v>
      </c>
      <c r="E161" s="43">
        <v>0</v>
      </c>
      <c r="F161" s="43">
        <v>0</v>
      </c>
      <c r="G161" s="43">
        <v>0</v>
      </c>
      <c r="H161" s="43">
        <v>0</v>
      </c>
    </row>
    <row r="162" spans="1:8" ht="15" customHeight="1" x14ac:dyDescent="0.3">
      <c r="A162" t="s">
        <v>257</v>
      </c>
      <c r="D162" s="43">
        <v>0</v>
      </c>
      <c r="E162" s="43">
        <v>0</v>
      </c>
      <c r="F162" s="43">
        <v>89.5</v>
      </c>
      <c r="G162" s="43">
        <v>85.5</v>
      </c>
      <c r="H162" s="43">
        <v>85.5</v>
      </c>
    </row>
    <row r="163" spans="1:8" ht="15" customHeight="1" x14ac:dyDescent="0.3">
      <c r="B163" s="42"/>
      <c r="C163" s="42"/>
      <c r="D163" s="42"/>
      <c r="E163" s="42"/>
      <c r="F163" s="42"/>
      <c r="G163" s="42"/>
      <c r="H163" s="42"/>
    </row>
    <row r="164" spans="1:8" ht="15" customHeight="1" x14ac:dyDescent="0.3">
      <c r="B164" s="42"/>
      <c r="C164" s="42"/>
      <c r="D164" s="42"/>
      <c r="E164" s="42"/>
      <c r="F164" s="42"/>
      <c r="G164" s="42"/>
      <c r="H164" s="42"/>
    </row>
  </sheetData>
  <mergeCells count="7">
    <mergeCell ref="A155:H155"/>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F7F99"/>
    <pageSetUpPr fitToPage="1"/>
  </sheetPr>
  <dimension ref="A1:H295"/>
  <sheetViews>
    <sheetView showGridLines="0" workbookViewId="0">
      <pane xSplit="3" ySplit="4" topLeftCell="D203" activePane="bottomRight" state="frozen"/>
      <selection pane="topRight"/>
      <selection pane="bottomLeft"/>
      <selection pane="bottomRight" activeCell="A5" sqref="A5:H5"/>
    </sheetView>
  </sheetViews>
  <sheetFormatPr defaultColWidth="8.6640625" defaultRowHeight="14.4" x14ac:dyDescent="0.3"/>
  <cols>
    <col min="1" max="1" width="44" customWidth="1"/>
    <col min="2" max="2" width="37" customWidth="1"/>
    <col min="3" max="3" width="28" customWidth="1"/>
    <col min="4" max="8" width="14" customWidth="1"/>
  </cols>
  <sheetData>
    <row r="1" spans="1:8" ht="24" customHeight="1" x14ac:dyDescent="0.3">
      <c r="A1" s="44" t="s">
        <v>269</v>
      </c>
      <c r="B1" s="32"/>
      <c r="C1" s="32"/>
      <c r="D1" s="32"/>
      <c r="E1" s="32"/>
      <c r="F1" s="32"/>
      <c r="G1" s="32"/>
      <c r="H1" s="32"/>
    </row>
    <row r="2" spans="1:8" ht="34.950000000000003" customHeight="1" x14ac:dyDescent="0.3">
      <c r="A2" s="93" t="s">
        <v>270</v>
      </c>
      <c r="B2" s="93"/>
      <c r="C2" s="93"/>
      <c r="D2" s="93"/>
      <c r="E2" s="93"/>
      <c r="F2" s="93"/>
      <c r="G2" s="93"/>
      <c r="H2" s="93"/>
    </row>
    <row r="3" spans="1:8" ht="24" customHeight="1" x14ac:dyDescent="0.3">
      <c r="A3" s="32"/>
      <c r="B3" s="32"/>
      <c r="C3" s="32"/>
      <c r="D3" s="32"/>
      <c r="E3" s="32"/>
      <c r="F3" s="32"/>
      <c r="G3" s="32"/>
      <c r="H3" s="32"/>
    </row>
    <row r="4" spans="1:8" ht="30" customHeight="1" x14ac:dyDescent="0.3">
      <c r="A4" s="45" t="s">
        <v>9</v>
      </c>
      <c r="B4" s="45" t="s">
        <v>159</v>
      </c>
      <c r="C4" s="45" t="s">
        <v>160</v>
      </c>
      <c r="D4" s="45" t="s">
        <v>58</v>
      </c>
      <c r="E4" s="45" t="s">
        <v>59</v>
      </c>
      <c r="F4" s="45" t="s">
        <v>60</v>
      </c>
      <c r="G4" s="45" t="s">
        <v>61</v>
      </c>
      <c r="H4" s="45" t="s">
        <v>62</v>
      </c>
    </row>
    <row r="5" spans="1:8" ht="22.95" customHeight="1" x14ac:dyDescent="0.3">
      <c r="A5" s="90" t="s">
        <v>271</v>
      </c>
      <c r="B5" s="90"/>
      <c r="C5" s="90"/>
      <c r="D5" s="90"/>
      <c r="E5" s="90"/>
      <c r="F5" s="90"/>
      <c r="G5" s="90"/>
      <c r="H5" s="90"/>
    </row>
    <row r="6" spans="1:8" ht="34.049999999999997" customHeight="1" x14ac:dyDescent="0.3">
      <c r="A6" s="46" t="s">
        <v>162</v>
      </c>
      <c r="B6" s="47" t="s">
        <v>163</v>
      </c>
      <c r="C6" s="47" t="s">
        <v>164</v>
      </c>
      <c r="D6" s="49"/>
      <c r="E6" s="49"/>
      <c r="F6" s="49"/>
      <c r="G6" s="49"/>
      <c r="H6" s="49"/>
    </row>
    <row r="7" spans="1:8" ht="24" customHeight="1" x14ac:dyDescent="0.3">
      <c r="A7" s="32" t="s">
        <v>13</v>
      </c>
      <c r="B7" s="32"/>
      <c r="C7" s="32"/>
      <c r="D7" s="50">
        <f>KOHC!D111</f>
        <v>1.3006446691414961</v>
      </c>
      <c r="E7" s="50">
        <f>KOHC!E111</f>
        <v>1.8735085276109804</v>
      </c>
      <c r="F7" s="50">
        <f>KOHC!F111</f>
        <v>2.311570515459215</v>
      </c>
      <c r="G7" s="50">
        <f>KOHC!G111</f>
        <v>2.9031590530160019</v>
      </c>
      <c r="H7" s="50">
        <f>KOHC!H111</f>
        <v>3.311248687172772</v>
      </c>
    </row>
    <row r="8" spans="1:8" ht="24" customHeight="1" x14ac:dyDescent="0.3">
      <c r="A8" s="32" t="s">
        <v>17</v>
      </c>
      <c r="B8" s="32"/>
      <c r="C8" s="32"/>
      <c r="D8" s="50">
        <f>LUCK!D111</f>
        <v>1.3386079458938223</v>
      </c>
      <c r="E8" s="50">
        <f>LUCK!E111</f>
        <v>1.4760766300374313</v>
      </c>
      <c r="F8" s="50">
        <f>LUCK!F111</f>
        <v>1.290071633326858</v>
      </c>
      <c r="G8" s="50">
        <f>LUCK!G111</f>
        <v>1.2632222354743232</v>
      </c>
      <c r="H8" s="50">
        <f>LUCK!H111</f>
        <v>1.7146143875904156</v>
      </c>
    </row>
    <row r="9" spans="1:8" ht="24" customHeight="1" x14ac:dyDescent="0.3">
      <c r="A9" s="32" t="s">
        <v>21</v>
      </c>
      <c r="B9" s="32"/>
      <c r="C9" s="32"/>
      <c r="D9" s="50">
        <f>DGKC!D111</f>
        <v>0.91452508864509019</v>
      </c>
      <c r="E9" s="50">
        <f>DGKC!E111</f>
        <v>0.88552877147710041</v>
      </c>
      <c r="F9" s="50">
        <f>DGKC!F111</f>
        <v>0.80176749057385621</v>
      </c>
      <c r="G9" s="50">
        <f>DGKC!G111</f>
        <v>1.296185931254842</v>
      </c>
      <c r="H9" s="50">
        <f>DGKC!H111</f>
        <v>1.8489517932979607</v>
      </c>
    </row>
    <row r="10" spans="1:8" ht="24" customHeight="1" x14ac:dyDescent="0.3">
      <c r="A10" s="32" t="s">
        <v>25</v>
      </c>
      <c r="B10" s="32"/>
      <c r="C10" s="32"/>
      <c r="D10" s="50">
        <f>MLCF!D111</f>
        <v>1.4780988568182505</v>
      </c>
      <c r="E10" s="50">
        <f>MLCF!E111</f>
        <v>1.2549557408945418</v>
      </c>
      <c r="F10" s="50">
        <f>MLCF!F111</f>
        <v>1.3715472215546312</v>
      </c>
      <c r="G10" s="50">
        <f>MLCF!G111</f>
        <v>1.4446782415124371</v>
      </c>
      <c r="H10" s="50">
        <f>MLCF!H111</f>
        <v>1.5324411303645513</v>
      </c>
    </row>
    <row r="11" spans="1:8" ht="24" customHeight="1" x14ac:dyDescent="0.3">
      <c r="A11" s="32" t="s">
        <v>29</v>
      </c>
      <c r="B11" s="32"/>
      <c r="C11" s="32"/>
      <c r="D11" s="50">
        <f>FCCL!D111</f>
        <v>2.01862288296847</v>
      </c>
      <c r="E11" s="50">
        <f>FCCL!E111</f>
        <v>1.0559688948718087</v>
      </c>
      <c r="F11" s="50">
        <f>FCCL!F111</f>
        <v>0.81211137558007007</v>
      </c>
      <c r="G11" s="50">
        <f>FCCL!G111</f>
        <v>0.95974773116730094</v>
      </c>
      <c r="H11" s="50">
        <f>FCCL!H111</f>
        <v>1.3210140828410366</v>
      </c>
    </row>
    <row r="12" spans="1:8" ht="24" customHeight="1" x14ac:dyDescent="0.3">
      <c r="A12" s="48" t="s">
        <v>272</v>
      </c>
      <c r="B12" s="48"/>
      <c r="C12" s="48"/>
      <c r="D12" s="51">
        <f>IF(COUNT(D7:D11)=0,"n/m",AVERAGE(D7:D11))</f>
        <v>1.410099888693426</v>
      </c>
      <c r="E12" s="51">
        <f>IF(COUNT(E7:E11)=0,"n/m",AVERAGE(E7:E11))</f>
        <v>1.3092077129783726</v>
      </c>
      <c r="F12" s="51">
        <f>IF(COUNT(F7:F11)=0,"n/m",AVERAGE(F7:F11))</f>
        <v>1.3174136472989262</v>
      </c>
      <c r="G12" s="51">
        <f>IF(COUNT(G7:G11)=0,"n/m",AVERAGE(G7:G11))</f>
        <v>1.5733986384849812</v>
      </c>
      <c r="H12" s="51">
        <f>IF(COUNT(H7:H11)=0,"n/m",AVERAGE(H7:H11))</f>
        <v>1.9456540162533476</v>
      </c>
    </row>
    <row r="13" spans="1:8" ht="24" customHeight="1" x14ac:dyDescent="0.3">
      <c r="A13" s="32"/>
      <c r="B13" s="32"/>
      <c r="C13" s="32"/>
      <c r="D13" s="52"/>
      <c r="E13" s="52"/>
      <c r="F13" s="52"/>
      <c r="G13" s="52"/>
      <c r="H13" s="52"/>
    </row>
    <row r="14" spans="1:8" ht="34.049999999999997" customHeight="1" x14ac:dyDescent="0.3">
      <c r="A14" s="46" t="s">
        <v>165</v>
      </c>
      <c r="B14" s="47" t="s">
        <v>166</v>
      </c>
      <c r="C14" s="47" t="s">
        <v>167</v>
      </c>
      <c r="D14" s="49"/>
      <c r="E14" s="49"/>
      <c r="F14" s="49"/>
      <c r="G14" s="49"/>
      <c r="H14" s="49"/>
    </row>
    <row r="15" spans="1:8" ht="24" customHeight="1" x14ac:dyDescent="0.3">
      <c r="A15" s="32" t="s">
        <v>13</v>
      </c>
      <c r="B15" s="32"/>
      <c r="C15" s="32"/>
      <c r="D15" s="50">
        <f>KOHC!D112</f>
        <v>0.74816043855554903</v>
      </c>
      <c r="E15" s="50">
        <f>KOHC!E112</f>
        <v>1.2758070110452304</v>
      </c>
      <c r="F15" s="50">
        <f>KOHC!F112</f>
        <v>1.5392110300634694</v>
      </c>
      <c r="G15" s="50">
        <f>KOHC!G112</f>
        <v>2.2200593399212352</v>
      </c>
      <c r="H15" s="50">
        <f>KOHC!H112</f>
        <v>2.6677003784340947</v>
      </c>
    </row>
    <row r="16" spans="1:8" ht="24" customHeight="1" x14ac:dyDescent="0.3">
      <c r="A16" s="32" t="s">
        <v>17</v>
      </c>
      <c r="B16" s="32"/>
      <c r="C16" s="32"/>
      <c r="D16" s="50">
        <f>LUCK!D112</f>
        <v>0.89000886100685095</v>
      </c>
      <c r="E16" s="50">
        <f>LUCK!E112</f>
        <v>0.87076091919208631</v>
      </c>
      <c r="F16" s="50">
        <f>LUCK!F112</f>
        <v>0.85412226562426408</v>
      </c>
      <c r="G16" s="50">
        <f>LUCK!G112</f>
        <v>0.83698311631700717</v>
      </c>
      <c r="H16" s="50">
        <f>LUCK!H112</f>
        <v>1.2939267138361998</v>
      </c>
    </row>
    <row r="17" spans="1:8" ht="24" customHeight="1" x14ac:dyDescent="0.3">
      <c r="A17" s="32" t="s">
        <v>21</v>
      </c>
      <c r="B17" s="32"/>
      <c r="C17" s="32"/>
      <c r="D17" s="50">
        <f>DGKC!D112</f>
        <v>0.52718830778210601</v>
      </c>
      <c r="E17" s="50">
        <f>DGKC!E112</f>
        <v>0.39093390789665328</v>
      </c>
      <c r="F17" s="50">
        <f>DGKC!F112</f>
        <v>0.33489936167445872</v>
      </c>
      <c r="G17" s="50">
        <f>DGKC!G112</f>
        <v>0.66771764923027133</v>
      </c>
      <c r="H17" s="50">
        <f>DGKC!H112</f>
        <v>1.0579587679634685</v>
      </c>
    </row>
    <row r="18" spans="1:8" ht="24" customHeight="1" x14ac:dyDescent="0.3">
      <c r="A18" s="32" t="s">
        <v>25</v>
      </c>
      <c r="B18" s="32"/>
      <c r="C18" s="32"/>
      <c r="D18" s="50">
        <f>MLCF!D112</f>
        <v>0.43971691910387301</v>
      </c>
      <c r="E18" s="50">
        <f>MLCF!E112</f>
        <v>0.29473524106223353</v>
      </c>
      <c r="F18" s="50">
        <f>MLCF!F112</f>
        <v>0.5204561252187091</v>
      </c>
      <c r="G18" s="50">
        <f>MLCF!G112</f>
        <v>0.60942670638462615</v>
      </c>
      <c r="H18" s="50">
        <f>MLCF!H112</f>
        <v>0.80788282595509864</v>
      </c>
    </row>
    <row r="19" spans="1:8" ht="24" customHeight="1" x14ac:dyDescent="0.3">
      <c r="A19" s="32" t="s">
        <v>29</v>
      </c>
      <c r="B19" s="32"/>
      <c r="C19" s="32"/>
      <c r="D19" s="50">
        <f>FCCL!D112</f>
        <v>1.1357988467684703</v>
      </c>
      <c r="E19" s="50">
        <f>FCCL!E112</f>
        <v>0.47078421060569281</v>
      </c>
      <c r="F19" s="50">
        <f>FCCL!F112</f>
        <v>0.28121710873313321</v>
      </c>
      <c r="G19" s="50">
        <f>FCCL!G112</f>
        <v>0.3420463898878065</v>
      </c>
      <c r="H19" s="50">
        <f>FCCL!H112</f>
        <v>0.67753380767364924</v>
      </c>
    </row>
    <row r="20" spans="1:8" ht="24" customHeight="1" x14ac:dyDescent="0.3">
      <c r="A20" s="48" t="s">
        <v>272</v>
      </c>
      <c r="B20" s="48"/>
      <c r="C20" s="48"/>
      <c r="D20" s="51">
        <f>IF(COUNT(D15:D19)=0,"n/m",AVERAGE(D15:D19))</f>
        <v>0.74817467464336995</v>
      </c>
      <c r="E20" s="51">
        <f>IF(COUNT(E15:E19)=0,"n/m",AVERAGE(E15:E19))</f>
        <v>0.66060425796037925</v>
      </c>
      <c r="F20" s="51">
        <f>IF(COUNT(F15:F19)=0,"n/m",AVERAGE(F15:F19))</f>
        <v>0.70598117826280693</v>
      </c>
      <c r="G20" s="51">
        <f>IF(COUNT(G15:G19)=0,"n/m",AVERAGE(G15:G19))</f>
        <v>0.93524664034818927</v>
      </c>
      <c r="H20" s="51">
        <f>IF(COUNT(H15:H19)=0,"n/m",AVERAGE(H15:H19))</f>
        <v>1.3010004987725021</v>
      </c>
    </row>
    <row r="21" spans="1:8" ht="24" customHeight="1" x14ac:dyDescent="0.3">
      <c r="A21" s="32"/>
      <c r="B21" s="32"/>
      <c r="C21" s="32"/>
      <c r="D21" s="52"/>
      <c r="E21" s="52"/>
      <c r="F21" s="52"/>
      <c r="G21" s="52"/>
      <c r="H21" s="52"/>
    </row>
    <row r="22" spans="1:8" ht="34.049999999999997" customHeight="1" x14ac:dyDescent="0.3">
      <c r="A22" s="46" t="s">
        <v>168</v>
      </c>
      <c r="B22" s="47" t="s">
        <v>169</v>
      </c>
      <c r="C22" s="47" t="s">
        <v>170</v>
      </c>
      <c r="D22" s="49"/>
      <c r="E22" s="49"/>
      <c r="F22" s="49"/>
      <c r="G22" s="49"/>
      <c r="H22" s="49"/>
    </row>
    <row r="23" spans="1:8" ht="24" customHeight="1" x14ac:dyDescent="0.3">
      <c r="A23" s="32" t="s">
        <v>13</v>
      </c>
      <c r="B23" s="32"/>
      <c r="C23" s="32"/>
      <c r="D23" s="50">
        <f>KOHC!D113</f>
        <v>0.15817363525137568</v>
      </c>
      <c r="E23" s="50">
        <f>KOHC!E113</f>
        <v>5.0670963775722312E-2</v>
      </c>
      <c r="F23" s="50">
        <f>KOHC!F113</f>
        <v>9.4178046452072631E-2</v>
      </c>
      <c r="G23" s="50">
        <f>KOHC!G113</f>
        <v>9.9376831489781367E-2</v>
      </c>
      <c r="H23" s="50">
        <f>KOHC!H113</f>
        <v>0.1243988942257843</v>
      </c>
    </row>
    <row r="24" spans="1:8" ht="24" customHeight="1" x14ac:dyDescent="0.3">
      <c r="A24" s="32" t="s">
        <v>17</v>
      </c>
      <c r="B24" s="32"/>
      <c r="C24" s="32"/>
      <c r="D24" s="50">
        <f>LUCK!D113</f>
        <v>0.61509850934604882</v>
      </c>
      <c r="E24" s="50">
        <f>LUCK!E113</f>
        <v>0.51028731982278264</v>
      </c>
      <c r="F24" s="50">
        <f>LUCK!F113</f>
        <v>0.56303776721097065</v>
      </c>
      <c r="G24" s="50">
        <f>LUCK!G113</f>
        <v>0.59758338272421885</v>
      </c>
      <c r="H24" s="50">
        <f>LUCK!H113</f>
        <v>1.0928864859820921</v>
      </c>
    </row>
    <row r="25" spans="1:8" ht="24" customHeight="1" x14ac:dyDescent="0.3">
      <c r="A25" s="32" t="s">
        <v>21</v>
      </c>
      <c r="B25" s="32"/>
      <c r="C25" s="32"/>
      <c r="D25" s="50">
        <f>DGKC!D113</f>
        <v>2.0011480184397672E-2</v>
      </c>
      <c r="E25" s="50">
        <f>DGKC!E113</f>
        <v>8.913248794490819E-3</v>
      </c>
      <c r="F25" s="50">
        <f>DGKC!F113</f>
        <v>1.3866688142092815E-2</v>
      </c>
      <c r="G25" s="50">
        <f>DGKC!G113</f>
        <v>2.2719990993528554E-2</v>
      </c>
      <c r="H25" s="50">
        <f>DGKC!H113</f>
        <v>4.7175167844291127E-2</v>
      </c>
    </row>
    <row r="26" spans="1:8" ht="24" customHeight="1" x14ac:dyDescent="0.3">
      <c r="A26" s="32" t="s">
        <v>25</v>
      </c>
      <c r="B26" s="32"/>
      <c r="C26" s="32"/>
      <c r="D26" s="50">
        <f>MLCF!D113</f>
        <v>4.2825558053104403E-2</v>
      </c>
      <c r="E26" s="50">
        <f>MLCF!E113</f>
        <v>4.9006165540003331E-2</v>
      </c>
      <c r="F26" s="50">
        <f>MLCF!F113</f>
        <v>4.5680298533070048E-2</v>
      </c>
      <c r="G26" s="50">
        <f>MLCF!G113</f>
        <v>7.3767434857886421E-2</v>
      </c>
      <c r="H26" s="50">
        <f>MLCF!H113</f>
        <v>6.9243334827372452E-2</v>
      </c>
    </row>
    <row r="27" spans="1:8" ht="24" customHeight="1" x14ac:dyDescent="0.3">
      <c r="A27" s="32" t="s">
        <v>29</v>
      </c>
      <c r="B27" s="32"/>
      <c r="C27" s="32"/>
      <c r="D27" s="50">
        <f>FCCL!D113</f>
        <v>0.14618299383526975</v>
      </c>
      <c r="E27" s="50">
        <f>FCCL!E113</f>
        <v>8.632203736853207E-2</v>
      </c>
      <c r="F27" s="50">
        <f>FCCL!F113</f>
        <v>3.0925035424233385E-2</v>
      </c>
      <c r="G27" s="50">
        <f>FCCL!G113</f>
        <v>0.10599048957533475</v>
      </c>
      <c r="H27" s="50">
        <f>FCCL!H113</f>
        <v>8.4205246923402408E-2</v>
      </c>
    </row>
    <row r="28" spans="1:8" ht="24" customHeight="1" x14ac:dyDescent="0.3">
      <c r="A28" s="48" t="s">
        <v>272</v>
      </c>
      <c r="B28" s="48"/>
      <c r="C28" s="48"/>
      <c r="D28" s="51">
        <f>IF(COUNT(D23:D27)=0,"n/m",AVERAGE(D23:D27))</f>
        <v>0.19645843533403926</v>
      </c>
      <c r="E28" s="51">
        <f>IF(COUNT(E23:E27)=0,"n/m",AVERAGE(E23:E27))</f>
        <v>0.14103994706030626</v>
      </c>
      <c r="F28" s="51">
        <f>IF(COUNT(F23:F27)=0,"n/m",AVERAGE(F23:F27))</f>
        <v>0.14953756715248792</v>
      </c>
      <c r="G28" s="51">
        <f>IF(COUNT(G23:G27)=0,"n/m",AVERAGE(G23:G27))</f>
        <v>0.17988762592814997</v>
      </c>
      <c r="H28" s="51">
        <f>IF(COUNT(H23:H27)=0,"n/m",AVERAGE(H23:H27))</f>
        <v>0.28358182596058851</v>
      </c>
    </row>
    <row r="29" spans="1:8" ht="24" customHeight="1" x14ac:dyDescent="0.3">
      <c r="A29" s="32"/>
      <c r="B29" s="32"/>
      <c r="C29" s="32"/>
      <c r="D29" s="52"/>
      <c r="E29" s="52"/>
      <c r="F29" s="52"/>
      <c r="G29" s="52"/>
      <c r="H29" s="52"/>
    </row>
    <row r="30" spans="1:8" ht="34.049999999999997" customHeight="1" x14ac:dyDescent="0.3">
      <c r="A30" s="46" t="s">
        <v>171</v>
      </c>
      <c r="B30" s="47" t="s">
        <v>172</v>
      </c>
      <c r="C30" s="47" t="s">
        <v>173</v>
      </c>
      <c r="D30" s="49"/>
      <c r="E30" s="49"/>
      <c r="F30" s="49"/>
      <c r="G30" s="49"/>
      <c r="H30" s="49"/>
    </row>
    <row r="31" spans="1:8" ht="24" customHeight="1" x14ac:dyDescent="0.3">
      <c r="A31" s="32" t="s">
        <v>13</v>
      </c>
      <c r="B31" s="32"/>
      <c r="C31" s="32"/>
      <c r="D31" s="53">
        <f>KOHC!D114</f>
        <v>2276.5547739999984</v>
      </c>
      <c r="E31" s="53">
        <f>KOHC!E114</f>
        <v>8287.8407679999964</v>
      </c>
      <c r="F31" s="53">
        <f>KOHC!F114</f>
        <v>13000.905238000001</v>
      </c>
      <c r="G31" s="53">
        <f>KOHC!G114</f>
        <v>21116.760542</v>
      </c>
      <c r="H31" s="53">
        <f>KOHC!H114</f>
        <v>26953.091383000003</v>
      </c>
    </row>
    <row r="32" spans="1:8" ht="24" customHeight="1" x14ac:dyDescent="0.3">
      <c r="A32" s="32" t="s">
        <v>17</v>
      </c>
      <c r="B32" s="32"/>
      <c r="C32" s="32"/>
      <c r="D32" s="53">
        <f>LUCK!D114</f>
        <v>10289.302000000007</v>
      </c>
      <c r="E32" s="53">
        <f>LUCK!E114</f>
        <v>14454.333000000006</v>
      </c>
      <c r="F32" s="53">
        <f>LUCK!F114</f>
        <v>13395.762999999999</v>
      </c>
      <c r="G32" s="53">
        <f>LUCK!G114</f>
        <v>14263.611000000004</v>
      </c>
      <c r="H32" s="53">
        <f>LUCK!H114</f>
        <v>41905.97600000001</v>
      </c>
    </row>
    <row r="33" spans="1:8" ht="24" customHeight="1" x14ac:dyDescent="0.3">
      <c r="A33" s="32" t="s">
        <v>21</v>
      </c>
      <c r="B33" s="32"/>
      <c r="C33" s="32"/>
      <c r="D33" s="53" t="str">
        <f>DGKC!D114</f>
        <v>n/m</v>
      </c>
      <c r="E33" s="53" t="str">
        <f>DGKC!E114</f>
        <v>n/m</v>
      </c>
      <c r="F33" s="53" t="str">
        <f>DGKC!F114</f>
        <v>n/m</v>
      </c>
      <c r="G33" s="53">
        <f>DGKC!G114</f>
        <v>9544.8039999999928</v>
      </c>
      <c r="H33" s="53">
        <f>DGKC!H114</f>
        <v>21997.121999999999</v>
      </c>
    </row>
    <row r="34" spans="1:8" ht="24" customHeight="1" x14ac:dyDescent="0.3">
      <c r="A34" s="32" t="s">
        <v>25</v>
      </c>
      <c r="B34" s="32"/>
      <c r="C34" s="32"/>
      <c r="D34" s="53">
        <f>MLCF!D114</f>
        <v>5473.9680000000026</v>
      </c>
      <c r="E34" s="53">
        <f>MLCF!E114</f>
        <v>4128.5980000000036</v>
      </c>
      <c r="F34" s="53">
        <f>MLCF!F114</f>
        <v>6024.645999999997</v>
      </c>
      <c r="G34" s="53">
        <f>MLCF!G114</f>
        <v>8270.0370000000003</v>
      </c>
      <c r="H34" s="53">
        <f>MLCF!H114</f>
        <v>12422.112999999994</v>
      </c>
    </row>
    <row r="35" spans="1:8" ht="24" customHeight="1" x14ac:dyDescent="0.3">
      <c r="A35" s="32" t="s">
        <v>29</v>
      </c>
      <c r="B35" s="32"/>
      <c r="C35" s="32"/>
      <c r="D35" s="53">
        <f>FCCL!D114</f>
        <v>6276.7430000000004</v>
      </c>
      <c r="E35" s="53">
        <f>FCCL!E114</f>
        <v>1495.5590000000011</v>
      </c>
      <c r="F35" s="53" t="str">
        <f>FCCL!F114</f>
        <v>n/m</v>
      </c>
      <c r="G35" s="53" t="str">
        <f>FCCL!G114</f>
        <v>n/m</v>
      </c>
      <c r="H35" s="53">
        <f>FCCL!H114</f>
        <v>9835.0680000000066</v>
      </c>
    </row>
    <row r="36" spans="1:8" ht="30" customHeight="1" x14ac:dyDescent="0.3">
      <c r="A36" s="48" t="s">
        <v>272</v>
      </c>
      <c r="B36" s="48"/>
      <c r="C36" s="61" t="str">
        <f>"N (FY21-25): "&amp;COUNT(D31:D35)&amp;","&amp;COUNT(E31:E35)&amp;","&amp;COUNT(F31:F35)&amp;","&amp;COUNT(G31:G35)&amp;","&amp;COUNT(H31:H35)</f>
        <v>N (FY21-25): 4,4,3,4,5</v>
      </c>
      <c r="D36" s="54">
        <f>IF(COUNT(D31:D35)=0,"n/m",AVERAGE(D31:D35))</f>
        <v>6079.1419435000025</v>
      </c>
      <c r="E36" s="54">
        <f>IF(COUNT(E31:E35)=0,"n/m",AVERAGE(E31:E35))</f>
        <v>7091.5826920000018</v>
      </c>
      <c r="F36" s="54">
        <f>IF(COUNT(F31:F35)=0,"n/m",AVERAGE(F31:F35))</f>
        <v>10807.104745999999</v>
      </c>
      <c r="G36" s="54">
        <f>IF(COUNT(G31:G35)=0,"n/m",AVERAGE(G31:G35))</f>
        <v>13298.803135499998</v>
      </c>
      <c r="H36" s="54">
        <f>IF(COUNT(H31:H35)=0,"n/m",AVERAGE(H31:H35))</f>
        <v>22622.674076600008</v>
      </c>
    </row>
    <row r="37" spans="1:8" ht="24" customHeight="1" x14ac:dyDescent="0.3">
      <c r="A37" s="32"/>
      <c r="B37" s="32"/>
      <c r="C37" s="32"/>
      <c r="D37" s="52"/>
      <c r="E37" s="52"/>
      <c r="F37" s="52"/>
      <c r="G37" s="52"/>
      <c r="H37" s="52"/>
    </row>
    <row r="38" spans="1:8" ht="22.95" customHeight="1" x14ac:dyDescent="0.3">
      <c r="A38" s="90" t="s">
        <v>273</v>
      </c>
      <c r="B38" s="90"/>
      <c r="C38" s="90"/>
      <c r="D38" s="92"/>
      <c r="E38" s="92"/>
      <c r="F38" s="92"/>
      <c r="G38" s="92"/>
      <c r="H38" s="92"/>
    </row>
    <row r="39" spans="1:8" ht="34.049999999999997" customHeight="1" x14ac:dyDescent="0.3">
      <c r="A39" s="46" t="s">
        <v>175</v>
      </c>
      <c r="B39" s="47" t="s">
        <v>176</v>
      </c>
      <c r="C39" s="47" t="s">
        <v>177</v>
      </c>
      <c r="D39" s="49"/>
      <c r="E39" s="49"/>
      <c r="F39" s="49"/>
      <c r="G39" s="49"/>
      <c r="H39" s="49"/>
    </row>
    <row r="40" spans="1:8" ht="24" customHeight="1" x14ac:dyDescent="0.3">
      <c r="A40" s="32" t="s">
        <v>13</v>
      </c>
      <c r="B40" s="32"/>
      <c r="C40" s="32"/>
      <c r="D40" s="50">
        <f>KOHC!D116</f>
        <v>4.8570986013255171</v>
      </c>
      <c r="E40" s="50">
        <f>KOHC!E116</f>
        <v>4.6811317215716919</v>
      </c>
      <c r="F40" s="50">
        <f>KOHC!F116</f>
        <v>4.2753791437713859</v>
      </c>
      <c r="G40" s="50">
        <f>KOHC!G116</f>
        <v>3.5957369645110586</v>
      </c>
      <c r="H40" s="50">
        <f>KOHC!H116</f>
        <v>3.024880626442934</v>
      </c>
    </row>
    <row r="41" spans="1:8" ht="24" customHeight="1" x14ac:dyDescent="0.3">
      <c r="A41" s="32" t="s">
        <v>17</v>
      </c>
      <c r="B41" s="32"/>
      <c r="C41" s="32"/>
      <c r="D41" s="50">
        <f>LUCK!D116</f>
        <v>3.8136073127139278</v>
      </c>
      <c r="E41" s="50">
        <f>LUCK!E116</f>
        <v>3.657733126059421</v>
      </c>
      <c r="F41" s="50">
        <f>LUCK!F116</f>
        <v>3.6234818387767853</v>
      </c>
      <c r="G41" s="50">
        <f>LUCK!G116</f>
        <v>3.5401699550948362</v>
      </c>
      <c r="H41" s="50">
        <f>LUCK!H116</f>
        <v>3.4260949525900268</v>
      </c>
    </row>
    <row r="42" spans="1:8" ht="24" customHeight="1" x14ac:dyDescent="0.3">
      <c r="A42" s="32" t="s">
        <v>21</v>
      </c>
      <c r="B42" s="32"/>
      <c r="C42" s="32"/>
      <c r="D42" s="50">
        <f>DGKC!D116</f>
        <v>2.6267527531726218</v>
      </c>
      <c r="E42" s="50">
        <f>DGKC!E116</f>
        <v>2.479761249901864</v>
      </c>
      <c r="F42" s="50">
        <f>DGKC!F116</f>
        <v>2.4352964976956684</v>
      </c>
      <c r="G42" s="50">
        <f>DGKC!G116</f>
        <v>2.5832010951831741</v>
      </c>
      <c r="H42" s="50">
        <f>DGKC!H116</f>
        <v>2.6203448800361673</v>
      </c>
    </row>
    <row r="43" spans="1:8" ht="24" customHeight="1" x14ac:dyDescent="0.3">
      <c r="A43" s="32" t="s">
        <v>25</v>
      </c>
      <c r="B43" s="32"/>
      <c r="C43" s="32"/>
      <c r="D43" s="50">
        <f>MLCF!D116</f>
        <v>2.5503561154199565</v>
      </c>
      <c r="E43" s="50">
        <f>MLCF!E116</f>
        <v>2.6418827583195736</v>
      </c>
      <c r="F43" s="50">
        <f>MLCF!F116</f>
        <v>2.991643999189634</v>
      </c>
      <c r="G43" s="50">
        <f>MLCF!G116</f>
        <v>3.1013565995658121</v>
      </c>
      <c r="H43" s="50">
        <f>MLCF!H116</f>
        <v>2.7865732877055658</v>
      </c>
    </row>
    <row r="44" spans="1:8" ht="24" customHeight="1" x14ac:dyDescent="0.3">
      <c r="A44" s="32" t="s">
        <v>29</v>
      </c>
      <c r="B44" s="32"/>
      <c r="C44" s="32"/>
      <c r="D44" s="50">
        <f>FCCL!D116</f>
        <v>3.593399445976929</v>
      </c>
      <c r="E44" s="50">
        <f>FCCL!E116</f>
        <v>3.6798285509863442</v>
      </c>
      <c r="F44" s="50">
        <f>FCCL!F116</f>
        <v>3.0981941833220765</v>
      </c>
      <c r="G44" s="50">
        <f>FCCL!G116</f>
        <v>3.4267755412065504</v>
      </c>
      <c r="H44" s="50">
        <f>FCCL!H116</f>
        <v>3.1608830315846066</v>
      </c>
    </row>
    <row r="45" spans="1:8" ht="24" customHeight="1" x14ac:dyDescent="0.3">
      <c r="A45" s="48" t="s">
        <v>272</v>
      </c>
      <c r="B45" s="48"/>
      <c r="C45" s="48"/>
      <c r="D45" s="51">
        <f>IF(COUNT(D40:D44)=0,"n/m",AVERAGE(D40:D44))</f>
        <v>3.4882428457217904</v>
      </c>
      <c r="E45" s="51">
        <f>IF(COUNT(E40:E44)=0,"n/m",AVERAGE(E40:E44))</f>
        <v>3.4280674813677789</v>
      </c>
      <c r="F45" s="51">
        <f>IF(COUNT(F40:F44)=0,"n/m",AVERAGE(F40:F44))</f>
        <v>3.2847991325511101</v>
      </c>
      <c r="G45" s="51">
        <f>IF(COUNT(G40:G44)=0,"n/m",AVERAGE(G40:G44))</f>
        <v>3.2494480311122858</v>
      </c>
      <c r="H45" s="51">
        <f>IF(COUNT(H40:H44)=0,"n/m",AVERAGE(H40:H44))</f>
        <v>3.0037553556718599</v>
      </c>
    </row>
    <row r="46" spans="1:8" ht="24" customHeight="1" x14ac:dyDescent="0.3">
      <c r="A46" s="32"/>
      <c r="B46" s="32"/>
      <c r="C46" s="32"/>
      <c r="D46" s="52"/>
      <c r="E46" s="52"/>
      <c r="F46" s="52"/>
      <c r="G46" s="52"/>
      <c r="H46" s="52"/>
    </row>
    <row r="47" spans="1:8" ht="34.049999999999997" customHeight="1" x14ac:dyDescent="0.3">
      <c r="A47" s="46" t="s">
        <v>178</v>
      </c>
      <c r="B47" s="47" t="s">
        <v>179</v>
      </c>
      <c r="C47" s="47" t="s">
        <v>180</v>
      </c>
      <c r="D47" s="49"/>
      <c r="E47" s="49"/>
      <c r="F47" s="49"/>
      <c r="G47" s="49"/>
      <c r="H47" s="49"/>
    </row>
    <row r="48" spans="1:8" ht="24" customHeight="1" x14ac:dyDescent="0.3">
      <c r="A48" s="32" t="s">
        <v>13</v>
      </c>
      <c r="B48" s="32"/>
      <c r="C48" s="32"/>
      <c r="D48" s="50">
        <f>KOHC!D117</f>
        <v>32.556527152183129</v>
      </c>
      <c r="E48" s="50">
        <f>KOHC!E117</f>
        <v>34.614462046513971</v>
      </c>
      <c r="F48" s="50">
        <f>KOHC!F117</f>
        <v>36.690956476472735</v>
      </c>
      <c r="G48" s="50">
        <f>KOHC!G117</f>
        <v>23.311269128267483</v>
      </c>
      <c r="H48" s="50">
        <f>KOHC!H117</f>
        <v>19.742821104933064</v>
      </c>
    </row>
    <row r="49" spans="1:8" ht="24" customHeight="1" x14ac:dyDescent="0.3">
      <c r="A49" s="32" t="s">
        <v>17</v>
      </c>
      <c r="B49" s="32"/>
      <c r="C49" s="32"/>
      <c r="D49" s="50">
        <f>LUCK!D117</f>
        <v>20.525799758937445</v>
      </c>
      <c r="E49" s="50">
        <f>LUCK!E117</f>
        <v>26.020654219821807</v>
      </c>
      <c r="F49" s="50">
        <f>LUCK!F117</f>
        <v>22.253946370189343</v>
      </c>
      <c r="G49" s="50">
        <f>LUCK!G117</f>
        <v>19.185416979630755</v>
      </c>
      <c r="H49" s="50">
        <f>LUCK!H117</f>
        <v>18.743761644592638</v>
      </c>
    </row>
    <row r="50" spans="1:8" ht="24" customHeight="1" x14ac:dyDescent="0.3">
      <c r="A50" s="32" t="s">
        <v>21</v>
      </c>
      <c r="B50" s="32"/>
      <c r="C50" s="32"/>
      <c r="D50" s="50">
        <f>DGKC!D117</f>
        <v>22.768270883109405</v>
      </c>
      <c r="E50" s="50">
        <f>DGKC!E117</f>
        <v>36.922320391767833</v>
      </c>
      <c r="F50" s="50">
        <f>DGKC!F117</f>
        <v>48.836111797909446</v>
      </c>
      <c r="G50" s="50">
        <f>DGKC!G117</f>
        <v>64.453707869774377</v>
      </c>
      <c r="H50" s="50">
        <f>DGKC!H117</f>
        <v>61.216079379365482</v>
      </c>
    </row>
    <row r="51" spans="1:8" ht="24" customHeight="1" x14ac:dyDescent="0.3">
      <c r="A51" s="32" t="s">
        <v>25</v>
      </c>
      <c r="B51" s="32"/>
      <c r="C51" s="32"/>
      <c r="D51" s="50">
        <f>MLCF!D117</f>
        <v>15.020941563038772</v>
      </c>
      <c r="E51" s="50">
        <f>MLCF!E117</f>
        <v>25.905344380386534</v>
      </c>
      <c r="F51" s="50">
        <f>MLCF!F117</f>
        <v>26.600659453629234</v>
      </c>
      <c r="G51" s="50">
        <f>MLCF!G117</f>
        <v>19.574371293114748</v>
      </c>
      <c r="H51" s="50">
        <f>MLCF!H117</f>
        <v>15.67064847793373</v>
      </c>
    </row>
    <row r="52" spans="1:8" ht="24" customHeight="1" x14ac:dyDescent="0.3">
      <c r="A52" s="32" t="s">
        <v>29</v>
      </c>
      <c r="B52" s="32"/>
      <c r="C52" s="32"/>
      <c r="D52" s="50">
        <f>FCCL!D117</f>
        <v>19.415164144242155</v>
      </c>
      <c r="E52" s="50">
        <f>FCCL!E117</f>
        <v>28.088084014998095</v>
      </c>
      <c r="F52" s="50">
        <f>FCCL!F117</f>
        <v>22.745855737892271</v>
      </c>
      <c r="G52" s="50">
        <f>FCCL!G117</f>
        <v>17.554064923929165</v>
      </c>
      <c r="H52" s="50">
        <f>FCCL!H117</f>
        <v>14.282644096931071</v>
      </c>
    </row>
    <row r="53" spans="1:8" ht="24" customHeight="1" x14ac:dyDescent="0.3">
      <c r="A53" s="48" t="s">
        <v>272</v>
      </c>
      <c r="B53" s="48"/>
      <c r="C53" s="48"/>
      <c r="D53" s="51">
        <f>IF(COUNT(D48:D52)=0,"n/m",AVERAGE(D48:D52))</f>
        <v>22.057340700302184</v>
      </c>
      <c r="E53" s="51">
        <f>IF(COUNT(E48:E52)=0,"n/m",AVERAGE(E48:E52))</f>
        <v>30.31017301069765</v>
      </c>
      <c r="F53" s="51">
        <f>IF(COUNT(F48:F52)=0,"n/m",AVERAGE(F48:F52))</f>
        <v>31.425505967218601</v>
      </c>
      <c r="G53" s="51">
        <f>IF(COUNT(G48:G52)=0,"n/m",AVERAGE(G48:G52))</f>
        <v>28.815766038943309</v>
      </c>
      <c r="H53" s="51">
        <f>IF(COUNT(H48:H52)=0,"n/m",AVERAGE(H48:H52))</f>
        <v>25.931190940751197</v>
      </c>
    </row>
    <row r="54" spans="1:8" ht="24" customHeight="1" x14ac:dyDescent="0.3">
      <c r="A54" s="32"/>
      <c r="B54" s="32"/>
      <c r="C54" s="32"/>
      <c r="D54" s="52"/>
      <c r="E54" s="52"/>
      <c r="F54" s="52"/>
      <c r="G54" s="52"/>
      <c r="H54" s="52"/>
    </row>
    <row r="55" spans="1:8" ht="34.049999999999997" customHeight="1" x14ac:dyDescent="0.3">
      <c r="A55" s="46" t="s">
        <v>181</v>
      </c>
      <c r="B55" s="47" t="s">
        <v>182</v>
      </c>
      <c r="C55" s="47" t="s">
        <v>183</v>
      </c>
      <c r="D55" s="49"/>
      <c r="E55" s="49"/>
      <c r="F55" s="49"/>
      <c r="G55" s="49"/>
      <c r="H55" s="49"/>
    </row>
    <row r="56" spans="1:8" ht="24" customHeight="1" x14ac:dyDescent="0.3">
      <c r="A56" s="32" t="s">
        <v>13</v>
      </c>
      <c r="B56" s="32"/>
      <c r="C56" s="32"/>
      <c r="D56" s="55">
        <f>KOHC!D118</f>
        <v>75.147743531578783</v>
      </c>
      <c r="E56" s="55">
        <f>KOHC!E118</f>
        <v>77.972597591731756</v>
      </c>
      <c r="F56" s="55">
        <f>KOHC!F118</f>
        <v>85.372545387407953</v>
      </c>
      <c r="G56" s="55">
        <f>KOHC!G118</f>
        <v>101.50909357454404</v>
      </c>
      <c r="H56" s="55">
        <f>KOHC!H118</f>
        <v>120.66591878345184</v>
      </c>
    </row>
    <row r="57" spans="1:8" ht="24" customHeight="1" x14ac:dyDescent="0.3">
      <c r="A57" s="32" t="s">
        <v>17</v>
      </c>
      <c r="B57" s="32"/>
      <c r="C57" s="32"/>
      <c r="D57" s="55">
        <f>LUCK!D118</f>
        <v>95.709906676324849</v>
      </c>
      <c r="E57" s="55">
        <f>LUCK!E118</f>
        <v>99.788581457615734</v>
      </c>
      <c r="F57" s="55">
        <f>LUCK!F118</f>
        <v>100.73184197970664</v>
      </c>
      <c r="G57" s="55">
        <f>LUCK!G118</f>
        <v>103.10239469568691</v>
      </c>
      <c r="H57" s="55">
        <f>LUCK!H118</f>
        <v>106.53528435458882</v>
      </c>
    </row>
    <row r="58" spans="1:8" ht="24" customHeight="1" x14ac:dyDescent="0.3">
      <c r="A58" s="32" t="s">
        <v>21</v>
      </c>
      <c r="B58" s="32"/>
      <c r="C58" s="32"/>
      <c r="D58" s="55">
        <f>DGKC!D118</f>
        <v>138.95483675010863</v>
      </c>
      <c r="E58" s="55">
        <f>DGKC!E118</f>
        <v>147.19158951872677</v>
      </c>
      <c r="F58" s="55">
        <f>DGKC!F118</f>
        <v>149.87908057411946</v>
      </c>
      <c r="G58" s="55">
        <f>DGKC!G118</f>
        <v>141.29755545575051</v>
      </c>
      <c r="H58" s="55">
        <f>DGKC!H118</f>
        <v>139.29464124392746</v>
      </c>
    </row>
    <row r="59" spans="1:8" ht="24" customHeight="1" x14ac:dyDescent="0.3">
      <c r="A59" s="32" t="s">
        <v>25</v>
      </c>
      <c r="B59" s="32"/>
      <c r="C59" s="32"/>
      <c r="D59" s="55">
        <f>MLCF!D118</f>
        <v>143.11726813096334</v>
      </c>
      <c r="E59" s="55">
        <f>MLCF!E118</f>
        <v>138.1590454196257</v>
      </c>
      <c r="F59" s="55">
        <f>MLCF!F118</f>
        <v>122.0064954583065</v>
      </c>
      <c r="G59" s="55">
        <f>MLCF!G118</f>
        <v>117.69043264844159</v>
      </c>
      <c r="H59" s="55">
        <f>MLCF!H118</f>
        <v>130.98525045452405</v>
      </c>
    </row>
    <row r="60" spans="1:8" ht="24" customHeight="1" x14ac:dyDescent="0.3">
      <c r="A60" s="32" t="s">
        <v>29</v>
      </c>
      <c r="B60" s="32"/>
      <c r="C60" s="32"/>
      <c r="D60" s="55">
        <f>FCCL!D118</f>
        <v>101.57512558439446</v>
      </c>
      <c r="E60" s="55">
        <f>FCCL!E118</f>
        <v>99.189403784088</v>
      </c>
      <c r="F60" s="55">
        <f>FCCL!F118</f>
        <v>117.81056267061489</v>
      </c>
      <c r="G60" s="55">
        <f>FCCL!G118</f>
        <v>106.51412548353994</v>
      </c>
      <c r="H60" s="55">
        <f>FCCL!H118</f>
        <v>115.47406099903009</v>
      </c>
    </row>
    <row r="61" spans="1:8" ht="24" customHeight="1" x14ac:dyDescent="0.3">
      <c r="A61" s="48" t="s">
        <v>272</v>
      </c>
      <c r="B61" s="48"/>
      <c r="C61" s="48"/>
      <c r="D61" s="56">
        <f>IF(COUNT(D56:D60)=0,"n/m",AVERAGE(D56:D60))</f>
        <v>110.90097613467401</v>
      </c>
      <c r="E61" s="56">
        <f>IF(COUNT(E56:E60)=0,"n/m",AVERAGE(E56:E60))</f>
        <v>112.46024355435759</v>
      </c>
      <c r="F61" s="56">
        <f>IF(COUNT(F56:F60)=0,"n/m",AVERAGE(F56:F60))</f>
        <v>115.16010521403109</v>
      </c>
      <c r="G61" s="56">
        <f>IF(COUNT(G56:G60)=0,"n/m",AVERAGE(G56:G60))</f>
        <v>114.0227203715926</v>
      </c>
      <c r="H61" s="56">
        <f>IF(COUNT(H56:H60)=0,"n/m",AVERAGE(H56:H60))</f>
        <v>122.59103116710443</v>
      </c>
    </row>
    <row r="62" spans="1:8" ht="24" customHeight="1" x14ac:dyDescent="0.3">
      <c r="A62" s="32"/>
      <c r="B62" s="32"/>
      <c r="C62" s="32"/>
      <c r="D62" s="52"/>
      <c r="E62" s="52"/>
      <c r="F62" s="52"/>
      <c r="G62" s="52"/>
      <c r="H62" s="52"/>
    </row>
    <row r="63" spans="1:8" ht="34.049999999999997" customHeight="1" x14ac:dyDescent="0.3">
      <c r="A63" s="46" t="s">
        <v>184</v>
      </c>
      <c r="B63" s="47" t="s">
        <v>185</v>
      </c>
      <c r="C63" s="47" t="s">
        <v>186</v>
      </c>
      <c r="D63" s="49"/>
      <c r="E63" s="49"/>
      <c r="F63" s="49"/>
      <c r="G63" s="49"/>
      <c r="H63" s="49"/>
    </row>
    <row r="64" spans="1:8" ht="24" customHeight="1" x14ac:dyDescent="0.3">
      <c r="A64" s="32" t="s">
        <v>13</v>
      </c>
      <c r="B64" s="32"/>
      <c r="C64" s="32"/>
      <c r="D64" s="55">
        <f>KOHC!D119</f>
        <v>11.211269503464973</v>
      </c>
      <c r="E64" s="55">
        <f>KOHC!E119</f>
        <v>10.544725482358297</v>
      </c>
      <c r="F64" s="55">
        <f>KOHC!F119</f>
        <v>9.9479554378487851</v>
      </c>
      <c r="G64" s="55">
        <f>KOHC!G119</f>
        <v>15.657663166755571</v>
      </c>
      <c r="H64" s="55">
        <f>KOHC!H119</f>
        <v>18.487732733839078</v>
      </c>
    </row>
    <row r="65" spans="1:8" ht="24" customHeight="1" x14ac:dyDescent="0.3">
      <c r="A65" s="32" t="s">
        <v>17</v>
      </c>
      <c r="B65" s="32"/>
      <c r="C65" s="32"/>
      <c r="D65" s="55">
        <f>LUCK!D119</f>
        <v>17.782498333156049</v>
      </c>
      <c r="E65" s="55">
        <f>LUCK!E119</f>
        <v>14.027318333985361</v>
      </c>
      <c r="F65" s="55">
        <f>LUCK!F119</f>
        <v>16.401585315624828</v>
      </c>
      <c r="G65" s="55">
        <f>LUCK!G119</f>
        <v>19.024866667611246</v>
      </c>
      <c r="H65" s="55">
        <f>LUCK!H119</f>
        <v>19.473145621508603</v>
      </c>
    </row>
    <row r="66" spans="1:8" ht="24" customHeight="1" x14ac:dyDescent="0.3">
      <c r="A66" s="32" t="s">
        <v>21</v>
      </c>
      <c r="B66" s="32"/>
      <c r="C66" s="32"/>
      <c r="D66" s="55">
        <f>DGKC!D119</f>
        <v>16.031081230273596</v>
      </c>
      <c r="E66" s="55">
        <f>DGKC!E119</f>
        <v>9.8856192169704489</v>
      </c>
      <c r="F66" s="55">
        <f>DGKC!F119</f>
        <v>7.4739774843341396</v>
      </c>
      <c r="G66" s="55">
        <f>DGKC!G119</f>
        <v>5.6629790909386459</v>
      </c>
      <c r="H66" s="55">
        <f>DGKC!H119</f>
        <v>5.9624857341490083</v>
      </c>
    </row>
    <row r="67" spans="1:8" ht="24" customHeight="1" x14ac:dyDescent="0.3">
      <c r="A67" s="32" t="s">
        <v>25</v>
      </c>
      <c r="B67" s="32"/>
      <c r="C67" s="32"/>
      <c r="D67" s="55">
        <f>MLCF!D119</f>
        <v>24.299408826550263</v>
      </c>
      <c r="E67" s="55">
        <f>MLCF!E119</f>
        <v>14.089756717395696</v>
      </c>
      <c r="F67" s="55">
        <f>MLCF!F119</f>
        <v>13.72146433573479</v>
      </c>
      <c r="G67" s="55">
        <f>MLCF!G119</f>
        <v>18.646831335440545</v>
      </c>
      <c r="H67" s="55">
        <f>MLCF!H119</f>
        <v>23.291952500495849</v>
      </c>
    </row>
    <row r="68" spans="1:8" ht="24" customHeight="1" x14ac:dyDescent="0.3">
      <c r="A68" s="32" t="s">
        <v>29</v>
      </c>
      <c r="B68" s="32"/>
      <c r="C68" s="32"/>
      <c r="D68" s="55">
        <f>FCCL!D119</f>
        <v>18.799738044359827</v>
      </c>
      <c r="E68" s="55">
        <f>FCCL!E119</f>
        <v>12.994834386179642</v>
      </c>
      <c r="F68" s="55">
        <f>FCCL!F119</f>
        <v>16.046879229606091</v>
      </c>
      <c r="G68" s="55">
        <f>FCCL!G119</f>
        <v>20.792904753499183</v>
      </c>
      <c r="H68" s="55">
        <f>FCCL!H119</f>
        <v>25.555492212987932</v>
      </c>
    </row>
    <row r="69" spans="1:8" ht="24" customHeight="1" x14ac:dyDescent="0.3">
      <c r="A69" s="48" t="s">
        <v>272</v>
      </c>
      <c r="B69" s="48"/>
      <c r="C69" s="48"/>
      <c r="D69" s="56">
        <f>IF(COUNT(D64:D68)=0,"n/m",AVERAGE(D64:D68))</f>
        <v>17.624799187560942</v>
      </c>
      <c r="E69" s="56">
        <f>IF(COUNT(E64:E68)=0,"n/m",AVERAGE(E64:E68))</f>
        <v>12.308450827377888</v>
      </c>
      <c r="F69" s="56">
        <f>IF(COUNT(F64:F68)=0,"n/m",AVERAGE(F64:F68))</f>
        <v>12.718372360629726</v>
      </c>
      <c r="G69" s="56">
        <f>IF(COUNT(G64:G68)=0,"n/m",AVERAGE(G64:G68))</f>
        <v>15.957049002849038</v>
      </c>
      <c r="H69" s="56">
        <f>IF(COUNT(H64:H68)=0,"n/m",AVERAGE(H64:H68))</f>
        <v>18.554161760596095</v>
      </c>
    </row>
    <row r="70" spans="1:8" ht="24" customHeight="1" x14ac:dyDescent="0.3">
      <c r="A70" s="32"/>
      <c r="B70" s="32"/>
      <c r="C70" s="32"/>
      <c r="D70" s="52"/>
      <c r="E70" s="52"/>
      <c r="F70" s="52"/>
      <c r="G70" s="52"/>
      <c r="H70" s="52"/>
    </row>
    <row r="71" spans="1:8" ht="34.049999999999997" customHeight="1" x14ac:dyDescent="0.3">
      <c r="A71" s="46" t="s">
        <v>187</v>
      </c>
      <c r="B71" s="47" t="s">
        <v>188</v>
      </c>
      <c r="C71" s="47" t="s">
        <v>189</v>
      </c>
      <c r="D71" s="49"/>
      <c r="E71" s="49"/>
      <c r="F71" s="49"/>
      <c r="G71" s="49"/>
      <c r="H71" s="49"/>
    </row>
    <row r="72" spans="1:8" ht="24" customHeight="1" x14ac:dyDescent="0.3">
      <c r="A72" s="32" t="s">
        <v>13</v>
      </c>
      <c r="B72" s="32"/>
      <c r="C72" s="32"/>
      <c r="D72" s="50">
        <f>KOHC!D120</f>
        <v>1.0921496738296084</v>
      </c>
      <c r="E72" s="50">
        <f>KOHC!E120</f>
        <v>1.5412541563844033</v>
      </c>
      <c r="F72" s="50">
        <f>KOHC!F120</f>
        <v>1.7509053329621809</v>
      </c>
      <c r="G72" s="50">
        <f>KOHC!G120</f>
        <v>1.7442972870565909</v>
      </c>
      <c r="H72" s="50">
        <f>KOHC!H120</f>
        <v>1.606837829232711</v>
      </c>
    </row>
    <row r="73" spans="1:8" ht="24" customHeight="1" x14ac:dyDescent="0.3">
      <c r="A73" s="32" t="s">
        <v>17</v>
      </c>
      <c r="B73" s="32"/>
      <c r="C73" s="32"/>
      <c r="D73" s="50">
        <f>LUCK!D120</f>
        <v>1.0088292750112451</v>
      </c>
      <c r="E73" s="50">
        <f>LUCK!E120</f>
        <v>0.98532795146598973</v>
      </c>
      <c r="F73" s="50">
        <f>LUCK!F120</f>
        <v>1.0022154394695202</v>
      </c>
      <c r="G73" s="50">
        <f>LUCK!G120</f>
        <v>1.0752008785316265</v>
      </c>
      <c r="H73" s="50">
        <f>LUCK!H120</f>
        <v>1.1592237370838812</v>
      </c>
    </row>
    <row r="74" spans="1:8" ht="24" customHeight="1" x14ac:dyDescent="0.3">
      <c r="A74" s="32" t="s">
        <v>21</v>
      </c>
      <c r="B74" s="32"/>
      <c r="C74" s="32"/>
      <c r="D74" s="50">
        <f>DGKC!D120</f>
        <v>0.53055318948132613</v>
      </c>
      <c r="E74" s="50">
        <f>DGKC!E120</f>
        <v>0.70098015962057802</v>
      </c>
      <c r="F74" s="50">
        <f>DGKC!F120</f>
        <v>0.79011863849334296</v>
      </c>
      <c r="G74" s="50">
        <f>DGKC!G120</f>
        <v>0.82674606407416695</v>
      </c>
      <c r="H74" s="50">
        <f>DGKC!H120</f>
        <v>0.93062078370763102</v>
      </c>
    </row>
    <row r="75" spans="1:8" ht="24" customHeight="1" x14ac:dyDescent="0.3">
      <c r="A75" s="32" t="s">
        <v>25</v>
      </c>
      <c r="B75" s="32"/>
      <c r="C75" s="32"/>
      <c r="D75" s="50">
        <f>MLCF!D120</f>
        <v>0.8037513915639477</v>
      </c>
      <c r="E75" s="50">
        <f>MLCF!E120</f>
        <v>0.85444675022417971</v>
      </c>
      <c r="F75" s="50">
        <f>MLCF!F120</f>
        <v>0.99551999428815263</v>
      </c>
      <c r="G75" s="50">
        <f>MLCF!G120</f>
        <v>1.0069209161495893</v>
      </c>
      <c r="H75" s="50">
        <f>MLCF!H120</f>
        <v>1.0971769908727151</v>
      </c>
    </row>
    <row r="76" spans="1:8" ht="24" customHeight="1" x14ac:dyDescent="0.3">
      <c r="A76" s="32" t="s">
        <v>29</v>
      </c>
      <c r="B76" s="32"/>
      <c r="C76" s="32"/>
      <c r="D76" s="50">
        <f>FCCL!D120</f>
        <v>1.1329960510619466</v>
      </c>
      <c r="E76" s="50">
        <f>FCCL!E120</f>
        <v>0.73176601318978285</v>
      </c>
      <c r="F76" s="50">
        <f>FCCL!F120</f>
        <v>0.65184739301529204</v>
      </c>
      <c r="G76" s="50">
        <f>FCCL!G120</f>
        <v>0.72196082222901214</v>
      </c>
      <c r="H76" s="50">
        <f>FCCL!H120</f>
        <v>0.81180021491144161</v>
      </c>
    </row>
    <row r="77" spans="1:8" ht="24" customHeight="1" x14ac:dyDescent="0.3">
      <c r="A77" s="48" t="s">
        <v>272</v>
      </c>
      <c r="B77" s="48"/>
      <c r="C77" s="48"/>
      <c r="D77" s="51">
        <f>IF(COUNT(D72:D76)=0,"n/m",AVERAGE(D72:D76))</f>
        <v>0.91365591618961484</v>
      </c>
      <c r="E77" s="51">
        <f>IF(COUNT(E72:E76)=0,"n/m",AVERAGE(E72:E76))</f>
        <v>0.96275500617698673</v>
      </c>
      <c r="F77" s="51">
        <f>IF(COUNT(F72:F76)=0,"n/m",AVERAGE(F72:F76))</f>
        <v>1.038121359645698</v>
      </c>
      <c r="G77" s="51">
        <f>IF(COUNT(G72:G76)=0,"n/m",AVERAGE(G72:G76))</f>
        <v>1.0750251936081971</v>
      </c>
      <c r="H77" s="51">
        <f>IF(COUNT(H72:H76)=0,"n/m",AVERAGE(H72:H76))</f>
        <v>1.121131911161676</v>
      </c>
    </row>
    <row r="78" spans="1:8" ht="24" customHeight="1" x14ac:dyDescent="0.3">
      <c r="A78" s="32"/>
      <c r="B78" s="32"/>
      <c r="C78" s="32"/>
      <c r="D78" s="52"/>
      <c r="E78" s="52"/>
      <c r="F78" s="52"/>
      <c r="G78" s="52"/>
      <c r="H78" s="52"/>
    </row>
    <row r="79" spans="1:8" ht="34.049999999999997" customHeight="1" x14ac:dyDescent="0.3">
      <c r="A79" s="46" t="s">
        <v>190</v>
      </c>
      <c r="B79" s="47" t="s">
        <v>191</v>
      </c>
      <c r="C79" s="47" t="s">
        <v>192</v>
      </c>
      <c r="D79" s="49"/>
      <c r="E79" s="49"/>
      <c r="F79" s="49"/>
      <c r="G79" s="49"/>
      <c r="H79" s="49"/>
    </row>
    <row r="80" spans="1:8" ht="24" customHeight="1" x14ac:dyDescent="0.3">
      <c r="A80" s="32" t="s">
        <v>13</v>
      </c>
      <c r="B80" s="32"/>
      <c r="C80" s="32"/>
      <c r="D80" s="50">
        <f>KOHC!D121</f>
        <v>0.66665082622797289</v>
      </c>
      <c r="E80" s="50">
        <f>KOHC!E121</f>
        <v>0.7583954484233022</v>
      </c>
      <c r="F80" s="50">
        <f>KOHC!F121</f>
        <v>0.78581821088962756</v>
      </c>
      <c r="G80" s="50">
        <f>KOHC!G121</f>
        <v>0.65679136157504614</v>
      </c>
      <c r="H80" s="50">
        <f>KOHC!H121</f>
        <v>0.56195953485342598</v>
      </c>
    </row>
    <row r="81" spans="1:8" ht="24" customHeight="1" x14ac:dyDescent="0.3">
      <c r="A81" s="32" t="s">
        <v>17</v>
      </c>
      <c r="B81" s="32"/>
      <c r="C81" s="32"/>
      <c r="D81" s="50">
        <f>LUCK!D121</f>
        <v>0.40251701143421476</v>
      </c>
      <c r="E81" s="50">
        <f>LUCK!E121</f>
        <v>0.4384325626713429</v>
      </c>
      <c r="F81" s="50">
        <f>LUCK!F121</f>
        <v>0.44974923322711935</v>
      </c>
      <c r="G81" s="50">
        <f>LUCK!G121</f>
        <v>0.49280353497458251</v>
      </c>
      <c r="H81" s="50">
        <f>LUCK!H121</f>
        <v>0.46677662061834158</v>
      </c>
    </row>
    <row r="82" spans="1:8" ht="24" customHeight="1" x14ac:dyDescent="0.3">
      <c r="A82" s="32" t="s">
        <v>21</v>
      </c>
      <c r="B82" s="32"/>
      <c r="C82" s="32"/>
      <c r="D82" s="50">
        <f>DGKC!D121</f>
        <v>0.32711693039218176</v>
      </c>
      <c r="E82" s="50">
        <f>DGKC!E121</f>
        <v>0.42503666813991675</v>
      </c>
      <c r="F82" s="50">
        <f>DGKC!F121</f>
        <v>0.4823862468647665</v>
      </c>
      <c r="G82" s="50">
        <f>DGKC!G121</f>
        <v>0.47720727814222835</v>
      </c>
      <c r="H82" s="50">
        <f>DGKC!H121</f>
        <v>0.49267235836459933</v>
      </c>
    </row>
    <row r="83" spans="1:8" ht="24" customHeight="1" x14ac:dyDescent="0.3">
      <c r="A83" s="32" t="s">
        <v>25</v>
      </c>
      <c r="B83" s="32"/>
      <c r="C83" s="32"/>
      <c r="D83" s="50">
        <f>MLCF!D121</f>
        <v>0.53651401514370378</v>
      </c>
      <c r="E83" s="50">
        <f>MLCF!E121</f>
        <v>0.59016101960962719</v>
      </c>
      <c r="F83" s="50">
        <f>MLCF!F121</f>
        <v>0.69197238797008198</v>
      </c>
      <c r="G83" s="50">
        <f>MLCF!G121</f>
        <v>0.66876558045462819</v>
      </c>
      <c r="H83" s="50">
        <f>MLCF!H121</f>
        <v>0.57883136984449801</v>
      </c>
    </row>
    <row r="84" spans="1:8" ht="24" customHeight="1" x14ac:dyDescent="0.3">
      <c r="A84" s="32" t="s">
        <v>29</v>
      </c>
      <c r="B84" s="32"/>
      <c r="C84" s="32"/>
      <c r="D84" s="50">
        <f>FCCL!D121</f>
        <v>0.71276636764269574</v>
      </c>
      <c r="E84" s="50">
        <f>FCCL!E121</f>
        <v>0.4770803467502796</v>
      </c>
      <c r="F84" s="50">
        <f>FCCL!F121</f>
        <v>0.49031202866080159</v>
      </c>
      <c r="G84" s="50">
        <f>FCCL!G121</f>
        <v>0.54204979765850125</v>
      </c>
      <c r="H84" s="50">
        <f>FCCL!H121</f>
        <v>0.55305556508680442</v>
      </c>
    </row>
    <row r="85" spans="1:8" ht="24" customHeight="1" x14ac:dyDescent="0.3">
      <c r="A85" s="48" t="s">
        <v>272</v>
      </c>
      <c r="B85" s="48"/>
      <c r="C85" s="48"/>
      <c r="D85" s="51">
        <f>IF(COUNT(D80:D84)=0,"n/m",AVERAGE(D80:D84))</f>
        <v>0.5291130301681537</v>
      </c>
      <c r="E85" s="51">
        <f>IF(COUNT(E80:E84)=0,"n/m",AVERAGE(E80:E84))</f>
        <v>0.53782120911889375</v>
      </c>
      <c r="F85" s="51">
        <f>IF(COUNT(F80:F84)=0,"n/m",AVERAGE(F80:F84))</f>
        <v>0.58004762152247946</v>
      </c>
      <c r="G85" s="51">
        <f>IF(COUNT(G80:G84)=0,"n/m",AVERAGE(G80:G84))</f>
        <v>0.56752351056099726</v>
      </c>
      <c r="H85" s="51">
        <f>IF(COUNT(H80:H84)=0,"n/m",AVERAGE(H80:H84))</f>
        <v>0.53065908975353382</v>
      </c>
    </row>
    <row r="86" spans="1:8" ht="24" customHeight="1" x14ac:dyDescent="0.3">
      <c r="A86" s="32"/>
      <c r="B86" s="32"/>
      <c r="C86" s="32"/>
      <c r="D86" s="52"/>
      <c r="E86" s="52"/>
      <c r="F86" s="52"/>
      <c r="G86" s="52"/>
      <c r="H86" s="52"/>
    </row>
    <row r="87" spans="1:8" ht="22.95" customHeight="1" x14ac:dyDescent="0.3">
      <c r="A87" s="90" t="s">
        <v>274</v>
      </c>
      <c r="B87" s="90"/>
      <c r="C87" s="90"/>
      <c r="D87" s="92"/>
      <c r="E87" s="92"/>
      <c r="F87" s="92"/>
      <c r="G87" s="92"/>
      <c r="H87" s="92"/>
    </row>
    <row r="88" spans="1:8" ht="34.049999999999997" customHeight="1" x14ac:dyDescent="0.3">
      <c r="A88" s="46" t="s">
        <v>194</v>
      </c>
      <c r="B88" s="47" t="s">
        <v>195</v>
      </c>
      <c r="C88" s="47" t="s">
        <v>196</v>
      </c>
      <c r="D88" s="49"/>
      <c r="E88" s="49"/>
      <c r="F88" s="49"/>
      <c r="G88" s="49"/>
      <c r="H88" s="49"/>
    </row>
    <row r="89" spans="1:8" ht="24" customHeight="1" x14ac:dyDescent="0.3">
      <c r="A89" s="32" t="s">
        <v>13</v>
      </c>
      <c r="B89" s="32"/>
      <c r="C89" s="32"/>
      <c r="D89" s="57">
        <f>KOHC!D123</f>
        <v>0.38416638255503399</v>
      </c>
      <c r="E89" s="57">
        <f>KOHC!E123</f>
        <v>0.37149249167170456</v>
      </c>
      <c r="F89" s="57">
        <f>KOHC!F123</f>
        <v>0.34161124098483342</v>
      </c>
      <c r="G89" s="57">
        <f>KOHC!G123</f>
        <v>0.30169945185029512</v>
      </c>
      <c r="H89" s="57">
        <f>KOHC!H123</f>
        <v>0.28204672647028445</v>
      </c>
    </row>
    <row r="90" spans="1:8" ht="24" customHeight="1" x14ac:dyDescent="0.3">
      <c r="A90" s="32" t="s">
        <v>17</v>
      </c>
      <c r="B90" s="32"/>
      <c r="C90" s="32"/>
      <c r="D90" s="57">
        <f>LUCK!D123</f>
        <v>0.27606535150381284</v>
      </c>
      <c r="E90" s="57">
        <f>LUCK!E123</f>
        <v>0.30504607293955061</v>
      </c>
      <c r="F90" s="57">
        <f>LUCK!F123</f>
        <v>0.35532697822447284</v>
      </c>
      <c r="G90" s="57">
        <f>LUCK!G123</f>
        <v>0.36859036410390322</v>
      </c>
      <c r="H90" s="57">
        <f>LUCK!H123</f>
        <v>0.34053721034041001</v>
      </c>
    </row>
    <row r="91" spans="1:8" ht="24" customHeight="1" x14ac:dyDescent="0.3">
      <c r="A91" s="32" t="s">
        <v>21</v>
      </c>
      <c r="B91" s="32"/>
      <c r="C91" s="32"/>
      <c r="D91" s="57">
        <f>DGKC!D123</f>
        <v>0.46714504184305206</v>
      </c>
      <c r="E91" s="57">
        <f>DGKC!E123</f>
        <v>0.48801207258126744</v>
      </c>
      <c r="F91" s="57">
        <f>DGKC!F123</f>
        <v>0.52348952241922664</v>
      </c>
      <c r="G91" s="57">
        <f>DGKC!G123</f>
        <v>0.45191223946360831</v>
      </c>
      <c r="H91" s="57">
        <f>DGKC!H123</f>
        <v>0.35125595827177031</v>
      </c>
    </row>
    <row r="92" spans="1:8" ht="24" customHeight="1" x14ac:dyDescent="0.3">
      <c r="A92" s="32" t="s">
        <v>25</v>
      </c>
      <c r="B92" s="32"/>
      <c r="C92" s="32"/>
      <c r="D92" s="57">
        <f>MLCF!D123</f>
        <v>0.43322840867921292</v>
      </c>
      <c r="E92" s="57">
        <f>MLCF!E123</f>
        <v>0.50666660909348882</v>
      </c>
      <c r="F92" s="57">
        <f>MLCF!F123</f>
        <v>0.49933942690835115</v>
      </c>
      <c r="G92" s="57">
        <f>MLCF!G123</f>
        <v>0.4704820926001394</v>
      </c>
      <c r="H92" s="57">
        <f>MLCF!H123</f>
        <v>0.40001822406143511</v>
      </c>
    </row>
    <row r="93" spans="1:8" ht="24" customHeight="1" x14ac:dyDescent="0.3">
      <c r="A93" s="32" t="s">
        <v>29</v>
      </c>
      <c r="B93" s="32"/>
      <c r="C93" s="32"/>
      <c r="D93" s="57">
        <f>FCCL!D123</f>
        <v>0.31647148170702821</v>
      </c>
      <c r="E93" s="57">
        <f>FCCL!E123</f>
        <v>0.49219848282922141</v>
      </c>
      <c r="F93" s="57">
        <f>FCCL!F123</f>
        <v>0.53053055814614203</v>
      </c>
      <c r="G93" s="57">
        <f>FCCL!G123</f>
        <v>0.5028400637434024</v>
      </c>
      <c r="H93" s="57">
        <f>FCCL!H123</f>
        <v>0.4760663500346739</v>
      </c>
    </row>
    <row r="94" spans="1:8" ht="24" customHeight="1" x14ac:dyDescent="0.3">
      <c r="A94" s="48" t="s">
        <v>272</v>
      </c>
      <c r="B94" s="48"/>
      <c r="C94" s="48"/>
      <c r="D94" s="58">
        <f>IF(COUNT(D89:D93)=0,"n/m",AVERAGE(D89:D93))</f>
        <v>0.37541533325762799</v>
      </c>
      <c r="E94" s="58">
        <f>IF(COUNT(E89:E93)=0,"n/m",AVERAGE(E89:E93))</f>
        <v>0.43268314582304657</v>
      </c>
      <c r="F94" s="58">
        <f>IF(COUNT(F89:F93)=0,"n/m",AVERAGE(F89:F93))</f>
        <v>0.45005954533660519</v>
      </c>
      <c r="G94" s="58">
        <f>IF(COUNT(G89:G93)=0,"n/m",AVERAGE(G89:G93))</f>
        <v>0.41910484235226975</v>
      </c>
      <c r="H94" s="58">
        <f>IF(COUNT(H89:H93)=0,"n/m",AVERAGE(H89:H93))</f>
        <v>0.36998489383571476</v>
      </c>
    </row>
    <row r="95" spans="1:8" ht="24" customHeight="1" x14ac:dyDescent="0.3">
      <c r="A95" s="32"/>
      <c r="B95" s="32"/>
      <c r="C95" s="32"/>
      <c r="D95" s="52"/>
      <c r="E95" s="52"/>
      <c r="F95" s="52"/>
      <c r="G95" s="52"/>
      <c r="H95" s="52"/>
    </row>
    <row r="96" spans="1:8" ht="34.049999999999997" customHeight="1" x14ac:dyDescent="0.3">
      <c r="A96" s="46" t="s">
        <v>197</v>
      </c>
      <c r="B96" s="47" t="s">
        <v>198</v>
      </c>
      <c r="C96" s="47" t="s">
        <v>199</v>
      </c>
      <c r="D96" s="49"/>
      <c r="E96" s="49"/>
      <c r="F96" s="49"/>
      <c r="G96" s="49"/>
      <c r="H96" s="49"/>
    </row>
    <row r="97" spans="1:8" ht="24" customHeight="1" x14ac:dyDescent="0.3">
      <c r="A97" s="32" t="s">
        <v>13</v>
      </c>
      <c r="B97" s="32"/>
      <c r="C97" s="32"/>
      <c r="D97" s="50">
        <f>KOHC!D124</f>
        <v>0.2722692388457173</v>
      </c>
      <c r="E97" s="50">
        <f>KOHC!E124</f>
        <v>0.15603310983895571</v>
      </c>
      <c r="F97" s="50">
        <f>KOHC!F124</f>
        <v>9.7619406864766459E-2</v>
      </c>
      <c r="G97" s="50">
        <f>KOHC!G124</f>
        <v>5.2398238191517746E-2</v>
      </c>
      <c r="H97" s="50">
        <f>KOHC!H124</f>
        <v>4.6764934517749976E-2</v>
      </c>
    </row>
    <row r="98" spans="1:8" ht="24" customHeight="1" x14ac:dyDescent="0.3">
      <c r="A98" s="32" t="s">
        <v>17</v>
      </c>
      <c r="B98" s="32"/>
      <c r="C98" s="32"/>
      <c r="D98" s="50">
        <f>LUCK!D124</f>
        <v>9.267604319417716E-2</v>
      </c>
      <c r="E98" s="50">
        <f>LUCK!E124</f>
        <v>0.12132883685589589</v>
      </c>
      <c r="F98" s="50">
        <f>LUCK!F124</f>
        <v>0.15318126074071459</v>
      </c>
      <c r="G98" s="50">
        <f>LUCK!G124</f>
        <v>0.13768684470695258</v>
      </c>
      <c r="H98" s="50">
        <f>LUCK!H124</f>
        <v>9.9684879347667912E-2</v>
      </c>
    </row>
    <row r="99" spans="1:8" ht="24" customHeight="1" x14ac:dyDescent="0.3">
      <c r="A99" s="32" t="s">
        <v>21</v>
      </c>
      <c r="B99" s="32"/>
      <c r="C99" s="32"/>
      <c r="D99" s="50">
        <f>DGKC!D124</f>
        <v>0.59600006385595838</v>
      </c>
      <c r="E99" s="50">
        <f>DGKC!E124</f>
        <v>0.66471914526512743</v>
      </c>
      <c r="F99" s="50">
        <f>DGKC!F124</f>
        <v>0.66251390334697124</v>
      </c>
      <c r="G99" s="50">
        <f>DGKC!G124</f>
        <v>0.45251048227827784</v>
      </c>
      <c r="H99" s="50">
        <f>DGKC!H124</f>
        <v>0.23141104487858016</v>
      </c>
    </row>
    <row r="100" spans="1:8" ht="24" customHeight="1" x14ac:dyDescent="0.3">
      <c r="A100" s="32" t="s">
        <v>25</v>
      </c>
      <c r="B100" s="32"/>
      <c r="C100" s="32"/>
      <c r="D100" s="50">
        <f>MLCF!D124</f>
        <v>0.43245543768601064</v>
      </c>
      <c r="E100" s="50">
        <f>MLCF!E124</f>
        <v>0.61573768495117542</v>
      </c>
      <c r="F100" s="50">
        <f>MLCF!F124</f>
        <v>0.44250779404874935</v>
      </c>
      <c r="G100" s="50">
        <f>MLCF!G124</f>
        <v>0.36846998820204724</v>
      </c>
      <c r="H100" s="50">
        <f>MLCF!H124</f>
        <v>0.20402666092297522</v>
      </c>
    </row>
    <row r="101" spans="1:8" ht="24" customHeight="1" x14ac:dyDescent="0.3">
      <c r="A101" s="32" t="s">
        <v>29</v>
      </c>
      <c r="B101" s="32"/>
      <c r="C101" s="32"/>
      <c r="D101" s="50">
        <f>FCCL!D124</f>
        <v>0.11033361830900601</v>
      </c>
      <c r="E101" s="50">
        <f>FCCL!E124</f>
        <v>0.44889851845785944</v>
      </c>
      <c r="F101" s="50">
        <f>FCCL!F124</f>
        <v>0.62375966688339879</v>
      </c>
      <c r="G101" s="50">
        <f>FCCL!G124</f>
        <v>0.49850573278032018</v>
      </c>
      <c r="H101" s="50">
        <f>FCCL!H124</f>
        <v>0.47508509566997464</v>
      </c>
    </row>
    <row r="102" spans="1:8" ht="24" customHeight="1" x14ac:dyDescent="0.3">
      <c r="A102" s="48" t="s">
        <v>272</v>
      </c>
      <c r="B102" s="48"/>
      <c r="C102" s="48"/>
      <c r="D102" s="51">
        <f>IF(COUNT(D97:D101)=0,"n/m",AVERAGE(D97:D101))</f>
        <v>0.30074688037817388</v>
      </c>
      <c r="E102" s="51">
        <f>IF(COUNT(E97:E101)=0,"n/m",AVERAGE(E97:E101))</f>
        <v>0.40134345907380276</v>
      </c>
      <c r="F102" s="51">
        <f>IF(COUNT(F97:F101)=0,"n/m",AVERAGE(F97:F101))</f>
        <v>0.3959164063769201</v>
      </c>
      <c r="G102" s="51">
        <f>IF(COUNT(G97:G101)=0,"n/m",AVERAGE(G97:G101))</f>
        <v>0.30191425723182308</v>
      </c>
      <c r="H102" s="51">
        <f>IF(COUNT(H97:H101)=0,"n/m",AVERAGE(H97:H101))</f>
        <v>0.21139452306738957</v>
      </c>
    </row>
    <row r="103" spans="1:8" ht="24" customHeight="1" x14ac:dyDescent="0.3">
      <c r="A103" s="32"/>
      <c r="B103" s="32"/>
      <c r="C103" s="32"/>
      <c r="D103" s="52"/>
      <c r="E103" s="52"/>
      <c r="F103" s="52"/>
      <c r="G103" s="52"/>
      <c r="H103" s="52"/>
    </row>
    <row r="104" spans="1:8" ht="34.049999999999997" customHeight="1" x14ac:dyDescent="0.3">
      <c r="A104" s="46" t="s">
        <v>200</v>
      </c>
      <c r="B104" s="47" t="s">
        <v>201</v>
      </c>
      <c r="C104" s="47" t="s">
        <v>202</v>
      </c>
      <c r="D104" s="49"/>
      <c r="E104" s="49"/>
      <c r="F104" s="49"/>
      <c r="G104" s="49"/>
      <c r="H104" s="49"/>
    </row>
    <row r="105" spans="1:8" ht="24" customHeight="1" x14ac:dyDescent="0.3">
      <c r="A105" s="32" t="s">
        <v>13</v>
      </c>
      <c r="B105" s="32"/>
      <c r="C105" s="32"/>
      <c r="D105" s="57">
        <f>KOHC!D125</f>
        <v>0.21400284667161887</v>
      </c>
      <c r="E105" s="57">
        <f>KOHC!E125</f>
        <v>0.13497287275854264</v>
      </c>
      <c r="F105" s="57">
        <f>KOHC!F125</f>
        <v>8.8937391462133447E-2</v>
      </c>
      <c r="G105" s="57">
        <f>KOHC!G125</f>
        <v>4.9789363275218823E-2</v>
      </c>
      <c r="H105" s="57">
        <f>KOHC!H125</f>
        <v>4.4675679300715997E-2</v>
      </c>
    </row>
    <row r="106" spans="1:8" ht="24" customHeight="1" x14ac:dyDescent="0.3">
      <c r="A106" s="32" t="s">
        <v>17</v>
      </c>
      <c r="B106" s="32"/>
      <c r="C106" s="32"/>
      <c r="D106" s="57">
        <f>LUCK!D125</f>
        <v>8.4815663134025443E-2</v>
      </c>
      <c r="E106" s="57">
        <f>LUCK!E125</f>
        <v>0.10820094237127705</v>
      </c>
      <c r="F106" s="57">
        <f>LUCK!F125</f>
        <v>0.13283363678865434</v>
      </c>
      <c r="G106" s="57">
        <f>LUCK!G125</f>
        <v>0.12102350075289672</v>
      </c>
      <c r="H106" s="57">
        <f>LUCK!H125</f>
        <v>9.0648585990198302E-2</v>
      </c>
    </row>
    <row r="107" spans="1:8" ht="24" customHeight="1" x14ac:dyDescent="0.3">
      <c r="A107" s="32" t="s">
        <v>21</v>
      </c>
      <c r="B107" s="32"/>
      <c r="C107" s="32"/>
      <c r="D107" s="57">
        <f>DGKC!D125</f>
        <v>0.37343360902882045</v>
      </c>
      <c r="E107" s="57">
        <f>DGKC!E125</f>
        <v>0.39929807208366225</v>
      </c>
      <c r="F107" s="57">
        <f>DGKC!F125</f>
        <v>0.39850127088453147</v>
      </c>
      <c r="G107" s="57">
        <f>DGKC!G125</f>
        <v>0.31153681009483003</v>
      </c>
      <c r="H107" s="57">
        <f>DGKC!H125</f>
        <v>0.18792347676351873</v>
      </c>
    </row>
    <row r="108" spans="1:8" ht="24" customHeight="1" x14ac:dyDescent="0.3">
      <c r="A108" s="32" t="s">
        <v>25</v>
      </c>
      <c r="B108" s="32"/>
      <c r="C108" s="32"/>
      <c r="D108" s="57">
        <f>MLCF!D125</f>
        <v>0.30189800416032447</v>
      </c>
      <c r="E108" s="57">
        <f>MLCF!E125</f>
        <v>0.381087654689308</v>
      </c>
      <c r="F108" s="57">
        <f>MLCF!F125</f>
        <v>0.30676284445350793</v>
      </c>
      <c r="G108" s="57">
        <f>MLCF!G125</f>
        <v>0.2692569010491479</v>
      </c>
      <c r="H108" s="57">
        <f>MLCF!H125</f>
        <v>0.1694536072536581</v>
      </c>
    </row>
    <row r="109" spans="1:8" ht="24" customHeight="1" x14ac:dyDescent="0.3">
      <c r="A109" s="32" t="s">
        <v>29</v>
      </c>
      <c r="B109" s="32"/>
      <c r="C109" s="32"/>
      <c r="D109" s="57">
        <f>FCCL!D125</f>
        <v>9.9369789844821352E-2</v>
      </c>
      <c r="E109" s="57">
        <f>FCCL!E125</f>
        <v>0.30982053797366449</v>
      </c>
      <c r="F109" s="57">
        <f>FCCL!F125</f>
        <v>0.38414531386940193</v>
      </c>
      <c r="G109" s="57">
        <f>FCCL!G125</f>
        <v>0.33266855232872222</v>
      </c>
      <c r="H109" s="57">
        <f>FCCL!H125</f>
        <v>0.3220730092552348</v>
      </c>
    </row>
    <row r="110" spans="1:8" ht="24" customHeight="1" x14ac:dyDescent="0.3">
      <c r="A110" s="48" t="s">
        <v>272</v>
      </c>
      <c r="B110" s="48"/>
      <c r="C110" s="48"/>
      <c r="D110" s="58">
        <f>IF(COUNT(D105:D109)=0,"n/m",AVERAGE(D105:D109))</f>
        <v>0.21470398256792214</v>
      </c>
      <c r="E110" s="58">
        <f>IF(COUNT(E105:E109)=0,"n/m",AVERAGE(E105:E109))</f>
        <v>0.26667601597529089</v>
      </c>
      <c r="F110" s="58">
        <f>IF(COUNT(F105:F109)=0,"n/m",AVERAGE(F105:F109))</f>
        <v>0.26223609149164584</v>
      </c>
      <c r="G110" s="58">
        <f>IF(COUNT(G105:G109)=0,"n/m",AVERAGE(G105:G109))</f>
        <v>0.21685502550016317</v>
      </c>
      <c r="H110" s="58">
        <f>IF(COUNT(H105:H109)=0,"n/m",AVERAGE(H105:H109))</f>
        <v>0.16295487171266518</v>
      </c>
    </row>
    <row r="111" spans="1:8" ht="24" customHeight="1" x14ac:dyDescent="0.3">
      <c r="A111" s="32"/>
      <c r="B111" s="32"/>
      <c r="C111" s="32"/>
      <c r="D111" s="52"/>
      <c r="E111" s="52"/>
      <c r="F111" s="52"/>
      <c r="G111" s="52"/>
      <c r="H111" s="52"/>
    </row>
    <row r="112" spans="1:8" ht="34.049999999999997" customHeight="1" x14ac:dyDescent="0.3">
      <c r="A112" s="46" t="s">
        <v>203</v>
      </c>
      <c r="B112" s="47" t="s">
        <v>204</v>
      </c>
      <c r="C112" s="47" t="s">
        <v>205</v>
      </c>
      <c r="D112" s="49"/>
      <c r="E112" s="49"/>
      <c r="F112" s="49"/>
      <c r="G112" s="49"/>
      <c r="H112" s="49"/>
    </row>
    <row r="113" spans="1:8" ht="24" customHeight="1" x14ac:dyDescent="0.3">
      <c r="A113" s="32" t="s">
        <v>13</v>
      </c>
      <c r="B113" s="32"/>
      <c r="C113" s="32"/>
      <c r="D113" s="50">
        <f>KOHC!D126</f>
        <v>10.965146742707439</v>
      </c>
      <c r="E113" s="50">
        <f>KOHC!E126</f>
        <v>18.319735243438064</v>
      </c>
      <c r="F113" s="50">
        <f>KOHC!F126</f>
        <v>16.315812571917526</v>
      </c>
      <c r="G113" s="50">
        <f>KOHC!G126</f>
        <v>22.319441864662931</v>
      </c>
      <c r="H113" s="50">
        <f>KOHC!H126</f>
        <v>58.956241100348862</v>
      </c>
    </row>
    <row r="114" spans="1:8" ht="24" customHeight="1" x14ac:dyDescent="0.3">
      <c r="A114" s="32" t="s">
        <v>17</v>
      </c>
      <c r="B114" s="32"/>
      <c r="C114" s="32"/>
      <c r="D114" s="50">
        <f>LUCK!D126</f>
        <v>52.042228263318378</v>
      </c>
      <c r="E114" s="50">
        <f>LUCK!E126</f>
        <v>55.297361076962446</v>
      </c>
      <c r="F114" s="50">
        <f>LUCK!F126</f>
        <v>19.418491261619813</v>
      </c>
      <c r="G114" s="50">
        <f>LUCK!G126</f>
        <v>27.521394265428206</v>
      </c>
      <c r="H114" s="50">
        <f>LUCK!H126</f>
        <v>36.687316512913945</v>
      </c>
    </row>
    <row r="115" spans="1:8" ht="24" customHeight="1" x14ac:dyDescent="0.3">
      <c r="A115" s="32" t="s">
        <v>21</v>
      </c>
      <c r="B115" s="32"/>
      <c r="C115" s="32"/>
      <c r="D115" s="50">
        <f>DGKC!D126</f>
        <v>2.6532310456742976</v>
      </c>
      <c r="E115" s="50">
        <f>DGKC!E126</f>
        <v>2.6982633298510965</v>
      </c>
      <c r="F115" s="50">
        <f>DGKC!F126</f>
        <v>1.4717538518085045</v>
      </c>
      <c r="G115" s="50">
        <f>DGKC!G126</f>
        <v>1.3582230764552283</v>
      </c>
      <c r="H115" s="50">
        <f>DGKC!H126</f>
        <v>4.4072600253200633</v>
      </c>
    </row>
    <row r="116" spans="1:8" ht="24" customHeight="1" x14ac:dyDescent="0.3">
      <c r="A116" s="32" t="s">
        <v>25</v>
      </c>
      <c r="B116" s="32"/>
      <c r="C116" s="32"/>
      <c r="D116" s="50">
        <f>MLCF!D126</f>
        <v>6.0367662605249279</v>
      </c>
      <c r="E116" s="50">
        <f>MLCF!E126</f>
        <v>5.2505359388174728</v>
      </c>
      <c r="F116" s="50">
        <f>MLCF!F126</f>
        <v>4.4476569735481268</v>
      </c>
      <c r="G116" s="50">
        <f>MLCF!G126</f>
        <v>3.2023484620581835</v>
      </c>
      <c r="H116" s="50">
        <f>MLCF!H126</f>
        <v>7.3457905408215804</v>
      </c>
    </row>
    <row r="117" spans="1:8" ht="24" customHeight="1" x14ac:dyDescent="0.3">
      <c r="A117" s="32" t="s">
        <v>29</v>
      </c>
      <c r="B117" s="32"/>
      <c r="C117" s="32"/>
      <c r="D117" s="50">
        <f>FCCL!D126</f>
        <v>56.450885878061477</v>
      </c>
      <c r="E117" s="50">
        <f>FCCL!E126</f>
        <v>12.583415391911771</v>
      </c>
      <c r="F117" s="50">
        <f>FCCL!F126</f>
        <v>5.9146829675290808</v>
      </c>
      <c r="G117" s="50">
        <f>FCCL!G126</f>
        <v>3.7798126521954241</v>
      </c>
      <c r="H117" s="50">
        <f>FCCL!H126</f>
        <v>4.7935258018729412</v>
      </c>
    </row>
    <row r="118" spans="1:8" ht="24" customHeight="1" x14ac:dyDescent="0.3">
      <c r="A118" s="48" t="s">
        <v>272</v>
      </c>
      <c r="B118" s="48"/>
      <c r="C118" s="48"/>
      <c r="D118" s="51">
        <f>IF(COUNT(D113:D117)=0,"n/m",AVERAGE(D113:D117))</f>
        <v>25.629651638057304</v>
      </c>
      <c r="E118" s="51">
        <f>IF(COUNT(E113:E117)=0,"n/m",AVERAGE(E113:E117))</f>
        <v>18.829862196196171</v>
      </c>
      <c r="F118" s="51">
        <f>IF(COUNT(F113:F117)=0,"n/m",AVERAGE(F113:F117))</f>
        <v>9.513679525284612</v>
      </c>
      <c r="G118" s="51">
        <f>IF(COUNT(G113:G117)=0,"n/m",AVERAGE(G113:G117))</f>
        <v>11.636244064159992</v>
      </c>
      <c r="H118" s="51">
        <f>IF(COUNT(H113:H117)=0,"n/m",AVERAGE(H113:H117))</f>
        <v>22.438026796255478</v>
      </c>
    </row>
    <row r="119" spans="1:8" ht="24" customHeight="1" x14ac:dyDescent="0.3">
      <c r="A119" s="32"/>
      <c r="B119" s="32"/>
      <c r="C119" s="32"/>
      <c r="D119" s="52"/>
      <c r="E119" s="52"/>
      <c r="F119" s="52"/>
      <c r="G119" s="52"/>
      <c r="H119" s="52"/>
    </row>
    <row r="120" spans="1:8" ht="22.95" customHeight="1" x14ac:dyDescent="0.3">
      <c r="A120" s="90" t="s">
        <v>275</v>
      </c>
      <c r="B120" s="90"/>
      <c r="C120" s="90"/>
      <c r="D120" s="92"/>
      <c r="E120" s="92"/>
      <c r="F120" s="92"/>
      <c r="G120" s="92"/>
      <c r="H120" s="92"/>
    </row>
    <row r="121" spans="1:8" ht="34.049999999999997" customHeight="1" x14ac:dyDescent="0.3">
      <c r="A121" s="46" t="s">
        <v>207</v>
      </c>
      <c r="B121" s="47" t="s">
        <v>208</v>
      </c>
      <c r="C121" s="47" t="s">
        <v>209</v>
      </c>
      <c r="D121" s="49"/>
      <c r="E121" s="49"/>
      <c r="F121" s="49"/>
      <c r="G121" s="49"/>
      <c r="H121" s="49"/>
    </row>
    <row r="122" spans="1:8" ht="24" customHeight="1" x14ac:dyDescent="0.3">
      <c r="A122" s="32" t="s">
        <v>13</v>
      </c>
      <c r="B122" s="32"/>
      <c r="C122" s="32"/>
      <c r="D122" s="57">
        <f>KOHC!D128</f>
        <v>0.24796341300828931</v>
      </c>
      <c r="E122" s="57">
        <f>KOHC!E128</f>
        <v>0.29843914213509881</v>
      </c>
      <c r="F122" s="57">
        <f>KOHC!F128</f>
        <v>0.26804356818989611</v>
      </c>
      <c r="G122" s="57">
        <f>KOHC!G128</f>
        <v>0.29125851467425595</v>
      </c>
      <c r="H122" s="57">
        <f>KOHC!H128</f>
        <v>0.39220278175445145</v>
      </c>
    </row>
    <row r="123" spans="1:8" ht="24" customHeight="1" x14ac:dyDescent="0.3">
      <c r="A123" s="32" t="s">
        <v>17</v>
      </c>
      <c r="B123" s="32"/>
      <c r="C123" s="32"/>
      <c r="D123" s="57">
        <f>LUCK!D128</f>
        <v>0.30117079055471246</v>
      </c>
      <c r="E123" s="57">
        <f>LUCK!E128</f>
        <v>0.27809669144361399</v>
      </c>
      <c r="F123" s="57">
        <f>LUCK!F128</f>
        <v>0.27194087595679139</v>
      </c>
      <c r="G123" s="57">
        <f>LUCK!G128</f>
        <v>0.33648030796321582</v>
      </c>
      <c r="H123" s="57">
        <f>LUCK!H128</f>
        <v>0.34281652982067301</v>
      </c>
    </row>
    <row r="124" spans="1:8" ht="24" customHeight="1" x14ac:dyDescent="0.3">
      <c r="A124" s="32" t="s">
        <v>21</v>
      </c>
      <c r="B124" s="32"/>
      <c r="C124" s="32"/>
      <c r="D124" s="57">
        <f>DGKC!D128</f>
        <v>0.17894713739497631</v>
      </c>
      <c r="E124" s="57">
        <f>DGKC!E128</f>
        <v>0.17966261135996409</v>
      </c>
      <c r="F124" s="57">
        <f>DGKC!F128</f>
        <v>0.14704852458583501</v>
      </c>
      <c r="G124" s="57">
        <f>DGKC!G128</f>
        <v>0.15942563608432631</v>
      </c>
      <c r="H124" s="57">
        <f>DGKC!H128</f>
        <v>0.25740632547300923</v>
      </c>
    </row>
    <row r="125" spans="1:8" ht="24" customHeight="1" x14ac:dyDescent="0.3">
      <c r="A125" s="32" t="s">
        <v>25</v>
      </c>
      <c r="B125" s="32"/>
      <c r="C125" s="32"/>
      <c r="D125" s="57">
        <f>MLCF!D128</f>
        <v>0.20830714445240356</v>
      </c>
      <c r="E125" s="57">
        <f>MLCF!E128</f>
        <v>0.25300003367709667</v>
      </c>
      <c r="F125" s="57">
        <f>MLCF!F128</f>
        <v>0.29276322471727417</v>
      </c>
      <c r="G125" s="57">
        <f>MLCF!G128</f>
        <v>0.31547845382378364</v>
      </c>
      <c r="H125" s="57">
        <f>MLCF!H128</f>
        <v>0.34444405990469212</v>
      </c>
    </row>
    <row r="126" spans="1:8" ht="24" customHeight="1" x14ac:dyDescent="0.3">
      <c r="A126" s="32" t="s">
        <v>29</v>
      </c>
      <c r="B126" s="32"/>
      <c r="C126" s="32"/>
      <c r="D126" s="57">
        <f>FCCL!D128</f>
        <v>0.24985924725452316</v>
      </c>
      <c r="E126" s="57">
        <f>FCCL!E128</f>
        <v>0.28507903988852556</v>
      </c>
      <c r="F126" s="57">
        <f>FCCL!F128</f>
        <v>0.29996604048210768</v>
      </c>
      <c r="G126" s="57">
        <f>FCCL!G128</f>
        <v>0.32089986350224731</v>
      </c>
      <c r="H126" s="57">
        <f>FCCL!H128</f>
        <v>0.35490842202929052</v>
      </c>
    </row>
    <row r="127" spans="1:8" ht="24" customHeight="1" x14ac:dyDescent="0.3">
      <c r="A127" s="48" t="s">
        <v>272</v>
      </c>
      <c r="B127" s="48"/>
      <c r="C127" s="48"/>
      <c r="D127" s="58">
        <f>IF(COUNT(D122:D126)=0,"n/m",AVERAGE(D122:D126))</f>
        <v>0.23724954653298097</v>
      </c>
      <c r="E127" s="58">
        <f>IF(COUNT(E122:E126)=0,"n/m",AVERAGE(E122:E126))</f>
        <v>0.25885550370085986</v>
      </c>
      <c r="F127" s="58">
        <f>IF(COUNT(F122:F126)=0,"n/m",AVERAGE(F122:F126))</f>
        <v>0.25595244678638085</v>
      </c>
      <c r="G127" s="58">
        <f>IF(COUNT(G122:G126)=0,"n/m",AVERAGE(G122:G126))</f>
        <v>0.28470855520956578</v>
      </c>
      <c r="H127" s="58">
        <f>IF(COUNT(H122:H126)=0,"n/m",AVERAGE(H122:H126))</f>
        <v>0.33835562379642325</v>
      </c>
    </row>
    <row r="128" spans="1:8" ht="24" customHeight="1" x14ac:dyDescent="0.3">
      <c r="A128" s="32"/>
      <c r="B128" s="32"/>
      <c r="C128" s="32"/>
      <c r="D128" s="52"/>
      <c r="E128" s="52"/>
      <c r="F128" s="52"/>
      <c r="G128" s="52"/>
      <c r="H128" s="52"/>
    </row>
    <row r="129" spans="1:8" ht="34.049999999999997" customHeight="1" x14ac:dyDescent="0.3">
      <c r="A129" s="46" t="s">
        <v>210</v>
      </c>
      <c r="B129" s="47" t="s">
        <v>211</v>
      </c>
      <c r="C129" s="47" t="s">
        <v>212</v>
      </c>
      <c r="D129" s="49"/>
      <c r="E129" s="49"/>
      <c r="F129" s="49"/>
      <c r="G129" s="49"/>
      <c r="H129" s="49"/>
    </row>
    <row r="130" spans="1:8" ht="24" customHeight="1" x14ac:dyDescent="0.3">
      <c r="A130" s="32" t="s">
        <v>13</v>
      </c>
      <c r="B130" s="32"/>
      <c r="C130" s="32"/>
      <c r="D130" s="57">
        <f>KOHC!D129</f>
        <v>0.223476531263751</v>
      </c>
      <c r="E130" s="57">
        <f>KOHC!E129</f>
        <v>0.28715637280086448</v>
      </c>
      <c r="F130" s="57">
        <f>KOHC!F129</f>
        <v>0.28654734202991289</v>
      </c>
      <c r="G130" s="57">
        <f>KOHC!G129</f>
        <v>0.37317728789535698</v>
      </c>
      <c r="H130" s="57">
        <f>KOHC!H129</f>
        <v>0.48095636892569549</v>
      </c>
    </row>
    <row r="131" spans="1:8" ht="24" customHeight="1" x14ac:dyDescent="0.3">
      <c r="A131" s="32" t="s">
        <v>17</v>
      </c>
      <c r="B131" s="32"/>
      <c r="C131" s="32"/>
      <c r="D131" s="57">
        <f>LUCK!D129</f>
        <v>0.27526050866365631</v>
      </c>
      <c r="E131" s="57">
        <f>LUCK!E129</f>
        <v>0.26901961654768358</v>
      </c>
      <c r="F131" s="57">
        <f>LUCK!F129</f>
        <v>0.23480711540356072</v>
      </c>
      <c r="G131" s="57">
        <f>LUCK!G129</f>
        <v>0.37240945675047471</v>
      </c>
      <c r="H131" s="57">
        <f>LUCK!H129</f>
        <v>0.39071901522799324</v>
      </c>
    </row>
    <row r="132" spans="1:8" ht="24" customHeight="1" x14ac:dyDescent="0.3">
      <c r="A132" s="32" t="s">
        <v>21</v>
      </c>
      <c r="B132" s="32"/>
      <c r="C132" s="32"/>
      <c r="D132" s="57">
        <f>DGKC!D129</f>
        <v>0.16976072150890459</v>
      </c>
      <c r="E132" s="57">
        <f>DGKC!E129</f>
        <v>0.1647791429733062</v>
      </c>
      <c r="F132" s="57">
        <f>DGKC!F129</f>
        <v>0.15182766799754666</v>
      </c>
      <c r="G132" s="57">
        <f>DGKC!G129</f>
        <v>0.16299366572828242</v>
      </c>
      <c r="H132" s="57">
        <f>DGKC!H129</f>
        <v>0.23397808045883622</v>
      </c>
    </row>
    <row r="133" spans="1:8" ht="24" customHeight="1" x14ac:dyDescent="0.3">
      <c r="A133" s="32" t="s">
        <v>25</v>
      </c>
      <c r="B133" s="32"/>
      <c r="C133" s="32"/>
      <c r="D133" s="57">
        <f>MLCF!D129</f>
        <v>0.24584402613957254</v>
      </c>
      <c r="E133" s="57">
        <f>MLCF!E129</f>
        <v>0.18288553443388325</v>
      </c>
      <c r="F133" s="57">
        <f>MLCF!F129</f>
        <v>0.19224796146239193</v>
      </c>
      <c r="G133" s="57">
        <f>MLCF!G129</f>
        <v>0.19543128859795894</v>
      </c>
      <c r="H133" s="57">
        <f>MLCF!H129</f>
        <v>0.36375545770453227</v>
      </c>
    </row>
    <row r="134" spans="1:8" ht="24" customHeight="1" x14ac:dyDescent="0.3">
      <c r="A134" s="32" t="s">
        <v>29</v>
      </c>
      <c r="B134" s="32"/>
      <c r="C134" s="32"/>
      <c r="D134" s="57">
        <f>FCCL!D129</f>
        <v>0.2142368646736256</v>
      </c>
      <c r="E134" s="57">
        <f>FCCL!E129</f>
        <v>0.23087384099122032</v>
      </c>
      <c r="F134" s="57">
        <f>FCCL!F129</f>
        <v>0.22807525720632701</v>
      </c>
      <c r="G134" s="57">
        <f>FCCL!G129</f>
        <v>0.26089810857755552</v>
      </c>
      <c r="H134" s="57">
        <f>FCCL!H129</f>
        <v>0.3057657460861018</v>
      </c>
    </row>
    <row r="135" spans="1:8" ht="24" customHeight="1" x14ac:dyDescent="0.3">
      <c r="A135" s="48" t="s">
        <v>272</v>
      </c>
      <c r="B135" s="48"/>
      <c r="C135" s="48"/>
      <c r="D135" s="58">
        <f>IF(COUNT(D130:D134)=0,"n/m",AVERAGE(D130:D134))</f>
        <v>0.22571573044990201</v>
      </c>
      <c r="E135" s="58">
        <f>IF(COUNT(E130:E134)=0,"n/m",AVERAGE(E130:E134))</f>
        <v>0.22694290154939156</v>
      </c>
      <c r="F135" s="58">
        <f>IF(COUNT(F130:F134)=0,"n/m",AVERAGE(F130:F134))</f>
        <v>0.21870106881994783</v>
      </c>
      <c r="G135" s="58">
        <f>IF(COUNT(G130:G134)=0,"n/m",AVERAGE(G130:G134))</f>
        <v>0.27298196150992571</v>
      </c>
      <c r="H135" s="58">
        <f>IF(COUNT(H130:H134)=0,"n/m",AVERAGE(H130:H134))</f>
        <v>0.35503493368063183</v>
      </c>
    </row>
    <row r="136" spans="1:8" ht="24" customHeight="1" x14ac:dyDescent="0.3">
      <c r="A136" s="32"/>
      <c r="B136" s="32"/>
      <c r="C136" s="32"/>
      <c r="D136" s="52"/>
      <c r="E136" s="52"/>
      <c r="F136" s="52"/>
      <c r="G136" s="52"/>
      <c r="H136" s="52"/>
    </row>
    <row r="137" spans="1:8" ht="34.049999999999997" customHeight="1" x14ac:dyDescent="0.3">
      <c r="A137" s="46" t="s">
        <v>213</v>
      </c>
      <c r="B137" s="47" t="s">
        <v>214</v>
      </c>
      <c r="C137" s="47" t="s">
        <v>215</v>
      </c>
      <c r="D137" s="49"/>
      <c r="E137" s="49"/>
      <c r="F137" s="49"/>
      <c r="G137" s="49"/>
      <c r="H137" s="49"/>
    </row>
    <row r="138" spans="1:8" ht="24" customHeight="1" x14ac:dyDescent="0.3">
      <c r="A138" s="32" t="s">
        <v>13</v>
      </c>
      <c r="B138" s="32"/>
      <c r="C138" s="32"/>
      <c r="D138" s="57">
        <f>KOHC!D130</f>
        <v>0.1453819089897026</v>
      </c>
      <c r="E138" s="57">
        <f>KOHC!E130</f>
        <v>0.15282075695786385</v>
      </c>
      <c r="F138" s="57">
        <f>KOHC!F130</f>
        <v>0.14955052871384544</v>
      </c>
      <c r="G138" s="57">
        <f>KOHC!G130</f>
        <v>0.23011561219895646</v>
      </c>
      <c r="H138" s="57">
        <f>KOHC!H130</f>
        <v>0.30837719707594857</v>
      </c>
    </row>
    <row r="139" spans="1:8" ht="24" customHeight="1" x14ac:dyDescent="0.3">
      <c r="A139" s="32" t="s">
        <v>17</v>
      </c>
      <c r="B139" s="32"/>
      <c r="C139" s="32"/>
      <c r="D139" s="57">
        <f>LUCK!D130</f>
        <v>0.22354637821997994</v>
      </c>
      <c r="E139" s="57">
        <f>LUCK!E130</f>
        <v>0.18865400166042842</v>
      </c>
      <c r="F139" s="57">
        <f>LUCK!F130</f>
        <v>0.14322765825125466</v>
      </c>
      <c r="G139" s="57">
        <f>LUCK!G130</f>
        <v>0.24371604713228476</v>
      </c>
      <c r="H139" s="57">
        <f>LUCK!H130</f>
        <v>0.26577542757733763</v>
      </c>
    </row>
    <row r="140" spans="1:8" ht="24" customHeight="1" x14ac:dyDescent="0.3">
      <c r="A140" s="32" t="s">
        <v>21</v>
      </c>
      <c r="B140" s="32"/>
      <c r="C140" s="32"/>
      <c r="D140" s="57">
        <f>DGKC!D130</f>
        <v>8.2497529800351119E-2</v>
      </c>
      <c r="E140" s="57">
        <f>DGKC!E130</f>
        <v>5.120493100192175E-2</v>
      </c>
      <c r="F140" s="57" t="str">
        <f>DGKC!F130</f>
        <v>n/m</v>
      </c>
      <c r="G140" s="57">
        <f>DGKC!G130</f>
        <v>8.2133065966830711E-3</v>
      </c>
      <c r="H140" s="57">
        <f>DGKC!H130</f>
        <v>0.12066652759857006</v>
      </c>
    </row>
    <row r="141" spans="1:8" ht="24" customHeight="1" x14ac:dyDescent="0.3">
      <c r="A141" s="32" t="s">
        <v>25</v>
      </c>
      <c r="B141" s="32"/>
      <c r="C141" s="32"/>
      <c r="D141" s="57">
        <f>MLCF!D130</f>
        <v>0.1759822170452098</v>
      </c>
      <c r="E141" s="57">
        <f>MLCF!E130</f>
        <v>7.4739658936337147E-2</v>
      </c>
      <c r="F141" s="57">
        <f>MLCF!F130</f>
        <v>7.2358441549152441E-2</v>
      </c>
      <c r="G141" s="57">
        <f>MLCF!G130</f>
        <v>7.9342975209845082E-2</v>
      </c>
      <c r="H141" s="57">
        <f>MLCF!H130</f>
        <v>0.24711008947956384</v>
      </c>
    </row>
    <row r="142" spans="1:8" ht="24" customHeight="1" x14ac:dyDescent="0.3">
      <c r="A142" s="32" t="s">
        <v>29</v>
      </c>
      <c r="B142" s="32"/>
      <c r="C142" s="32"/>
      <c r="D142" s="57">
        <f>FCCL!D130</f>
        <v>0.14302295902338913</v>
      </c>
      <c r="E142" s="57">
        <f>FCCL!E130</f>
        <v>0.13112336204567002</v>
      </c>
      <c r="F142" s="57">
        <f>FCCL!F130</f>
        <v>0.10929571726641699</v>
      </c>
      <c r="G142" s="57">
        <f>FCCL!G130</f>
        <v>0.10275526425549537</v>
      </c>
      <c r="H142" s="57">
        <f>FCCL!H130</f>
        <v>0.14980611609777766</v>
      </c>
    </row>
    <row r="143" spans="1:8" ht="30" customHeight="1" x14ac:dyDescent="0.3">
      <c r="A143" s="48" t="s">
        <v>272</v>
      </c>
      <c r="B143" s="48"/>
      <c r="C143" s="61" t="str">
        <f>"N (FY21-25): "&amp;COUNT(D138:D142)&amp;","&amp;COUNT(E138:E142)&amp;","&amp;COUNT(F138:F142)&amp;","&amp;COUNT(G138:G142)&amp;","&amp;COUNT(H138:H142)</f>
        <v>N (FY21-25): 5,5,4,5,5</v>
      </c>
      <c r="D143" s="58">
        <f>IF(COUNT(D138:D142)=0,"n/m",AVERAGE(D138:D142))</f>
        <v>0.15408619861572653</v>
      </c>
      <c r="E143" s="58">
        <f>IF(COUNT(E138:E142)=0,"n/m",AVERAGE(E138:E142))</f>
        <v>0.11970854212044424</v>
      </c>
      <c r="F143" s="58">
        <f>IF(COUNT(F138:F142)=0,"n/m",AVERAGE(F138:F142))</f>
        <v>0.11860808644516738</v>
      </c>
      <c r="G143" s="58">
        <f>IF(COUNT(G138:G142)=0,"n/m",AVERAGE(G138:G142))</f>
        <v>0.13282864107865294</v>
      </c>
      <c r="H143" s="58">
        <f>IF(COUNT(H138:H142)=0,"n/m",AVERAGE(H138:H142))</f>
        <v>0.21834707156583955</v>
      </c>
    </row>
    <row r="144" spans="1:8" ht="24" customHeight="1" x14ac:dyDescent="0.3">
      <c r="A144" s="32"/>
      <c r="B144" s="32"/>
      <c r="C144" s="32"/>
      <c r="D144" s="52"/>
      <c r="E144" s="52"/>
      <c r="F144" s="52"/>
      <c r="G144" s="52"/>
      <c r="H144" s="52"/>
    </row>
    <row r="145" spans="1:8" ht="34.049999999999997" customHeight="1" x14ac:dyDescent="0.3">
      <c r="A145" s="46" t="s">
        <v>216</v>
      </c>
      <c r="B145" s="47" t="s">
        <v>217</v>
      </c>
      <c r="C145" s="47" t="s">
        <v>218</v>
      </c>
      <c r="D145" s="49"/>
      <c r="E145" s="49"/>
      <c r="F145" s="49"/>
      <c r="G145" s="49"/>
      <c r="H145" s="49"/>
    </row>
    <row r="146" spans="1:8" ht="24" customHeight="1" x14ac:dyDescent="0.3">
      <c r="A146" s="32" t="s">
        <v>13</v>
      </c>
      <c r="B146" s="32"/>
      <c r="C146" s="32"/>
      <c r="D146" s="57">
        <f>KOHC!D131</f>
        <v>9.6918969746585204E-2</v>
      </c>
      <c r="E146" s="57">
        <f>KOHC!E131</f>
        <v>0.11589856650144761</v>
      </c>
      <c r="F146" s="57">
        <f>KOHC!F131</f>
        <v>0.11751952891151191</v>
      </c>
      <c r="G146" s="57">
        <f>KOHC!G131</f>
        <v>0.15113794625582791</v>
      </c>
      <c r="H146" s="57">
        <f>KOHC!H131</f>
        <v>0.17329550622820336</v>
      </c>
    </row>
    <row r="147" spans="1:8" ht="24" customHeight="1" x14ac:dyDescent="0.3">
      <c r="A147" s="32" t="s">
        <v>17</v>
      </c>
      <c r="B147" s="32"/>
      <c r="C147" s="32"/>
      <c r="D147" s="57">
        <f>LUCK!D131</f>
        <v>8.9981220078048957E-2</v>
      </c>
      <c r="E147" s="57">
        <f>LUCK!E131</f>
        <v>8.271205740618541E-2</v>
      </c>
      <c r="F147" s="57">
        <f>LUCK!F131</f>
        <v>6.4416529475417678E-2</v>
      </c>
      <c r="G147" s="57">
        <f>LUCK!G131</f>
        <v>0.12010412955682188</v>
      </c>
      <c r="H147" s="57">
        <f>LUCK!H131</f>
        <v>0.12405775592794444</v>
      </c>
    </row>
    <row r="148" spans="1:8" ht="24" customHeight="1" x14ac:dyDescent="0.3">
      <c r="A148" s="32" t="s">
        <v>21</v>
      </c>
      <c r="B148" s="32"/>
      <c r="C148" s="32"/>
      <c r="D148" s="57">
        <f>DGKC!D131</f>
        <v>2.6986338713228402E-2</v>
      </c>
      <c r="E148" s="57">
        <f>DGKC!E131</f>
        <v>2.1763973265391149E-2</v>
      </c>
      <c r="F148" s="57" t="str">
        <f>DGKC!F131</f>
        <v>n/m</v>
      </c>
      <c r="G148" s="57">
        <f>DGKC!G131</f>
        <v>3.9194496855507379E-3</v>
      </c>
      <c r="H148" s="57">
        <f>DGKC!H131</f>
        <v>5.9449062727654524E-2</v>
      </c>
    </row>
    <row r="149" spans="1:8" ht="24" customHeight="1" x14ac:dyDescent="0.3">
      <c r="A149" s="32" t="s">
        <v>25</v>
      </c>
      <c r="B149" s="32"/>
      <c r="C149" s="32"/>
      <c r="D149" s="57">
        <f>MLCF!D131</f>
        <v>9.4416925860816264E-2</v>
      </c>
      <c r="E149" s="57">
        <f>MLCF!E131</f>
        <v>4.4108433323144514E-2</v>
      </c>
      <c r="F149" s="57">
        <f>MLCF!F131</f>
        <v>5.0070043588560612E-2</v>
      </c>
      <c r="G149" s="57">
        <f>MLCF!G131</f>
        <v>5.3061850871209217E-2</v>
      </c>
      <c r="H149" s="57">
        <f>MLCF!H131</f>
        <v>0.14303507159585241</v>
      </c>
    </row>
    <row r="150" spans="1:8" ht="24" customHeight="1" x14ac:dyDescent="0.3">
      <c r="A150" s="32" t="s">
        <v>29</v>
      </c>
      <c r="B150" s="32"/>
      <c r="C150" s="32"/>
      <c r="D150" s="57">
        <f>FCCL!D131</f>
        <v>0.10194195499261118</v>
      </c>
      <c r="E150" s="57">
        <f>FCCL!E131</f>
        <v>6.2556379031810716E-2</v>
      </c>
      <c r="F150" s="57">
        <f>FCCL!F131</f>
        <v>5.3589004856834314E-2</v>
      </c>
      <c r="G150" s="57">
        <f>FCCL!G131</f>
        <v>5.5698470198037101E-2</v>
      </c>
      <c r="H150" s="57">
        <f>FCCL!H131</f>
        <v>8.2851106191915852E-2</v>
      </c>
    </row>
    <row r="151" spans="1:8" ht="30" customHeight="1" x14ac:dyDescent="0.3">
      <c r="A151" s="48" t="s">
        <v>272</v>
      </c>
      <c r="B151" s="48"/>
      <c r="C151" s="61" t="str">
        <f>"N (FY21-25): "&amp;COUNT(D146:D150)&amp;","&amp;COUNT(E146:E150)&amp;","&amp;COUNT(F146:F150)&amp;","&amp;COUNT(G146:G150)&amp;","&amp;COUNT(H146:H150)</f>
        <v>N (FY21-25): 5,5,4,5,5</v>
      </c>
      <c r="D151" s="58">
        <f>IF(COUNT(D146:D150)=0,"n/m",AVERAGE(D146:D150))</f>
        <v>8.204908187825799E-2</v>
      </c>
      <c r="E151" s="58">
        <f>IF(COUNT(E146:E150)=0,"n/m",AVERAGE(E146:E150))</f>
        <v>6.5407881905595877E-2</v>
      </c>
      <c r="F151" s="58">
        <f>IF(COUNT(F146:F150)=0,"n/m",AVERAGE(F146:F150))</f>
        <v>7.1398776708081133E-2</v>
      </c>
      <c r="G151" s="58">
        <f>IF(COUNT(G146:G150)=0,"n/m",AVERAGE(G146:G150))</f>
        <v>7.6784369313489378E-2</v>
      </c>
      <c r="H151" s="58">
        <f>IF(COUNT(H146:H150)=0,"n/m",AVERAGE(H146:H150))</f>
        <v>0.11653770053431411</v>
      </c>
    </row>
    <row r="152" spans="1:8" ht="24" customHeight="1" x14ac:dyDescent="0.3">
      <c r="A152" s="32"/>
      <c r="B152" s="32"/>
      <c r="C152" s="32"/>
      <c r="D152" s="52"/>
      <c r="E152" s="52"/>
      <c r="F152" s="52"/>
      <c r="G152" s="52"/>
      <c r="H152" s="52"/>
    </row>
    <row r="153" spans="1:8" ht="34.049999999999997" customHeight="1" x14ac:dyDescent="0.3">
      <c r="A153" s="46" t="s">
        <v>219</v>
      </c>
      <c r="B153" s="47" t="s">
        <v>220</v>
      </c>
      <c r="C153" s="47" t="s">
        <v>221</v>
      </c>
      <c r="D153" s="49"/>
      <c r="E153" s="49"/>
      <c r="F153" s="49"/>
      <c r="G153" s="49"/>
      <c r="H153" s="49"/>
    </row>
    <row r="154" spans="1:8" ht="24" customHeight="1" x14ac:dyDescent="0.3">
      <c r="A154" s="32" t="s">
        <v>13</v>
      </c>
      <c r="B154" s="32"/>
      <c r="C154" s="32"/>
      <c r="D154" s="57">
        <f>KOHC!D132</f>
        <v>0.15737849802466555</v>
      </c>
      <c r="E154" s="57">
        <f>KOHC!E132</f>
        <v>0.18440283523376622</v>
      </c>
      <c r="F154" s="57">
        <f>KOHC!F132</f>
        <v>0.17849564911664104</v>
      </c>
      <c r="G154" s="57">
        <f>KOHC!G132</f>
        <v>0.21643681457260755</v>
      </c>
      <c r="H154" s="57">
        <f>KOHC!H132</f>
        <v>0.24137435208870983</v>
      </c>
    </row>
    <row r="155" spans="1:8" ht="24" customHeight="1" x14ac:dyDescent="0.3">
      <c r="A155" s="32" t="s">
        <v>17</v>
      </c>
      <c r="B155" s="32"/>
      <c r="C155" s="32"/>
      <c r="D155" s="57">
        <f>LUCK!D132</f>
        <v>0.12429467254394423</v>
      </c>
      <c r="E155" s="57">
        <f>LUCK!E132</f>
        <v>0.11901804448540206</v>
      </c>
      <c r="F155" s="57">
        <f>LUCK!F132</f>
        <v>9.9921242706891636E-2</v>
      </c>
      <c r="G155" s="57">
        <f>LUCK!G132</f>
        <v>0.19021586420101122</v>
      </c>
      <c r="H155" s="57">
        <f>LUCK!H132</f>
        <v>0.18811941761260281</v>
      </c>
    </row>
    <row r="156" spans="1:8" ht="24" customHeight="1" x14ac:dyDescent="0.3">
      <c r="A156" s="32" t="s">
        <v>21</v>
      </c>
      <c r="B156" s="32"/>
      <c r="C156" s="32"/>
      <c r="D156" s="57">
        <f>DGKC!D132</f>
        <v>5.0644811125656837E-2</v>
      </c>
      <c r="E156" s="57">
        <f>DGKC!E132</f>
        <v>4.2508762609145177E-2</v>
      </c>
      <c r="F156" s="57" t="str">
        <f>DGKC!F132</f>
        <v>n/m</v>
      </c>
      <c r="G156" s="57">
        <f>DGKC!G132</f>
        <v>7.1511352154898129E-3</v>
      </c>
      <c r="H156" s="57">
        <f>DGKC!H132</f>
        <v>9.1637161813901913E-2</v>
      </c>
    </row>
    <row r="157" spans="1:8" ht="24" customHeight="1" x14ac:dyDescent="0.3">
      <c r="A157" s="32" t="s">
        <v>25</v>
      </c>
      <c r="B157" s="32"/>
      <c r="C157" s="32"/>
      <c r="D157" s="57">
        <f>MLCF!D132</f>
        <v>0.16658725897109622</v>
      </c>
      <c r="E157" s="57">
        <f>MLCF!E132</f>
        <v>8.9408976031592494E-2</v>
      </c>
      <c r="F157" s="57">
        <f>MLCF!F132</f>
        <v>0.10000796203977304</v>
      </c>
      <c r="G157" s="57">
        <f>MLCF!G132</f>
        <v>0.10020784968682853</v>
      </c>
      <c r="H157" s="57">
        <f>MLCF!H132</f>
        <v>0.2383990269906105</v>
      </c>
    </row>
    <row r="158" spans="1:8" ht="24" customHeight="1" x14ac:dyDescent="0.3">
      <c r="A158" s="32" t="s">
        <v>29</v>
      </c>
      <c r="B158" s="32"/>
      <c r="C158" s="32"/>
      <c r="D158" s="57">
        <f>FCCL!D132</f>
        <v>0.14914074872427949</v>
      </c>
      <c r="E158" s="57">
        <f>FCCL!E132</f>
        <v>0.12319061073378482</v>
      </c>
      <c r="F158" s="57">
        <f>FCCL!F132</f>
        <v>0.11414801492770245</v>
      </c>
      <c r="G158" s="57">
        <f>FCCL!G132</f>
        <v>0.1120333038446799</v>
      </c>
      <c r="H158" s="57">
        <f>FCCL!H132</f>
        <v>0.15813282120245373</v>
      </c>
    </row>
    <row r="159" spans="1:8" ht="30" customHeight="1" x14ac:dyDescent="0.3">
      <c r="A159" s="48" t="s">
        <v>272</v>
      </c>
      <c r="B159" s="48"/>
      <c r="C159" s="61" t="str">
        <f>"N (FY21-25): "&amp;COUNT(D154:D158)&amp;","&amp;COUNT(E154:E158)&amp;","&amp;COUNT(F154:F158)&amp;","&amp;COUNT(G154:G158)&amp;","&amp;COUNT(H154:H158)</f>
        <v>N (FY21-25): 5,5,4,5,5</v>
      </c>
      <c r="D159" s="58">
        <f>IF(COUNT(D154:D158)=0,"n/m",AVERAGE(D154:D158))</f>
        <v>0.12960919787792846</v>
      </c>
      <c r="E159" s="58">
        <f>IF(COUNT(E154:E158)=0,"n/m",AVERAGE(E154:E158))</f>
        <v>0.11170584581873814</v>
      </c>
      <c r="F159" s="58">
        <f>IF(COUNT(F154:F158)=0,"n/m",AVERAGE(F154:F158))</f>
        <v>0.12314321719775204</v>
      </c>
      <c r="G159" s="58">
        <f>IF(COUNT(G154:G158)=0,"n/m",AVERAGE(G154:G158))</f>
        <v>0.1252089935041234</v>
      </c>
      <c r="H159" s="58">
        <f>IF(COUNT(H154:H158)=0,"n/m",AVERAGE(H154:H158))</f>
        <v>0.18353255594165577</v>
      </c>
    </row>
    <row r="160" spans="1:8" ht="24" customHeight="1" x14ac:dyDescent="0.3">
      <c r="A160" s="32"/>
      <c r="B160" s="32"/>
      <c r="C160" s="32"/>
      <c r="D160" s="52"/>
      <c r="E160" s="52"/>
      <c r="F160" s="52"/>
      <c r="G160" s="52"/>
      <c r="H160" s="52"/>
    </row>
    <row r="161" spans="1:8" ht="34.049999999999997" customHeight="1" x14ac:dyDescent="0.3">
      <c r="A161" s="46" t="s">
        <v>222</v>
      </c>
      <c r="B161" s="47" t="s">
        <v>223</v>
      </c>
      <c r="C161" s="47" t="s">
        <v>224</v>
      </c>
      <c r="D161" s="49"/>
      <c r="E161" s="49"/>
      <c r="F161" s="49"/>
      <c r="G161" s="49"/>
      <c r="H161" s="49"/>
    </row>
    <row r="162" spans="1:8" ht="24" customHeight="1" x14ac:dyDescent="0.3">
      <c r="A162" s="32" t="s">
        <v>13</v>
      </c>
      <c r="B162" s="32"/>
      <c r="C162" s="32"/>
      <c r="D162" s="57">
        <f>KOHC!D133</f>
        <v>0.13611222052431424</v>
      </c>
      <c r="E162" s="57">
        <f>KOHC!E133</f>
        <v>0.16872337936741016</v>
      </c>
      <c r="F162" s="57">
        <f>KOHC!F133</f>
        <v>0.17323854283924056</v>
      </c>
      <c r="G162" s="57">
        <f>KOHC!G133</f>
        <v>0.21530718381280636</v>
      </c>
      <c r="H162" s="57">
        <f>KOHC!H133</f>
        <v>0.23456949398989801</v>
      </c>
    </row>
    <row r="163" spans="1:8" ht="24" customHeight="1" x14ac:dyDescent="0.3">
      <c r="A163" s="32" t="s">
        <v>17</v>
      </c>
      <c r="B163" s="32"/>
      <c r="C163" s="32"/>
      <c r="D163" s="57">
        <f>LUCK!D133</f>
        <v>0.11598113408973314</v>
      </c>
      <c r="E163" s="57">
        <f>LUCK!E133</f>
        <v>0.10809497435976413</v>
      </c>
      <c r="F163" s="57">
        <f>LUCK!F133</f>
        <v>9.1352761839314733E-2</v>
      </c>
      <c r="G163" s="57">
        <f>LUCK!G133</f>
        <v>0.17349944050776198</v>
      </c>
      <c r="H163" s="57">
        <f>LUCK!H133</f>
        <v>0.17586014458599655</v>
      </c>
    </row>
    <row r="164" spans="1:8" ht="24" customHeight="1" x14ac:dyDescent="0.3">
      <c r="A164" s="32" t="s">
        <v>21</v>
      </c>
      <c r="B164" s="32"/>
      <c r="C164" s="32"/>
      <c r="D164" s="57">
        <f>DGKC!D133</f>
        <v>5.0926469503026137E-2</v>
      </c>
      <c r="E164" s="57">
        <f>DGKC!E133</f>
        <v>4.0571100495840479E-2</v>
      </c>
      <c r="F164" s="57" t="str">
        <f>DGKC!F133</f>
        <v>n/m</v>
      </c>
      <c r="G164" s="57">
        <f>DGKC!G133</f>
        <v>1.8666945531428475E-2</v>
      </c>
      <c r="H164" s="57">
        <f>DGKC!H133</f>
        <v>9.6256924504903307E-2</v>
      </c>
    </row>
    <row r="165" spans="1:8" ht="24" customHeight="1" x14ac:dyDescent="0.3">
      <c r="A165" s="32" t="s">
        <v>25</v>
      </c>
      <c r="B165" s="32"/>
      <c r="C165" s="32"/>
      <c r="D165" s="57">
        <f>MLCF!D133</f>
        <v>0.13938409686265396</v>
      </c>
      <c r="E165" s="57">
        <f>MLCF!E133</f>
        <v>6.8354987715222609E-2</v>
      </c>
      <c r="F165" s="57">
        <f>MLCF!F133</f>
        <v>8.9438322458184685E-2</v>
      </c>
      <c r="G165" s="57">
        <f>MLCF!G133</f>
        <v>0.10647533565261356</v>
      </c>
      <c r="H165" s="57">
        <f>MLCF!H133</f>
        <v>0.22920346694221672</v>
      </c>
    </row>
    <row r="166" spans="1:8" ht="24" customHeight="1" x14ac:dyDescent="0.3">
      <c r="A166" s="32" t="s">
        <v>29</v>
      </c>
      <c r="B166" s="32"/>
      <c r="C166" s="32"/>
      <c r="D166" s="57">
        <f>FCCL!D133</f>
        <v>0.13674299962769382</v>
      </c>
      <c r="E166" s="57">
        <f>FCCL!E133</f>
        <v>9.2363746892435927E-2</v>
      </c>
      <c r="F166" s="57">
        <f>FCCL!F133</f>
        <v>8.4602379259019547E-2</v>
      </c>
      <c r="G166" s="57">
        <f>FCCL!G133</f>
        <v>0.10165844956887071</v>
      </c>
      <c r="H166" s="57">
        <f>FCCL!H133</f>
        <v>0.13546184028270253</v>
      </c>
    </row>
    <row r="167" spans="1:8" ht="30" customHeight="1" x14ac:dyDescent="0.3">
      <c r="A167" s="48" t="s">
        <v>272</v>
      </c>
      <c r="B167" s="48"/>
      <c r="C167" s="61" t="str">
        <f>"N (FY21-25): "&amp;COUNT(D162:D166)&amp;","&amp;COUNT(E162:E166)&amp;","&amp;COUNT(F162:F166)&amp;","&amp;COUNT(G162:G166)&amp;","&amp;COUNT(H162:H166)</f>
        <v>N (FY21-25): 5,5,4,5,5</v>
      </c>
      <c r="D167" s="58">
        <f>IF(COUNT(D162:D166)=0,"n/m",AVERAGE(D162:D166))</f>
        <v>0.11582938412148427</v>
      </c>
      <c r="E167" s="58">
        <f>IF(COUNT(E162:E166)=0,"n/m",AVERAGE(E162:E166))</f>
        <v>9.5621637766134665E-2</v>
      </c>
      <c r="F167" s="58">
        <f>IF(COUNT(F162:F166)=0,"n/m",AVERAGE(F162:F166))</f>
        <v>0.10965800159893987</v>
      </c>
      <c r="G167" s="58">
        <f>IF(COUNT(G162:G166)=0,"n/m",AVERAGE(G162:G166))</f>
        <v>0.12312147101469621</v>
      </c>
      <c r="H167" s="58">
        <f>IF(COUNT(H162:H166)=0,"n/m",AVERAGE(H162:H166))</f>
        <v>0.1742703740611434</v>
      </c>
    </row>
    <row r="168" spans="1:8" ht="24" customHeight="1" x14ac:dyDescent="0.3">
      <c r="A168" s="32"/>
      <c r="B168" s="32"/>
      <c r="C168" s="32"/>
      <c r="D168" s="52"/>
      <c r="E168" s="52"/>
      <c r="F168" s="52"/>
      <c r="G168" s="52"/>
      <c r="H168" s="52"/>
    </row>
    <row r="169" spans="1:8" ht="34.049999999999997" customHeight="1" x14ac:dyDescent="0.3">
      <c r="A169" s="46" t="s">
        <v>225</v>
      </c>
      <c r="B169" s="47" t="s">
        <v>226</v>
      </c>
      <c r="C169" s="47" t="s">
        <v>227</v>
      </c>
      <c r="D169" s="49"/>
      <c r="E169" s="49"/>
      <c r="F169" s="49"/>
      <c r="G169" s="49"/>
      <c r="H169" s="49"/>
    </row>
    <row r="170" spans="1:8" ht="24" customHeight="1" x14ac:dyDescent="0.3">
      <c r="A170" s="32" t="s">
        <v>13</v>
      </c>
      <c r="B170" s="32"/>
      <c r="C170" s="32"/>
      <c r="D170" s="57">
        <f>KOHC!D134</f>
        <v>0.14898081420954101</v>
      </c>
      <c r="E170" s="57">
        <f>KOHC!E134</f>
        <v>0.21777808611792054</v>
      </c>
      <c r="F170" s="57">
        <f>KOHC!F134</f>
        <v>0.22517411964912432</v>
      </c>
      <c r="G170" s="57">
        <f>KOHC!G134</f>
        <v>0.24509961902567451</v>
      </c>
      <c r="H170" s="57">
        <f>KOHC!H134</f>
        <v>0.2702780173662766</v>
      </c>
    </row>
    <row r="171" spans="1:8" ht="24" customHeight="1" x14ac:dyDescent="0.3">
      <c r="A171" s="32" t="s">
        <v>17</v>
      </c>
      <c r="B171" s="32"/>
      <c r="C171" s="32"/>
      <c r="D171" s="57">
        <f>LUCK!D134</f>
        <v>0.11079703731315671</v>
      </c>
      <c r="E171" s="57">
        <f>LUCK!E134</f>
        <v>0.11794695989186292</v>
      </c>
      <c r="F171" s="57">
        <f>LUCK!F134</f>
        <v>0.10560432010902317</v>
      </c>
      <c r="G171" s="57">
        <f>LUCK!G134</f>
        <v>0.18352469674459784</v>
      </c>
      <c r="H171" s="57">
        <f>LUCK!H134</f>
        <v>0.18237850153944901</v>
      </c>
    </row>
    <row r="172" spans="1:8" ht="24" customHeight="1" x14ac:dyDescent="0.3">
      <c r="A172" s="32" t="s">
        <v>21</v>
      </c>
      <c r="B172" s="32"/>
      <c r="C172" s="32"/>
      <c r="D172" s="57">
        <f>DGKC!D134</f>
        <v>5.5531606121154903E-2</v>
      </c>
      <c r="E172" s="57">
        <f>DGKC!E134</f>
        <v>7.0037177908325046E-2</v>
      </c>
      <c r="F172" s="57">
        <f>DGKC!F134</f>
        <v>7.3239578935566346E-2</v>
      </c>
      <c r="G172" s="57">
        <f>DGKC!G134</f>
        <v>7.7781763576617868E-2</v>
      </c>
      <c r="H172" s="57">
        <f>DGKC!H134</f>
        <v>0.11527453270527682</v>
      </c>
    </row>
    <row r="173" spans="1:8" ht="24" customHeight="1" x14ac:dyDescent="0.3">
      <c r="A173" s="32" t="s">
        <v>25</v>
      </c>
      <c r="B173" s="32"/>
      <c r="C173" s="32"/>
      <c r="D173" s="57">
        <f>MLCF!D134</f>
        <v>0.13189876556323574</v>
      </c>
      <c r="E173" s="57">
        <f>MLCF!E134</f>
        <v>0.10793191347335213</v>
      </c>
      <c r="F173" s="57">
        <f>MLCF!F134</f>
        <v>0.13303028097551164</v>
      </c>
      <c r="G173" s="57">
        <f>MLCF!G134</f>
        <v>0.13069771915820996</v>
      </c>
      <c r="H173" s="57">
        <f>MLCF!H134</f>
        <v>0.21055306987152678</v>
      </c>
    </row>
    <row r="174" spans="1:8" ht="24" customHeight="1" x14ac:dyDescent="0.3">
      <c r="A174" s="32" t="s">
        <v>29</v>
      </c>
      <c r="B174" s="32"/>
      <c r="C174" s="32"/>
      <c r="D174" s="57">
        <f>FCCL!D134</f>
        <v>0.15270083184857988</v>
      </c>
      <c r="E174" s="57">
        <f>FCCL!E134</f>
        <v>0.11014537211566031</v>
      </c>
      <c r="F174" s="57">
        <f>FCCL!F134</f>
        <v>0.11182804204816831</v>
      </c>
      <c r="G174" s="57">
        <f>FCCL!G134</f>
        <v>0.14141976696394967</v>
      </c>
      <c r="H174" s="57">
        <f>FCCL!H134</f>
        <v>0.16910544748583739</v>
      </c>
    </row>
    <row r="175" spans="1:8" ht="24" customHeight="1" x14ac:dyDescent="0.3">
      <c r="A175" s="48" t="s">
        <v>272</v>
      </c>
      <c r="B175" s="48"/>
      <c r="C175" s="48"/>
      <c r="D175" s="58">
        <f>IF(COUNT(D170:D174)=0,"n/m",AVERAGE(D170:D174))</f>
        <v>0.11998181101113366</v>
      </c>
      <c r="E175" s="58">
        <f>IF(COUNT(E170:E174)=0,"n/m",AVERAGE(E170:E174))</f>
        <v>0.1247679019014242</v>
      </c>
      <c r="F175" s="58">
        <f>IF(COUNT(F170:F174)=0,"n/m",AVERAGE(F170:F174))</f>
        <v>0.12977526834347874</v>
      </c>
      <c r="G175" s="58">
        <f>IF(COUNT(G170:G174)=0,"n/m",AVERAGE(G170:G174))</f>
        <v>0.15570471309380998</v>
      </c>
      <c r="H175" s="58">
        <f>IF(COUNT(H170:H174)=0,"n/m",AVERAGE(H170:H174))</f>
        <v>0.18951791379367333</v>
      </c>
    </row>
    <row r="176" spans="1:8" ht="24" customHeight="1" x14ac:dyDescent="0.3">
      <c r="A176" s="32"/>
      <c r="B176" s="32"/>
      <c r="C176" s="32"/>
      <c r="D176" s="52"/>
      <c r="E176" s="52"/>
      <c r="F176" s="52"/>
      <c r="G176" s="52"/>
      <c r="H176" s="52"/>
    </row>
    <row r="177" spans="1:8" ht="22.95" customHeight="1" x14ac:dyDescent="0.3">
      <c r="A177" s="90" t="s">
        <v>276</v>
      </c>
      <c r="B177" s="90"/>
      <c r="C177" s="90"/>
      <c r="D177" s="92"/>
      <c r="E177" s="92"/>
      <c r="F177" s="92"/>
      <c r="G177" s="92"/>
      <c r="H177" s="92"/>
    </row>
    <row r="178" spans="1:8" ht="34.049999999999997" customHeight="1" x14ac:dyDescent="0.3">
      <c r="A178" s="46" t="s">
        <v>229</v>
      </c>
      <c r="B178" s="47" t="s">
        <v>230</v>
      </c>
      <c r="C178" s="47" t="s">
        <v>231</v>
      </c>
      <c r="D178" s="49"/>
      <c r="E178" s="49"/>
      <c r="F178" s="49"/>
      <c r="G178" s="49"/>
      <c r="H178" s="49"/>
    </row>
    <row r="179" spans="1:8" ht="24" customHeight="1" x14ac:dyDescent="0.3">
      <c r="A179" s="32" t="s">
        <v>13</v>
      </c>
      <c r="B179" s="32"/>
      <c r="C179" s="32"/>
      <c r="D179" s="59">
        <f>KOHC!D136</f>
        <v>17.412549352402124</v>
      </c>
      <c r="E179" s="59">
        <f>KOHC!E136</f>
        <v>25.013680261160516</v>
      </c>
      <c r="F179" s="59">
        <f>KOHC!F136</f>
        <v>28.978958275869324</v>
      </c>
      <c r="G179" s="59">
        <f>KOHC!G136</f>
        <v>45.274272678614977</v>
      </c>
      <c r="H179" s="59">
        <f>KOHC!H136</f>
        <v>59.842054600869929</v>
      </c>
    </row>
    <row r="180" spans="1:8" ht="24" customHeight="1" x14ac:dyDescent="0.3">
      <c r="A180" s="32" t="s">
        <v>17</v>
      </c>
      <c r="B180" s="32"/>
      <c r="C180" s="32"/>
      <c r="D180" s="59">
        <f>LUCK!D136</f>
        <v>43.510441437959038</v>
      </c>
      <c r="E180" s="59">
        <f>LUCK!E136</f>
        <v>47.309216853498242</v>
      </c>
      <c r="F180" s="59">
        <f>LUCK!F136</f>
        <v>43.061512349842658</v>
      </c>
      <c r="G180" s="59">
        <f>LUCK!G136</f>
        <v>94.540589177116431</v>
      </c>
      <c r="H180" s="59">
        <f>LUCK!H136</f>
        <v>22.588506484641641</v>
      </c>
    </row>
    <row r="181" spans="1:8" ht="24" customHeight="1" x14ac:dyDescent="0.3">
      <c r="A181" s="32" t="s">
        <v>21</v>
      </c>
      <c r="B181" s="32"/>
      <c r="C181" s="32"/>
      <c r="D181" s="59">
        <f>DGKC!D136</f>
        <v>8.4937471274650029</v>
      </c>
      <c r="E181" s="59">
        <f>DGKC!E136</f>
        <v>6.7838445707817723</v>
      </c>
      <c r="F181" s="59" t="str">
        <f>DGKC!F136</f>
        <v>n/m</v>
      </c>
      <c r="G181" s="59">
        <f>DGKC!G136</f>
        <v>1.2380103440270365</v>
      </c>
      <c r="H181" s="59">
        <f>DGKC!H136</f>
        <v>19.800685803443983</v>
      </c>
    </row>
    <row r="182" spans="1:8" ht="24" customHeight="1" x14ac:dyDescent="0.3">
      <c r="A182" s="32" t="s">
        <v>25</v>
      </c>
      <c r="B182" s="32"/>
      <c r="C182" s="32"/>
      <c r="D182" s="59">
        <f>MLCF!D136</f>
        <v>5.6941155155115029</v>
      </c>
      <c r="E182" s="59">
        <f>MLCF!E136</f>
        <v>3.3041099784606085</v>
      </c>
      <c r="F182" s="59">
        <f>MLCF!F136</f>
        <v>4.1845053824045904</v>
      </c>
      <c r="G182" s="59">
        <f>MLCF!G136</f>
        <v>4.9791974962957211</v>
      </c>
      <c r="H182" s="59">
        <f>MLCF!H136</f>
        <v>16.262863426829693</v>
      </c>
    </row>
    <row r="183" spans="1:8" ht="24" customHeight="1" x14ac:dyDescent="0.3">
      <c r="A183" s="32" t="s">
        <v>29</v>
      </c>
      <c r="B183" s="32"/>
      <c r="C183" s="32"/>
      <c r="D183" s="59">
        <f>FCCL!D136</f>
        <v>2.5158090033808875</v>
      </c>
      <c r="E183" s="59">
        <f>FCCL!E136</f>
        <v>3.2621706372812294</v>
      </c>
      <c r="F183" s="59">
        <f>FCCL!F136</f>
        <v>3.0330791851886794</v>
      </c>
      <c r="G183" s="59">
        <f>FCCL!G136</f>
        <v>3.3524781610919856</v>
      </c>
      <c r="H183" s="59">
        <f>FCCL!H136</f>
        <v>5.4329528095311241</v>
      </c>
    </row>
    <row r="184" spans="1:8" ht="30" customHeight="1" x14ac:dyDescent="0.3">
      <c r="A184" s="48" t="s">
        <v>272</v>
      </c>
      <c r="B184" s="48"/>
      <c r="C184" s="61" t="str">
        <f>"N (FY21-25): "&amp;COUNT(D179:D183)&amp;","&amp;COUNT(E179:E183)&amp;","&amp;COUNT(F179:F183)&amp;","&amp;COUNT(G179:G183)&amp;","&amp;COUNT(H179:H183)</f>
        <v>N (FY21-25): 5,5,4,5,5</v>
      </c>
      <c r="D184" s="60">
        <f>IF(COUNT(D179:D183)=0,"n/m",AVERAGE(D179:D183))</f>
        <v>15.525332487343713</v>
      </c>
      <c r="E184" s="60">
        <f>IF(COUNT(E179:E183)=0,"n/m",AVERAGE(E179:E183))</f>
        <v>17.134604460236471</v>
      </c>
      <c r="F184" s="60">
        <f>IF(COUNT(F179:F183)=0,"n/m",AVERAGE(F179:F183))</f>
        <v>19.814513798326313</v>
      </c>
      <c r="G184" s="60">
        <f>IF(COUNT(G179:G183)=0,"n/m",AVERAGE(G179:G183))</f>
        <v>29.876909571429231</v>
      </c>
      <c r="H184" s="60">
        <f>IF(COUNT(H179:H183)=0,"n/m",AVERAGE(H179:H183))</f>
        <v>24.785412625063277</v>
      </c>
    </row>
    <row r="185" spans="1:8" ht="24" customHeight="1" x14ac:dyDescent="0.3">
      <c r="A185" s="32"/>
      <c r="B185" s="32"/>
      <c r="C185" s="32"/>
      <c r="D185" s="52"/>
      <c r="E185" s="52"/>
      <c r="F185" s="52"/>
      <c r="G185" s="52"/>
      <c r="H185" s="52"/>
    </row>
    <row r="186" spans="1:8" ht="34.049999999999997" customHeight="1" x14ac:dyDescent="0.3">
      <c r="A186" s="46" t="s">
        <v>232</v>
      </c>
      <c r="B186" s="47" t="s">
        <v>233</v>
      </c>
      <c r="C186" s="47" t="s">
        <v>234</v>
      </c>
      <c r="D186" s="49"/>
      <c r="E186" s="49"/>
      <c r="F186" s="49"/>
      <c r="G186" s="49"/>
      <c r="H186" s="49"/>
    </row>
    <row r="187" spans="1:8" ht="24" customHeight="1" x14ac:dyDescent="0.3">
      <c r="A187" s="32" t="s">
        <v>13</v>
      </c>
      <c r="B187" s="32"/>
      <c r="C187" s="32"/>
      <c r="D187" s="59">
        <f>KOHC!D137</f>
        <v>110.64122209168052</v>
      </c>
      <c r="E187" s="59">
        <f>KOHC!E137</f>
        <v>135.64693964412666</v>
      </c>
      <c r="F187" s="59">
        <f>KOHC!F137</f>
        <v>162.35106244484723</v>
      </c>
      <c r="G187" s="59">
        <f>KOHC!G137</f>
        <v>209.79287853383309</v>
      </c>
      <c r="H187" s="59">
        <f>KOHC!H137</f>
        <v>260.8226721418157</v>
      </c>
    </row>
    <row r="188" spans="1:8" ht="24" customHeight="1" x14ac:dyDescent="0.3">
      <c r="A188" s="32" t="s">
        <v>17</v>
      </c>
      <c r="B188" s="32"/>
      <c r="C188" s="32"/>
      <c r="D188" s="59">
        <f>LUCK!D137</f>
        <v>350.05878005411677</v>
      </c>
      <c r="E188" s="59">
        <f>LUCK!E137</f>
        <v>397.49617008117508</v>
      </c>
      <c r="F188" s="59">
        <f>LUCK!F137</f>
        <v>440.50456229600826</v>
      </c>
      <c r="G188" s="59">
        <f>LUCK!G137</f>
        <v>504.3046996587031</v>
      </c>
      <c r="H188" s="59">
        <f>LUCK!H137</f>
        <v>120.07535836177475</v>
      </c>
    </row>
    <row r="189" spans="1:8" ht="24" customHeight="1" x14ac:dyDescent="0.3">
      <c r="A189" s="32" t="s">
        <v>21</v>
      </c>
      <c r="B189" s="32"/>
      <c r="C189" s="32"/>
      <c r="D189" s="59">
        <f>DGKC!D137</f>
        <v>167.71209700741193</v>
      </c>
      <c r="E189" s="59">
        <f>DGKC!E137</f>
        <v>159.58697532246367</v>
      </c>
      <c r="F189" s="59">
        <f>DGKC!F137</f>
        <v>146.51786922779672</v>
      </c>
      <c r="G189" s="59">
        <f>DGKC!G137</f>
        <v>173.12082034314415</v>
      </c>
      <c r="H189" s="59">
        <f>DGKC!H137</f>
        <v>216.07703932560804</v>
      </c>
    </row>
    <row r="190" spans="1:8" ht="24" customHeight="1" x14ac:dyDescent="0.3">
      <c r="A190" s="32" t="s">
        <v>25</v>
      </c>
      <c r="B190" s="32"/>
      <c r="C190" s="32"/>
      <c r="D190" s="59">
        <f>MLCF!D137</f>
        <v>34.180972265393187</v>
      </c>
      <c r="E190" s="59">
        <f>MLCF!E137</f>
        <v>37.561557627459578</v>
      </c>
      <c r="F190" s="59">
        <f>MLCF!F137</f>
        <v>41.844014540695262</v>
      </c>
      <c r="G190" s="59">
        <f>MLCF!G137</f>
        <v>50.226982139301263</v>
      </c>
      <c r="H190" s="59">
        <f>MLCF!H137</f>
        <v>68.217013474898792</v>
      </c>
    </row>
    <row r="191" spans="1:8" ht="24" customHeight="1" x14ac:dyDescent="0.3">
      <c r="A191" s="32" t="s">
        <v>29</v>
      </c>
      <c r="B191" s="32"/>
      <c r="C191" s="32"/>
      <c r="D191" s="59">
        <f>FCCL!D137</f>
        <v>16.868689643176804</v>
      </c>
      <c r="E191" s="59">
        <f>FCCL!E137</f>
        <v>26.480675904195227</v>
      </c>
      <c r="F191" s="59">
        <f>FCCL!F137</f>
        <v>26.571458006604239</v>
      </c>
      <c r="G191" s="59">
        <f>FCCL!G137</f>
        <v>29.923935347634316</v>
      </c>
      <c r="H191" s="59">
        <f>FCCL!H137</f>
        <v>34.356887072804682</v>
      </c>
    </row>
    <row r="192" spans="1:8" ht="24" customHeight="1" x14ac:dyDescent="0.3">
      <c r="A192" s="48" t="s">
        <v>272</v>
      </c>
      <c r="B192" s="48"/>
      <c r="C192" s="48"/>
      <c r="D192" s="60">
        <f>IF(COUNT(D187:D191)=0,"n/m",AVERAGE(D187:D191))</f>
        <v>135.89235221235583</v>
      </c>
      <c r="E192" s="60">
        <f>IF(COUNT(E187:E191)=0,"n/m",AVERAGE(E187:E191))</f>
        <v>151.35446371588404</v>
      </c>
      <c r="F192" s="60">
        <f>IF(COUNT(F187:F191)=0,"n/m",AVERAGE(F187:F191))</f>
        <v>163.55779330319035</v>
      </c>
      <c r="G192" s="60">
        <f>IF(COUNT(G187:G191)=0,"n/m",AVERAGE(G187:G191))</f>
        <v>193.47386320452318</v>
      </c>
      <c r="H192" s="60">
        <f>IF(COUNT(H187:H191)=0,"n/m",AVERAGE(H187:H191))</f>
        <v>139.90979407538038</v>
      </c>
    </row>
    <row r="193" spans="1:8" ht="24" customHeight="1" x14ac:dyDescent="0.3">
      <c r="A193" s="32"/>
      <c r="B193" s="32"/>
      <c r="C193" s="32"/>
      <c r="D193" s="52"/>
      <c r="E193" s="52"/>
      <c r="F193" s="52"/>
      <c r="G193" s="52"/>
      <c r="H193" s="52"/>
    </row>
    <row r="194" spans="1:8" ht="34.049999999999997" customHeight="1" x14ac:dyDescent="0.3">
      <c r="A194" s="46" t="s">
        <v>235</v>
      </c>
      <c r="B194" s="47" t="s">
        <v>236</v>
      </c>
      <c r="C194" s="47" t="s">
        <v>237</v>
      </c>
      <c r="D194" s="49"/>
      <c r="E194" s="49"/>
      <c r="F194" s="49"/>
      <c r="G194" s="49"/>
      <c r="H194" s="49"/>
    </row>
    <row r="195" spans="1:8" ht="24" customHeight="1" x14ac:dyDescent="0.3">
      <c r="A195" s="32" t="s">
        <v>13</v>
      </c>
      <c r="B195" s="32"/>
      <c r="C195" s="32"/>
      <c r="D195" s="50">
        <f>KOHC!D138</f>
        <v>11.858688571154802</v>
      </c>
      <c r="E195" s="50">
        <f>KOHC!E138</f>
        <v>5.2023532179731546</v>
      </c>
      <c r="F195" s="50">
        <f>KOHC!F138</f>
        <v>5.9860674889907219</v>
      </c>
      <c r="G195" s="50">
        <f>KOHC!G138</f>
        <v>5.5313975285193058</v>
      </c>
      <c r="H195" s="50">
        <f>KOHC!H138</f>
        <v>6.3393545313613817</v>
      </c>
    </row>
    <row r="196" spans="1:8" ht="24" customHeight="1" x14ac:dyDescent="0.3">
      <c r="A196" s="32" t="s">
        <v>17</v>
      </c>
      <c r="B196" s="32"/>
      <c r="C196" s="32"/>
      <c r="D196" s="50">
        <f>LUCK!D138</f>
        <v>19.844432082610968</v>
      </c>
      <c r="E196" s="50">
        <f>LUCK!E138</f>
        <v>9.7029718632101325</v>
      </c>
      <c r="F196" s="50">
        <f>LUCK!F138</f>
        <v>12.124283879265743</v>
      </c>
      <c r="G196" s="50">
        <f>LUCK!G138</f>
        <v>9.5909070156236584</v>
      </c>
      <c r="H196" s="50">
        <f>LUCK!H138</f>
        <v>15.726582022655393</v>
      </c>
    </row>
    <row r="197" spans="1:8" ht="24" customHeight="1" x14ac:dyDescent="0.3">
      <c r="A197" s="32" t="s">
        <v>21</v>
      </c>
      <c r="B197" s="32"/>
      <c r="C197" s="32"/>
      <c r="D197" s="50">
        <f>DGKC!D138</f>
        <v>13.883154069739035</v>
      </c>
      <c r="E197" s="50">
        <f>DGKC!E138</f>
        <v>9.2130648554640278</v>
      </c>
      <c r="F197" s="50" t="str">
        <f>DGKC!F138</f>
        <v>n/m</v>
      </c>
      <c r="G197" s="50">
        <f>DGKC!G138</f>
        <v>72.91538429829842</v>
      </c>
      <c r="H197" s="50">
        <f>DGKC!H138</f>
        <v>8.3613265542147914</v>
      </c>
    </row>
    <row r="198" spans="1:8" ht="24" customHeight="1" x14ac:dyDescent="0.3">
      <c r="A198" s="32" t="s">
        <v>25</v>
      </c>
      <c r="B198" s="32"/>
      <c r="C198" s="32"/>
      <c r="D198" s="50">
        <f>MLCF!D138</f>
        <v>8.2506229232653325</v>
      </c>
      <c r="E198" s="50">
        <f>MLCF!E138</f>
        <v>8.2775695053414715</v>
      </c>
      <c r="F198" s="50">
        <f>MLCF!F138</f>
        <v>6.7702147353244424</v>
      </c>
      <c r="G198" s="50">
        <f>MLCF!G138</f>
        <v>7.6317519094733912</v>
      </c>
      <c r="H198" s="50">
        <f>MLCF!H138</f>
        <v>5.1823592062489379</v>
      </c>
    </row>
    <row r="199" spans="1:8" ht="24" customHeight="1" x14ac:dyDescent="0.3">
      <c r="A199" s="32" t="s">
        <v>29</v>
      </c>
      <c r="B199" s="32"/>
      <c r="C199" s="32"/>
      <c r="D199" s="50">
        <f>FCCL!D138</f>
        <v>9.1421884447870596</v>
      </c>
      <c r="E199" s="50">
        <f>FCCL!E138</f>
        <v>4.3437335368236942</v>
      </c>
      <c r="F199" s="50">
        <f>FCCL!F138</f>
        <v>3.877247932539039</v>
      </c>
      <c r="G199" s="50">
        <f>FCCL!G138</f>
        <v>6.8337507059367812</v>
      </c>
      <c r="H199" s="50">
        <f>FCCL!H138</f>
        <v>8.2220482242427426</v>
      </c>
    </row>
    <row r="200" spans="1:8" ht="30" customHeight="1" x14ac:dyDescent="0.3">
      <c r="A200" s="48" t="s">
        <v>272</v>
      </c>
      <c r="B200" s="48"/>
      <c r="C200" s="61" t="str">
        <f>"N (FY21-25): "&amp;COUNT(D195:D199)&amp;","&amp;COUNT(E195:E199)&amp;","&amp;COUNT(F195:F199)&amp;","&amp;COUNT(G195:G199)&amp;","&amp;COUNT(H195:H199)</f>
        <v>N (FY21-25): 5,5,4,5,5</v>
      </c>
      <c r="D200" s="51">
        <f>IF(COUNT(D195:D199)=0,"n/m",AVERAGE(D195:D199))</f>
        <v>12.59581721831144</v>
      </c>
      <c r="E200" s="51">
        <f>IF(COUNT(E195:E199)=0,"n/m",AVERAGE(E195:E199))</f>
        <v>7.3479385957624954</v>
      </c>
      <c r="F200" s="51">
        <f>IF(COUNT(F195:F199)=0,"n/m",AVERAGE(F195:F199))</f>
        <v>7.1894535090299874</v>
      </c>
      <c r="G200" s="51">
        <f>IF(COUNT(G195:G199)=0,"n/m",AVERAGE(G195:G199))</f>
        <v>20.500638291570311</v>
      </c>
      <c r="H200" s="51">
        <f>IF(COUNT(H195:H199)=0,"n/m",AVERAGE(H195:H199))</f>
        <v>8.7663341077446493</v>
      </c>
    </row>
    <row r="201" spans="1:8" ht="24" customHeight="1" x14ac:dyDescent="0.3">
      <c r="A201" s="32"/>
      <c r="B201" s="32"/>
      <c r="C201" s="32"/>
      <c r="D201" s="52"/>
      <c r="E201" s="52"/>
      <c r="F201" s="52"/>
      <c r="G201" s="52"/>
      <c r="H201" s="52"/>
    </row>
    <row r="202" spans="1:8" ht="34.049999999999997" customHeight="1" x14ac:dyDescent="0.3">
      <c r="A202" s="46" t="s">
        <v>238</v>
      </c>
      <c r="B202" s="47" t="s">
        <v>239</v>
      </c>
      <c r="C202" s="47" t="s">
        <v>240</v>
      </c>
      <c r="D202" s="49"/>
      <c r="E202" s="49"/>
      <c r="F202" s="49"/>
      <c r="G202" s="49"/>
      <c r="H202" s="49"/>
    </row>
    <row r="203" spans="1:8" ht="24" customHeight="1" x14ac:dyDescent="0.3">
      <c r="A203" s="32" t="s">
        <v>13</v>
      </c>
      <c r="B203" s="32"/>
      <c r="C203" s="32"/>
      <c r="D203" s="50">
        <f>KOHC!D139</f>
        <v>1.8663025958706099</v>
      </c>
      <c r="E203" s="50">
        <f>KOHC!E139</f>
        <v>0.95932868328175702</v>
      </c>
      <c r="F203" s="50">
        <f>KOHC!F139</f>
        <v>1.0684870021034203</v>
      </c>
      <c r="G203" s="50">
        <f>KOHC!G139</f>
        <v>1.1937011482475723</v>
      </c>
      <c r="H203" s="50">
        <f>KOHC!H139</f>
        <v>1.4544747850514033</v>
      </c>
    </row>
    <row r="204" spans="1:8" ht="24" customHeight="1" x14ac:dyDescent="0.3">
      <c r="A204" s="32" t="s">
        <v>17</v>
      </c>
      <c r="B204" s="32"/>
      <c r="C204" s="32"/>
      <c r="D204" s="50">
        <f>LUCK!D139</f>
        <v>2.4665571875286716</v>
      </c>
      <c r="E204" s="50">
        <f>LUCK!E139</f>
        <v>1.1548287368561481</v>
      </c>
      <c r="F204" s="50">
        <f>LUCK!F139</f>
        <v>1.1852090640758639</v>
      </c>
      <c r="G204" s="50">
        <f>LUCK!G139</f>
        <v>1.7979804681845026</v>
      </c>
      <c r="H204" s="50">
        <f>LUCK!H139</f>
        <v>2.9584754511387614</v>
      </c>
    </row>
    <row r="205" spans="1:8" ht="24" customHeight="1" x14ac:dyDescent="0.3">
      <c r="A205" s="32" t="s">
        <v>21</v>
      </c>
      <c r="B205" s="32"/>
      <c r="C205" s="32"/>
      <c r="D205" s="50">
        <f>DGKC!D139</f>
        <v>0.7031096868032638</v>
      </c>
      <c r="E205" s="50">
        <f>DGKC!E139</f>
        <v>0.39163597075332512</v>
      </c>
      <c r="F205" s="50">
        <f>DGKC!F139</f>
        <v>0.35012794187063967</v>
      </c>
      <c r="G205" s="50">
        <f>DGKC!G139</f>
        <v>0.52142775098382221</v>
      </c>
      <c r="H205" s="50">
        <f>DGKC!H139</f>
        <v>0.76620820294800718</v>
      </c>
    </row>
    <row r="206" spans="1:8" ht="24" customHeight="1" x14ac:dyDescent="0.3">
      <c r="A206" s="32" t="s">
        <v>25</v>
      </c>
      <c r="B206" s="32"/>
      <c r="C206" s="32"/>
      <c r="D206" s="50">
        <f>MLCF!D139</f>
        <v>1.3744489078669448</v>
      </c>
      <c r="E206" s="50">
        <f>MLCF!E139</f>
        <v>0.72813806794864222</v>
      </c>
      <c r="F206" s="50">
        <f>MLCF!F139</f>
        <v>0.67703828877240613</v>
      </c>
      <c r="G206" s="50">
        <f>MLCF!G139</f>
        <v>0.75656546305349337</v>
      </c>
      <c r="H206" s="50">
        <f>MLCF!H139</f>
        <v>1.2354689205356633</v>
      </c>
    </row>
    <row r="207" spans="1:8" ht="24" customHeight="1" x14ac:dyDescent="0.3">
      <c r="A207" s="32" t="s">
        <v>29</v>
      </c>
      <c r="B207" s="32"/>
      <c r="C207" s="32"/>
      <c r="D207" s="50">
        <f>FCCL!D139</f>
        <v>1.3634728296339984</v>
      </c>
      <c r="E207" s="50">
        <f>FCCL!E139</f>
        <v>0.53510718726613404</v>
      </c>
      <c r="F207" s="50">
        <f>FCCL!F139</f>
        <v>0.44258015488186969</v>
      </c>
      <c r="G207" s="50">
        <f>FCCL!G139</f>
        <v>0.76560785651514207</v>
      </c>
      <c r="H207" s="50">
        <f>FCCL!H139</f>
        <v>1.3001759998029245</v>
      </c>
    </row>
    <row r="208" spans="1:8" ht="24" customHeight="1" x14ac:dyDescent="0.3">
      <c r="A208" s="48" t="s">
        <v>272</v>
      </c>
      <c r="B208" s="48"/>
      <c r="C208" s="48"/>
      <c r="D208" s="51">
        <f>IF(COUNT(D203:D207)=0,"n/m",AVERAGE(D203:D207))</f>
        <v>1.5547782415406979</v>
      </c>
      <c r="E208" s="51">
        <f>IF(COUNT(E203:E207)=0,"n/m",AVERAGE(E203:E207))</f>
        <v>0.75380772922120132</v>
      </c>
      <c r="F208" s="51">
        <f>IF(COUNT(F203:F207)=0,"n/m",AVERAGE(F203:F207))</f>
        <v>0.74468849034083984</v>
      </c>
      <c r="G208" s="51">
        <f>IF(COUNT(G203:G207)=0,"n/m",AVERAGE(G203:G207))</f>
        <v>1.0070565373969065</v>
      </c>
      <c r="H208" s="51">
        <f>IF(COUNT(H203:H207)=0,"n/m",AVERAGE(H203:H207))</f>
        <v>1.5429606718953519</v>
      </c>
    </row>
    <row r="209" spans="1:8" ht="24" customHeight="1" x14ac:dyDescent="0.3">
      <c r="A209" s="32"/>
      <c r="B209" s="32"/>
      <c r="C209" s="32"/>
      <c r="D209" s="52"/>
      <c r="E209" s="52"/>
      <c r="F209" s="52"/>
      <c r="G209" s="52"/>
      <c r="H209" s="52"/>
    </row>
    <row r="210" spans="1:8" ht="34.049999999999997" customHeight="1" x14ac:dyDescent="0.3">
      <c r="A210" s="46" t="s">
        <v>241</v>
      </c>
      <c r="B210" s="47" t="s">
        <v>242</v>
      </c>
      <c r="C210" s="47" t="s">
        <v>277</v>
      </c>
      <c r="D210" s="49"/>
      <c r="E210" s="49"/>
      <c r="F210" s="49"/>
      <c r="G210" s="49"/>
      <c r="H210" s="49"/>
    </row>
    <row r="211" spans="1:8" ht="34.049999999999997" customHeight="1" x14ac:dyDescent="0.3">
      <c r="A211" s="32" t="s">
        <v>13</v>
      </c>
      <c r="B211" s="32"/>
      <c r="C211" s="67" t="s">
        <v>243</v>
      </c>
      <c r="D211" s="66">
        <f>KOHC!D140</f>
        <v>0</v>
      </c>
      <c r="E211" s="66">
        <f>KOHC!E140</f>
        <v>0</v>
      </c>
      <c r="F211" s="66">
        <f>KOHC!F140</f>
        <v>0</v>
      </c>
      <c r="G211" s="66">
        <f>KOHC!G140</f>
        <v>0</v>
      </c>
      <c r="H211" s="66">
        <f>KOHC!H140</f>
        <v>0</v>
      </c>
    </row>
    <row r="212" spans="1:8" ht="34.049999999999997" customHeight="1" x14ac:dyDescent="0.3">
      <c r="A212" s="32" t="s">
        <v>17</v>
      </c>
      <c r="B212" s="32"/>
      <c r="C212" s="67" t="s">
        <v>260</v>
      </c>
      <c r="D212" s="66">
        <f>LUCK!D140</f>
        <v>0</v>
      </c>
      <c r="E212" s="66">
        <f>LUCK!E140</f>
        <v>0</v>
      </c>
      <c r="F212" s="57">
        <f>LUCK!F140</f>
        <v>3.4476814342354764E-2</v>
      </c>
      <c r="G212" s="57">
        <f>LUCK!G140</f>
        <v>1.6542962072502287E-2</v>
      </c>
      <c r="H212" s="57">
        <f>LUCK!H140</f>
        <v>1.1259993244004052E-2</v>
      </c>
    </row>
    <row r="213" spans="1:8" ht="34.049999999999997" customHeight="1" x14ac:dyDescent="0.3">
      <c r="A213" s="32" t="s">
        <v>21</v>
      </c>
      <c r="B213" s="32"/>
      <c r="C213" s="67" t="s">
        <v>263</v>
      </c>
      <c r="D213" s="57">
        <f>DGKC!D140</f>
        <v>8.4803256445047485E-3</v>
      </c>
      <c r="E213" s="57">
        <f>DGKC!E140</f>
        <v>1.6E-2</v>
      </c>
      <c r="F213" s="66">
        <f>DGKC!F140</f>
        <v>0</v>
      </c>
      <c r="G213" s="66">
        <f>DGKC!G140</f>
        <v>0</v>
      </c>
      <c r="H213" s="57">
        <f>DGKC!H140</f>
        <v>1.2080212611741966E-2</v>
      </c>
    </row>
    <row r="214" spans="1:8" ht="34.049999999999997" customHeight="1" x14ac:dyDescent="0.3">
      <c r="A214" s="32" t="s">
        <v>25</v>
      </c>
      <c r="B214" s="32"/>
      <c r="C214" s="67" t="s">
        <v>243</v>
      </c>
      <c r="D214" s="66">
        <f>MLCF!D140</f>
        <v>0</v>
      </c>
      <c r="E214" s="66">
        <f>MLCF!E140</f>
        <v>0</v>
      </c>
      <c r="F214" s="66">
        <f>MLCF!F140</f>
        <v>0</v>
      </c>
      <c r="G214" s="66">
        <f>MLCF!G140</f>
        <v>0</v>
      </c>
      <c r="H214" s="66">
        <f>MLCF!H140</f>
        <v>0</v>
      </c>
    </row>
    <row r="215" spans="1:8" ht="34.049999999999997" customHeight="1" x14ac:dyDescent="0.3">
      <c r="A215" s="32" t="s">
        <v>29</v>
      </c>
      <c r="B215" s="32"/>
      <c r="C215" s="67" t="s">
        <v>268</v>
      </c>
      <c r="D215" s="66">
        <f>FCCL!D140</f>
        <v>0</v>
      </c>
      <c r="E215" s="66">
        <f>FCCL!E140</f>
        <v>0</v>
      </c>
      <c r="F215" s="66">
        <f>FCCL!F140</f>
        <v>0</v>
      </c>
      <c r="G215" s="57">
        <f>FCCL!G140</f>
        <v>4.3649061545176782E-2</v>
      </c>
      <c r="H215" s="57">
        <f>FCCL!H140</f>
        <v>2.7982986344302664E-2</v>
      </c>
    </row>
    <row r="216" spans="1:8" ht="24" customHeight="1" x14ac:dyDescent="0.3">
      <c r="A216" s="48" t="s">
        <v>272</v>
      </c>
      <c r="B216" s="48"/>
      <c r="C216" s="48"/>
      <c r="D216" s="58">
        <f>IF(COUNT(D211:D215)=0,"n/m",AVERAGE(D211:D215))</f>
        <v>1.6960651289009497E-3</v>
      </c>
      <c r="E216" s="58">
        <f>IF(COUNT(E211:E215)=0,"n/m",AVERAGE(E211:E215))</f>
        <v>3.2000000000000002E-3</v>
      </c>
      <c r="F216" s="58">
        <f>IF(COUNT(F211:F215)=0,"n/m",AVERAGE(F211:F215))</f>
        <v>6.8953628684709526E-3</v>
      </c>
      <c r="G216" s="58">
        <f>IF(COUNT(G211:G215)=0,"n/m",AVERAGE(G211:G215))</f>
        <v>1.2038404723535814E-2</v>
      </c>
      <c r="H216" s="58">
        <f>IF(COUNT(H211:H215)=0,"n/m",AVERAGE(H211:H215))</f>
        <v>1.0264638440009737E-2</v>
      </c>
    </row>
    <row r="217" spans="1:8" ht="24" customHeight="1" x14ac:dyDescent="0.3">
      <c r="A217" s="32"/>
      <c r="B217" s="32"/>
      <c r="C217" s="32"/>
      <c r="D217" s="52"/>
      <c r="E217" s="52"/>
      <c r="F217" s="52"/>
      <c r="G217" s="52"/>
      <c r="H217" s="52"/>
    </row>
    <row r="218" spans="1:8" ht="34.049999999999997" customHeight="1" x14ac:dyDescent="0.3">
      <c r="A218" s="46" t="s">
        <v>244</v>
      </c>
      <c r="B218" s="47" t="s">
        <v>245</v>
      </c>
      <c r="C218" s="47" t="s">
        <v>246</v>
      </c>
      <c r="D218" s="49"/>
      <c r="E218" s="49"/>
      <c r="F218" s="49"/>
      <c r="G218" s="49"/>
      <c r="H218" s="49"/>
    </row>
    <row r="219" spans="1:8" ht="24" customHeight="1" x14ac:dyDescent="0.3">
      <c r="A219" s="32" t="s">
        <v>13</v>
      </c>
      <c r="B219" s="32"/>
      <c r="C219" s="32"/>
      <c r="D219" s="50">
        <f>KOHC!D141</f>
        <v>7.030703799061059</v>
      </c>
      <c r="E219" s="50">
        <f>KOHC!E141</f>
        <v>2.8460065892461768</v>
      </c>
      <c r="F219" s="50">
        <f>KOHC!F141</f>
        <v>3.0390586129963157</v>
      </c>
      <c r="G219" s="50">
        <f>KOHC!G141</f>
        <v>3.2191008909496732</v>
      </c>
      <c r="H219" s="50">
        <f>KOHC!H141</f>
        <v>3.6540457208322041</v>
      </c>
    </row>
    <row r="220" spans="1:8" ht="24" customHeight="1" x14ac:dyDescent="0.3">
      <c r="A220" s="32" t="s">
        <v>17</v>
      </c>
      <c r="B220" s="32"/>
      <c r="C220" s="32"/>
      <c r="D220" s="50">
        <f>LUCK!D141</f>
        <v>12.530231924140164</v>
      </c>
      <c r="E220" s="50">
        <f>LUCK!E141</f>
        <v>5.6439003003016683</v>
      </c>
      <c r="F220" s="50">
        <f>LUCK!F141</f>
        <v>5.6924500846825419</v>
      </c>
      <c r="G220" s="50">
        <f>LUCK!G141</f>
        <v>5.178403100254557</v>
      </c>
      <c r="H220" s="50">
        <f>LUCK!H141</f>
        <v>8.5282679327793396</v>
      </c>
    </row>
    <row r="221" spans="1:8" ht="24" customHeight="1" x14ac:dyDescent="0.3">
      <c r="A221" s="32" t="s">
        <v>21</v>
      </c>
      <c r="B221" s="32"/>
      <c r="C221" s="32"/>
      <c r="D221" s="50">
        <f>DGKC!D141</f>
        <v>8.4672094053907152</v>
      </c>
      <c r="E221" s="50">
        <f>DGKC!E141</f>
        <v>5.5150906801201929</v>
      </c>
      <c r="F221" s="50">
        <f>DGKC!F141</f>
        <v>4.7839328299471351</v>
      </c>
      <c r="G221" s="50">
        <f>DGKC!G141</f>
        <v>5.0911516840273263</v>
      </c>
      <c r="H221" s="50">
        <f>DGKC!H141</f>
        <v>4.5245291189336676</v>
      </c>
    </row>
    <row r="222" spans="1:8" ht="24" customHeight="1" x14ac:dyDescent="0.3">
      <c r="A222" s="32" t="s">
        <v>25</v>
      </c>
      <c r="B222" s="32"/>
      <c r="C222" s="32"/>
      <c r="D222" s="50">
        <f>MLCF!D141</f>
        <v>5.6223501239668989</v>
      </c>
      <c r="E222" s="50">
        <f>MLCF!E141</f>
        <v>4.4912459172048038</v>
      </c>
      <c r="F222" s="50">
        <f>MLCF!F141</f>
        <v>3.2721791070017887</v>
      </c>
      <c r="G222" s="50">
        <f>MLCF!G141</f>
        <v>3.3522633268626687</v>
      </c>
      <c r="H222" s="50">
        <f>MLCF!H141</f>
        <v>3.4441662826745523</v>
      </c>
    </row>
    <row r="223" spans="1:8" ht="24" customHeight="1" x14ac:dyDescent="0.3">
      <c r="A223" s="32" t="s">
        <v>29</v>
      </c>
      <c r="B223" s="32"/>
      <c r="C223" s="32"/>
      <c r="D223" s="50">
        <f>FCCL!D141</f>
        <v>4.9126800998035849</v>
      </c>
      <c r="E223" s="50">
        <f>FCCL!E141</f>
        <v>3.9999441320816422</v>
      </c>
      <c r="F223" s="50">
        <f>FCCL!F141</f>
        <v>3.9638226712605413</v>
      </c>
      <c r="G223" s="50">
        <f>FCCL!G141</f>
        <v>3.9028355635230949</v>
      </c>
      <c r="H223" s="50">
        <f>FCCL!H141</f>
        <v>4.5760845203336329</v>
      </c>
    </row>
    <row r="224" spans="1:8" ht="24" customHeight="1" x14ac:dyDescent="0.3">
      <c r="A224" s="48" t="s">
        <v>272</v>
      </c>
      <c r="B224" s="48"/>
      <c r="C224" s="48"/>
      <c r="D224" s="51">
        <f>IF(COUNT(D219:D223)=0,"n/m",AVERAGE(D219:D223))</f>
        <v>7.7126350704724844</v>
      </c>
      <c r="E224" s="51">
        <f>IF(COUNT(E219:E223)=0,"n/m",AVERAGE(E219:E223))</f>
        <v>4.4992375237908968</v>
      </c>
      <c r="F224" s="51">
        <f>IF(COUNT(F219:F223)=0,"n/m",AVERAGE(F219:F223))</f>
        <v>4.1502886611776644</v>
      </c>
      <c r="G224" s="51">
        <f>IF(COUNT(G219:G223)=0,"n/m",AVERAGE(G219:G223))</f>
        <v>4.1487509131234637</v>
      </c>
      <c r="H224" s="51">
        <f>IF(COUNT(H219:H223)=0,"n/m",AVERAGE(H219:H223))</f>
        <v>4.9454187151106792</v>
      </c>
    </row>
    <row r="225" spans="1:8" ht="24" customHeight="1" x14ac:dyDescent="0.3">
      <c r="A225" s="32"/>
      <c r="B225" s="32"/>
      <c r="C225" s="32"/>
      <c r="D225" s="32"/>
      <c r="E225" s="32"/>
      <c r="F225" s="32"/>
      <c r="G225" s="32"/>
      <c r="H225" s="32"/>
    </row>
    <row r="226" spans="1:8" ht="24" customHeight="1" x14ac:dyDescent="0.3">
      <c r="A226" s="32"/>
      <c r="B226" s="32"/>
      <c r="C226" s="32"/>
      <c r="D226" s="32"/>
      <c r="E226" s="32"/>
      <c r="F226" s="32"/>
      <c r="G226" s="32"/>
      <c r="H226" s="32"/>
    </row>
    <row r="245" ht="19.5" customHeight="1" x14ac:dyDescent="0.3"/>
    <row r="295" ht="19.5" customHeight="1" x14ac:dyDescent="0.3"/>
  </sheetData>
  <mergeCells count="6">
    <mergeCell ref="A177:H177"/>
    <mergeCell ref="A2:H2"/>
    <mergeCell ref="A5:H5"/>
    <mergeCell ref="A38:H38"/>
    <mergeCell ref="A87:H87"/>
    <mergeCell ref="A120:H120"/>
  </mergeCells>
  <pageMargins left="0.7" right="0.7" top="0.75" bottom="0.75" header="0.3" footer="0.3"/>
  <pageSetup paperSize="9" scale="73"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08D57"/>
    <pageSetUpPr fitToPage="1"/>
  </sheetPr>
  <dimension ref="A1:Z625"/>
  <sheetViews>
    <sheetView showGridLines="0" topLeftCell="A2" workbookViewId="0">
      <selection sqref="A1:S1"/>
    </sheetView>
  </sheetViews>
  <sheetFormatPr defaultColWidth="8.6640625" defaultRowHeight="14.4" x14ac:dyDescent="0.3"/>
  <cols>
    <col min="1" max="9" width="9" customWidth="1"/>
    <col min="10" max="10" width="3" customWidth="1"/>
    <col min="11" max="19" width="9" customWidth="1"/>
    <col min="20" max="26" width="14" hidden="1" customWidth="1"/>
  </cols>
  <sheetData>
    <row r="1" spans="1:26" ht="19.95" customHeight="1" x14ac:dyDescent="0.4">
      <c r="A1" s="94" t="s">
        <v>278</v>
      </c>
      <c r="B1" s="95"/>
      <c r="C1" s="95"/>
      <c r="D1" s="95"/>
      <c r="E1" s="95"/>
      <c r="F1" s="95"/>
      <c r="G1" s="95"/>
      <c r="H1" s="95"/>
      <c r="I1" s="95"/>
      <c r="J1" s="95"/>
      <c r="K1" s="95"/>
      <c r="L1" s="95"/>
      <c r="M1" s="95"/>
      <c r="N1" s="95"/>
      <c r="O1" s="95"/>
      <c r="P1" s="95"/>
      <c r="Q1" s="95"/>
      <c r="R1" s="95"/>
      <c r="S1" s="95"/>
      <c r="T1" t="s">
        <v>279</v>
      </c>
      <c r="U1" t="s">
        <v>13</v>
      </c>
      <c r="V1" t="s">
        <v>17</v>
      </c>
      <c r="W1" t="s">
        <v>21</v>
      </c>
      <c r="X1" t="s">
        <v>25</v>
      </c>
      <c r="Y1" t="s">
        <v>29</v>
      </c>
      <c r="Z1" t="s">
        <v>280</v>
      </c>
    </row>
    <row r="2" spans="1:26" ht="19.95" customHeight="1" x14ac:dyDescent="0.3">
      <c r="A2" s="96" t="s">
        <v>281</v>
      </c>
      <c r="B2" s="96"/>
      <c r="C2" s="96"/>
      <c r="D2" s="96"/>
      <c r="E2" s="96"/>
      <c r="F2" s="96"/>
      <c r="G2" s="96"/>
      <c r="H2" s="96"/>
      <c r="I2" s="96"/>
      <c r="J2" s="96"/>
      <c r="K2" s="96"/>
      <c r="L2" s="96"/>
      <c r="M2" s="96"/>
      <c r="N2" s="96"/>
      <c r="O2" s="96"/>
      <c r="P2" s="96"/>
      <c r="Q2" s="96"/>
      <c r="R2" s="96"/>
      <c r="S2" s="96"/>
      <c r="T2" t="s">
        <v>58</v>
      </c>
      <c r="U2" s="70">
        <f>IF(ISNUMBER(KOHC!D111),KOHC!D111,NA())</f>
        <v>1.3006446691414961</v>
      </c>
      <c r="V2" s="70">
        <f>IF(ISNUMBER(LUCK!D111),LUCK!D111,NA())</f>
        <v>1.3386079458938223</v>
      </c>
      <c r="W2" s="70">
        <f>IF(ISNUMBER(DGKC!D111),DGKC!D111,NA())</f>
        <v>0.91452508864509019</v>
      </c>
      <c r="X2" s="70">
        <f>IF(ISNUMBER(MLCF!D111),MLCF!D111,NA())</f>
        <v>1.4780988568182505</v>
      </c>
      <c r="Y2" s="70">
        <f>IF(ISNUMBER(FCCL!D111),FCCL!D111,NA())</f>
        <v>2.01862288296847</v>
      </c>
      <c r="Z2" s="70">
        <f>'Industry Averages'!D12</f>
        <v>1.410099888693426</v>
      </c>
    </row>
    <row r="3" spans="1:26" ht="19.95" customHeight="1" x14ac:dyDescent="0.3">
      <c r="A3" s="96" t="s">
        <v>282</v>
      </c>
      <c r="B3" s="96"/>
      <c r="C3" s="96"/>
      <c r="D3" s="96"/>
      <c r="E3" s="96"/>
      <c r="F3" s="96"/>
      <c r="G3" s="96"/>
      <c r="H3" s="96"/>
      <c r="I3" s="96"/>
      <c r="J3" s="96"/>
      <c r="K3" s="96"/>
      <c r="L3" s="96"/>
      <c r="M3" s="96"/>
      <c r="N3" s="96"/>
      <c r="O3" s="96"/>
      <c r="P3" s="96"/>
      <c r="Q3" s="96"/>
      <c r="R3" s="96"/>
      <c r="S3" s="96"/>
      <c r="T3" t="s">
        <v>59</v>
      </c>
      <c r="U3" s="70">
        <f>IF(ISNUMBER(KOHC!E111),KOHC!E111,NA())</f>
        <v>1.8735085276109804</v>
      </c>
      <c r="V3" s="70">
        <f>IF(ISNUMBER(LUCK!E111),LUCK!E111,NA())</f>
        <v>1.4760766300374313</v>
      </c>
      <c r="W3" s="70">
        <f>IF(ISNUMBER(DGKC!E111),DGKC!E111,NA())</f>
        <v>0.88552877147710041</v>
      </c>
      <c r="X3" s="70">
        <f>IF(ISNUMBER(MLCF!E111),MLCF!E111,NA())</f>
        <v>1.2549557408945418</v>
      </c>
      <c r="Y3" s="70">
        <f>IF(ISNUMBER(FCCL!E111),FCCL!E111,NA())</f>
        <v>1.0559688948718087</v>
      </c>
      <c r="Z3" s="70">
        <f>'Industry Averages'!E12</f>
        <v>1.3092077129783726</v>
      </c>
    </row>
    <row r="4" spans="1:26" ht="19.95" customHeight="1" x14ac:dyDescent="0.3">
      <c r="A4" s="69"/>
      <c r="B4" s="69"/>
      <c r="C4" s="69"/>
      <c r="D4" s="69"/>
      <c r="E4" s="69"/>
      <c r="F4" s="69"/>
      <c r="G4" s="69"/>
      <c r="H4" s="69"/>
      <c r="I4" s="69"/>
      <c r="J4" s="69"/>
      <c r="K4" s="69"/>
      <c r="L4" s="69"/>
      <c r="M4" s="69"/>
      <c r="N4" s="69"/>
      <c r="O4" s="69"/>
      <c r="P4" s="69"/>
      <c r="Q4" s="69"/>
      <c r="R4" s="69"/>
      <c r="S4" s="69"/>
      <c r="T4" t="s">
        <v>60</v>
      </c>
      <c r="U4" s="70">
        <f>IF(ISNUMBER(KOHC!F111),KOHC!F111,NA())</f>
        <v>2.311570515459215</v>
      </c>
      <c r="V4" s="70">
        <f>IF(ISNUMBER(LUCK!F111),LUCK!F111,NA())</f>
        <v>1.290071633326858</v>
      </c>
      <c r="W4" s="70">
        <f>IF(ISNUMBER(DGKC!F111),DGKC!F111,NA())</f>
        <v>0.80176749057385621</v>
      </c>
      <c r="X4" s="70">
        <f>IF(ISNUMBER(MLCF!F111),MLCF!F111,NA())</f>
        <v>1.3715472215546312</v>
      </c>
      <c r="Y4" s="70">
        <f>IF(ISNUMBER(FCCL!F111),FCCL!F111,NA())</f>
        <v>0.81211137558007007</v>
      </c>
      <c r="Z4" s="70">
        <f>'Industry Averages'!F12</f>
        <v>1.3174136472989262</v>
      </c>
    </row>
    <row r="5" spans="1:26" ht="19.95" customHeight="1" x14ac:dyDescent="0.3">
      <c r="A5" s="69"/>
      <c r="B5" s="69"/>
      <c r="C5" s="69"/>
      <c r="D5" s="69"/>
      <c r="E5" s="69"/>
      <c r="F5" s="69"/>
      <c r="G5" s="69"/>
      <c r="H5" s="69"/>
      <c r="I5" s="69"/>
      <c r="J5" s="69"/>
      <c r="K5" s="69"/>
      <c r="L5" s="69"/>
      <c r="M5" s="69"/>
      <c r="N5" s="69"/>
      <c r="O5" s="69"/>
      <c r="P5" s="69"/>
      <c r="Q5" s="69"/>
      <c r="R5" s="69"/>
      <c r="S5" s="69"/>
      <c r="T5" t="s">
        <v>61</v>
      </c>
      <c r="U5" s="70">
        <f>IF(ISNUMBER(KOHC!G111),KOHC!G111,NA())</f>
        <v>2.9031590530160019</v>
      </c>
      <c r="V5" s="70">
        <f>IF(ISNUMBER(LUCK!G111),LUCK!G111,NA())</f>
        <v>1.2632222354743232</v>
      </c>
      <c r="W5" s="70">
        <f>IF(ISNUMBER(DGKC!G111),DGKC!G111,NA())</f>
        <v>1.296185931254842</v>
      </c>
      <c r="X5" s="70">
        <f>IF(ISNUMBER(MLCF!G111),MLCF!G111,NA())</f>
        <v>1.4446782415124371</v>
      </c>
      <c r="Y5" s="70">
        <f>IF(ISNUMBER(FCCL!G111),FCCL!G111,NA())</f>
        <v>0.95974773116730094</v>
      </c>
      <c r="Z5" s="70">
        <f>'Industry Averages'!G12</f>
        <v>1.5733986384849812</v>
      </c>
    </row>
    <row r="6" spans="1:26" ht="19.95" customHeight="1" x14ac:dyDescent="0.3">
      <c r="A6" s="97" t="s">
        <v>283</v>
      </c>
      <c r="B6" s="97"/>
      <c r="C6" s="97"/>
      <c r="D6" s="97"/>
      <c r="E6" s="97"/>
      <c r="F6" s="97"/>
      <c r="G6" s="97"/>
      <c r="H6" s="97"/>
      <c r="I6" s="97"/>
      <c r="J6" s="97"/>
      <c r="K6" s="97"/>
      <c r="L6" s="97"/>
      <c r="M6" s="97"/>
      <c r="N6" s="97"/>
      <c r="O6" s="97"/>
      <c r="P6" s="97"/>
      <c r="Q6" s="97"/>
      <c r="R6" s="97"/>
      <c r="S6" s="97"/>
      <c r="T6" t="s">
        <v>62</v>
      </c>
      <c r="U6" s="70">
        <f>IF(ISNUMBER(KOHC!H111),KOHC!H111,NA())</f>
        <v>3.311248687172772</v>
      </c>
      <c r="V6" s="70">
        <f>IF(ISNUMBER(LUCK!H111),LUCK!H111,NA())</f>
        <v>1.7146143875904156</v>
      </c>
      <c r="W6" s="70">
        <f>IF(ISNUMBER(DGKC!H111),DGKC!H111,NA())</f>
        <v>1.8489517932979607</v>
      </c>
      <c r="X6" s="70">
        <f>IF(ISNUMBER(MLCF!H111),MLCF!H111,NA())</f>
        <v>1.5324411303645513</v>
      </c>
      <c r="Y6" s="70">
        <f>IF(ISNUMBER(FCCL!H111),FCCL!H111,NA())</f>
        <v>1.3210140828410366</v>
      </c>
      <c r="Z6" s="70">
        <f>'Industry Averages'!H12</f>
        <v>1.9456540162533476</v>
      </c>
    </row>
    <row r="7" spans="1:26" ht="19.95" customHeight="1" x14ac:dyDescent="0.3">
      <c r="A7" s="69"/>
      <c r="B7" s="69"/>
      <c r="C7" s="69"/>
      <c r="D7" s="69"/>
      <c r="E7" s="69"/>
      <c r="F7" s="69"/>
      <c r="G7" s="69"/>
      <c r="H7" s="69"/>
      <c r="I7" s="69"/>
      <c r="J7" s="69"/>
      <c r="K7" s="69"/>
      <c r="L7" s="69"/>
      <c r="M7" s="69"/>
      <c r="N7" s="69"/>
      <c r="O7" s="69"/>
      <c r="P7" s="69"/>
      <c r="Q7" s="69"/>
      <c r="R7" s="69"/>
      <c r="S7" s="69"/>
    </row>
    <row r="8" spans="1:26" ht="19.95" customHeight="1" x14ac:dyDescent="0.3">
      <c r="A8" s="69"/>
      <c r="B8" s="69"/>
      <c r="C8" s="69"/>
      <c r="D8" s="69"/>
      <c r="E8" s="69"/>
      <c r="F8" s="69"/>
      <c r="G8" s="69"/>
      <c r="H8" s="69"/>
      <c r="I8" s="69"/>
      <c r="J8" s="69"/>
      <c r="K8" s="69"/>
      <c r="L8" s="69"/>
      <c r="M8" s="69"/>
      <c r="N8" s="69"/>
      <c r="O8" s="69"/>
      <c r="P8" s="69"/>
      <c r="Q8" s="69"/>
      <c r="R8" s="69"/>
      <c r="S8" s="69"/>
    </row>
    <row r="9" spans="1:26" ht="19.95" customHeight="1" x14ac:dyDescent="0.3">
      <c r="A9" s="69"/>
      <c r="B9" s="69"/>
      <c r="C9" s="69"/>
      <c r="D9" s="69"/>
      <c r="E9" s="69"/>
      <c r="F9" s="69"/>
      <c r="G9" s="69"/>
      <c r="H9" s="69"/>
      <c r="I9" s="69"/>
      <c r="J9" s="69"/>
      <c r="K9" s="69"/>
      <c r="L9" s="69"/>
      <c r="M9" s="69"/>
      <c r="N9" s="69"/>
      <c r="O9" s="69"/>
      <c r="P9" s="69"/>
      <c r="Q9" s="69"/>
      <c r="R9" s="69"/>
      <c r="S9" s="69"/>
      <c r="T9" t="s">
        <v>279</v>
      </c>
      <c r="U9" t="s">
        <v>13</v>
      </c>
      <c r="V9" t="s">
        <v>17</v>
      </c>
      <c r="W9" t="s">
        <v>21</v>
      </c>
      <c r="X9" t="s">
        <v>25</v>
      </c>
      <c r="Y9" t="s">
        <v>29</v>
      </c>
      <c r="Z9" t="s">
        <v>280</v>
      </c>
    </row>
    <row r="10" spans="1:26" ht="19.95" customHeight="1" x14ac:dyDescent="0.3">
      <c r="A10" s="69"/>
      <c r="B10" s="69"/>
      <c r="C10" s="69"/>
      <c r="D10" s="69"/>
      <c r="E10" s="69"/>
      <c r="F10" s="69"/>
      <c r="G10" s="69"/>
      <c r="H10" s="69"/>
      <c r="I10" s="69"/>
      <c r="J10" s="69"/>
      <c r="K10" s="69"/>
      <c r="L10" s="69"/>
      <c r="M10" s="69"/>
      <c r="N10" s="69"/>
      <c r="O10" s="69"/>
      <c r="P10" s="69"/>
      <c r="Q10" s="69"/>
      <c r="R10" s="69"/>
      <c r="S10" s="69"/>
      <c r="T10" t="s">
        <v>58</v>
      </c>
      <c r="U10" s="70">
        <f>IF(ISNUMBER(KOHC!D112),KOHC!D112,NA())</f>
        <v>0.74816043855554903</v>
      </c>
      <c r="V10" s="70">
        <f>IF(ISNUMBER(LUCK!D112),LUCK!D112,NA())</f>
        <v>0.89000886100685095</v>
      </c>
      <c r="W10" s="70">
        <f>IF(ISNUMBER(DGKC!D112),DGKC!D112,NA())</f>
        <v>0.52718830778210601</v>
      </c>
      <c r="X10" s="70">
        <f>IF(ISNUMBER(MLCF!D112),MLCF!D112,NA())</f>
        <v>0.43971691910387301</v>
      </c>
      <c r="Y10" s="70">
        <f>IF(ISNUMBER(FCCL!D112),FCCL!D112,NA())</f>
        <v>1.1357988467684703</v>
      </c>
      <c r="Z10" s="70">
        <f>'Industry Averages'!D20</f>
        <v>0.74817467464336995</v>
      </c>
    </row>
    <row r="11" spans="1:26" ht="19.95" customHeight="1" x14ac:dyDescent="0.3">
      <c r="A11" s="69"/>
      <c r="B11" s="69"/>
      <c r="C11" s="69"/>
      <c r="D11" s="69"/>
      <c r="E11" s="69"/>
      <c r="F11" s="69"/>
      <c r="G11" s="69"/>
      <c r="H11" s="69"/>
      <c r="I11" s="69"/>
      <c r="J11" s="69"/>
      <c r="K11" s="69"/>
      <c r="L11" s="69"/>
      <c r="M11" s="69"/>
      <c r="N11" s="69"/>
      <c r="O11" s="69"/>
      <c r="P11" s="69"/>
      <c r="Q11" s="69"/>
      <c r="R11" s="69"/>
      <c r="S11" s="69"/>
      <c r="T11" t="s">
        <v>59</v>
      </c>
      <c r="U11" s="70">
        <f>IF(ISNUMBER(KOHC!E112),KOHC!E112,NA())</f>
        <v>1.2758070110452304</v>
      </c>
      <c r="V11" s="70">
        <f>IF(ISNUMBER(LUCK!E112),LUCK!E112,NA())</f>
        <v>0.87076091919208631</v>
      </c>
      <c r="W11" s="70">
        <f>IF(ISNUMBER(DGKC!E112),DGKC!E112,NA())</f>
        <v>0.39093390789665328</v>
      </c>
      <c r="X11" s="70">
        <f>IF(ISNUMBER(MLCF!E112),MLCF!E112,NA())</f>
        <v>0.29473524106223353</v>
      </c>
      <c r="Y11" s="70">
        <f>IF(ISNUMBER(FCCL!E112),FCCL!E112,NA())</f>
        <v>0.47078421060569281</v>
      </c>
      <c r="Z11" s="70">
        <f>'Industry Averages'!E20</f>
        <v>0.66060425796037925</v>
      </c>
    </row>
    <row r="12" spans="1:26" ht="19.95" customHeight="1" x14ac:dyDescent="0.3">
      <c r="A12" s="69"/>
      <c r="B12" s="69"/>
      <c r="C12" s="69"/>
      <c r="D12" s="69"/>
      <c r="E12" s="69"/>
      <c r="F12" s="69"/>
      <c r="G12" s="69"/>
      <c r="H12" s="69"/>
      <c r="I12" s="69"/>
      <c r="J12" s="69"/>
      <c r="K12" s="69"/>
      <c r="L12" s="69"/>
      <c r="M12" s="69"/>
      <c r="N12" s="69"/>
      <c r="O12" s="69"/>
      <c r="P12" s="69"/>
      <c r="Q12" s="69"/>
      <c r="R12" s="69"/>
      <c r="S12" s="69"/>
      <c r="T12" t="s">
        <v>60</v>
      </c>
      <c r="U12" s="70">
        <f>IF(ISNUMBER(KOHC!F112),KOHC!F112,NA())</f>
        <v>1.5392110300634694</v>
      </c>
      <c r="V12" s="70">
        <f>IF(ISNUMBER(LUCK!F112),LUCK!F112,NA())</f>
        <v>0.85412226562426408</v>
      </c>
      <c r="W12" s="70">
        <f>IF(ISNUMBER(DGKC!F112),DGKC!F112,NA())</f>
        <v>0.33489936167445872</v>
      </c>
      <c r="X12" s="70">
        <f>IF(ISNUMBER(MLCF!F112),MLCF!F112,NA())</f>
        <v>0.5204561252187091</v>
      </c>
      <c r="Y12" s="70">
        <f>IF(ISNUMBER(FCCL!F112),FCCL!F112,NA())</f>
        <v>0.28121710873313321</v>
      </c>
      <c r="Z12" s="70">
        <f>'Industry Averages'!F20</f>
        <v>0.70598117826280693</v>
      </c>
    </row>
    <row r="13" spans="1:26" ht="19.95" customHeight="1" x14ac:dyDescent="0.3">
      <c r="A13" s="69"/>
      <c r="B13" s="69"/>
      <c r="C13" s="69"/>
      <c r="D13" s="69"/>
      <c r="E13" s="69"/>
      <c r="F13" s="69"/>
      <c r="G13" s="69"/>
      <c r="H13" s="69"/>
      <c r="I13" s="69"/>
      <c r="J13" s="69"/>
      <c r="K13" s="69"/>
      <c r="L13" s="69"/>
      <c r="M13" s="69"/>
      <c r="N13" s="69"/>
      <c r="O13" s="69"/>
      <c r="P13" s="69"/>
      <c r="Q13" s="69"/>
      <c r="R13" s="69"/>
      <c r="S13" s="69"/>
      <c r="T13" t="s">
        <v>61</v>
      </c>
      <c r="U13" s="70">
        <f>IF(ISNUMBER(KOHC!G112),KOHC!G112,NA())</f>
        <v>2.2200593399212352</v>
      </c>
      <c r="V13" s="70">
        <f>IF(ISNUMBER(LUCK!G112),LUCK!G112,NA())</f>
        <v>0.83698311631700717</v>
      </c>
      <c r="W13" s="70">
        <f>IF(ISNUMBER(DGKC!G112),DGKC!G112,NA())</f>
        <v>0.66771764923027133</v>
      </c>
      <c r="X13" s="70">
        <f>IF(ISNUMBER(MLCF!G112),MLCF!G112,NA())</f>
        <v>0.60942670638462615</v>
      </c>
      <c r="Y13" s="70">
        <f>IF(ISNUMBER(FCCL!G112),FCCL!G112,NA())</f>
        <v>0.3420463898878065</v>
      </c>
      <c r="Z13" s="70">
        <f>'Industry Averages'!G20</f>
        <v>0.93524664034818927</v>
      </c>
    </row>
    <row r="14" spans="1:26" ht="19.95" customHeight="1" x14ac:dyDescent="0.3">
      <c r="A14" s="69"/>
      <c r="B14" s="69"/>
      <c r="C14" s="69"/>
      <c r="D14" s="69"/>
      <c r="E14" s="69"/>
      <c r="F14" s="69"/>
      <c r="G14" s="69"/>
      <c r="H14" s="69"/>
      <c r="I14" s="69"/>
      <c r="J14" s="69"/>
      <c r="K14" s="69"/>
      <c r="L14" s="69"/>
      <c r="M14" s="69"/>
      <c r="N14" s="69"/>
      <c r="O14" s="69"/>
      <c r="P14" s="69"/>
      <c r="Q14" s="69"/>
      <c r="R14" s="69"/>
      <c r="S14" s="69"/>
      <c r="T14" t="s">
        <v>62</v>
      </c>
      <c r="U14" s="70">
        <f>IF(ISNUMBER(KOHC!H112),KOHC!H112,NA())</f>
        <v>2.6677003784340947</v>
      </c>
      <c r="V14" s="70">
        <f>IF(ISNUMBER(LUCK!H112),LUCK!H112,NA())</f>
        <v>1.2939267138361998</v>
      </c>
      <c r="W14" s="70">
        <f>IF(ISNUMBER(DGKC!H112),DGKC!H112,NA())</f>
        <v>1.0579587679634685</v>
      </c>
      <c r="X14" s="70">
        <f>IF(ISNUMBER(MLCF!H112),MLCF!H112,NA())</f>
        <v>0.80788282595509864</v>
      </c>
      <c r="Y14" s="70">
        <f>IF(ISNUMBER(FCCL!H112),FCCL!H112,NA())</f>
        <v>0.67753380767364924</v>
      </c>
      <c r="Z14" s="70">
        <f>'Industry Averages'!H20</f>
        <v>1.3010004987725021</v>
      </c>
    </row>
    <row r="15" spans="1:26" ht="19.95" customHeight="1" x14ac:dyDescent="0.3">
      <c r="A15" s="69"/>
      <c r="B15" s="69"/>
      <c r="C15" s="69"/>
      <c r="D15" s="69"/>
      <c r="E15" s="69"/>
      <c r="F15" s="69"/>
      <c r="G15" s="69"/>
      <c r="H15" s="69"/>
      <c r="I15" s="69"/>
      <c r="J15" s="69"/>
      <c r="K15" s="69"/>
      <c r="L15" s="69"/>
      <c r="M15" s="69"/>
      <c r="N15" s="69"/>
      <c r="O15" s="69"/>
      <c r="P15" s="69"/>
      <c r="Q15" s="69"/>
      <c r="R15" s="69"/>
      <c r="S15" s="69"/>
    </row>
    <row r="16" spans="1:26" ht="19.95" customHeight="1" x14ac:dyDescent="0.3">
      <c r="A16" s="69"/>
      <c r="B16" s="69"/>
      <c r="C16" s="69"/>
      <c r="D16" s="69"/>
      <c r="E16" s="69"/>
      <c r="F16" s="69"/>
      <c r="G16" s="69"/>
      <c r="H16" s="69"/>
      <c r="I16" s="69"/>
      <c r="J16" s="69"/>
      <c r="K16" s="69"/>
      <c r="L16" s="69"/>
      <c r="M16" s="69"/>
      <c r="N16" s="69"/>
      <c r="O16" s="69"/>
      <c r="P16" s="69"/>
      <c r="Q16" s="69"/>
      <c r="R16" s="69"/>
      <c r="S16" s="69"/>
    </row>
    <row r="17" spans="1:26" ht="19.95" customHeight="1" x14ac:dyDescent="0.3">
      <c r="A17" s="69"/>
      <c r="B17" s="69"/>
      <c r="C17" s="69"/>
      <c r="D17" s="69"/>
      <c r="E17" s="69"/>
      <c r="F17" s="69"/>
      <c r="G17" s="69"/>
      <c r="H17" s="69"/>
      <c r="I17" s="69"/>
      <c r="J17" s="69"/>
      <c r="K17" s="69"/>
      <c r="L17" s="69"/>
      <c r="M17" s="69"/>
      <c r="N17" s="69"/>
      <c r="O17" s="69"/>
      <c r="P17" s="69"/>
      <c r="Q17" s="69"/>
      <c r="R17" s="69"/>
      <c r="S17" s="69"/>
      <c r="T17" t="s">
        <v>279</v>
      </c>
      <c r="U17" t="s">
        <v>13</v>
      </c>
      <c r="V17" t="s">
        <v>17</v>
      </c>
      <c r="W17" t="s">
        <v>21</v>
      </c>
      <c r="X17" t="s">
        <v>25</v>
      </c>
      <c r="Y17" t="s">
        <v>29</v>
      </c>
      <c r="Z17" t="s">
        <v>280</v>
      </c>
    </row>
    <row r="18" spans="1:26" ht="19.95" customHeight="1" x14ac:dyDescent="0.3">
      <c r="A18" s="69"/>
      <c r="B18" s="69"/>
      <c r="C18" s="69"/>
      <c r="D18" s="69"/>
      <c r="E18" s="69"/>
      <c r="F18" s="69"/>
      <c r="G18" s="69"/>
      <c r="H18" s="69"/>
      <c r="I18" s="69"/>
      <c r="J18" s="69"/>
      <c r="K18" s="69"/>
      <c r="L18" s="69"/>
      <c r="M18" s="69"/>
      <c r="N18" s="69"/>
      <c r="O18" s="69"/>
      <c r="P18" s="69"/>
      <c r="Q18" s="69"/>
      <c r="R18" s="69"/>
      <c r="S18" s="69"/>
      <c r="T18" t="s">
        <v>58</v>
      </c>
      <c r="U18" s="70">
        <f>IF(ISNUMBER(KOHC!D113),KOHC!D113,NA())</f>
        <v>0.15817363525137568</v>
      </c>
      <c r="V18" s="70">
        <f>IF(ISNUMBER(LUCK!D113),LUCK!D113,NA())</f>
        <v>0.61509850934604882</v>
      </c>
      <c r="W18" s="70">
        <f>IF(ISNUMBER(DGKC!D113),DGKC!D113,NA())</f>
        <v>2.0011480184397672E-2</v>
      </c>
      <c r="X18" s="70">
        <f>IF(ISNUMBER(MLCF!D113),MLCF!D113,NA())</f>
        <v>4.2825558053104403E-2</v>
      </c>
      <c r="Y18" s="70">
        <f>IF(ISNUMBER(FCCL!D113),FCCL!D113,NA())</f>
        <v>0.14618299383526975</v>
      </c>
      <c r="Z18" s="70">
        <f>'Industry Averages'!D28</f>
        <v>0.19645843533403926</v>
      </c>
    </row>
    <row r="19" spans="1:26" ht="19.95" customHeight="1" x14ac:dyDescent="0.3">
      <c r="A19" s="69"/>
      <c r="B19" s="69"/>
      <c r="C19" s="69"/>
      <c r="D19" s="69"/>
      <c r="E19" s="69"/>
      <c r="F19" s="69"/>
      <c r="G19" s="69"/>
      <c r="H19" s="69"/>
      <c r="I19" s="69"/>
      <c r="J19" s="69"/>
      <c r="K19" s="69"/>
      <c r="L19" s="69"/>
      <c r="M19" s="69"/>
      <c r="N19" s="69"/>
      <c r="O19" s="69"/>
      <c r="P19" s="69"/>
      <c r="Q19" s="69"/>
      <c r="R19" s="69"/>
      <c r="S19" s="69"/>
      <c r="T19" t="s">
        <v>59</v>
      </c>
      <c r="U19" s="70">
        <f>IF(ISNUMBER(KOHC!E113),KOHC!E113,NA())</f>
        <v>5.0670963775722312E-2</v>
      </c>
      <c r="V19" s="70">
        <f>IF(ISNUMBER(LUCK!E113),LUCK!E113,NA())</f>
        <v>0.51028731982278264</v>
      </c>
      <c r="W19" s="70">
        <f>IF(ISNUMBER(DGKC!E113),DGKC!E113,NA())</f>
        <v>8.913248794490819E-3</v>
      </c>
      <c r="X19" s="70">
        <f>IF(ISNUMBER(MLCF!E113),MLCF!E113,NA())</f>
        <v>4.9006165540003331E-2</v>
      </c>
      <c r="Y19" s="70">
        <f>IF(ISNUMBER(FCCL!E113),FCCL!E113,NA())</f>
        <v>8.632203736853207E-2</v>
      </c>
      <c r="Z19" s="70">
        <f>'Industry Averages'!E28</f>
        <v>0.14103994706030626</v>
      </c>
    </row>
    <row r="20" spans="1:26" ht="19.95" customHeight="1" x14ac:dyDescent="0.3">
      <c r="A20" s="69"/>
      <c r="B20" s="69"/>
      <c r="C20" s="69"/>
      <c r="D20" s="69"/>
      <c r="E20" s="69"/>
      <c r="F20" s="69"/>
      <c r="G20" s="69"/>
      <c r="H20" s="69"/>
      <c r="I20" s="69"/>
      <c r="J20" s="69"/>
      <c r="K20" s="69"/>
      <c r="L20" s="69"/>
      <c r="M20" s="69"/>
      <c r="N20" s="69"/>
      <c r="O20" s="69"/>
      <c r="P20" s="69"/>
      <c r="Q20" s="69"/>
      <c r="R20" s="69"/>
      <c r="S20" s="69"/>
      <c r="T20" t="s">
        <v>60</v>
      </c>
      <c r="U20" s="70">
        <f>IF(ISNUMBER(KOHC!F113),KOHC!F113,NA())</f>
        <v>9.4178046452072631E-2</v>
      </c>
      <c r="V20" s="70">
        <f>IF(ISNUMBER(LUCK!F113),LUCK!F113,NA())</f>
        <v>0.56303776721097065</v>
      </c>
      <c r="W20" s="70">
        <f>IF(ISNUMBER(DGKC!F113),DGKC!F113,NA())</f>
        <v>1.3866688142092815E-2</v>
      </c>
      <c r="X20" s="70">
        <f>IF(ISNUMBER(MLCF!F113),MLCF!F113,NA())</f>
        <v>4.5680298533070048E-2</v>
      </c>
      <c r="Y20" s="70">
        <f>IF(ISNUMBER(FCCL!F113),FCCL!F113,NA())</f>
        <v>3.0925035424233385E-2</v>
      </c>
      <c r="Z20" s="70">
        <f>'Industry Averages'!F28</f>
        <v>0.14953756715248792</v>
      </c>
    </row>
    <row r="21" spans="1:26" ht="19.95" customHeight="1" x14ac:dyDescent="0.3">
      <c r="A21" s="69"/>
      <c r="B21" s="69"/>
      <c r="C21" s="69"/>
      <c r="D21" s="69"/>
      <c r="E21" s="69"/>
      <c r="F21" s="69"/>
      <c r="G21" s="69"/>
      <c r="H21" s="69"/>
      <c r="I21" s="69"/>
      <c r="J21" s="69"/>
      <c r="K21" s="69"/>
      <c r="L21" s="69"/>
      <c r="M21" s="69"/>
      <c r="N21" s="69"/>
      <c r="O21" s="69"/>
      <c r="P21" s="69"/>
      <c r="Q21" s="69"/>
      <c r="R21" s="69"/>
      <c r="S21" s="69"/>
      <c r="T21" t="s">
        <v>61</v>
      </c>
      <c r="U21" s="70">
        <f>IF(ISNUMBER(KOHC!G113),KOHC!G113,NA())</f>
        <v>9.9376831489781367E-2</v>
      </c>
      <c r="V21" s="70">
        <f>IF(ISNUMBER(LUCK!G113),LUCK!G113,NA())</f>
        <v>0.59758338272421885</v>
      </c>
      <c r="W21" s="70">
        <f>IF(ISNUMBER(DGKC!G113),DGKC!G113,NA())</f>
        <v>2.2719990993528554E-2</v>
      </c>
      <c r="X21" s="70">
        <f>IF(ISNUMBER(MLCF!G113),MLCF!G113,NA())</f>
        <v>7.3767434857886421E-2</v>
      </c>
      <c r="Y21" s="70">
        <f>IF(ISNUMBER(FCCL!G113),FCCL!G113,NA())</f>
        <v>0.10599048957533475</v>
      </c>
      <c r="Z21" s="70">
        <f>'Industry Averages'!G28</f>
        <v>0.17988762592814997</v>
      </c>
    </row>
    <row r="22" spans="1:26" ht="19.95" customHeight="1" x14ac:dyDescent="0.3">
      <c r="A22" s="69"/>
      <c r="B22" s="69"/>
      <c r="C22" s="69"/>
      <c r="D22" s="69"/>
      <c r="E22" s="69"/>
      <c r="F22" s="69"/>
      <c r="G22" s="69"/>
      <c r="H22" s="69"/>
      <c r="I22" s="69"/>
      <c r="J22" s="69"/>
      <c r="K22" s="69"/>
      <c r="L22" s="69"/>
      <c r="M22" s="69"/>
      <c r="N22" s="69"/>
      <c r="O22" s="69"/>
      <c r="P22" s="69"/>
      <c r="Q22" s="69"/>
      <c r="R22" s="69"/>
      <c r="S22" s="69"/>
      <c r="T22" t="s">
        <v>62</v>
      </c>
      <c r="U22" s="70">
        <f>IF(ISNUMBER(KOHC!H113),KOHC!H113,NA())</f>
        <v>0.1243988942257843</v>
      </c>
      <c r="V22" s="70">
        <f>IF(ISNUMBER(LUCK!H113),LUCK!H113,NA())</f>
        <v>1.0928864859820921</v>
      </c>
      <c r="W22" s="70">
        <f>IF(ISNUMBER(DGKC!H113),DGKC!H113,NA())</f>
        <v>4.7175167844291127E-2</v>
      </c>
      <c r="X22" s="70">
        <f>IF(ISNUMBER(MLCF!H113),MLCF!H113,NA())</f>
        <v>6.9243334827372452E-2</v>
      </c>
      <c r="Y22" s="70">
        <f>IF(ISNUMBER(FCCL!H113),FCCL!H113,NA())</f>
        <v>8.4205246923402408E-2</v>
      </c>
      <c r="Z22" s="70">
        <f>'Industry Averages'!H28</f>
        <v>0.28358182596058851</v>
      </c>
    </row>
    <row r="23" spans="1:26" ht="19.95" customHeight="1" x14ac:dyDescent="0.3">
      <c r="A23" s="69"/>
      <c r="B23" s="69"/>
      <c r="C23" s="69"/>
      <c r="D23" s="69"/>
      <c r="E23" s="69"/>
      <c r="F23" s="69"/>
      <c r="G23" s="69"/>
      <c r="H23" s="69"/>
      <c r="I23" s="69"/>
      <c r="J23" s="69"/>
      <c r="K23" s="69"/>
      <c r="L23" s="69"/>
      <c r="M23" s="69"/>
      <c r="N23" s="69"/>
      <c r="O23" s="69"/>
      <c r="P23" s="69"/>
      <c r="Q23" s="69"/>
      <c r="R23" s="69"/>
      <c r="S23" s="69"/>
    </row>
    <row r="24" spans="1:26" ht="19.95" customHeight="1" x14ac:dyDescent="0.3">
      <c r="A24" s="69"/>
      <c r="B24" s="69"/>
      <c r="C24" s="69"/>
      <c r="D24" s="69"/>
      <c r="E24" s="69"/>
      <c r="F24" s="69"/>
      <c r="G24" s="69"/>
      <c r="H24" s="69"/>
      <c r="I24" s="69"/>
      <c r="J24" s="69"/>
      <c r="K24" s="69"/>
      <c r="L24" s="69"/>
      <c r="M24" s="69"/>
      <c r="N24" s="69"/>
      <c r="O24" s="69"/>
      <c r="P24" s="69"/>
      <c r="Q24" s="69"/>
      <c r="R24" s="69"/>
      <c r="S24" s="69"/>
    </row>
    <row r="25" spans="1:26" ht="19.95" customHeight="1" x14ac:dyDescent="0.3">
      <c r="A25" s="69"/>
      <c r="B25" s="69"/>
      <c r="C25" s="69"/>
      <c r="D25" s="69"/>
      <c r="E25" s="69"/>
      <c r="F25" s="69"/>
      <c r="G25" s="69"/>
      <c r="H25" s="69"/>
      <c r="I25" s="69"/>
      <c r="J25" s="69"/>
      <c r="K25" s="69"/>
      <c r="L25" s="69"/>
      <c r="M25" s="69"/>
      <c r="N25" s="69"/>
      <c r="O25" s="69"/>
      <c r="P25" s="69"/>
      <c r="Q25" s="69"/>
      <c r="R25" s="69"/>
      <c r="S25" s="69"/>
      <c r="T25" t="s">
        <v>279</v>
      </c>
      <c r="U25" t="s">
        <v>13</v>
      </c>
      <c r="V25" t="s">
        <v>17</v>
      </c>
      <c r="W25" t="s">
        <v>21</v>
      </c>
      <c r="X25" t="s">
        <v>25</v>
      </c>
      <c r="Y25" t="s">
        <v>29</v>
      </c>
      <c r="Z25" t="s">
        <v>280</v>
      </c>
    </row>
    <row r="26" spans="1:26" ht="19.95" customHeight="1" x14ac:dyDescent="0.3">
      <c r="A26" s="69"/>
      <c r="B26" s="69"/>
      <c r="C26" s="69"/>
      <c r="D26" s="69"/>
      <c r="E26" s="69"/>
      <c r="F26" s="69"/>
      <c r="G26" s="69"/>
      <c r="H26" s="69"/>
      <c r="I26" s="69"/>
      <c r="J26" s="69"/>
      <c r="K26" s="69"/>
      <c r="L26" s="69"/>
      <c r="M26" s="69"/>
      <c r="N26" s="69"/>
      <c r="O26" s="69"/>
      <c r="P26" s="69"/>
      <c r="Q26" s="69"/>
      <c r="R26" s="69"/>
      <c r="S26" s="69"/>
      <c r="T26" t="s">
        <v>58</v>
      </c>
      <c r="U26" s="71">
        <f>IF(ISNUMBER(KOHC!D114),KOHC!D114,NA())</f>
        <v>2276.5547739999984</v>
      </c>
      <c r="V26" s="71">
        <f>IF(ISNUMBER(LUCK!D114),LUCK!D114,NA())</f>
        <v>10289.302000000007</v>
      </c>
      <c r="W26" s="71" t="e">
        <f>IF(ISNUMBER(DGKC!D114),DGKC!D114,NA())</f>
        <v>#N/A</v>
      </c>
      <c r="X26" s="71">
        <f>IF(ISNUMBER(MLCF!D114),MLCF!D114,NA())</f>
        <v>5473.9680000000026</v>
      </c>
      <c r="Y26" s="71">
        <f>IF(ISNUMBER(FCCL!D114),FCCL!D114,NA())</f>
        <v>6276.7430000000004</v>
      </c>
      <c r="Z26" s="71">
        <f>'Industry Averages'!D36</f>
        <v>6079.1419435000025</v>
      </c>
    </row>
    <row r="27" spans="1:26" ht="19.95" customHeight="1" x14ac:dyDescent="0.3">
      <c r="A27" s="69"/>
      <c r="B27" s="69"/>
      <c r="C27" s="69"/>
      <c r="D27" s="69"/>
      <c r="E27" s="69"/>
      <c r="F27" s="69"/>
      <c r="G27" s="69"/>
      <c r="H27" s="69"/>
      <c r="I27" s="69"/>
      <c r="J27" s="69"/>
      <c r="K27" s="69"/>
      <c r="L27" s="69"/>
      <c r="M27" s="69"/>
      <c r="N27" s="69"/>
      <c r="O27" s="69"/>
      <c r="P27" s="69"/>
      <c r="Q27" s="69"/>
      <c r="R27" s="69"/>
      <c r="S27" s="69"/>
      <c r="T27" t="s">
        <v>59</v>
      </c>
      <c r="U27" s="71">
        <f>IF(ISNUMBER(KOHC!E114),KOHC!E114,NA())</f>
        <v>8287.8407679999964</v>
      </c>
      <c r="V27" s="71">
        <f>IF(ISNUMBER(LUCK!E114),LUCK!E114,NA())</f>
        <v>14454.333000000006</v>
      </c>
      <c r="W27" s="71" t="e">
        <f>IF(ISNUMBER(DGKC!E114),DGKC!E114,NA())</f>
        <v>#N/A</v>
      </c>
      <c r="X27" s="71">
        <f>IF(ISNUMBER(MLCF!E114),MLCF!E114,NA())</f>
        <v>4128.5980000000036</v>
      </c>
      <c r="Y27" s="71">
        <f>IF(ISNUMBER(FCCL!E114),FCCL!E114,NA())</f>
        <v>1495.5590000000011</v>
      </c>
      <c r="Z27" s="71">
        <f>'Industry Averages'!E36</f>
        <v>7091.5826920000018</v>
      </c>
    </row>
    <row r="28" spans="1:26" ht="19.95" customHeight="1" x14ac:dyDescent="0.3">
      <c r="A28" s="69"/>
      <c r="B28" s="69"/>
      <c r="C28" s="69"/>
      <c r="D28" s="69"/>
      <c r="E28" s="69"/>
      <c r="F28" s="69"/>
      <c r="G28" s="69"/>
      <c r="H28" s="69"/>
      <c r="I28" s="69"/>
      <c r="J28" s="69"/>
      <c r="K28" s="69"/>
      <c r="L28" s="69"/>
      <c r="M28" s="69"/>
      <c r="N28" s="69"/>
      <c r="O28" s="69"/>
      <c r="P28" s="69"/>
      <c r="Q28" s="69"/>
      <c r="R28" s="69"/>
      <c r="S28" s="69"/>
      <c r="T28" t="s">
        <v>60</v>
      </c>
      <c r="U28" s="71">
        <f>IF(ISNUMBER(KOHC!F114),KOHC!F114,NA())</f>
        <v>13000.905238000001</v>
      </c>
      <c r="V28" s="71">
        <f>IF(ISNUMBER(LUCK!F114),LUCK!F114,NA())</f>
        <v>13395.762999999999</v>
      </c>
      <c r="W28" s="71" t="e">
        <f>IF(ISNUMBER(DGKC!F114),DGKC!F114,NA())</f>
        <v>#N/A</v>
      </c>
      <c r="X28" s="71">
        <f>IF(ISNUMBER(MLCF!F114),MLCF!F114,NA())</f>
        <v>6024.645999999997</v>
      </c>
      <c r="Y28" s="71" t="e">
        <f>IF(ISNUMBER(FCCL!F114),FCCL!F114,NA())</f>
        <v>#N/A</v>
      </c>
      <c r="Z28" s="71">
        <f>'Industry Averages'!F36</f>
        <v>10807.104745999999</v>
      </c>
    </row>
    <row r="29" spans="1:26" ht="19.95" customHeight="1" x14ac:dyDescent="0.3">
      <c r="A29" s="97" t="s">
        <v>284</v>
      </c>
      <c r="B29" s="97"/>
      <c r="C29" s="97"/>
      <c r="D29" s="97"/>
      <c r="E29" s="97"/>
      <c r="F29" s="97"/>
      <c r="G29" s="97"/>
      <c r="H29" s="97"/>
      <c r="I29" s="97"/>
      <c r="J29" s="97"/>
      <c r="K29" s="97"/>
      <c r="L29" s="97"/>
      <c r="M29" s="97"/>
      <c r="N29" s="97"/>
      <c r="O29" s="97"/>
      <c r="P29" s="97"/>
      <c r="Q29" s="97"/>
      <c r="R29" s="97"/>
      <c r="S29" s="97"/>
      <c r="T29" t="s">
        <v>61</v>
      </c>
      <c r="U29" s="71">
        <f>IF(ISNUMBER(KOHC!G114),KOHC!G114,NA())</f>
        <v>21116.760542</v>
      </c>
      <c r="V29" s="71">
        <f>IF(ISNUMBER(LUCK!G114),LUCK!G114,NA())</f>
        <v>14263.611000000004</v>
      </c>
      <c r="W29" s="71">
        <f>IF(ISNUMBER(DGKC!G114),DGKC!G114,NA())</f>
        <v>9544.8039999999928</v>
      </c>
      <c r="X29" s="71">
        <f>IF(ISNUMBER(MLCF!G114),MLCF!G114,NA())</f>
        <v>8270.0370000000003</v>
      </c>
      <c r="Y29" s="71" t="e">
        <f>IF(ISNUMBER(FCCL!G114),FCCL!G114,NA())</f>
        <v>#N/A</v>
      </c>
      <c r="Z29" s="71">
        <f>'Industry Averages'!G36</f>
        <v>13298.803135499998</v>
      </c>
    </row>
    <row r="30" spans="1:26" ht="19.95" customHeight="1" x14ac:dyDescent="0.3">
      <c r="A30" s="69"/>
      <c r="B30" s="69"/>
      <c r="C30" s="69"/>
      <c r="D30" s="69"/>
      <c r="E30" s="69"/>
      <c r="F30" s="69"/>
      <c r="G30" s="69"/>
      <c r="H30" s="69"/>
      <c r="I30" s="69"/>
      <c r="J30" s="69"/>
      <c r="K30" s="69"/>
      <c r="L30" s="69"/>
      <c r="M30" s="69"/>
      <c r="N30" s="69"/>
      <c r="O30" s="69"/>
      <c r="P30" s="69"/>
      <c r="Q30" s="69"/>
      <c r="R30" s="69"/>
      <c r="S30" s="69"/>
      <c r="T30" t="s">
        <v>62</v>
      </c>
      <c r="U30" s="71">
        <f>IF(ISNUMBER(KOHC!H114),KOHC!H114,NA())</f>
        <v>26953.091383000003</v>
      </c>
      <c r="V30" s="71">
        <f>IF(ISNUMBER(LUCK!H114),LUCK!H114,NA())</f>
        <v>41905.97600000001</v>
      </c>
      <c r="W30" s="71">
        <f>IF(ISNUMBER(DGKC!H114),DGKC!H114,NA())</f>
        <v>21997.121999999999</v>
      </c>
      <c r="X30" s="71">
        <f>IF(ISNUMBER(MLCF!H114),MLCF!H114,NA())</f>
        <v>12422.112999999994</v>
      </c>
      <c r="Y30" s="71">
        <f>IF(ISNUMBER(FCCL!H114),FCCL!H114,NA())</f>
        <v>9835.0680000000066</v>
      </c>
      <c r="Z30" s="71">
        <f>'Industry Averages'!H36</f>
        <v>22622.674076600008</v>
      </c>
    </row>
    <row r="31" spans="1:26" ht="19.95" customHeight="1" x14ac:dyDescent="0.3">
      <c r="A31" s="69"/>
      <c r="B31" s="69"/>
      <c r="C31" s="69"/>
      <c r="D31" s="69"/>
      <c r="E31" s="69"/>
      <c r="F31" s="69"/>
      <c r="G31" s="69"/>
      <c r="H31" s="69"/>
      <c r="I31" s="69"/>
      <c r="J31" s="69"/>
      <c r="K31" s="69"/>
      <c r="L31" s="69"/>
      <c r="M31" s="69"/>
      <c r="N31" s="69"/>
      <c r="O31" s="69"/>
      <c r="P31" s="69"/>
      <c r="Q31" s="69"/>
      <c r="R31" s="69"/>
      <c r="S31" s="69"/>
    </row>
    <row r="32" spans="1:26" ht="19.95" customHeight="1" x14ac:dyDescent="0.3">
      <c r="A32" s="69"/>
      <c r="B32" s="69"/>
      <c r="C32" s="69"/>
      <c r="D32" s="69"/>
      <c r="E32" s="69"/>
      <c r="F32" s="69"/>
      <c r="G32" s="69"/>
      <c r="H32" s="69"/>
      <c r="I32" s="69"/>
      <c r="J32" s="69"/>
      <c r="K32" s="69"/>
      <c r="L32" s="69"/>
      <c r="M32" s="69"/>
      <c r="N32" s="69"/>
      <c r="O32" s="69"/>
      <c r="P32" s="69"/>
      <c r="Q32" s="69"/>
      <c r="R32" s="69"/>
      <c r="S32" s="69"/>
    </row>
    <row r="33" spans="1:26" ht="19.95" customHeight="1" x14ac:dyDescent="0.3">
      <c r="A33" s="69"/>
      <c r="B33" s="69"/>
      <c r="C33" s="69"/>
      <c r="D33" s="69"/>
      <c r="E33" s="69"/>
      <c r="F33" s="69"/>
      <c r="G33" s="69"/>
      <c r="H33" s="69"/>
      <c r="I33" s="69"/>
      <c r="J33" s="69"/>
      <c r="K33" s="69"/>
      <c r="L33" s="69"/>
      <c r="M33" s="69"/>
      <c r="N33" s="69"/>
      <c r="O33" s="69"/>
      <c r="P33" s="69"/>
      <c r="Q33" s="69"/>
      <c r="R33" s="69"/>
      <c r="S33" s="69"/>
      <c r="T33" t="s">
        <v>279</v>
      </c>
      <c r="U33" t="s">
        <v>13</v>
      </c>
      <c r="V33" t="s">
        <v>17</v>
      </c>
      <c r="W33" t="s">
        <v>21</v>
      </c>
      <c r="X33" t="s">
        <v>25</v>
      </c>
      <c r="Y33" t="s">
        <v>29</v>
      </c>
      <c r="Z33" t="s">
        <v>280</v>
      </c>
    </row>
    <row r="34" spans="1:26" ht="19.95" customHeight="1" x14ac:dyDescent="0.3">
      <c r="A34" s="69"/>
      <c r="B34" s="69"/>
      <c r="C34" s="69"/>
      <c r="D34" s="69"/>
      <c r="E34" s="69"/>
      <c r="F34" s="69"/>
      <c r="G34" s="69"/>
      <c r="H34" s="69"/>
      <c r="I34" s="69"/>
      <c r="J34" s="69"/>
      <c r="K34" s="69"/>
      <c r="L34" s="69"/>
      <c r="M34" s="69"/>
      <c r="N34" s="69"/>
      <c r="O34" s="69"/>
      <c r="P34" s="69"/>
      <c r="Q34" s="69"/>
      <c r="R34" s="69"/>
      <c r="S34" s="69"/>
      <c r="T34" t="s">
        <v>58</v>
      </c>
      <c r="U34" s="70">
        <f>IF(ISNUMBER(KOHC!D116),KOHC!D116,NA())</f>
        <v>4.8570986013255171</v>
      </c>
      <c r="V34" s="70">
        <f>IF(ISNUMBER(LUCK!D116),LUCK!D116,NA())</f>
        <v>3.8136073127139278</v>
      </c>
      <c r="W34" s="70">
        <f>IF(ISNUMBER(DGKC!D116),DGKC!D116,NA())</f>
        <v>2.6267527531726218</v>
      </c>
      <c r="X34" s="70">
        <f>IF(ISNUMBER(MLCF!D116),MLCF!D116,NA())</f>
        <v>2.5503561154199565</v>
      </c>
      <c r="Y34" s="70">
        <f>IF(ISNUMBER(FCCL!D116),FCCL!D116,NA())</f>
        <v>3.593399445976929</v>
      </c>
      <c r="Z34" s="70">
        <f>'Industry Averages'!D45</f>
        <v>3.4882428457217904</v>
      </c>
    </row>
    <row r="35" spans="1:26" ht="19.95" customHeight="1" x14ac:dyDescent="0.3">
      <c r="A35" s="69"/>
      <c r="B35" s="69"/>
      <c r="C35" s="69"/>
      <c r="D35" s="69"/>
      <c r="E35" s="69"/>
      <c r="F35" s="69"/>
      <c r="G35" s="69"/>
      <c r="H35" s="69"/>
      <c r="I35" s="69"/>
      <c r="J35" s="69"/>
      <c r="K35" s="69"/>
      <c r="L35" s="69"/>
      <c r="M35" s="69"/>
      <c r="N35" s="69"/>
      <c r="O35" s="69"/>
      <c r="P35" s="69"/>
      <c r="Q35" s="69"/>
      <c r="R35" s="69"/>
      <c r="S35" s="69"/>
      <c r="T35" t="s">
        <v>59</v>
      </c>
      <c r="U35" s="70">
        <f>IF(ISNUMBER(KOHC!E116),KOHC!E116,NA())</f>
        <v>4.6811317215716919</v>
      </c>
      <c r="V35" s="70">
        <f>IF(ISNUMBER(LUCK!E116),LUCK!E116,NA())</f>
        <v>3.657733126059421</v>
      </c>
      <c r="W35" s="70">
        <f>IF(ISNUMBER(DGKC!E116),DGKC!E116,NA())</f>
        <v>2.479761249901864</v>
      </c>
      <c r="X35" s="70">
        <f>IF(ISNUMBER(MLCF!E116),MLCF!E116,NA())</f>
        <v>2.6418827583195736</v>
      </c>
      <c r="Y35" s="70">
        <f>IF(ISNUMBER(FCCL!E116),FCCL!E116,NA())</f>
        <v>3.6798285509863442</v>
      </c>
      <c r="Z35" s="70">
        <f>'Industry Averages'!E45</f>
        <v>3.4280674813677789</v>
      </c>
    </row>
    <row r="36" spans="1:26" ht="19.95" customHeight="1" x14ac:dyDescent="0.3">
      <c r="A36" s="69"/>
      <c r="B36" s="69"/>
      <c r="C36" s="69"/>
      <c r="D36" s="69"/>
      <c r="E36" s="69"/>
      <c r="F36" s="69"/>
      <c r="G36" s="69"/>
      <c r="H36" s="69"/>
      <c r="I36" s="69"/>
      <c r="J36" s="69"/>
      <c r="K36" s="69"/>
      <c r="L36" s="69"/>
      <c r="M36" s="69"/>
      <c r="N36" s="69"/>
      <c r="O36" s="69"/>
      <c r="P36" s="69"/>
      <c r="Q36" s="69"/>
      <c r="R36" s="69"/>
      <c r="S36" s="69"/>
      <c r="T36" t="s">
        <v>60</v>
      </c>
      <c r="U36" s="70">
        <f>IF(ISNUMBER(KOHC!F116),KOHC!F116,NA())</f>
        <v>4.2753791437713859</v>
      </c>
      <c r="V36" s="70">
        <f>IF(ISNUMBER(LUCK!F116),LUCK!F116,NA())</f>
        <v>3.6234818387767853</v>
      </c>
      <c r="W36" s="70">
        <f>IF(ISNUMBER(DGKC!F116),DGKC!F116,NA())</f>
        <v>2.4352964976956684</v>
      </c>
      <c r="X36" s="70">
        <f>IF(ISNUMBER(MLCF!F116),MLCF!F116,NA())</f>
        <v>2.991643999189634</v>
      </c>
      <c r="Y36" s="70">
        <f>IF(ISNUMBER(FCCL!F116),FCCL!F116,NA())</f>
        <v>3.0981941833220765</v>
      </c>
      <c r="Z36" s="70">
        <f>'Industry Averages'!F45</f>
        <v>3.2847991325511101</v>
      </c>
    </row>
    <row r="37" spans="1:26" ht="19.95" customHeight="1" x14ac:dyDescent="0.3">
      <c r="A37" s="69"/>
      <c r="B37" s="69"/>
      <c r="C37" s="69"/>
      <c r="D37" s="69"/>
      <c r="E37" s="69"/>
      <c r="F37" s="69"/>
      <c r="G37" s="69"/>
      <c r="H37" s="69"/>
      <c r="I37" s="69"/>
      <c r="J37" s="69"/>
      <c r="K37" s="69"/>
      <c r="L37" s="69"/>
      <c r="M37" s="69"/>
      <c r="N37" s="69"/>
      <c r="O37" s="69"/>
      <c r="P37" s="69"/>
      <c r="Q37" s="69"/>
      <c r="R37" s="69"/>
      <c r="S37" s="69"/>
      <c r="T37" t="s">
        <v>61</v>
      </c>
      <c r="U37" s="70">
        <f>IF(ISNUMBER(KOHC!G116),KOHC!G116,NA())</f>
        <v>3.5957369645110586</v>
      </c>
      <c r="V37" s="70">
        <f>IF(ISNUMBER(LUCK!G116),LUCK!G116,NA())</f>
        <v>3.5401699550948362</v>
      </c>
      <c r="W37" s="70">
        <f>IF(ISNUMBER(DGKC!G116),DGKC!G116,NA())</f>
        <v>2.5832010951831741</v>
      </c>
      <c r="X37" s="70">
        <f>IF(ISNUMBER(MLCF!G116),MLCF!G116,NA())</f>
        <v>3.1013565995658121</v>
      </c>
      <c r="Y37" s="70">
        <f>IF(ISNUMBER(FCCL!G116),FCCL!G116,NA())</f>
        <v>3.4267755412065504</v>
      </c>
      <c r="Z37" s="70">
        <f>'Industry Averages'!G45</f>
        <v>3.2494480311122858</v>
      </c>
    </row>
    <row r="38" spans="1:26" ht="19.95" customHeight="1" x14ac:dyDescent="0.3">
      <c r="A38" s="69"/>
      <c r="B38" s="69"/>
      <c r="C38" s="69"/>
      <c r="D38" s="69"/>
      <c r="E38" s="69"/>
      <c r="F38" s="69"/>
      <c r="G38" s="69"/>
      <c r="H38" s="69"/>
      <c r="I38" s="69"/>
      <c r="J38" s="69"/>
      <c r="K38" s="69"/>
      <c r="L38" s="69"/>
      <c r="M38" s="69"/>
      <c r="N38" s="69"/>
      <c r="O38" s="69"/>
      <c r="P38" s="69"/>
      <c r="Q38" s="69"/>
      <c r="R38" s="69"/>
      <c r="S38" s="69"/>
      <c r="T38" t="s">
        <v>62</v>
      </c>
      <c r="U38" s="70">
        <f>IF(ISNUMBER(KOHC!H116),KOHC!H116,NA())</f>
        <v>3.024880626442934</v>
      </c>
      <c r="V38" s="70">
        <f>IF(ISNUMBER(LUCK!H116),LUCK!H116,NA())</f>
        <v>3.4260949525900268</v>
      </c>
      <c r="W38" s="70">
        <f>IF(ISNUMBER(DGKC!H116),DGKC!H116,NA())</f>
        <v>2.6203448800361673</v>
      </c>
      <c r="X38" s="70">
        <f>IF(ISNUMBER(MLCF!H116),MLCF!H116,NA())</f>
        <v>2.7865732877055658</v>
      </c>
      <c r="Y38" s="70">
        <f>IF(ISNUMBER(FCCL!H116),FCCL!H116,NA())</f>
        <v>3.1608830315846066</v>
      </c>
      <c r="Z38" s="70">
        <f>'Industry Averages'!H45</f>
        <v>3.0037553556718599</v>
      </c>
    </row>
    <row r="39" spans="1:26" ht="19.95" customHeight="1" x14ac:dyDescent="0.3">
      <c r="A39" s="69"/>
      <c r="B39" s="69"/>
      <c r="C39" s="69"/>
      <c r="D39" s="69"/>
      <c r="E39" s="69"/>
      <c r="F39" s="69"/>
      <c r="G39" s="69"/>
      <c r="H39" s="69"/>
      <c r="I39" s="69"/>
      <c r="J39" s="69"/>
      <c r="K39" s="69"/>
      <c r="L39" s="69"/>
      <c r="M39" s="69"/>
      <c r="N39" s="69"/>
      <c r="O39" s="69"/>
      <c r="P39" s="69"/>
      <c r="Q39" s="69"/>
      <c r="R39" s="69"/>
      <c r="S39" s="69"/>
    </row>
    <row r="40" spans="1:26" ht="19.95" customHeight="1" x14ac:dyDescent="0.3">
      <c r="A40" s="69"/>
      <c r="B40" s="69"/>
      <c r="C40" s="69"/>
      <c r="D40" s="69"/>
      <c r="E40" s="69"/>
      <c r="F40" s="69"/>
      <c r="G40" s="69"/>
      <c r="H40" s="69"/>
      <c r="I40" s="69"/>
      <c r="J40" s="69"/>
      <c r="K40" s="69"/>
      <c r="L40" s="69"/>
      <c r="M40" s="69"/>
      <c r="N40" s="69"/>
      <c r="O40" s="69"/>
      <c r="P40" s="69"/>
      <c r="Q40" s="69"/>
      <c r="R40" s="69"/>
      <c r="S40" s="69"/>
    </row>
    <row r="41" spans="1:26" ht="19.95" customHeight="1" x14ac:dyDescent="0.3">
      <c r="A41" s="69"/>
      <c r="B41" s="69"/>
      <c r="C41" s="69"/>
      <c r="D41" s="69"/>
      <c r="E41" s="69"/>
      <c r="F41" s="69"/>
      <c r="G41" s="69"/>
      <c r="H41" s="69"/>
      <c r="I41" s="69"/>
      <c r="J41" s="69"/>
      <c r="K41" s="69"/>
      <c r="L41" s="69"/>
      <c r="M41" s="69"/>
      <c r="N41" s="69"/>
      <c r="O41" s="69"/>
      <c r="P41" s="69"/>
      <c r="Q41" s="69"/>
      <c r="R41" s="69"/>
      <c r="S41" s="69"/>
      <c r="T41" t="s">
        <v>279</v>
      </c>
      <c r="U41" t="s">
        <v>13</v>
      </c>
      <c r="V41" t="s">
        <v>17</v>
      </c>
      <c r="W41" t="s">
        <v>21</v>
      </c>
      <c r="X41" t="s">
        <v>25</v>
      </c>
      <c r="Y41" t="s">
        <v>29</v>
      </c>
      <c r="Z41" t="s">
        <v>280</v>
      </c>
    </row>
    <row r="42" spans="1:26" ht="19.95" customHeight="1" x14ac:dyDescent="0.3">
      <c r="A42" s="69"/>
      <c r="B42" s="69"/>
      <c r="C42" s="69"/>
      <c r="D42" s="69"/>
      <c r="E42" s="69"/>
      <c r="F42" s="69"/>
      <c r="G42" s="69"/>
      <c r="H42" s="69"/>
      <c r="I42" s="69"/>
      <c r="J42" s="69"/>
      <c r="K42" s="69"/>
      <c r="L42" s="69"/>
      <c r="M42" s="69"/>
      <c r="N42" s="69"/>
      <c r="O42" s="69"/>
      <c r="P42" s="69"/>
      <c r="Q42" s="69"/>
      <c r="R42" s="69"/>
      <c r="S42" s="69"/>
      <c r="T42" t="s">
        <v>58</v>
      </c>
      <c r="U42" s="70">
        <f>IF(ISNUMBER(KOHC!D117),KOHC!D117,NA())</f>
        <v>32.556527152183129</v>
      </c>
      <c r="V42" s="70">
        <f>IF(ISNUMBER(LUCK!D117),LUCK!D117,NA())</f>
        <v>20.525799758937445</v>
      </c>
      <c r="W42" s="70">
        <f>IF(ISNUMBER(DGKC!D117),DGKC!D117,NA())</f>
        <v>22.768270883109405</v>
      </c>
      <c r="X42" s="70">
        <f>IF(ISNUMBER(MLCF!D117),MLCF!D117,NA())</f>
        <v>15.020941563038772</v>
      </c>
      <c r="Y42" s="70">
        <f>IF(ISNUMBER(FCCL!D117),FCCL!D117,NA())</f>
        <v>19.415164144242155</v>
      </c>
      <c r="Z42" s="70">
        <f>'Industry Averages'!D53</f>
        <v>22.057340700302184</v>
      </c>
    </row>
    <row r="43" spans="1:26" ht="19.95" customHeight="1" x14ac:dyDescent="0.3">
      <c r="A43" s="69"/>
      <c r="B43" s="69"/>
      <c r="C43" s="69"/>
      <c r="D43" s="69"/>
      <c r="E43" s="69"/>
      <c r="F43" s="69"/>
      <c r="G43" s="69"/>
      <c r="H43" s="69"/>
      <c r="I43" s="69"/>
      <c r="J43" s="69"/>
      <c r="K43" s="69"/>
      <c r="L43" s="69"/>
      <c r="M43" s="69"/>
      <c r="N43" s="69"/>
      <c r="O43" s="69"/>
      <c r="P43" s="69"/>
      <c r="Q43" s="69"/>
      <c r="R43" s="69"/>
      <c r="S43" s="69"/>
      <c r="T43" t="s">
        <v>59</v>
      </c>
      <c r="U43" s="70">
        <f>IF(ISNUMBER(KOHC!E117),KOHC!E117,NA())</f>
        <v>34.614462046513971</v>
      </c>
      <c r="V43" s="70">
        <f>IF(ISNUMBER(LUCK!E117),LUCK!E117,NA())</f>
        <v>26.020654219821807</v>
      </c>
      <c r="W43" s="70">
        <f>IF(ISNUMBER(DGKC!E117),DGKC!E117,NA())</f>
        <v>36.922320391767833</v>
      </c>
      <c r="X43" s="70">
        <f>IF(ISNUMBER(MLCF!E117),MLCF!E117,NA())</f>
        <v>25.905344380386534</v>
      </c>
      <c r="Y43" s="70">
        <f>IF(ISNUMBER(FCCL!E117),FCCL!E117,NA())</f>
        <v>28.088084014998095</v>
      </c>
      <c r="Z43" s="70">
        <f>'Industry Averages'!E53</f>
        <v>30.31017301069765</v>
      </c>
    </row>
    <row r="44" spans="1:26" ht="19.95" customHeight="1" x14ac:dyDescent="0.3">
      <c r="A44" s="69"/>
      <c r="B44" s="69"/>
      <c r="C44" s="69"/>
      <c r="D44" s="69"/>
      <c r="E44" s="69"/>
      <c r="F44" s="69"/>
      <c r="G44" s="69"/>
      <c r="H44" s="69"/>
      <c r="I44" s="69"/>
      <c r="J44" s="69"/>
      <c r="K44" s="69"/>
      <c r="L44" s="69"/>
      <c r="M44" s="69"/>
      <c r="N44" s="69"/>
      <c r="O44" s="69"/>
      <c r="P44" s="69"/>
      <c r="Q44" s="69"/>
      <c r="R44" s="69"/>
      <c r="S44" s="69"/>
      <c r="T44" t="s">
        <v>60</v>
      </c>
      <c r="U44" s="70">
        <f>IF(ISNUMBER(KOHC!F117),KOHC!F117,NA())</f>
        <v>36.690956476472735</v>
      </c>
      <c r="V44" s="70">
        <f>IF(ISNUMBER(LUCK!F117),LUCK!F117,NA())</f>
        <v>22.253946370189343</v>
      </c>
      <c r="W44" s="70">
        <f>IF(ISNUMBER(DGKC!F117),DGKC!F117,NA())</f>
        <v>48.836111797909446</v>
      </c>
      <c r="X44" s="70">
        <f>IF(ISNUMBER(MLCF!F117),MLCF!F117,NA())</f>
        <v>26.600659453629234</v>
      </c>
      <c r="Y44" s="70">
        <f>IF(ISNUMBER(FCCL!F117),FCCL!F117,NA())</f>
        <v>22.745855737892271</v>
      </c>
      <c r="Z44" s="70">
        <f>'Industry Averages'!F53</f>
        <v>31.425505967218601</v>
      </c>
    </row>
    <row r="45" spans="1:26" ht="19.95" customHeight="1" x14ac:dyDescent="0.3">
      <c r="A45" s="69"/>
      <c r="B45" s="69"/>
      <c r="C45" s="69"/>
      <c r="D45" s="69"/>
      <c r="E45" s="69"/>
      <c r="F45" s="69"/>
      <c r="G45" s="69"/>
      <c r="H45" s="69"/>
      <c r="I45" s="69"/>
      <c r="J45" s="69"/>
      <c r="K45" s="69"/>
      <c r="L45" s="69"/>
      <c r="M45" s="69"/>
      <c r="N45" s="69"/>
      <c r="O45" s="69"/>
      <c r="P45" s="69"/>
      <c r="Q45" s="69"/>
      <c r="R45" s="69"/>
      <c r="S45" s="69"/>
      <c r="T45" t="s">
        <v>61</v>
      </c>
      <c r="U45" s="70">
        <f>IF(ISNUMBER(KOHC!G117),KOHC!G117,NA())</f>
        <v>23.311269128267483</v>
      </c>
      <c r="V45" s="70">
        <f>IF(ISNUMBER(LUCK!G117),LUCK!G117,NA())</f>
        <v>19.185416979630755</v>
      </c>
      <c r="W45" s="70">
        <f>IF(ISNUMBER(DGKC!G117),DGKC!G117,NA())</f>
        <v>64.453707869774377</v>
      </c>
      <c r="X45" s="70">
        <f>IF(ISNUMBER(MLCF!G117),MLCF!G117,NA())</f>
        <v>19.574371293114748</v>
      </c>
      <c r="Y45" s="70">
        <f>IF(ISNUMBER(FCCL!G117),FCCL!G117,NA())</f>
        <v>17.554064923929165</v>
      </c>
      <c r="Z45" s="70">
        <f>'Industry Averages'!G53</f>
        <v>28.815766038943309</v>
      </c>
    </row>
    <row r="46" spans="1:26" ht="19.95" customHeight="1" x14ac:dyDescent="0.3">
      <c r="A46" s="69"/>
      <c r="B46" s="69"/>
      <c r="C46" s="69"/>
      <c r="D46" s="69"/>
      <c r="E46" s="69"/>
      <c r="F46" s="69"/>
      <c r="G46" s="69"/>
      <c r="H46" s="69"/>
      <c r="I46" s="69"/>
      <c r="J46" s="69"/>
      <c r="K46" s="69"/>
      <c r="L46" s="69"/>
      <c r="M46" s="69"/>
      <c r="N46" s="69"/>
      <c r="O46" s="69"/>
      <c r="P46" s="69"/>
      <c r="Q46" s="69"/>
      <c r="R46" s="69"/>
      <c r="S46" s="69"/>
      <c r="T46" t="s">
        <v>62</v>
      </c>
      <c r="U46" s="70">
        <f>IF(ISNUMBER(KOHC!H117),KOHC!H117,NA())</f>
        <v>19.742821104933064</v>
      </c>
      <c r="V46" s="70">
        <f>IF(ISNUMBER(LUCK!H117),LUCK!H117,NA())</f>
        <v>18.743761644592638</v>
      </c>
      <c r="W46" s="70">
        <f>IF(ISNUMBER(DGKC!H117),DGKC!H117,NA())</f>
        <v>61.216079379365482</v>
      </c>
      <c r="X46" s="70">
        <f>IF(ISNUMBER(MLCF!H117),MLCF!H117,NA())</f>
        <v>15.67064847793373</v>
      </c>
      <c r="Y46" s="70">
        <f>IF(ISNUMBER(FCCL!H117),FCCL!H117,NA())</f>
        <v>14.282644096931071</v>
      </c>
      <c r="Z46" s="70">
        <f>'Industry Averages'!H53</f>
        <v>25.931190940751197</v>
      </c>
    </row>
    <row r="47" spans="1:26" ht="19.95" customHeight="1" x14ac:dyDescent="0.3">
      <c r="A47" s="69"/>
      <c r="B47" s="69"/>
      <c r="C47" s="69"/>
      <c r="D47" s="69"/>
      <c r="E47" s="69"/>
      <c r="F47" s="69"/>
      <c r="G47" s="69"/>
      <c r="H47" s="69"/>
      <c r="I47" s="69"/>
      <c r="J47" s="69"/>
      <c r="K47" s="69"/>
      <c r="L47" s="69"/>
      <c r="M47" s="69"/>
      <c r="N47" s="69"/>
      <c r="O47" s="69"/>
      <c r="P47" s="69"/>
      <c r="Q47" s="69"/>
      <c r="R47" s="69"/>
      <c r="S47" s="69"/>
    </row>
    <row r="48" spans="1:26" ht="19.95" customHeight="1" x14ac:dyDescent="0.3">
      <c r="A48" s="69"/>
      <c r="B48" s="69"/>
      <c r="C48" s="69"/>
      <c r="D48" s="69"/>
      <c r="E48" s="69"/>
      <c r="F48" s="69"/>
      <c r="G48" s="69"/>
      <c r="H48" s="69"/>
      <c r="I48" s="69"/>
      <c r="J48" s="69"/>
      <c r="K48" s="69"/>
      <c r="L48" s="69"/>
      <c r="M48" s="69"/>
      <c r="N48" s="69"/>
      <c r="O48" s="69"/>
      <c r="P48" s="69"/>
      <c r="Q48" s="69"/>
      <c r="R48" s="69"/>
      <c r="S48" s="69"/>
    </row>
    <row r="49" spans="1:26" ht="19.95" customHeight="1" x14ac:dyDescent="0.3">
      <c r="A49" s="69"/>
      <c r="B49" s="69"/>
      <c r="C49" s="69"/>
      <c r="D49" s="69"/>
      <c r="E49" s="69"/>
      <c r="F49" s="69"/>
      <c r="G49" s="69"/>
      <c r="H49" s="69"/>
      <c r="I49" s="69"/>
      <c r="J49" s="69"/>
      <c r="K49" s="69"/>
      <c r="L49" s="69"/>
      <c r="M49" s="69"/>
      <c r="N49" s="69"/>
      <c r="O49" s="69"/>
      <c r="P49" s="69"/>
      <c r="Q49" s="69"/>
      <c r="R49" s="69"/>
      <c r="S49" s="69"/>
      <c r="T49" t="s">
        <v>279</v>
      </c>
      <c r="U49" t="s">
        <v>13</v>
      </c>
      <c r="V49" t="s">
        <v>17</v>
      </c>
      <c r="W49" t="s">
        <v>21</v>
      </c>
      <c r="X49" t="s">
        <v>25</v>
      </c>
      <c r="Y49" t="s">
        <v>29</v>
      </c>
      <c r="Z49" t="s">
        <v>280</v>
      </c>
    </row>
    <row r="50" spans="1:26" ht="19.95" customHeight="1" x14ac:dyDescent="0.3">
      <c r="A50" s="69"/>
      <c r="B50" s="69"/>
      <c r="C50" s="69"/>
      <c r="D50" s="69"/>
      <c r="E50" s="69"/>
      <c r="F50" s="69"/>
      <c r="G50" s="69"/>
      <c r="H50" s="69"/>
      <c r="I50" s="69"/>
      <c r="J50" s="69"/>
      <c r="K50" s="69"/>
      <c r="L50" s="69"/>
      <c r="M50" s="69"/>
      <c r="N50" s="69"/>
      <c r="O50" s="69"/>
      <c r="P50" s="69"/>
      <c r="Q50" s="69"/>
      <c r="R50" s="69"/>
      <c r="S50" s="69"/>
      <c r="T50" t="s">
        <v>58</v>
      </c>
      <c r="U50" s="70">
        <f>IF(ISNUMBER(KOHC!D118),KOHC!D118,NA())</f>
        <v>75.147743531578783</v>
      </c>
      <c r="V50" s="70">
        <f>IF(ISNUMBER(LUCK!D118),LUCK!D118,NA())</f>
        <v>95.709906676324849</v>
      </c>
      <c r="W50" s="70">
        <f>IF(ISNUMBER(DGKC!D118),DGKC!D118,NA())</f>
        <v>138.95483675010863</v>
      </c>
      <c r="X50" s="70">
        <f>IF(ISNUMBER(MLCF!D118),MLCF!D118,NA())</f>
        <v>143.11726813096334</v>
      </c>
      <c r="Y50" s="70">
        <f>IF(ISNUMBER(FCCL!D118),FCCL!D118,NA())</f>
        <v>101.57512558439446</v>
      </c>
      <c r="Z50" s="70">
        <f>'Industry Averages'!D61</f>
        <v>110.90097613467401</v>
      </c>
    </row>
    <row r="51" spans="1:26" ht="19.95" customHeight="1" x14ac:dyDescent="0.3">
      <c r="A51" s="69"/>
      <c r="B51" s="69"/>
      <c r="C51" s="69"/>
      <c r="D51" s="69"/>
      <c r="E51" s="69"/>
      <c r="F51" s="69"/>
      <c r="G51" s="69"/>
      <c r="H51" s="69"/>
      <c r="I51" s="69"/>
      <c r="J51" s="69"/>
      <c r="K51" s="69"/>
      <c r="L51" s="69"/>
      <c r="M51" s="69"/>
      <c r="N51" s="69"/>
      <c r="O51" s="69"/>
      <c r="P51" s="69"/>
      <c r="Q51" s="69"/>
      <c r="R51" s="69"/>
      <c r="S51" s="69"/>
      <c r="T51" t="s">
        <v>59</v>
      </c>
      <c r="U51" s="70">
        <f>IF(ISNUMBER(KOHC!E118),KOHC!E118,NA())</f>
        <v>77.972597591731756</v>
      </c>
      <c r="V51" s="70">
        <f>IF(ISNUMBER(LUCK!E118),LUCK!E118,NA())</f>
        <v>99.788581457615734</v>
      </c>
      <c r="W51" s="70">
        <f>IF(ISNUMBER(DGKC!E118),DGKC!E118,NA())</f>
        <v>147.19158951872677</v>
      </c>
      <c r="X51" s="70">
        <f>IF(ISNUMBER(MLCF!E118),MLCF!E118,NA())</f>
        <v>138.1590454196257</v>
      </c>
      <c r="Y51" s="70">
        <f>IF(ISNUMBER(FCCL!E118),FCCL!E118,NA())</f>
        <v>99.189403784088</v>
      </c>
      <c r="Z51" s="70">
        <f>'Industry Averages'!E61</f>
        <v>112.46024355435759</v>
      </c>
    </row>
    <row r="52" spans="1:26" ht="19.95" customHeight="1" x14ac:dyDescent="0.3">
      <c r="A52" s="97" t="s">
        <v>285</v>
      </c>
      <c r="B52" s="97"/>
      <c r="C52" s="97"/>
      <c r="D52" s="97"/>
      <c r="E52" s="97"/>
      <c r="F52" s="97"/>
      <c r="G52" s="97"/>
      <c r="H52" s="97"/>
      <c r="I52" s="97"/>
      <c r="J52" s="97"/>
      <c r="K52" s="97"/>
      <c r="L52" s="97"/>
      <c r="M52" s="97"/>
      <c r="N52" s="97"/>
      <c r="O52" s="97"/>
      <c r="P52" s="97"/>
      <c r="Q52" s="97"/>
      <c r="R52" s="97"/>
      <c r="S52" s="97"/>
      <c r="T52" t="s">
        <v>60</v>
      </c>
      <c r="U52" s="70">
        <f>IF(ISNUMBER(KOHC!F118),KOHC!F118,NA())</f>
        <v>85.372545387407953</v>
      </c>
      <c r="V52" s="70">
        <f>IF(ISNUMBER(LUCK!F118),LUCK!F118,NA())</f>
        <v>100.73184197970664</v>
      </c>
      <c r="W52" s="70">
        <f>IF(ISNUMBER(DGKC!F118),DGKC!F118,NA())</f>
        <v>149.87908057411946</v>
      </c>
      <c r="X52" s="70">
        <f>IF(ISNUMBER(MLCF!F118),MLCF!F118,NA())</f>
        <v>122.0064954583065</v>
      </c>
      <c r="Y52" s="70">
        <f>IF(ISNUMBER(FCCL!F118),FCCL!F118,NA())</f>
        <v>117.81056267061489</v>
      </c>
      <c r="Z52" s="70">
        <f>'Industry Averages'!F61</f>
        <v>115.16010521403109</v>
      </c>
    </row>
    <row r="53" spans="1:26" ht="19.95" customHeight="1" x14ac:dyDescent="0.3">
      <c r="A53" s="69"/>
      <c r="B53" s="69"/>
      <c r="C53" s="69"/>
      <c r="D53" s="69"/>
      <c r="E53" s="69"/>
      <c r="F53" s="69"/>
      <c r="G53" s="69"/>
      <c r="H53" s="69"/>
      <c r="I53" s="69"/>
      <c r="J53" s="69"/>
      <c r="K53" s="69"/>
      <c r="L53" s="69"/>
      <c r="M53" s="69"/>
      <c r="N53" s="69"/>
      <c r="O53" s="69"/>
      <c r="P53" s="69"/>
      <c r="Q53" s="69"/>
      <c r="R53" s="69"/>
      <c r="S53" s="69"/>
      <c r="T53" t="s">
        <v>61</v>
      </c>
      <c r="U53" s="70">
        <f>IF(ISNUMBER(KOHC!G118),KOHC!G118,NA())</f>
        <v>101.50909357454404</v>
      </c>
      <c r="V53" s="70">
        <f>IF(ISNUMBER(LUCK!G118),LUCK!G118,NA())</f>
        <v>103.10239469568691</v>
      </c>
      <c r="W53" s="70">
        <f>IF(ISNUMBER(DGKC!G118),DGKC!G118,NA())</f>
        <v>141.29755545575051</v>
      </c>
      <c r="X53" s="70">
        <f>IF(ISNUMBER(MLCF!G118),MLCF!G118,NA())</f>
        <v>117.69043264844159</v>
      </c>
      <c r="Y53" s="70">
        <f>IF(ISNUMBER(FCCL!G118),FCCL!G118,NA())</f>
        <v>106.51412548353994</v>
      </c>
      <c r="Z53" s="70">
        <f>'Industry Averages'!G61</f>
        <v>114.0227203715926</v>
      </c>
    </row>
    <row r="54" spans="1:26" ht="19.95" customHeight="1" x14ac:dyDescent="0.3">
      <c r="A54" s="69"/>
      <c r="B54" s="69"/>
      <c r="C54" s="69"/>
      <c r="D54" s="69"/>
      <c r="E54" s="69"/>
      <c r="F54" s="69"/>
      <c r="G54" s="69"/>
      <c r="H54" s="69"/>
      <c r="I54" s="69"/>
      <c r="J54" s="69"/>
      <c r="K54" s="69"/>
      <c r="L54" s="69"/>
      <c r="M54" s="69"/>
      <c r="N54" s="69"/>
      <c r="O54" s="69"/>
      <c r="P54" s="69"/>
      <c r="Q54" s="69"/>
      <c r="R54" s="69"/>
      <c r="S54" s="69"/>
      <c r="T54" t="s">
        <v>62</v>
      </c>
      <c r="U54" s="70">
        <f>IF(ISNUMBER(KOHC!H118),KOHC!H118,NA())</f>
        <v>120.66591878345184</v>
      </c>
      <c r="V54" s="70">
        <f>IF(ISNUMBER(LUCK!H118),LUCK!H118,NA())</f>
        <v>106.53528435458882</v>
      </c>
      <c r="W54" s="70">
        <f>IF(ISNUMBER(DGKC!H118),DGKC!H118,NA())</f>
        <v>139.29464124392746</v>
      </c>
      <c r="X54" s="70">
        <f>IF(ISNUMBER(MLCF!H118),MLCF!H118,NA())</f>
        <v>130.98525045452405</v>
      </c>
      <c r="Y54" s="70">
        <f>IF(ISNUMBER(FCCL!H118),FCCL!H118,NA())</f>
        <v>115.47406099903009</v>
      </c>
      <c r="Z54" s="70">
        <f>'Industry Averages'!H61</f>
        <v>122.59103116710443</v>
      </c>
    </row>
    <row r="55" spans="1:26" ht="19.95" customHeight="1" x14ac:dyDescent="0.3">
      <c r="A55" s="69"/>
      <c r="B55" s="69"/>
      <c r="C55" s="69"/>
      <c r="D55" s="69"/>
      <c r="E55" s="69"/>
      <c r="F55" s="69"/>
      <c r="G55" s="69"/>
      <c r="H55" s="69"/>
      <c r="I55" s="69"/>
      <c r="J55" s="69"/>
      <c r="K55" s="69"/>
      <c r="L55" s="69"/>
      <c r="M55" s="69"/>
      <c r="N55" s="69"/>
      <c r="O55" s="69"/>
      <c r="P55" s="69"/>
      <c r="Q55" s="69"/>
      <c r="R55" s="69"/>
      <c r="S55" s="69"/>
    </row>
    <row r="56" spans="1:26" ht="19.95" customHeight="1" x14ac:dyDescent="0.3">
      <c r="A56" s="69"/>
      <c r="B56" s="69"/>
      <c r="C56" s="69"/>
      <c r="D56" s="69"/>
      <c r="E56" s="69"/>
      <c r="F56" s="69"/>
      <c r="G56" s="69"/>
      <c r="H56" s="69"/>
      <c r="I56" s="69"/>
      <c r="J56" s="69"/>
      <c r="K56" s="69"/>
      <c r="L56" s="69"/>
      <c r="M56" s="69"/>
      <c r="N56" s="69"/>
      <c r="O56" s="69"/>
      <c r="P56" s="69"/>
      <c r="Q56" s="69"/>
      <c r="R56" s="69"/>
      <c r="S56" s="69"/>
    </row>
    <row r="57" spans="1:26" ht="19.95" customHeight="1" x14ac:dyDescent="0.3">
      <c r="A57" s="69"/>
      <c r="B57" s="69"/>
      <c r="C57" s="69"/>
      <c r="D57" s="69"/>
      <c r="E57" s="69"/>
      <c r="F57" s="69"/>
      <c r="G57" s="69"/>
      <c r="H57" s="69"/>
      <c r="I57" s="69"/>
      <c r="J57" s="69"/>
      <c r="K57" s="69"/>
      <c r="L57" s="69"/>
      <c r="M57" s="69"/>
      <c r="N57" s="69"/>
      <c r="O57" s="69"/>
      <c r="P57" s="69"/>
      <c r="Q57" s="69"/>
      <c r="R57" s="69"/>
      <c r="S57" s="69"/>
      <c r="T57" t="s">
        <v>279</v>
      </c>
      <c r="U57" t="s">
        <v>13</v>
      </c>
      <c r="V57" t="s">
        <v>17</v>
      </c>
      <c r="W57" t="s">
        <v>21</v>
      </c>
      <c r="X57" t="s">
        <v>25</v>
      </c>
      <c r="Y57" t="s">
        <v>29</v>
      </c>
      <c r="Z57" t="s">
        <v>280</v>
      </c>
    </row>
    <row r="58" spans="1:26" ht="19.95" customHeight="1" x14ac:dyDescent="0.3">
      <c r="A58" s="69"/>
      <c r="B58" s="69"/>
      <c r="C58" s="69"/>
      <c r="D58" s="69"/>
      <c r="E58" s="69"/>
      <c r="F58" s="69"/>
      <c r="G58" s="69"/>
      <c r="H58" s="69"/>
      <c r="I58" s="69"/>
      <c r="J58" s="69"/>
      <c r="K58" s="69"/>
      <c r="L58" s="69"/>
      <c r="M58" s="69"/>
      <c r="N58" s="69"/>
      <c r="O58" s="69"/>
      <c r="P58" s="69"/>
      <c r="Q58" s="69"/>
      <c r="R58" s="69"/>
      <c r="S58" s="69"/>
      <c r="T58" t="s">
        <v>58</v>
      </c>
      <c r="U58" s="70">
        <f>IF(ISNUMBER(KOHC!D119),KOHC!D119,NA())</f>
        <v>11.211269503464973</v>
      </c>
      <c r="V58" s="70">
        <f>IF(ISNUMBER(LUCK!D119),LUCK!D119,NA())</f>
        <v>17.782498333156049</v>
      </c>
      <c r="W58" s="70">
        <f>IF(ISNUMBER(DGKC!D119),DGKC!D119,NA())</f>
        <v>16.031081230273596</v>
      </c>
      <c r="X58" s="70">
        <f>IF(ISNUMBER(MLCF!D119),MLCF!D119,NA())</f>
        <v>24.299408826550263</v>
      </c>
      <c r="Y58" s="70">
        <f>IF(ISNUMBER(FCCL!D119),FCCL!D119,NA())</f>
        <v>18.799738044359827</v>
      </c>
      <c r="Z58" s="70">
        <f>'Industry Averages'!D69</f>
        <v>17.624799187560942</v>
      </c>
    </row>
    <row r="59" spans="1:26" ht="19.95" customHeight="1" x14ac:dyDescent="0.3">
      <c r="A59" s="69"/>
      <c r="B59" s="69"/>
      <c r="C59" s="69"/>
      <c r="D59" s="69"/>
      <c r="E59" s="69"/>
      <c r="F59" s="69"/>
      <c r="G59" s="69"/>
      <c r="H59" s="69"/>
      <c r="I59" s="69"/>
      <c r="J59" s="69"/>
      <c r="K59" s="69"/>
      <c r="L59" s="69"/>
      <c r="M59" s="69"/>
      <c r="N59" s="69"/>
      <c r="O59" s="69"/>
      <c r="P59" s="69"/>
      <c r="Q59" s="69"/>
      <c r="R59" s="69"/>
      <c r="S59" s="69"/>
      <c r="T59" t="s">
        <v>59</v>
      </c>
      <c r="U59" s="70">
        <f>IF(ISNUMBER(KOHC!E119),KOHC!E119,NA())</f>
        <v>10.544725482358297</v>
      </c>
      <c r="V59" s="70">
        <f>IF(ISNUMBER(LUCK!E119),LUCK!E119,NA())</f>
        <v>14.027318333985361</v>
      </c>
      <c r="W59" s="70">
        <f>IF(ISNUMBER(DGKC!E119),DGKC!E119,NA())</f>
        <v>9.8856192169704489</v>
      </c>
      <c r="X59" s="70">
        <f>IF(ISNUMBER(MLCF!E119),MLCF!E119,NA())</f>
        <v>14.089756717395696</v>
      </c>
      <c r="Y59" s="70">
        <f>IF(ISNUMBER(FCCL!E119),FCCL!E119,NA())</f>
        <v>12.994834386179642</v>
      </c>
      <c r="Z59" s="70">
        <f>'Industry Averages'!E69</f>
        <v>12.308450827377888</v>
      </c>
    </row>
    <row r="60" spans="1:26" ht="19.95" customHeight="1" x14ac:dyDescent="0.3">
      <c r="A60" s="69"/>
      <c r="B60" s="69"/>
      <c r="C60" s="69"/>
      <c r="D60" s="69"/>
      <c r="E60" s="69"/>
      <c r="F60" s="69"/>
      <c r="G60" s="69"/>
      <c r="H60" s="69"/>
      <c r="I60" s="69"/>
      <c r="J60" s="69"/>
      <c r="K60" s="69"/>
      <c r="L60" s="69"/>
      <c r="M60" s="69"/>
      <c r="N60" s="69"/>
      <c r="O60" s="69"/>
      <c r="P60" s="69"/>
      <c r="Q60" s="69"/>
      <c r="R60" s="69"/>
      <c r="S60" s="69"/>
      <c r="T60" t="s">
        <v>60</v>
      </c>
      <c r="U60" s="70">
        <f>IF(ISNUMBER(KOHC!F119),KOHC!F119,NA())</f>
        <v>9.9479554378487851</v>
      </c>
      <c r="V60" s="70">
        <f>IF(ISNUMBER(LUCK!F119),LUCK!F119,NA())</f>
        <v>16.401585315624828</v>
      </c>
      <c r="W60" s="70">
        <f>IF(ISNUMBER(DGKC!F119),DGKC!F119,NA())</f>
        <v>7.4739774843341396</v>
      </c>
      <c r="X60" s="70">
        <f>IF(ISNUMBER(MLCF!F119),MLCF!F119,NA())</f>
        <v>13.72146433573479</v>
      </c>
      <c r="Y60" s="70">
        <f>IF(ISNUMBER(FCCL!F119),FCCL!F119,NA())</f>
        <v>16.046879229606091</v>
      </c>
      <c r="Z60" s="70">
        <f>'Industry Averages'!F69</f>
        <v>12.718372360629726</v>
      </c>
    </row>
    <row r="61" spans="1:26" ht="19.95" customHeight="1" x14ac:dyDescent="0.3">
      <c r="A61" s="69"/>
      <c r="B61" s="69"/>
      <c r="C61" s="69"/>
      <c r="D61" s="69"/>
      <c r="E61" s="69"/>
      <c r="F61" s="69"/>
      <c r="G61" s="69"/>
      <c r="H61" s="69"/>
      <c r="I61" s="69"/>
      <c r="J61" s="69"/>
      <c r="K61" s="69"/>
      <c r="L61" s="69"/>
      <c r="M61" s="69"/>
      <c r="N61" s="69"/>
      <c r="O61" s="69"/>
      <c r="P61" s="69"/>
      <c r="Q61" s="69"/>
      <c r="R61" s="69"/>
      <c r="S61" s="69"/>
      <c r="T61" t="s">
        <v>61</v>
      </c>
      <c r="U61" s="70">
        <f>IF(ISNUMBER(KOHC!G119),KOHC!G119,NA())</f>
        <v>15.657663166755571</v>
      </c>
      <c r="V61" s="70">
        <f>IF(ISNUMBER(LUCK!G119),LUCK!G119,NA())</f>
        <v>19.024866667611246</v>
      </c>
      <c r="W61" s="70">
        <f>IF(ISNUMBER(DGKC!G119),DGKC!G119,NA())</f>
        <v>5.6629790909386459</v>
      </c>
      <c r="X61" s="70">
        <f>IF(ISNUMBER(MLCF!G119),MLCF!G119,NA())</f>
        <v>18.646831335440545</v>
      </c>
      <c r="Y61" s="70">
        <f>IF(ISNUMBER(FCCL!G119),FCCL!G119,NA())</f>
        <v>20.792904753499183</v>
      </c>
      <c r="Z61" s="70">
        <f>'Industry Averages'!G69</f>
        <v>15.957049002849038</v>
      </c>
    </row>
    <row r="62" spans="1:26" ht="19.95" customHeight="1" x14ac:dyDescent="0.3">
      <c r="A62" s="69"/>
      <c r="B62" s="69"/>
      <c r="C62" s="69"/>
      <c r="D62" s="69"/>
      <c r="E62" s="69"/>
      <c r="F62" s="69"/>
      <c r="G62" s="69"/>
      <c r="H62" s="69"/>
      <c r="I62" s="69"/>
      <c r="J62" s="69"/>
      <c r="K62" s="69"/>
      <c r="L62" s="69"/>
      <c r="M62" s="69"/>
      <c r="N62" s="69"/>
      <c r="O62" s="69"/>
      <c r="P62" s="69"/>
      <c r="Q62" s="69"/>
      <c r="R62" s="69"/>
      <c r="S62" s="69"/>
      <c r="T62" t="s">
        <v>62</v>
      </c>
      <c r="U62" s="70">
        <f>IF(ISNUMBER(KOHC!H119),KOHC!H119,NA())</f>
        <v>18.487732733839078</v>
      </c>
      <c r="V62" s="70">
        <f>IF(ISNUMBER(LUCK!H119),LUCK!H119,NA())</f>
        <v>19.473145621508603</v>
      </c>
      <c r="W62" s="70">
        <f>IF(ISNUMBER(DGKC!H119),DGKC!H119,NA())</f>
        <v>5.9624857341490083</v>
      </c>
      <c r="X62" s="70">
        <f>IF(ISNUMBER(MLCF!H119),MLCF!H119,NA())</f>
        <v>23.291952500495849</v>
      </c>
      <c r="Y62" s="70">
        <f>IF(ISNUMBER(FCCL!H119),FCCL!H119,NA())</f>
        <v>25.555492212987932</v>
      </c>
      <c r="Z62" s="70">
        <f>'Industry Averages'!H69</f>
        <v>18.554161760596095</v>
      </c>
    </row>
    <row r="63" spans="1:26" ht="19.95" customHeight="1" x14ac:dyDescent="0.3">
      <c r="A63" s="69"/>
      <c r="B63" s="69"/>
      <c r="C63" s="69"/>
      <c r="D63" s="69"/>
      <c r="E63" s="69"/>
      <c r="F63" s="69"/>
      <c r="G63" s="69"/>
      <c r="H63" s="69"/>
      <c r="I63" s="69"/>
      <c r="J63" s="69"/>
      <c r="K63" s="69"/>
      <c r="L63" s="69"/>
      <c r="M63" s="69"/>
      <c r="N63" s="69"/>
      <c r="O63" s="69"/>
      <c r="P63" s="69"/>
      <c r="Q63" s="69"/>
      <c r="R63" s="69"/>
      <c r="S63" s="69"/>
    </row>
    <row r="64" spans="1:26" ht="19.95" customHeight="1" x14ac:dyDescent="0.3">
      <c r="A64" s="69"/>
      <c r="B64" s="69"/>
      <c r="C64" s="69"/>
      <c r="D64" s="69"/>
      <c r="E64" s="69"/>
      <c r="F64" s="69"/>
      <c r="G64" s="69"/>
      <c r="H64" s="69"/>
      <c r="I64" s="69"/>
      <c r="J64" s="69"/>
      <c r="K64" s="69"/>
      <c r="L64" s="69"/>
      <c r="M64" s="69"/>
      <c r="N64" s="69"/>
      <c r="O64" s="69"/>
      <c r="P64" s="69"/>
      <c r="Q64" s="69"/>
      <c r="R64" s="69"/>
      <c r="S64" s="69"/>
    </row>
    <row r="65" spans="1:26" ht="19.95" customHeight="1" x14ac:dyDescent="0.3">
      <c r="A65" s="69"/>
      <c r="B65" s="69"/>
      <c r="C65" s="69"/>
      <c r="D65" s="69"/>
      <c r="E65" s="69"/>
      <c r="F65" s="69"/>
      <c r="G65" s="69"/>
      <c r="H65" s="69"/>
      <c r="I65" s="69"/>
      <c r="J65" s="69"/>
      <c r="K65" s="69"/>
      <c r="L65" s="69"/>
      <c r="M65" s="69"/>
      <c r="N65" s="69"/>
      <c r="O65" s="69"/>
      <c r="P65" s="69"/>
      <c r="Q65" s="69"/>
      <c r="R65" s="69"/>
      <c r="S65" s="69"/>
      <c r="T65" t="s">
        <v>279</v>
      </c>
      <c r="U65" t="s">
        <v>13</v>
      </c>
      <c r="V65" t="s">
        <v>17</v>
      </c>
      <c r="W65" t="s">
        <v>21</v>
      </c>
      <c r="X65" t="s">
        <v>25</v>
      </c>
      <c r="Y65" t="s">
        <v>29</v>
      </c>
      <c r="Z65" t="s">
        <v>280</v>
      </c>
    </row>
    <row r="66" spans="1:26" ht="19.95" customHeight="1" x14ac:dyDescent="0.3">
      <c r="A66" s="69"/>
      <c r="B66" s="69"/>
      <c r="C66" s="69"/>
      <c r="D66" s="69"/>
      <c r="E66" s="69"/>
      <c r="F66" s="69"/>
      <c r="G66" s="69"/>
      <c r="H66" s="69"/>
      <c r="I66" s="69"/>
      <c r="J66" s="69"/>
      <c r="K66" s="69"/>
      <c r="L66" s="69"/>
      <c r="M66" s="69"/>
      <c r="N66" s="69"/>
      <c r="O66" s="69"/>
      <c r="P66" s="69"/>
      <c r="Q66" s="69"/>
      <c r="R66" s="69"/>
      <c r="S66" s="69"/>
      <c r="T66" t="s">
        <v>58</v>
      </c>
      <c r="U66" s="70">
        <f>IF(ISNUMBER(KOHC!D120),KOHC!D120,NA())</f>
        <v>1.0921496738296084</v>
      </c>
      <c r="V66" s="70">
        <f>IF(ISNUMBER(LUCK!D120),LUCK!D120,NA())</f>
        <v>1.0088292750112451</v>
      </c>
      <c r="W66" s="70">
        <f>IF(ISNUMBER(DGKC!D120),DGKC!D120,NA())</f>
        <v>0.53055318948132613</v>
      </c>
      <c r="X66" s="70">
        <f>IF(ISNUMBER(MLCF!D120),MLCF!D120,NA())</f>
        <v>0.8037513915639477</v>
      </c>
      <c r="Y66" s="70">
        <f>IF(ISNUMBER(FCCL!D120),FCCL!D120,NA())</f>
        <v>1.1329960510619466</v>
      </c>
      <c r="Z66" s="70">
        <f>'Industry Averages'!D77</f>
        <v>0.91365591618961484</v>
      </c>
    </row>
    <row r="67" spans="1:26" ht="19.95" customHeight="1" x14ac:dyDescent="0.3">
      <c r="A67" s="69"/>
      <c r="B67" s="69"/>
      <c r="C67" s="69"/>
      <c r="D67" s="69"/>
      <c r="E67" s="69"/>
      <c r="F67" s="69"/>
      <c r="G67" s="69"/>
      <c r="H67" s="69"/>
      <c r="I67" s="69"/>
      <c r="J67" s="69"/>
      <c r="K67" s="69"/>
      <c r="L67" s="69"/>
      <c r="M67" s="69"/>
      <c r="N67" s="69"/>
      <c r="O67" s="69"/>
      <c r="P67" s="69"/>
      <c r="Q67" s="69"/>
      <c r="R67" s="69"/>
      <c r="S67" s="69"/>
      <c r="T67" t="s">
        <v>59</v>
      </c>
      <c r="U67" s="70">
        <f>IF(ISNUMBER(KOHC!E120),KOHC!E120,NA())</f>
        <v>1.5412541563844033</v>
      </c>
      <c r="V67" s="70">
        <f>IF(ISNUMBER(LUCK!E120),LUCK!E120,NA())</f>
        <v>0.98532795146598973</v>
      </c>
      <c r="W67" s="70">
        <f>IF(ISNUMBER(DGKC!E120),DGKC!E120,NA())</f>
        <v>0.70098015962057802</v>
      </c>
      <c r="X67" s="70">
        <f>IF(ISNUMBER(MLCF!E120),MLCF!E120,NA())</f>
        <v>0.85444675022417971</v>
      </c>
      <c r="Y67" s="70">
        <f>IF(ISNUMBER(FCCL!E120),FCCL!E120,NA())</f>
        <v>0.73176601318978285</v>
      </c>
      <c r="Z67" s="70">
        <f>'Industry Averages'!E77</f>
        <v>0.96275500617698673</v>
      </c>
    </row>
    <row r="68" spans="1:26" ht="19.95" customHeight="1" x14ac:dyDescent="0.3">
      <c r="A68" s="69"/>
      <c r="B68" s="69"/>
      <c r="C68" s="69"/>
      <c r="D68" s="69"/>
      <c r="E68" s="69"/>
      <c r="F68" s="69"/>
      <c r="G68" s="69"/>
      <c r="H68" s="69"/>
      <c r="I68" s="69"/>
      <c r="J68" s="69"/>
      <c r="K68" s="69"/>
      <c r="L68" s="69"/>
      <c r="M68" s="69"/>
      <c r="N68" s="69"/>
      <c r="O68" s="69"/>
      <c r="P68" s="69"/>
      <c r="Q68" s="69"/>
      <c r="R68" s="69"/>
      <c r="S68" s="69"/>
      <c r="T68" t="s">
        <v>60</v>
      </c>
      <c r="U68" s="70">
        <f>IF(ISNUMBER(KOHC!F120),KOHC!F120,NA())</f>
        <v>1.7509053329621809</v>
      </c>
      <c r="V68" s="70">
        <f>IF(ISNUMBER(LUCK!F120),LUCK!F120,NA())</f>
        <v>1.0022154394695202</v>
      </c>
      <c r="W68" s="70">
        <f>IF(ISNUMBER(DGKC!F120),DGKC!F120,NA())</f>
        <v>0.79011863849334296</v>
      </c>
      <c r="X68" s="70">
        <f>IF(ISNUMBER(MLCF!F120),MLCF!F120,NA())</f>
        <v>0.99551999428815263</v>
      </c>
      <c r="Y68" s="70">
        <f>IF(ISNUMBER(FCCL!F120),FCCL!F120,NA())</f>
        <v>0.65184739301529204</v>
      </c>
      <c r="Z68" s="70">
        <f>'Industry Averages'!F77</f>
        <v>1.038121359645698</v>
      </c>
    </row>
    <row r="69" spans="1:26" ht="19.95" customHeight="1" x14ac:dyDescent="0.3">
      <c r="A69" s="69"/>
      <c r="B69" s="69"/>
      <c r="C69" s="69"/>
      <c r="D69" s="69"/>
      <c r="E69" s="69"/>
      <c r="F69" s="69"/>
      <c r="G69" s="69"/>
      <c r="H69" s="69"/>
      <c r="I69" s="69"/>
      <c r="J69" s="69"/>
      <c r="K69" s="69"/>
      <c r="L69" s="69"/>
      <c r="M69" s="69"/>
      <c r="N69" s="69"/>
      <c r="O69" s="69"/>
      <c r="P69" s="69"/>
      <c r="Q69" s="69"/>
      <c r="R69" s="69"/>
      <c r="S69" s="69"/>
      <c r="T69" t="s">
        <v>61</v>
      </c>
      <c r="U69" s="70">
        <f>IF(ISNUMBER(KOHC!G120),KOHC!G120,NA())</f>
        <v>1.7442972870565909</v>
      </c>
      <c r="V69" s="70">
        <f>IF(ISNUMBER(LUCK!G120),LUCK!G120,NA())</f>
        <v>1.0752008785316265</v>
      </c>
      <c r="W69" s="70">
        <f>IF(ISNUMBER(DGKC!G120),DGKC!G120,NA())</f>
        <v>0.82674606407416695</v>
      </c>
      <c r="X69" s="70">
        <f>IF(ISNUMBER(MLCF!G120),MLCF!G120,NA())</f>
        <v>1.0069209161495893</v>
      </c>
      <c r="Y69" s="70">
        <f>IF(ISNUMBER(FCCL!G120),FCCL!G120,NA())</f>
        <v>0.72196082222901214</v>
      </c>
      <c r="Z69" s="70">
        <f>'Industry Averages'!G77</f>
        <v>1.0750251936081971</v>
      </c>
    </row>
    <row r="70" spans="1:26" ht="19.95" customHeight="1" x14ac:dyDescent="0.3">
      <c r="A70" s="69"/>
      <c r="B70" s="69"/>
      <c r="C70" s="69"/>
      <c r="D70" s="69"/>
      <c r="E70" s="69"/>
      <c r="F70" s="69"/>
      <c r="G70" s="69"/>
      <c r="H70" s="69"/>
      <c r="I70" s="69"/>
      <c r="J70" s="69"/>
      <c r="K70" s="69"/>
      <c r="L70" s="69"/>
      <c r="M70" s="69"/>
      <c r="N70" s="69"/>
      <c r="O70" s="69"/>
      <c r="P70" s="69"/>
      <c r="Q70" s="69"/>
      <c r="R70" s="69"/>
      <c r="S70" s="69"/>
      <c r="T70" t="s">
        <v>62</v>
      </c>
      <c r="U70" s="70">
        <f>IF(ISNUMBER(KOHC!H120),KOHC!H120,NA())</f>
        <v>1.606837829232711</v>
      </c>
      <c r="V70" s="70">
        <f>IF(ISNUMBER(LUCK!H120),LUCK!H120,NA())</f>
        <v>1.1592237370838812</v>
      </c>
      <c r="W70" s="70">
        <f>IF(ISNUMBER(DGKC!H120),DGKC!H120,NA())</f>
        <v>0.93062078370763102</v>
      </c>
      <c r="X70" s="70">
        <f>IF(ISNUMBER(MLCF!H120),MLCF!H120,NA())</f>
        <v>1.0971769908727151</v>
      </c>
      <c r="Y70" s="70">
        <f>IF(ISNUMBER(FCCL!H120),FCCL!H120,NA())</f>
        <v>0.81180021491144161</v>
      </c>
      <c r="Z70" s="70">
        <f>'Industry Averages'!H77</f>
        <v>1.121131911161676</v>
      </c>
    </row>
    <row r="71" spans="1:26" ht="19.95" customHeight="1" x14ac:dyDescent="0.3">
      <c r="A71" s="69"/>
      <c r="B71" s="69"/>
      <c r="C71" s="69"/>
      <c r="D71" s="69"/>
      <c r="E71" s="69"/>
      <c r="F71" s="69"/>
      <c r="G71" s="69"/>
      <c r="H71" s="69"/>
      <c r="I71" s="69"/>
      <c r="J71" s="69"/>
      <c r="K71" s="69"/>
      <c r="L71" s="69"/>
      <c r="M71" s="69"/>
      <c r="N71" s="69"/>
      <c r="O71" s="69"/>
      <c r="P71" s="69"/>
      <c r="Q71" s="69"/>
      <c r="R71" s="69"/>
      <c r="S71" s="69"/>
    </row>
    <row r="72" spans="1:26" ht="19.95" customHeight="1" x14ac:dyDescent="0.3">
      <c r="A72" s="69"/>
      <c r="B72" s="69"/>
      <c r="C72" s="69"/>
      <c r="D72" s="69"/>
      <c r="E72" s="69"/>
      <c r="F72" s="69"/>
      <c r="G72" s="69"/>
      <c r="H72" s="69"/>
      <c r="I72" s="69"/>
      <c r="J72" s="69"/>
      <c r="K72" s="69"/>
      <c r="L72" s="69"/>
      <c r="M72" s="69"/>
      <c r="N72" s="69"/>
      <c r="O72" s="69"/>
      <c r="P72" s="69"/>
      <c r="Q72" s="69"/>
      <c r="R72" s="69"/>
      <c r="S72" s="69"/>
    </row>
    <row r="73" spans="1:26" ht="19.95" customHeight="1" x14ac:dyDescent="0.3">
      <c r="A73" s="69"/>
      <c r="B73" s="69"/>
      <c r="C73" s="69"/>
      <c r="D73" s="69"/>
      <c r="E73" s="69"/>
      <c r="F73" s="69"/>
      <c r="G73" s="69"/>
      <c r="H73" s="69"/>
      <c r="I73" s="69"/>
      <c r="J73" s="69"/>
      <c r="K73" s="69"/>
      <c r="L73" s="69"/>
      <c r="M73" s="69"/>
      <c r="N73" s="69"/>
      <c r="O73" s="69"/>
      <c r="P73" s="69"/>
      <c r="Q73" s="69"/>
      <c r="R73" s="69"/>
      <c r="S73" s="69"/>
      <c r="T73" t="s">
        <v>279</v>
      </c>
      <c r="U73" t="s">
        <v>13</v>
      </c>
      <c r="V73" t="s">
        <v>17</v>
      </c>
      <c r="W73" t="s">
        <v>21</v>
      </c>
      <c r="X73" t="s">
        <v>25</v>
      </c>
      <c r="Y73" t="s">
        <v>29</v>
      </c>
      <c r="Z73" t="s">
        <v>280</v>
      </c>
    </row>
    <row r="74" spans="1:26" ht="19.95" customHeight="1" x14ac:dyDescent="0.3">
      <c r="A74" s="69"/>
      <c r="B74" s="69"/>
      <c r="C74" s="69"/>
      <c r="D74" s="69"/>
      <c r="E74" s="69"/>
      <c r="F74" s="69"/>
      <c r="G74" s="69"/>
      <c r="H74" s="69"/>
      <c r="I74" s="69"/>
      <c r="J74" s="69"/>
      <c r="K74" s="69"/>
      <c r="L74" s="69"/>
      <c r="M74" s="69"/>
      <c r="N74" s="69"/>
      <c r="O74" s="69"/>
      <c r="P74" s="69"/>
      <c r="Q74" s="69"/>
      <c r="R74" s="69"/>
      <c r="S74" s="69"/>
      <c r="T74" t="s">
        <v>58</v>
      </c>
      <c r="U74" s="70">
        <f>IF(ISNUMBER(KOHC!D121),KOHC!D121,NA())</f>
        <v>0.66665082622797289</v>
      </c>
      <c r="V74" s="70">
        <f>IF(ISNUMBER(LUCK!D121),LUCK!D121,NA())</f>
        <v>0.40251701143421476</v>
      </c>
      <c r="W74" s="70">
        <f>IF(ISNUMBER(DGKC!D121),DGKC!D121,NA())</f>
        <v>0.32711693039218176</v>
      </c>
      <c r="X74" s="70">
        <f>IF(ISNUMBER(MLCF!D121),MLCF!D121,NA())</f>
        <v>0.53651401514370378</v>
      </c>
      <c r="Y74" s="70">
        <f>IF(ISNUMBER(FCCL!D121),FCCL!D121,NA())</f>
        <v>0.71276636764269574</v>
      </c>
      <c r="Z74" s="70">
        <f>'Industry Averages'!D85</f>
        <v>0.5291130301681537</v>
      </c>
    </row>
    <row r="75" spans="1:26" ht="19.95" customHeight="1" x14ac:dyDescent="0.3">
      <c r="A75" s="97" t="s">
        <v>286</v>
      </c>
      <c r="B75" s="97"/>
      <c r="C75" s="97"/>
      <c r="D75" s="97"/>
      <c r="E75" s="97"/>
      <c r="F75" s="97"/>
      <c r="G75" s="97"/>
      <c r="H75" s="97"/>
      <c r="I75" s="97"/>
      <c r="J75" s="97"/>
      <c r="K75" s="97"/>
      <c r="L75" s="97"/>
      <c r="M75" s="97"/>
      <c r="N75" s="97"/>
      <c r="O75" s="97"/>
      <c r="P75" s="97"/>
      <c r="Q75" s="97"/>
      <c r="R75" s="97"/>
      <c r="S75" s="97"/>
      <c r="T75" t="s">
        <v>59</v>
      </c>
      <c r="U75" s="70">
        <f>IF(ISNUMBER(KOHC!E121),KOHC!E121,NA())</f>
        <v>0.7583954484233022</v>
      </c>
      <c r="V75" s="70">
        <f>IF(ISNUMBER(LUCK!E121),LUCK!E121,NA())</f>
        <v>0.4384325626713429</v>
      </c>
      <c r="W75" s="70">
        <f>IF(ISNUMBER(DGKC!E121),DGKC!E121,NA())</f>
        <v>0.42503666813991675</v>
      </c>
      <c r="X75" s="70">
        <f>IF(ISNUMBER(MLCF!E121),MLCF!E121,NA())</f>
        <v>0.59016101960962719</v>
      </c>
      <c r="Y75" s="70">
        <f>IF(ISNUMBER(FCCL!E121),FCCL!E121,NA())</f>
        <v>0.4770803467502796</v>
      </c>
      <c r="Z75" s="70">
        <f>'Industry Averages'!E85</f>
        <v>0.53782120911889375</v>
      </c>
    </row>
    <row r="76" spans="1:26" ht="19.95" customHeight="1" x14ac:dyDescent="0.3">
      <c r="A76" s="69"/>
      <c r="B76" s="69"/>
      <c r="C76" s="69"/>
      <c r="D76" s="69"/>
      <c r="E76" s="69"/>
      <c r="F76" s="69"/>
      <c r="G76" s="69"/>
      <c r="H76" s="69"/>
      <c r="I76" s="69"/>
      <c r="J76" s="69"/>
      <c r="K76" s="69"/>
      <c r="L76" s="69"/>
      <c r="M76" s="69"/>
      <c r="N76" s="69"/>
      <c r="O76" s="69"/>
      <c r="P76" s="69"/>
      <c r="Q76" s="69"/>
      <c r="R76" s="69"/>
      <c r="S76" s="69"/>
      <c r="T76" t="s">
        <v>60</v>
      </c>
      <c r="U76" s="70">
        <f>IF(ISNUMBER(KOHC!F121),KOHC!F121,NA())</f>
        <v>0.78581821088962756</v>
      </c>
      <c r="V76" s="70">
        <f>IF(ISNUMBER(LUCK!F121),LUCK!F121,NA())</f>
        <v>0.44974923322711935</v>
      </c>
      <c r="W76" s="70">
        <f>IF(ISNUMBER(DGKC!F121),DGKC!F121,NA())</f>
        <v>0.4823862468647665</v>
      </c>
      <c r="X76" s="70">
        <f>IF(ISNUMBER(MLCF!F121),MLCF!F121,NA())</f>
        <v>0.69197238797008198</v>
      </c>
      <c r="Y76" s="70">
        <f>IF(ISNUMBER(FCCL!F121),FCCL!F121,NA())</f>
        <v>0.49031202866080159</v>
      </c>
      <c r="Z76" s="70">
        <f>'Industry Averages'!F85</f>
        <v>0.58004762152247946</v>
      </c>
    </row>
    <row r="77" spans="1:26" ht="19.95" customHeight="1" x14ac:dyDescent="0.3">
      <c r="A77" s="69"/>
      <c r="B77" s="69"/>
      <c r="C77" s="69"/>
      <c r="D77" s="69"/>
      <c r="E77" s="69"/>
      <c r="F77" s="69"/>
      <c r="G77" s="69"/>
      <c r="H77" s="69"/>
      <c r="I77" s="69"/>
      <c r="J77" s="69"/>
      <c r="K77" s="69"/>
      <c r="L77" s="69"/>
      <c r="M77" s="69"/>
      <c r="N77" s="69"/>
      <c r="O77" s="69"/>
      <c r="P77" s="69"/>
      <c r="Q77" s="69"/>
      <c r="R77" s="69"/>
      <c r="S77" s="69"/>
      <c r="T77" t="s">
        <v>61</v>
      </c>
      <c r="U77" s="70">
        <f>IF(ISNUMBER(KOHC!G121),KOHC!G121,NA())</f>
        <v>0.65679136157504614</v>
      </c>
      <c r="V77" s="70">
        <f>IF(ISNUMBER(LUCK!G121),LUCK!G121,NA())</f>
        <v>0.49280353497458251</v>
      </c>
      <c r="W77" s="70">
        <f>IF(ISNUMBER(DGKC!G121),DGKC!G121,NA())</f>
        <v>0.47720727814222835</v>
      </c>
      <c r="X77" s="70">
        <f>IF(ISNUMBER(MLCF!G121),MLCF!G121,NA())</f>
        <v>0.66876558045462819</v>
      </c>
      <c r="Y77" s="70">
        <f>IF(ISNUMBER(FCCL!G121),FCCL!G121,NA())</f>
        <v>0.54204979765850125</v>
      </c>
      <c r="Z77" s="70">
        <f>'Industry Averages'!G85</f>
        <v>0.56752351056099726</v>
      </c>
    </row>
    <row r="78" spans="1:26" ht="19.95" customHeight="1" x14ac:dyDescent="0.3">
      <c r="A78" s="69"/>
      <c r="B78" s="69"/>
      <c r="C78" s="69"/>
      <c r="D78" s="69"/>
      <c r="E78" s="69"/>
      <c r="F78" s="69"/>
      <c r="G78" s="69"/>
      <c r="H78" s="69"/>
      <c r="I78" s="69"/>
      <c r="J78" s="69"/>
      <c r="K78" s="69"/>
      <c r="L78" s="69"/>
      <c r="M78" s="69"/>
      <c r="N78" s="69"/>
      <c r="O78" s="69"/>
      <c r="P78" s="69"/>
      <c r="Q78" s="69"/>
      <c r="R78" s="69"/>
      <c r="S78" s="69"/>
      <c r="T78" t="s">
        <v>62</v>
      </c>
      <c r="U78" s="70">
        <f>IF(ISNUMBER(KOHC!H121),KOHC!H121,NA())</f>
        <v>0.56195953485342598</v>
      </c>
      <c r="V78" s="70">
        <f>IF(ISNUMBER(LUCK!H121),LUCK!H121,NA())</f>
        <v>0.46677662061834158</v>
      </c>
      <c r="W78" s="70">
        <f>IF(ISNUMBER(DGKC!H121),DGKC!H121,NA())</f>
        <v>0.49267235836459933</v>
      </c>
      <c r="X78" s="70">
        <f>IF(ISNUMBER(MLCF!H121),MLCF!H121,NA())</f>
        <v>0.57883136984449801</v>
      </c>
      <c r="Y78" s="70">
        <f>IF(ISNUMBER(FCCL!H121),FCCL!H121,NA())</f>
        <v>0.55305556508680442</v>
      </c>
      <c r="Z78" s="70">
        <f>'Industry Averages'!H85</f>
        <v>0.53065908975353382</v>
      </c>
    </row>
    <row r="79" spans="1:26" ht="19.95" customHeight="1" x14ac:dyDescent="0.3">
      <c r="A79" s="69"/>
      <c r="B79" s="69"/>
      <c r="C79" s="69"/>
      <c r="D79" s="69"/>
      <c r="E79" s="69"/>
      <c r="F79" s="69"/>
      <c r="G79" s="69"/>
      <c r="H79" s="69"/>
      <c r="I79" s="69"/>
      <c r="J79" s="69"/>
      <c r="K79" s="69"/>
      <c r="L79" s="69"/>
      <c r="M79" s="69"/>
      <c r="N79" s="69"/>
      <c r="O79" s="69"/>
      <c r="P79" s="69"/>
      <c r="Q79" s="69"/>
      <c r="R79" s="69"/>
      <c r="S79" s="69"/>
    </row>
    <row r="80" spans="1:26" ht="19.95" customHeight="1" x14ac:dyDescent="0.3">
      <c r="A80" s="69"/>
      <c r="B80" s="69"/>
      <c r="C80" s="69"/>
      <c r="D80" s="69"/>
      <c r="E80" s="69"/>
      <c r="F80" s="69"/>
      <c r="G80" s="69"/>
      <c r="H80" s="69"/>
      <c r="I80" s="69"/>
      <c r="J80" s="69"/>
      <c r="K80" s="69"/>
      <c r="L80" s="69"/>
      <c r="M80" s="69"/>
      <c r="N80" s="69"/>
      <c r="O80" s="69"/>
      <c r="P80" s="69"/>
      <c r="Q80" s="69"/>
      <c r="R80" s="69"/>
      <c r="S80" s="69"/>
    </row>
    <row r="81" spans="1:26" ht="19.95" customHeight="1" x14ac:dyDescent="0.3">
      <c r="A81" s="69"/>
      <c r="B81" s="69"/>
      <c r="C81" s="69"/>
      <c r="D81" s="69"/>
      <c r="E81" s="69"/>
      <c r="F81" s="69"/>
      <c r="G81" s="69"/>
      <c r="H81" s="69"/>
      <c r="I81" s="69"/>
      <c r="J81" s="69"/>
      <c r="K81" s="69"/>
      <c r="L81" s="69"/>
      <c r="M81" s="69"/>
      <c r="N81" s="69"/>
      <c r="O81" s="69"/>
      <c r="P81" s="69"/>
      <c r="Q81" s="69"/>
      <c r="R81" s="69"/>
      <c r="S81" s="69"/>
      <c r="T81" t="s">
        <v>279</v>
      </c>
      <c r="U81" t="s">
        <v>13</v>
      </c>
      <c r="V81" t="s">
        <v>17</v>
      </c>
      <c r="W81" t="s">
        <v>21</v>
      </c>
      <c r="X81" t="s">
        <v>25</v>
      </c>
      <c r="Y81" t="s">
        <v>29</v>
      </c>
      <c r="Z81" t="s">
        <v>280</v>
      </c>
    </row>
    <row r="82" spans="1:26" ht="19.95" customHeight="1" x14ac:dyDescent="0.3">
      <c r="A82" s="69"/>
      <c r="B82" s="69"/>
      <c r="C82" s="69"/>
      <c r="D82" s="69"/>
      <c r="E82" s="69"/>
      <c r="F82" s="69"/>
      <c r="G82" s="69"/>
      <c r="H82" s="69"/>
      <c r="I82" s="69"/>
      <c r="J82" s="69"/>
      <c r="K82" s="69"/>
      <c r="L82" s="69"/>
      <c r="M82" s="69"/>
      <c r="N82" s="69"/>
      <c r="O82" s="69"/>
      <c r="P82" s="69"/>
      <c r="Q82" s="69"/>
      <c r="R82" s="69"/>
      <c r="S82" s="69"/>
      <c r="T82" t="s">
        <v>58</v>
      </c>
      <c r="U82" s="72">
        <f>IF(ISNUMBER(KOHC!D123),KOHC!D123,NA())</f>
        <v>0.38416638255503399</v>
      </c>
      <c r="V82" s="72">
        <f>IF(ISNUMBER(LUCK!D123),LUCK!D123,NA())</f>
        <v>0.27606535150381284</v>
      </c>
      <c r="W82" s="72">
        <f>IF(ISNUMBER(DGKC!D123),DGKC!D123,NA())</f>
        <v>0.46714504184305206</v>
      </c>
      <c r="X82" s="72">
        <f>IF(ISNUMBER(MLCF!D123),MLCF!D123,NA())</f>
        <v>0.43322840867921292</v>
      </c>
      <c r="Y82" s="72">
        <f>IF(ISNUMBER(FCCL!D123),FCCL!D123,NA())</f>
        <v>0.31647148170702821</v>
      </c>
      <c r="Z82" s="72">
        <f>'Industry Averages'!D94</f>
        <v>0.37541533325762799</v>
      </c>
    </row>
    <row r="83" spans="1:26" ht="19.95" customHeight="1" x14ac:dyDescent="0.3">
      <c r="A83" s="69"/>
      <c r="B83" s="69"/>
      <c r="C83" s="69"/>
      <c r="D83" s="69"/>
      <c r="E83" s="69"/>
      <c r="F83" s="69"/>
      <c r="G83" s="69"/>
      <c r="H83" s="69"/>
      <c r="I83" s="69"/>
      <c r="J83" s="69"/>
      <c r="K83" s="69"/>
      <c r="L83" s="69"/>
      <c r="M83" s="69"/>
      <c r="N83" s="69"/>
      <c r="O83" s="69"/>
      <c r="P83" s="69"/>
      <c r="Q83" s="69"/>
      <c r="R83" s="69"/>
      <c r="S83" s="69"/>
      <c r="T83" t="s">
        <v>59</v>
      </c>
      <c r="U83" s="72">
        <f>IF(ISNUMBER(KOHC!E123),KOHC!E123,NA())</f>
        <v>0.37149249167170456</v>
      </c>
      <c r="V83" s="72">
        <f>IF(ISNUMBER(LUCK!E123),LUCK!E123,NA())</f>
        <v>0.30504607293955061</v>
      </c>
      <c r="W83" s="72">
        <f>IF(ISNUMBER(DGKC!E123),DGKC!E123,NA())</f>
        <v>0.48801207258126744</v>
      </c>
      <c r="X83" s="72">
        <f>IF(ISNUMBER(MLCF!E123),MLCF!E123,NA())</f>
        <v>0.50666660909348882</v>
      </c>
      <c r="Y83" s="72">
        <f>IF(ISNUMBER(FCCL!E123),FCCL!E123,NA())</f>
        <v>0.49219848282922141</v>
      </c>
      <c r="Z83" s="72">
        <f>'Industry Averages'!E94</f>
        <v>0.43268314582304657</v>
      </c>
    </row>
    <row r="84" spans="1:26" ht="19.95" customHeight="1" x14ac:dyDescent="0.3">
      <c r="A84" s="69"/>
      <c r="B84" s="69"/>
      <c r="C84" s="69"/>
      <c r="D84" s="69"/>
      <c r="E84" s="69"/>
      <c r="F84" s="69"/>
      <c r="G84" s="69"/>
      <c r="H84" s="69"/>
      <c r="I84" s="69"/>
      <c r="J84" s="69"/>
      <c r="K84" s="69"/>
      <c r="L84" s="69"/>
      <c r="M84" s="69"/>
      <c r="N84" s="69"/>
      <c r="O84" s="69"/>
      <c r="P84" s="69"/>
      <c r="Q84" s="69"/>
      <c r="R84" s="69"/>
      <c r="S84" s="69"/>
      <c r="T84" t="s">
        <v>60</v>
      </c>
      <c r="U84" s="72">
        <f>IF(ISNUMBER(KOHC!F123),KOHC!F123,NA())</f>
        <v>0.34161124098483342</v>
      </c>
      <c r="V84" s="72">
        <f>IF(ISNUMBER(LUCK!F123),LUCK!F123,NA())</f>
        <v>0.35532697822447284</v>
      </c>
      <c r="W84" s="72">
        <f>IF(ISNUMBER(DGKC!F123),DGKC!F123,NA())</f>
        <v>0.52348952241922664</v>
      </c>
      <c r="X84" s="72">
        <f>IF(ISNUMBER(MLCF!F123),MLCF!F123,NA())</f>
        <v>0.49933942690835115</v>
      </c>
      <c r="Y84" s="72">
        <f>IF(ISNUMBER(FCCL!F123),FCCL!F123,NA())</f>
        <v>0.53053055814614203</v>
      </c>
      <c r="Z84" s="72">
        <f>'Industry Averages'!F94</f>
        <v>0.45005954533660519</v>
      </c>
    </row>
    <row r="85" spans="1:26" ht="19.95" customHeight="1" x14ac:dyDescent="0.3">
      <c r="A85" s="69"/>
      <c r="B85" s="69"/>
      <c r="C85" s="69"/>
      <c r="D85" s="69"/>
      <c r="E85" s="69"/>
      <c r="F85" s="69"/>
      <c r="G85" s="69"/>
      <c r="H85" s="69"/>
      <c r="I85" s="69"/>
      <c r="J85" s="69"/>
      <c r="K85" s="69"/>
      <c r="L85" s="69"/>
      <c r="M85" s="69"/>
      <c r="N85" s="69"/>
      <c r="O85" s="69"/>
      <c r="P85" s="69"/>
      <c r="Q85" s="69"/>
      <c r="R85" s="69"/>
      <c r="S85" s="69"/>
      <c r="T85" t="s">
        <v>61</v>
      </c>
      <c r="U85" s="72">
        <f>IF(ISNUMBER(KOHC!G123),KOHC!G123,NA())</f>
        <v>0.30169945185029512</v>
      </c>
      <c r="V85" s="72">
        <f>IF(ISNUMBER(LUCK!G123),LUCK!G123,NA())</f>
        <v>0.36859036410390322</v>
      </c>
      <c r="W85" s="72">
        <f>IF(ISNUMBER(DGKC!G123),DGKC!G123,NA())</f>
        <v>0.45191223946360831</v>
      </c>
      <c r="X85" s="72">
        <f>IF(ISNUMBER(MLCF!G123),MLCF!G123,NA())</f>
        <v>0.4704820926001394</v>
      </c>
      <c r="Y85" s="72">
        <f>IF(ISNUMBER(FCCL!G123),FCCL!G123,NA())</f>
        <v>0.5028400637434024</v>
      </c>
      <c r="Z85" s="72">
        <f>'Industry Averages'!G94</f>
        <v>0.41910484235226975</v>
      </c>
    </row>
    <row r="86" spans="1:26" ht="19.95" customHeight="1" x14ac:dyDescent="0.3">
      <c r="A86" s="69"/>
      <c r="B86" s="69"/>
      <c r="C86" s="69"/>
      <c r="D86" s="69"/>
      <c r="E86" s="69"/>
      <c r="F86" s="69"/>
      <c r="G86" s="69"/>
      <c r="H86" s="69"/>
      <c r="I86" s="69"/>
      <c r="J86" s="69"/>
      <c r="K86" s="69"/>
      <c r="L86" s="69"/>
      <c r="M86" s="69"/>
      <c r="N86" s="69"/>
      <c r="O86" s="69"/>
      <c r="P86" s="69"/>
      <c r="Q86" s="69"/>
      <c r="R86" s="69"/>
      <c r="S86" s="69"/>
      <c r="T86" t="s">
        <v>62</v>
      </c>
      <c r="U86" s="72">
        <f>IF(ISNUMBER(KOHC!H123),KOHC!H123,NA())</f>
        <v>0.28204672647028445</v>
      </c>
      <c r="V86" s="72">
        <f>IF(ISNUMBER(LUCK!H123),LUCK!H123,NA())</f>
        <v>0.34053721034041001</v>
      </c>
      <c r="W86" s="72">
        <f>IF(ISNUMBER(DGKC!H123),DGKC!H123,NA())</f>
        <v>0.35125595827177031</v>
      </c>
      <c r="X86" s="72">
        <f>IF(ISNUMBER(MLCF!H123),MLCF!H123,NA())</f>
        <v>0.40001822406143511</v>
      </c>
      <c r="Y86" s="72">
        <f>IF(ISNUMBER(FCCL!H123),FCCL!H123,NA())</f>
        <v>0.4760663500346739</v>
      </c>
      <c r="Z86" s="72">
        <f>'Industry Averages'!H94</f>
        <v>0.36998489383571476</v>
      </c>
    </row>
    <row r="87" spans="1:26" ht="19.95" customHeight="1" x14ac:dyDescent="0.3">
      <c r="A87" s="69"/>
      <c r="B87" s="69"/>
      <c r="C87" s="69"/>
      <c r="D87" s="69"/>
      <c r="E87" s="69"/>
      <c r="F87" s="69"/>
      <c r="G87" s="69"/>
      <c r="H87" s="69"/>
      <c r="I87" s="69"/>
      <c r="J87" s="69"/>
      <c r="K87" s="69"/>
      <c r="L87" s="69"/>
      <c r="M87" s="69"/>
      <c r="N87" s="69"/>
      <c r="O87" s="69"/>
      <c r="P87" s="69"/>
      <c r="Q87" s="69"/>
      <c r="R87" s="69"/>
      <c r="S87" s="69"/>
    </row>
    <row r="88" spans="1:26" ht="19.95" customHeight="1" x14ac:dyDescent="0.3">
      <c r="A88" s="69"/>
      <c r="B88" s="69"/>
      <c r="C88" s="69"/>
      <c r="D88" s="69"/>
      <c r="E88" s="69"/>
      <c r="F88" s="69"/>
      <c r="G88" s="69"/>
      <c r="H88" s="69"/>
      <c r="I88" s="69"/>
      <c r="J88" s="69"/>
      <c r="K88" s="69"/>
      <c r="L88" s="69"/>
      <c r="M88" s="69"/>
      <c r="N88" s="69"/>
      <c r="O88" s="69"/>
      <c r="P88" s="69"/>
      <c r="Q88" s="69"/>
      <c r="R88" s="69"/>
      <c r="S88" s="69"/>
    </row>
    <row r="89" spans="1:26" ht="19.95" customHeight="1" x14ac:dyDescent="0.3">
      <c r="A89" s="69"/>
      <c r="B89" s="69"/>
      <c r="C89" s="69"/>
      <c r="D89" s="69"/>
      <c r="E89" s="69"/>
      <c r="F89" s="69"/>
      <c r="G89" s="69"/>
      <c r="H89" s="69"/>
      <c r="I89" s="69"/>
      <c r="J89" s="69"/>
      <c r="K89" s="69"/>
      <c r="L89" s="69"/>
      <c r="M89" s="69"/>
      <c r="N89" s="69"/>
      <c r="O89" s="69"/>
      <c r="P89" s="69"/>
      <c r="Q89" s="69"/>
      <c r="R89" s="69"/>
      <c r="S89" s="69"/>
      <c r="T89" t="s">
        <v>279</v>
      </c>
      <c r="U89" t="s">
        <v>13</v>
      </c>
      <c r="V89" t="s">
        <v>17</v>
      </c>
      <c r="W89" t="s">
        <v>21</v>
      </c>
      <c r="X89" t="s">
        <v>25</v>
      </c>
      <c r="Y89" t="s">
        <v>29</v>
      </c>
      <c r="Z89" t="s">
        <v>280</v>
      </c>
    </row>
    <row r="90" spans="1:26" ht="19.95" customHeight="1" x14ac:dyDescent="0.3">
      <c r="A90" s="69"/>
      <c r="B90" s="69"/>
      <c r="C90" s="69"/>
      <c r="D90" s="69"/>
      <c r="E90" s="69"/>
      <c r="F90" s="69"/>
      <c r="G90" s="69"/>
      <c r="H90" s="69"/>
      <c r="I90" s="69"/>
      <c r="J90" s="69"/>
      <c r="K90" s="69"/>
      <c r="L90" s="69"/>
      <c r="M90" s="69"/>
      <c r="N90" s="69"/>
      <c r="O90" s="69"/>
      <c r="P90" s="69"/>
      <c r="Q90" s="69"/>
      <c r="R90" s="69"/>
      <c r="S90" s="69"/>
      <c r="T90" t="s">
        <v>58</v>
      </c>
      <c r="U90" s="70">
        <f>IF(ISNUMBER(KOHC!D124),KOHC!D124,NA())</f>
        <v>0.2722692388457173</v>
      </c>
      <c r="V90" s="70">
        <f>IF(ISNUMBER(LUCK!D124),LUCK!D124,NA())</f>
        <v>9.267604319417716E-2</v>
      </c>
      <c r="W90" s="70">
        <f>IF(ISNUMBER(DGKC!D124),DGKC!D124,NA())</f>
        <v>0.59600006385595838</v>
      </c>
      <c r="X90" s="70">
        <f>IF(ISNUMBER(MLCF!D124),MLCF!D124,NA())</f>
        <v>0.43245543768601064</v>
      </c>
      <c r="Y90" s="70">
        <f>IF(ISNUMBER(FCCL!D124),FCCL!D124,NA())</f>
        <v>0.11033361830900601</v>
      </c>
      <c r="Z90" s="70">
        <f>'Industry Averages'!D102</f>
        <v>0.30074688037817388</v>
      </c>
    </row>
    <row r="91" spans="1:26" ht="19.95" customHeight="1" x14ac:dyDescent="0.3">
      <c r="A91" s="69"/>
      <c r="B91" s="69"/>
      <c r="C91" s="69"/>
      <c r="D91" s="69"/>
      <c r="E91" s="69"/>
      <c r="F91" s="69"/>
      <c r="G91" s="69"/>
      <c r="H91" s="69"/>
      <c r="I91" s="69"/>
      <c r="J91" s="69"/>
      <c r="K91" s="69"/>
      <c r="L91" s="69"/>
      <c r="M91" s="69"/>
      <c r="N91" s="69"/>
      <c r="O91" s="69"/>
      <c r="P91" s="69"/>
      <c r="Q91" s="69"/>
      <c r="R91" s="69"/>
      <c r="S91" s="69"/>
      <c r="T91" t="s">
        <v>59</v>
      </c>
      <c r="U91" s="70">
        <f>IF(ISNUMBER(KOHC!E124),KOHC!E124,NA())</f>
        <v>0.15603310983895571</v>
      </c>
      <c r="V91" s="70">
        <f>IF(ISNUMBER(LUCK!E124),LUCK!E124,NA())</f>
        <v>0.12132883685589589</v>
      </c>
      <c r="W91" s="70">
        <f>IF(ISNUMBER(DGKC!E124),DGKC!E124,NA())</f>
        <v>0.66471914526512743</v>
      </c>
      <c r="X91" s="70">
        <f>IF(ISNUMBER(MLCF!E124),MLCF!E124,NA())</f>
        <v>0.61573768495117542</v>
      </c>
      <c r="Y91" s="70">
        <f>IF(ISNUMBER(FCCL!E124),FCCL!E124,NA())</f>
        <v>0.44889851845785944</v>
      </c>
      <c r="Z91" s="70">
        <f>'Industry Averages'!E102</f>
        <v>0.40134345907380276</v>
      </c>
    </row>
    <row r="92" spans="1:26" ht="19.95" customHeight="1" x14ac:dyDescent="0.3">
      <c r="A92" s="69"/>
      <c r="B92" s="69"/>
      <c r="C92" s="69"/>
      <c r="D92" s="69"/>
      <c r="E92" s="69"/>
      <c r="F92" s="69"/>
      <c r="G92" s="69"/>
      <c r="H92" s="69"/>
      <c r="I92" s="69"/>
      <c r="J92" s="69"/>
      <c r="K92" s="69"/>
      <c r="L92" s="69"/>
      <c r="M92" s="69"/>
      <c r="N92" s="69"/>
      <c r="O92" s="69"/>
      <c r="P92" s="69"/>
      <c r="Q92" s="69"/>
      <c r="R92" s="69"/>
      <c r="S92" s="69"/>
      <c r="T92" t="s">
        <v>60</v>
      </c>
      <c r="U92" s="70">
        <f>IF(ISNUMBER(KOHC!F124),KOHC!F124,NA())</f>
        <v>9.7619406864766459E-2</v>
      </c>
      <c r="V92" s="70">
        <f>IF(ISNUMBER(LUCK!F124),LUCK!F124,NA())</f>
        <v>0.15318126074071459</v>
      </c>
      <c r="W92" s="70">
        <f>IF(ISNUMBER(DGKC!F124),DGKC!F124,NA())</f>
        <v>0.66251390334697124</v>
      </c>
      <c r="X92" s="70">
        <f>IF(ISNUMBER(MLCF!F124),MLCF!F124,NA())</f>
        <v>0.44250779404874935</v>
      </c>
      <c r="Y92" s="70">
        <f>IF(ISNUMBER(FCCL!F124),FCCL!F124,NA())</f>
        <v>0.62375966688339879</v>
      </c>
      <c r="Z92" s="70">
        <f>'Industry Averages'!F102</f>
        <v>0.3959164063769201</v>
      </c>
    </row>
    <row r="93" spans="1:26" ht="19.95" customHeight="1" x14ac:dyDescent="0.3">
      <c r="A93" s="69"/>
      <c r="B93" s="69"/>
      <c r="C93" s="69"/>
      <c r="D93" s="69"/>
      <c r="E93" s="69"/>
      <c r="F93" s="69"/>
      <c r="G93" s="69"/>
      <c r="H93" s="69"/>
      <c r="I93" s="69"/>
      <c r="J93" s="69"/>
      <c r="K93" s="69"/>
      <c r="L93" s="69"/>
      <c r="M93" s="69"/>
      <c r="N93" s="69"/>
      <c r="O93" s="69"/>
      <c r="P93" s="69"/>
      <c r="Q93" s="69"/>
      <c r="R93" s="69"/>
      <c r="S93" s="69"/>
      <c r="T93" t="s">
        <v>61</v>
      </c>
      <c r="U93" s="70">
        <f>IF(ISNUMBER(KOHC!G124),KOHC!G124,NA())</f>
        <v>5.2398238191517746E-2</v>
      </c>
      <c r="V93" s="70">
        <f>IF(ISNUMBER(LUCK!G124),LUCK!G124,NA())</f>
        <v>0.13768684470695258</v>
      </c>
      <c r="W93" s="70">
        <f>IF(ISNUMBER(DGKC!G124),DGKC!G124,NA())</f>
        <v>0.45251048227827784</v>
      </c>
      <c r="X93" s="70">
        <f>IF(ISNUMBER(MLCF!G124),MLCF!G124,NA())</f>
        <v>0.36846998820204724</v>
      </c>
      <c r="Y93" s="70">
        <f>IF(ISNUMBER(FCCL!G124),FCCL!G124,NA())</f>
        <v>0.49850573278032018</v>
      </c>
      <c r="Z93" s="70">
        <f>'Industry Averages'!G102</f>
        <v>0.30191425723182308</v>
      </c>
    </row>
    <row r="94" spans="1:26" ht="19.95" customHeight="1" x14ac:dyDescent="0.3">
      <c r="A94" s="69"/>
      <c r="B94" s="69"/>
      <c r="C94" s="69"/>
      <c r="D94" s="69"/>
      <c r="E94" s="69"/>
      <c r="F94" s="69"/>
      <c r="G94" s="69"/>
      <c r="H94" s="69"/>
      <c r="I94" s="69"/>
      <c r="J94" s="69"/>
      <c r="K94" s="69"/>
      <c r="L94" s="69"/>
      <c r="M94" s="69"/>
      <c r="N94" s="69"/>
      <c r="O94" s="69"/>
      <c r="P94" s="69"/>
      <c r="Q94" s="69"/>
      <c r="R94" s="69"/>
      <c r="S94" s="69"/>
      <c r="T94" t="s">
        <v>62</v>
      </c>
      <c r="U94" s="70">
        <f>IF(ISNUMBER(KOHC!H124),KOHC!H124,NA())</f>
        <v>4.6764934517749976E-2</v>
      </c>
      <c r="V94" s="70">
        <f>IF(ISNUMBER(LUCK!H124),LUCK!H124,NA())</f>
        <v>9.9684879347667912E-2</v>
      </c>
      <c r="W94" s="70">
        <f>IF(ISNUMBER(DGKC!H124),DGKC!H124,NA())</f>
        <v>0.23141104487858016</v>
      </c>
      <c r="X94" s="70">
        <f>IF(ISNUMBER(MLCF!H124),MLCF!H124,NA())</f>
        <v>0.20402666092297522</v>
      </c>
      <c r="Y94" s="70">
        <f>IF(ISNUMBER(FCCL!H124),FCCL!H124,NA())</f>
        <v>0.47508509566997464</v>
      </c>
      <c r="Z94" s="70">
        <f>'Industry Averages'!H102</f>
        <v>0.21139452306738957</v>
      </c>
    </row>
    <row r="95" spans="1:26" ht="19.95" customHeight="1" x14ac:dyDescent="0.3">
      <c r="A95" s="69"/>
      <c r="B95" s="69"/>
      <c r="C95" s="69"/>
      <c r="D95" s="69"/>
      <c r="E95" s="69"/>
      <c r="F95" s="69"/>
      <c r="G95" s="69"/>
      <c r="H95" s="69"/>
      <c r="I95" s="69"/>
      <c r="J95" s="69"/>
      <c r="K95" s="69"/>
      <c r="L95" s="69"/>
      <c r="M95" s="69"/>
      <c r="N95" s="69"/>
      <c r="O95" s="69"/>
      <c r="P95" s="69"/>
      <c r="Q95" s="69"/>
      <c r="R95" s="69"/>
      <c r="S95" s="69"/>
    </row>
    <row r="96" spans="1:26" ht="19.95" customHeight="1" x14ac:dyDescent="0.3">
      <c r="A96" s="69"/>
      <c r="B96" s="69"/>
      <c r="C96" s="69"/>
      <c r="D96" s="69"/>
      <c r="E96" s="69"/>
      <c r="F96" s="69"/>
      <c r="G96" s="69"/>
      <c r="H96" s="69"/>
      <c r="I96" s="69"/>
      <c r="J96" s="69"/>
      <c r="K96" s="69"/>
      <c r="L96" s="69"/>
      <c r="M96" s="69"/>
      <c r="N96" s="69"/>
      <c r="O96" s="69"/>
      <c r="P96" s="69"/>
      <c r="Q96" s="69"/>
      <c r="R96" s="69"/>
      <c r="S96" s="69"/>
    </row>
    <row r="97" spans="1:26" ht="19.95" customHeight="1" x14ac:dyDescent="0.3">
      <c r="A97" s="69"/>
      <c r="B97" s="69"/>
      <c r="C97" s="69"/>
      <c r="D97" s="69"/>
      <c r="E97" s="69"/>
      <c r="F97" s="69"/>
      <c r="G97" s="69"/>
      <c r="H97" s="69"/>
      <c r="I97" s="69"/>
      <c r="J97" s="69"/>
      <c r="K97" s="69"/>
      <c r="L97" s="69"/>
      <c r="M97" s="69"/>
      <c r="N97" s="69"/>
      <c r="O97" s="69"/>
      <c r="P97" s="69"/>
      <c r="Q97" s="69"/>
      <c r="R97" s="69"/>
      <c r="S97" s="69"/>
      <c r="T97" t="s">
        <v>279</v>
      </c>
      <c r="U97" t="s">
        <v>13</v>
      </c>
      <c r="V97" t="s">
        <v>17</v>
      </c>
      <c r="W97" t="s">
        <v>21</v>
      </c>
      <c r="X97" t="s">
        <v>25</v>
      </c>
      <c r="Y97" t="s">
        <v>29</v>
      </c>
      <c r="Z97" t="s">
        <v>280</v>
      </c>
    </row>
    <row r="98" spans="1:26" ht="19.95" customHeight="1" x14ac:dyDescent="0.3">
      <c r="A98" s="97" t="s">
        <v>287</v>
      </c>
      <c r="B98" s="97"/>
      <c r="C98" s="97"/>
      <c r="D98" s="97"/>
      <c r="E98" s="97"/>
      <c r="F98" s="97"/>
      <c r="G98" s="97"/>
      <c r="H98" s="97"/>
      <c r="I98" s="97"/>
      <c r="J98" s="97"/>
      <c r="K98" s="97"/>
      <c r="L98" s="97"/>
      <c r="M98" s="97"/>
      <c r="N98" s="97"/>
      <c r="O98" s="97"/>
      <c r="P98" s="97"/>
      <c r="Q98" s="97"/>
      <c r="R98" s="97"/>
      <c r="S98" s="97"/>
      <c r="T98" t="s">
        <v>58</v>
      </c>
      <c r="U98" s="72">
        <f>IF(ISNUMBER(KOHC!D125),KOHC!D125,NA())</f>
        <v>0.21400284667161887</v>
      </c>
      <c r="V98" s="72">
        <f>IF(ISNUMBER(LUCK!D125),LUCK!D125,NA())</f>
        <v>8.4815663134025443E-2</v>
      </c>
      <c r="W98" s="72">
        <f>IF(ISNUMBER(DGKC!D125),DGKC!D125,NA())</f>
        <v>0.37343360902882045</v>
      </c>
      <c r="X98" s="72">
        <f>IF(ISNUMBER(MLCF!D125),MLCF!D125,NA())</f>
        <v>0.30189800416032447</v>
      </c>
      <c r="Y98" s="72">
        <f>IF(ISNUMBER(FCCL!D125),FCCL!D125,NA())</f>
        <v>9.9369789844821352E-2</v>
      </c>
      <c r="Z98" s="72">
        <f>'Industry Averages'!D110</f>
        <v>0.21470398256792214</v>
      </c>
    </row>
    <row r="99" spans="1:26" ht="19.95" customHeight="1" x14ac:dyDescent="0.3">
      <c r="A99" s="69"/>
      <c r="B99" s="69"/>
      <c r="C99" s="69"/>
      <c r="D99" s="69"/>
      <c r="E99" s="69"/>
      <c r="F99" s="69"/>
      <c r="G99" s="69"/>
      <c r="H99" s="69"/>
      <c r="I99" s="69"/>
      <c r="J99" s="69"/>
      <c r="K99" s="69"/>
      <c r="L99" s="69"/>
      <c r="M99" s="69"/>
      <c r="N99" s="69"/>
      <c r="O99" s="69"/>
      <c r="P99" s="69"/>
      <c r="Q99" s="69"/>
      <c r="R99" s="69"/>
      <c r="S99" s="69"/>
      <c r="T99" t="s">
        <v>59</v>
      </c>
      <c r="U99" s="72">
        <f>IF(ISNUMBER(KOHC!E125),KOHC!E125,NA())</f>
        <v>0.13497287275854264</v>
      </c>
      <c r="V99" s="72">
        <f>IF(ISNUMBER(LUCK!E125),LUCK!E125,NA())</f>
        <v>0.10820094237127705</v>
      </c>
      <c r="W99" s="72">
        <f>IF(ISNUMBER(DGKC!E125),DGKC!E125,NA())</f>
        <v>0.39929807208366225</v>
      </c>
      <c r="X99" s="72">
        <f>IF(ISNUMBER(MLCF!E125),MLCF!E125,NA())</f>
        <v>0.381087654689308</v>
      </c>
      <c r="Y99" s="72">
        <f>IF(ISNUMBER(FCCL!E125),FCCL!E125,NA())</f>
        <v>0.30982053797366449</v>
      </c>
      <c r="Z99" s="72">
        <f>'Industry Averages'!E110</f>
        <v>0.26667601597529089</v>
      </c>
    </row>
    <row r="100" spans="1:26" ht="19.95" customHeight="1" x14ac:dyDescent="0.3">
      <c r="A100" s="69"/>
      <c r="B100" s="69"/>
      <c r="C100" s="69"/>
      <c r="D100" s="69"/>
      <c r="E100" s="69"/>
      <c r="F100" s="69"/>
      <c r="G100" s="69"/>
      <c r="H100" s="69"/>
      <c r="I100" s="69"/>
      <c r="J100" s="69"/>
      <c r="K100" s="69"/>
      <c r="L100" s="69"/>
      <c r="M100" s="69"/>
      <c r="N100" s="69"/>
      <c r="O100" s="69"/>
      <c r="P100" s="69"/>
      <c r="Q100" s="69"/>
      <c r="R100" s="69"/>
      <c r="S100" s="69"/>
      <c r="T100" t="s">
        <v>60</v>
      </c>
      <c r="U100" s="72">
        <f>IF(ISNUMBER(KOHC!F125),KOHC!F125,NA())</f>
        <v>8.8937391462133447E-2</v>
      </c>
      <c r="V100" s="72">
        <f>IF(ISNUMBER(LUCK!F125),LUCK!F125,NA())</f>
        <v>0.13283363678865434</v>
      </c>
      <c r="W100" s="72">
        <f>IF(ISNUMBER(DGKC!F125),DGKC!F125,NA())</f>
        <v>0.39850127088453147</v>
      </c>
      <c r="X100" s="72">
        <f>IF(ISNUMBER(MLCF!F125),MLCF!F125,NA())</f>
        <v>0.30676284445350793</v>
      </c>
      <c r="Y100" s="72">
        <f>IF(ISNUMBER(FCCL!F125),FCCL!F125,NA())</f>
        <v>0.38414531386940193</v>
      </c>
      <c r="Z100" s="72">
        <f>'Industry Averages'!F110</f>
        <v>0.26223609149164584</v>
      </c>
    </row>
    <row r="101" spans="1:26" ht="19.95" customHeight="1" x14ac:dyDescent="0.3">
      <c r="A101" s="69"/>
      <c r="B101" s="69"/>
      <c r="C101" s="69"/>
      <c r="D101" s="69"/>
      <c r="E101" s="69"/>
      <c r="F101" s="69"/>
      <c r="G101" s="69"/>
      <c r="H101" s="69"/>
      <c r="I101" s="69"/>
      <c r="J101" s="69"/>
      <c r="K101" s="69"/>
      <c r="L101" s="69"/>
      <c r="M101" s="69"/>
      <c r="N101" s="69"/>
      <c r="O101" s="69"/>
      <c r="P101" s="69"/>
      <c r="Q101" s="69"/>
      <c r="R101" s="69"/>
      <c r="S101" s="69"/>
      <c r="T101" t="s">
        <v>61</v>
      </c>
      <c r="U101" s="72">
        <f>IF(ISNUMBER(KOHC!G125),KOHC!G125,NA())</f>
        <v>4.9789363275218823E-2</v>
      </c>
      <c r="V101" s="72">
        <f>IF(ISNUMBER(LUCK!G125),LUCK!G125,NA())</f>
        <v>0.12102350075289672</v>
      </c>
      <c r="W101" s="72">
        <f>IF(ISNUMBER(DGKC!G125),DGKC!G125,NA())</f>
        <v>0.31153681009483003</v>
      </c>
      <c r="X101" s="72">
        <f>IF(ISNUMBER(MLCF!G125),MLCF!G125,NA())</f>
        <v>0.2692569010491479</v>
      </c>
      <c r="Y101" s="72">
        <f>IF(ISNUMBER(FCCL!G125),FCCL!G125,NA())</f>
        <v>0.33266855232872222</v>
      </c>
      <c r="Z101" s="72">
        <f>'Industry Averages'!G110</f>
        <v>0.21685502550016317</v>
      </c>
    </row>
    <row r="102" spans="1:26" ht="19.95" customHeight="1" x14ac:dyDescent="0.3">
      <c r="A102" s="69"/>
      <c r="B102" s="69"/>
      <c r="C102" s="69"/>
      <c r="D102" s="69"/>
      <c r="E102" s="69"/>
      <c r="F102" s="69"/>
      <c r="G102" s="69"/>
      <c r="H102" s="69"/>
      <c r="I102" s="69"/>
      <c r="J102" s="69"/>
      <c r="K102" s="69"/>
      <c r="L102" s="69"/>
      <c r="M102" s="69"/>
      <c r="N102" s="69"/>
      <c r="O102" s="69"/>
      <c r="P102" s="69"/>
      <c r="Q102" s="69"/>
      <c r="R102" s="69"/>
      <c r="S102" s="69"/>
      <c r="T102" t="s">
        <v>62</v>
      </c>
      <c r="U102" s="72">
        <f>IF(ISNUMBER(KOHC!H125),KOHC!H125,NA())</f>
        <v>4.4675679300715997E-2</v>
      </c>
      <c r="V102" s="72">
        <f>IF(ISNUMBER(LUCK!H125),LUCK!H125,NA())</f>
        <v>9.0648585990198302E-2</v>
      </c>
      <c r="W102" s="72">
        <f>IF(ISNUMBER(DGKC!H125),DGKC!H125,NA())</f>
        <v>0.18792347676351873</v>
      </c>
      <c r="X102" s="72">
        <f>IF(ISNUMBER(MLCF!H125),MLCF!H125,NA())</f>
        <v>0.1694536072536581</v>
      </c>
      <c r="Y102" s="72">
        <f>IF(ISNUMBER(FCCL!H125),FCCL!H125,NA())</f>
        <v>0.3220730092552348</v>
      </c>
      <c r="Z102" s="72">
        <f>'Industry Averages'!H110</f>
        <v>0.16295487171266518</v>
      </c>
    </row>
    <row r="103" spans="1:26" ht="19.95" customHeight="1" x14ac:dyDescent="0.3">
      <c r="A103" s="69"/>
      <c r="B103" s="69"/>
      <c r="C103" s="69"/>
      <c r="D103" s="69"/>
      <c r="E103" s="69"/>
      <c r="F103" s="69"/>
      <c r="G103" s="69"/>
      <c r="H103" s="69"/>
      <c r="I103" s="69"/>
      <c r="J103" s="69"/>
      <c r="K103" s="69"/>
      <c r="L103" s="69"/>
      <c r="M103" s="69"/>
      <c r="N103" s="69"/>
      <c r="O103" s="69"/>
      <c r="P103" s="69"/>
      <c r="Q103" s="69"/>
      <c r="R103" s="69"/>
      <c r="S103" s="69"/>
    </row>
    <row r="104" spans="1:26" ht="19.95" customHeight="1" x14ac:dyDescent="0.3">
      <c r="A104" s="69"/>
      <c r="B104" s="69"/>
      <c r="C104" s="69"/>
      <c r="D104" s="69"/>
      <c r="E104" s="69"/>
      <c r="F104" s="69"/>
      <c r="G104" s="69"/>
      <c r="H104" s="69"/>
      <c r="I104" s="69"/>
      <c r="J104" s="69"/>
      <c r="K104" s="69"/>
      <c r="L104" s="69"/>
      <c r="M104" s="69"/>
      <c r="N104" s="69"/>
      <c r="O104" s="69"/>
      <c r="P104" s="69"/>
      <c r="Q104" s="69"/>
      <c r="R104" s="69"/>
      <c r="S104" s="69"/>
    </row>
    <row r="105" spans="1:26" ht="19.95" customHeight="1" x14ac:dyDescent="0.3">
      <c r="A105" s="69"/>
      <c r="B105" s="69"/>
      <c r="C105" s="69"/>
      <c r="D105" s="69"/>
      <c r="E105" s="69"/>
      <c r="F105" s="69"/>
      <c r="G105" s="69"/>
      <c r="H105" s="69"/>
      <c r="I105" s="69"/>
      <c r="J105" s="69"/>
      <c r="K105" s="69"/>
      <c r="L105" s="69"/>
      <c r="M105" s="69"/>
      <c r="N105" s="69"/>
      <c r="O105" s="69"/>
      <c r="P105" s="69"/>
      <c r="Q105" s="69"/>
      <c r="R105" s="69"/>
      <c r="S105" s="69"/>
      <c r="T105" t="s">
        <v>279</v>
      </c>
      <c r="U105" t="s">
        <v>13</v>
      </c>
      <c r="V105" t="s">
        <v>17</v>
      </c>
      <c r="W105" t="s">
        <v>21</v>
      </c>
      <c r="X105" t="s">
        <v>25</v>
      </c>
      <c r="Y105" t="s">
        <v>29</v>
      </c>
      <c r="Z105" t="s">
        <v>280</v>
      </c>
    </row>
    <row r="106" spans="1:26" ht="19.95" customHeight="1" x14ac:dyDescent="0.3">
      <c r="A106" s="69"/>
      <c r="B106" s="69"/>
      <c r="C106" s="69"/>
      <c r="D106" s="69"/>
      <c r="E106" s="69"/>
      <c r="F106" s="69"/>
      <c r="G106" s="69"/>
      <c r="H106" s="69"/>
      <c r="I106" s="69"/>
      <c r="J106" s="69"/>
      <c r="K106" s="69"/>
      <c r="L106" s="69"/>
      <c r="M106" s="69"/>
      <c r="N106" s="69"/>
      <c r="O106" s="69"/>
      <c r="P106" s="69"/>
      <c r="Q106" s="69"/>
      <c r="R106" s="69"/>
      <c r="S106" s="69"/>
      <c r="T106" t="s">
        <v>58</v>
      </c>
      <c r="U106" s="70">
        <f>IF(ISNUMBER(KOHC!D126),KOHC!D126,NA())</f>
        <v>10.965146742707439</v>
      </c>
      <c r="V106" s="70">
        <f>IF(ISNUMBER(LUCK!D126),LUCK!D126,NA())</f>
        <v>52.042228263318378</v>
      </c>
      <c r="W106" s="70">
        <f>IF(ISNUMBER(DGKC!D126),DGKC!D126,NA())</f>
        <v>2.6532310456742976</v>
      </c>
      <c r="X106" s="70">
        <f>IF(ISNUMBER(MLCF!D126),MLCF!D126,NA())</f>
        <v>6.0367662605249279</v>
      </c>
      <c r="Y106" s="70">
        <f>IF(ISNUMBER(FCCL!D126),FCCL!D126,NA())</f>
        <v>56.450885878061477</v>
      </c>
      <c r="Z106" s="70">
        <f>'Industry Averages'!D118</f>
        <v>25.629651638057304</v>
      </c>
    </row>
    <row r="107" spans="1:26" ht="19.95" customHeight="1" x14ac:dyDescent="0.3">
      <c r="A107" s="69"/>
      <c r="B107" s="69"/>
      <c r="C107" s="69"/>
      <c r="D107" s="69"/>
      <c r="E107" s="69"/>
      <c r="F107" s="69"/>
      <c r="G107" s="69"/>
      <c r="H107" s="69"/>
      <c r="I107" s="69"/>
      <c r="J107" s="69"/>
      <c r="K107" s="69"/>
      <c r="L107" s="69"/>
      <c r="M107" s="69"/>
      <c r="N107" s="69"/>
      <c r="O107" s="69"/>
      <c r="P107" s="69"/>
      <c r="Q107" s="69"/>
      <c r="R107" s="69"/>
      <c r="S107" s="69"/>
      <c r="T107" t="s">
        <v>59</v>
      </c>
      <c r="U107" s="70">
        <f>IF(ISNUMBER(KOHC!E126),KOHC!E126,NA())</f>
        <v>18.319735243438064</v>
      </c>
      <c r="V107" s="70">
        <f>IF(ISNUMBER(LUCK!E126),LUCK!E126,NA())</f>
        <v>55.297361076962446</v>
      </c>
      <c r="W107" s="70">
        <f>IF(ISNUMBER(DGKC!E126),DGKC!E126,NA())</f>
        <v>2.6982633298510965</v>
      </c>
      <c r="X107" s="70">
        <f>IF(ISNUMBER(MLCF!E126),MLCF!E126,NA())</f>
        <v>5.2505359388174728</v>
      </c>
      <c r="Y107" s="70">
        <f>IF(ISNUMBER(FCCL!E126),FCCL!E126,NA())</f>
        <v>12.583415391911771</v>
      </c>
      <c r="Z107" s="70">
        <f>'Industry Averages'!E118</f>
        <v>18.829862196196171</v>
      </c>
    </row>
    <row r="108" spans="1:26" ht="19.95" customHeight="1" x14ac:dyDescent="0.3">
      <c r="A108" s="69"/>
      <c r="B108" s="69"/>
      <c r="C108" s="69"/>
      <c r="D108" s="69"/>
      <c r="E108" s="69"/>
      <c r="F108" s="69"/>
      <c r="G108" s="69"/>
      <c r="H108" s="69"/>
      <c r="I108" s="69"/>
      <c r="J108" s="69"/>
      <c r="K108" s="69"/>
      <c r="L108" s="69"/>
      <c r="M108" s="69"/>
      <c r="N108" s="69"/>
      <c r="O108" s="69"/>
      <c r="P108" s="69"/>
      <c r="Q108" s="69"/>
      <c r="R108" s="69"/>
      <c r="S108" s="69"/>
      <c r="T108" t="s">
        <v>60</v>
      </c>
      <c r="U108" s="70">
        <f>IF(ISNUMBER(KOHC!F126),KOHC!F126,NA())</f>
        <v>16.315812571917526</v>
      </c>
      <c r="V108" s="70">
        <f>IF(ISNUMBER(LUCK!F126),LUCK!F126,NA())</f>
        <v>19.418491261619813</v>
      </c>
      <c r="W108" s="70">
        <f>IF(ISNUMBER(DGKC!F126),DGKC!F126,NA())</f>
        <v>1.4717538518085045</v>
      </c>
      <c r="X108" s="70">
        <f>IF(ISNUMBER(MLCF!F126),MLCF!F126,NA())</f>
        <v>4.4476569735481268</v>
      </c>
      <c r="Y108" s="70">
        <f>IF(ISNUMBER(FCCL!F126),FCCL!F126,NA())</f>
        <v>5.9146829675290808</v>
      </c>
      <c r="Z108" s="70">
        <f>'Industry Averages'!F118</f>
        <v>9.513679525284612</v>
      </c>
    </row>
    <row r="109" spans="1:26" ht="19.95" customHeight="1" x14ac:dyDescent="0.3">
      <c r="A109" s="69"/>
      <c r="B109" s="69"/>
      <c r="C109" s="69"/>
      <c r="D109" s="69"/>
      <c r="E109" s="69"/>
      <c r="F109" s="69"/>
      <c r="G109" s="69"/>
      <c r="H109" s="69"/>
      <c r="I109" s="69"/>
      <c r="J109" s="69"/>
      <c r="K109" s="69"/>
      <c r="L109" s="69"/>
      <c r="M109" s="69"/>
      <c r="N109" s="69"/>
      <c r="O109" s="69"/>
      <c r="P109" s="69"/>
      <c r="Q109" s="69"/>
      <c r="R109" s="69"/>
      <c r="S109" s="69"/>
      <c r="T109" t="s">
        <v>61</v>
      </c>
      <c r="U109" s="70">
        <f>IF(ISNUMBER(KOHC!G126),KOHC!G126,NA())</f>
        <v>22.319441864662931</v>
      </c>
      <c r="V109" s="70">
        <f>IF(ISNUMBER(LUCK!G126),LUCK!G126,NA())</f>
        <v>27.521394265428206</v>
      </c>
      <c r="W109" s="70">
        <f>IF(ISNUMBER(DGKC!G126),DGKC!G126,NA())</f>
        <v>1.3582230764552283</v>
      </c>
      <c r="X109" s="70">
        <f>IF(ISNUMBER(MLCF!G126),MLCF!G126,NA())</f>
        <v>3.2023484620581835</v>
      </c>
      <c r="Y109" s="70">
        <f>IF(ISNUMBER(FCCL!G126),FCCL!G126,NA())</f>
        <v>3.7798126521954241</v>
      </c>
      <c r="Z109" s="70">
        <f>'Industry Averages'!G118</f>
        <v>11.636244064159992</v>
      </c>
    </row>
    <row r="110" spans="1:26" ht="19.95" customHeight="1" x14ac:dyDescent="0.3">
      <c r="A110" s="69"/>
      <c r="B110" s="69"/>
      <c r="C110" s="69"/>
      <c r="D110" s="69"/>
      <c r="E110" s="69"/>
      <c r="F110" s="69"/>
      <c r="G110" s="69"/>
      <c r="H110" s="69"/>
      <c r="I110" s="69"/>
      <c r="J110" s="69"/>
      <c r="K110" s="69"/>
      <c r="L110" s="69"/>
      <c r="M110" s="69"/>
      <c r="N110" s="69"/>
      <c r="O110" s="69"/>
      <c r="P110" s="69"/>
      <c r="Q110" s="69"/>
      <c r="R110" s="69"/>
      <c r="S110" s="69"/>
      <c r="T110" t="s">
        <v>62</v>
      </c>
      <c r="U110" s="70">
        <f>IF(ISNUMBER(KOHC!H126),KOHC!H126,NA())</f>
        <v>58.956241100348862</v>
      </c>
      <c r="V110" s="70">
        <f>IF(ISNUMBER(LUCK!H126),LUCK!H126,NA())</f>
        <v>36.687316512913945</v>
      </c>
      <c r="W110" s="70">
        <f>IF(ISNUMBER(DGKC!H126),DGKC!H126,NA())</f>
        <v>4.4072600253200633</v>
      </c>
      <c r="X110" s="70">
        <f>IF(ISNUMBER(MLCF!H126),MLCF!H126,NA())</f>
        <v>7.3457905408215804</v>
      </c>
      <c r="Y110" s="70">
        <f>IF(ISNUMBER(FCCL!H126),FCCL!H126,NA())</f>
        <v>4.7935258018729412</v>
      </c>
      <c r="Z110" s="70">
        <f>'Industry Averages'!H118</f>
        <v>22.438026796255478</v>
      </c>
    </row>
    <row r="111" spans="1:26" ht="19.95" customHeight="1" x14ac:dyDescent="0.3">
      <c r="A111" s="69"/>
      <c r="B111" s="69"/>
      <c r="C111" s="69"/>
      <c r="D111" s="69"/>
      <c r="E111" s="69"/>
      <c r="F111" s="69"/>
      <c r="G111" s="69"/>
      <c r="H111" s="69"/>
      <c r="I111" s="69"/>
      <c r="J111" s="69"/>
      <c r="K111" s="69"/>
      <c r="L111" s="69"/>
      <c r="M111" s="69"/>
      <c r="N111" s="69"/>
      <c r="O111" s="69"/>
      <c r="P111" s="69"/>
      <c r="Q111" s="69"/>
      <c r="R111" s="69"/>
      <c r="S111" s="69"/>
    </row>
    <row r="112" spans="1:26" ht="19.95" customHeight="1" x14ac:dyDescent="0.3">
      <c r="A112" s="69"/>
      <c r="B112" s="69"/>
      <c r="C112" s="69"/>
      <c r="D112" s="69"/>
      <c r="E112" s="69"/>
      <c r="F112" s="69"/>
      <c r="G112" s="69"/>
      <c r="H112" s="69"/>
      <c r="I112" s="69"/>
      <c r="J112" s="69"/>
      <c r="K112" s="69"/>
      <c r="L112" s="69"/>
      <c r="M112" s="69"/>
      <c r="N112" s="69"/>
      <c r="O112" s="69"/>
      <c r="P112" s="69"/>
      <c r="Q112" s="69"/>
      <c r="R112" s="69"/>
      <c r="S112" s="69"/>
    </row>
    <row r="113" spans="1:26" ht="19.95" customHeight="1" x14ac:dyDescent="0.3">
      <c r="A113" s="69"/>
      <c r="B113" s="69"/>
      <c r="C113" s="69"/>
      <c r="D113" s="69"/>
      <c r="E113" s="69"/>
      <c r="F113" s="69"/>
      <c r="G113" s="69"/>
      <c r="H113" s="69"/>
      <c r="I113" s="69"/>
      <c r="J113" s="69"/>
      <c r="K113" s="69"/>
      <c r="L113" s="69"/>
      <c r="M113" s="69"/>
      <c r="N113" s="69"/>
      <c r="O113" s="69"/>
      <c r="P113" s="69"/>
      <c r="Q113" s="69"/>
      <c r="R113" s="69"/>
      <c r="S113" s="69"/>
      <c r="T113" t="s">
        <v>279</v>
      </c>
      <c r="U113" t="s">
        <v>13</v>
      </c>
      <c r="V113" t="s">
        <v>17</v>
      </c>
      <c r="W113" t="s">
        <v>21</v>
      </c>
      <c r="X113" t="s">
        <v>25</v>
      </c>
      <c r="Y113" t="s">
        <v>29</v>
      </c>
      <c r="Z113" t="s">
        <v>280</v>
      </c>
    </row>
    <row r="114" spans="1:26" ht="19.95" customHeight="1" x14ac:dyDescent="0.3">
      <c r="A114" s="69"/>
      <c r="B114" s="69"/>
      <c r="C114" s="69"/>
      <c r="D114" s="69"/>
      <c r="E114" s="69"/>
      <c r="F114" s="69"/>
      <c r="G114" s="69"/>
      <c r="H114" s="69"/>
      <c r="I114" s="69"/>
      <c r="J114" s="69"/>
      <c r="K114" s="69"/>
      <c r="L114" s="69"/>
      <c r="M114" s="69"/>
      <c r="N114" s="69"/>
      <c r="O114" s="69"/>
      <c r="P114" s="69"/>
      <c r="Q114" s="69"/>
      <c r="R114" s="69"/>
      <c r="S114" s="69"/>
      <c r="T114" t="s">
        <v>58</v>
      </c>
      <c r="U114" s="72">
        <f>IF(ISNUMBER(KOHC!D128),KOHC!D128,NA())</f>
        <v>0.24796341300828931</v>
      </c>
      <c r="V114" s="72">
        <f>IF(ISNUMBER(LUCK!D128),LUCK!D128,NA())</f>
        <v>0.30117079055471246</v>
      </c>
      <c r="W114" s="72">
        <f>IF(ISNUMBER(DGKC!D128),DGKC!D128,NA())</f>
        <v>0.17894713739497631</v>
      </c>
      <c r="X114" s="72">
        <f>IF(ISNUMBER(MLCF!D128),MLCF!D128,NA())</f>
        <v>0.20830714445240356</v>
      </c>
      <c r="Y114" s="72">
        <f>IF(ISNUMBER(FCCL!D128),FCCL!D128,NA())</f>
        <v>0.24985924725452316</v>
      </c>
      <c r="Z114" s="72">
        <f>'Industry Averages'!D127</f>
        <v>0.23724954653298097</v>
      </c>
    </row>
    <row r="115" spans="1:26" ht="19.95" customHeight="1" x14ac:dyDescent="0.3">
      <c r="A115" s="69"/>
      <c r="B115" s="69"/>
      <c r="C115" s="69"/>
      <c r="D115" s="69"/>
      <c r="E115" s="69"/>
      <c r="F115" s="69"/>
      <c r="G115" s="69"/>
      <c r="H115" s="69"/>
      <c r="I115" s="69"/>
      <c r="J115" s="69"/>
      <c r="K115" s="69"/>
      <c r="L115" s="69"/>
      <c r="M115" s="69"/>
      <c r="N115" s="69"/>
      <c r="O115" s="69"/>
      <c r="P115" s="69"/>
      <c r="Q115" s="69"/>
      <c r="R115" s="69"/>
      <c r="S115" s="69"/>
      <c r="T115" t="s">
        <v>59</v>
      </c>
      <c r="U115" s="72">
        <f>IF(ISNUMBER(KOHC!E128),KOHC!E128,NA())</f>
        <v>0.29843914213509881</v>
      </c>
      <c r="V115" s="72">
        <f>IF(ISNUMBER(LUCK!E128),LUCK!E128,NA())</f>
        <v>0.27809669144361399</v>
      </c>
      <c r="W115" s="72">
        <f>IF(ISNUMBER(DGKC!E128),DGKC!E128,NA())</f>
        <v>0.17966261135996409</v>
      </c>
      <c r="X115" s="72">
        <f>IF(ISNUMBER(MLCF!E128),MLCF!E128,NA())</f>
        <v>0.25300003367709667</v>
      </c>
      <c r="Y115" s="72">
        <f>IF(ISNUMBER(FCCL!E128),FCCL!E128,NA())</f>
        <v>0.28507903988852556</v>
      </c>
      <c r="Z115" s="72">
        <f>'Industry Averages'!E127</f>
        <v>0.25885550370085986</v>
      </c>
    </row>
    <row r="116" spans="1:26" ht="19.95" customHeight="1" x14ac:dyDescent="0.3">
      <c r="A116" s="69"/>
      <c r="B116" s="69"/>
      <c r="C116" s="69"/>
      <c r="D116" s="69"/>
      <c r="E116" s="69"/>
      <c r="F116" s="69"/>
      <c r="G116" s="69"/>
      <c r="H116" s="69"/>
      <c r="I116" s="69"/>
      <c r="J116" s="69"/>
      <c r="K116" s="69"/>
      <c r="L116" s="69"/>
      <c r="M116" s="69"/>
      <c r="N116" s="69"/>
      <c r="O116" s="69"/>
      <c r="P116" s="69"/>
      <c r="Q116" s="69"/>
      <c r="R116" s="69"/>
      <c r="S116" s="69"/>
      <c r="T116" t="s">
        <v>60</v>
      </c>
      <c r="U116" s="72">
        <f>IF(ISNUMBER(KOHC!F128),KOHC!F128,NA())</f>
        <v>0.26804356818989611</v>
      </c>
      <c r="V116" s="72">
        <f>IF(ISNUMBER(LUCK!F128),LUCK!F128,NA())</f>
        <v>0.27194087595679139</v>
      </c>
      <c r="W116" s="72">
        <f>IF(ISNUMBER(DGKC!F128),DGKC!F128,NA())</f>
        <v>0.14704852458583501</v>
      </c>
      <c r="X116" s="72">
        <f>IF(ISNUMBER(MLCF!F128),MLCF!F128,NA())</f>
        <v>0.29276322471727417</v>
      </c>
      <c r="Y116" s="72">
        <f>IF(ISNUMBER(FCCL!F128),FCCL!F128,NA())</f>
        <v>0.29996604048210768</v>
      </c>
      <c r="Z116" s="72">
        <f>'Industry Averages'!F127</f>
        <v>0.25595244678638085</v>
      </c>
    </row>
    <row r="117" spans="1:26" ht="19.95" customHeight="1" x14ac:dyDescent="0.3">
      <c r="A117" s="69"/>
      <c r="B117" s="69"/>
      <c r="C117" s="69"/>
      <c r="D117" s="69"/>
      <c r="E117" s="69"/>
      <c r="F117" s="69"/>
      <c r="G117" s="69"/>
      <c r="H117" s="69"/>
      <c r="I117" s="69"/>
      <c r="J117" s="69"/>
      <c r="K117" s="69"/>
      <c r="L117" s="69"/>
      <c r="M117" s="69"/>
      <c r="N117" s="69"/>
      <c r="O117" s="69"/>
      <c r="P117" s="69"/>
      <c r="Q117" s="69"/>
      <c r="R117" s="69"/>
      <c r="S117" s="69"/>
      <c r="T117" t="s">
        <v>61</v>
      </c>
      <c r="U117" s="72">
        <f>IF(ISNUMBER(KOHC!G128),KOHC!G128,NA())</f>
        <v>0.29125851467425595</v>
      </c>
      <c r="V117" s="72">
        <f>IF(ISNUMBER(LUCK!G128),LUCK!G128,NA())</f>
        <v>0.33648030796321582</v>
      </c>
      <c r="W117" s="72">
        <f>IF(ISNUMBER(DGKC!G128),DGKC!G128,NA())</f>
        <v>0.15942563608432631</v>
      </c>
      <c r="X117" s="72">
        <f>IF(ISNUMBER(MLCF!G128),MLCF!G128,NA())</f>
        <v>0.31547845382378364</v>
      </c>
      <c r="Y117" s="72">
        <f>IF(ISNUMBER(FCCL!G128),FCCL!G128,NA())</f>
        <v>0.32089986350224731</v>
      </c>
      <c r="Z117" s="72">
        <f>'Industry Averages'!G127</f>
        <v>0.28470855520956578</v>
      </c>
    </row>
    <row r="118" spans="1:26" ht="19.95" customHeight="1" x14ac:dyDescent="0.3">
      <c r="A118" s="69"/>
      <c r="B118" s="69"/>
      <c r="C118" s="69"/>
      <c r="D118" s="69"/>
      <c r="E118" s="69"/>
      <c r="F118" s="69"/>
      <c r="G118" s="69"/>
      <c r="H118" s="69"/>
      <c r="I118" s="69"/>
      <c r="J118" s="69"/>
      <c r="K118" s="69"/>
      <c r="L118" s="69"/>
      <c r="M118" s="69"/>
      <c r="N118" s="69"/>
      <c r="O118" s="69"/>
      <c r="P118" s="69"/>
      <c r="Q118" s="69"/>
      <c r="R118" s="69"/>
      <c r="S118" s="69"/>
      <c r="T118" t="s">
        <v>62</v>
      </c>
      <c r="U118" s="72">
        <f>IF(ISNUMBER(KOHC!H128),KOHC!H128,NA())</f>
        <v>0.39220278175445145</v>
      </c>
      <c r="V118" s="72">
        <f>IF(ISNUMBER(LUCK!H128),LUCK!H128,NA())</f>
        <v>0.34281652982067301</v>
      </c>
      <c r="W118" s="72">
        <f>IF(ISNUMBER(DGKC!H128),DGKC!H128,NA())</f>
        <v>0.25740632547300923</v>
      </c>
      <c r="X118" s="72">
        <f>IF(ISNUMBER(MLCF!H128),MLCF!H128,NA())</f>
        <v>0.34444405990469212</v>
      </c>
      <c r="Y118" s="72">
        <f>IF(ISNUMBER(FCCL!H128),FCCL!H128,NA())</f>
        <v>0.35490842202929052</v>
      </c>
      <c r="Z118" s="72">
        <f>'Industry Averages'!H127</f>
        <v>0.33835562379642325</v>
      </c>
    </row>
    <row r="119" spans="1:26" ht="19.95" customHeight="1" x14ac:dyDescent="0.3">
      <c r="A119" s="69"/>
      <c r="B119" s="69"/>
      <c r="C119" s="69"/>
      <c r="D119" s="69"/>
      <c r="E119" s="69"/>
      <c r="F119" s="69"/>
      <c r="G119" s="69"/>
      <c r="H119" s="69"/>
      <c r="I119" s="69"/>
      <c r="J119" s="69"/>
      <c r="K119" s="69"/>
      <c r="L119" s="69"/>
      <c r="M119" s="69"/>
      <c r="N119" s="69"/>
      <c r="O119" s="69"/>
      <c r="P119" s="69"/>
      <c r="Q119" s="69"/>
      <c r="R119" s="69"/>
      <c r="S119" s="69"/>
    </row>
    <row r="120" spans="1:26" ht="19.95" customHeight="1" x14ac:dyDescent="0.3">
      <c r="A120" s="69"/>
      <c r="B120" s="69"/>
      <c r="C120" s="69"/>
      <c r="D120" s="69"/>
      <c r="E120" s="69"/>
      <c r="F120" s="69"/>
      <c r="G120" s="69"/>
      <c r="H120" s="69"/>
      <c r="I120" s="69"/>
      <c r="J120" s="69"/>
      <c r="K120" s="69"/>
      <c r="L120" s="69"/>
      <c r="M120" s="69"/>
      <c r="N120" s="69"/>
      <c r="O120" s="69"/>
      <c r="P120" s="69"/>
      <c r="Q120" s="69"/>
      <c r="R120" s="69"/>
      <c r="S120" s="69"/>
    </row>
    <row r="121" spans="1:26" ht="19.95" customHeight="1" x14ac:dyDescent="0.3">
      <c r="A121" s="97" t="s">
        <v>288</v>
      </c>
      <c r="B121" s="97"/>
      <c r="C121" s="97"/>
      <c r="D121" s="97"/>
      <c r="E121" s="97"/>
      <c r="F121" s="97"/>
      <c r="G121" s="97"/>
      <c r="H121" s="97"/>
      <c r="I121" s="97"/>
      <c r="J121" s="97"/>
      <c r="K121" s="97"/>
      <c r="L121" s="97"/>
      <c r="M121" s="97"/>
      <c r="N121" s="97"/>
      <c r="O121" s="97"/>
      <c r="P121" s="97"/>
      <c r="Q121" s="97"/>
      <c r="R121" s="97"/>
      <c r="S121" s="97"/>
      <c r="T121" t="s">
        <v>279</v>
      </c>
      <c r="U121" t="s">
        <v>13</v>
      </c>
      <c r="V121" t="s">
        <v>17</v>
      </c>
      <c r="W121" t="s">
        <v>21</v>
      </c>
      <c r="X121" t="s">
        <v>25</v>
      </c>
      <c r="Y121" t="s">
        <v>29</v>
      </c>
      <c r="Z121" t="s">
        <v>280</v>
      </c>
    </row>
    <row r="122" spans="1:26" ht="19.95" customHeight="1" x14ac:dyDescent="0.3">
      <c r="A122" s="69"/>
      <c r="B122" s="69"/>
      <c r="C122" s="69"/>
      <c r="D122" s="69"/>
      <c r="E122" s="69"/>
      <c r="F122" s="69"/>
      <c r="G122" s="69"/>
      <c r="H122" s="69"/>
      <c r="I122" s="69"/>
      <c r="J122" s="69"/>
      <c r="K122" s="69"/>
      <c r="L122" s="69"/>
      <c r="M122" s="69"/>
      <c r="N122" s="69"/>
      <c r="O122" s="69"/>
      <c r="P122" s="69"/>
      <c r="Q122" s="69"/>
      <c r="R122" s="69"/>
      <c r="S122" s="69"/>
      <c r="T122" t="s">
        <v>58</v>
      </c>
      <c r="U122" s="72">
        <f>IF(ISNUMBER(KOHC!D129),KOHC!D129,NA())</f>
        <v>0.223476531263751</v>
      </c>
      <c r="V122" s="72">
        <f>IF(ISNUMBER(LUCK!D129),LUCK!D129,NA())</f>
        <v>0.27526050866365631</v>
      </c>
      <c r="W122" s="72">
        <f>IF(ISNUMBER(DGKC!D129),DGKC!D129,NA())</f>
        <v>0.16976072150890459</v>
      </c>
      <c r="X122" s="72">
        <f>IF(ISNUMBER(MLCF!D129),MLCF!D129,NA())</f>
        <v>0.24584402613957254</v>
      </c>
      <c r="Y122" s="72">
        <f>IF(ISNUMBER(FCCL!D129),FCCL!D129,NA())</f>
        <v>0.2142368646736256</v>
      </c>
      <c r="Z122" s="72">
        <f>'Industry Averages'!D135</f>
        <v>0.22571573044990201</v>
      </c>
    </row>
    <row r="123" spans="1:26" ht="19.95" customHeight="1" x14ac:dyDescent="0.3">
      <c r="A123" s="69"/>
      <c r="B123" s="69"/>
      <c r="C123" s="69"/>
      <c r="D123" s="69"/>
      <c r="E123" s="69"/>
      <c r="F123" s="69"/>
      <c r="G123" s="69"/>
      <c r="H123" s="69"/>
      <c r="I123" s="69"/>
      <c r="J123" s="69"/>
      <c r="K123" s="69"/>
      <c r="L123" s="69"/>
      <c r="M123" s="69"/>
      <c r="N123" s="69"/>
      <c r="O123" s="69"/>
      <c r="P123" s="69"/>
      <c r="Q123" s="69"/>
      <c r="R123" s="69"/>
      <c r="S123" s="69"/>
      <c r="T123" t="s">
        <v>59</v>
      </c>
      <c r="U123" s="72">
        <f>IF(ISNUMBER(KOHC!E129),KOHC!E129,NA())</f>
        <v>0.28715637280086448</v>
      </c>
      <c r="V123" s="72">
        <f>IF(ISNUMBER(LUCK!E129),LUCK!E129,NA())</f>
        <v>0.26901961654768358</v>
      </c>
      <c r="W123" s="72">
        <f>IF(ISNUMBER(DGKC!E129),DGKC!E129,NA())</f>
        <v>0.1647791429733062</v>
      </c>
      <c r="X123" s="72">
        <f>IF(ISNUMBER(MLCF!E129),MLCF!E129,NA())</f>
        <v>0.18288553443388325</v>
      </c>
      <c r="Y123" s="72">
        <f>IF(ISNUMBER(FCCL!E129),FCCL!E129,NA())</f>
        <v>0.23087384099122032</v>
      </c>
      <c r="Z123" s="72">
        <f>'Industry Averages'!E135</f>
        <v>0.22694290154939156</v>
      </c>
    </row>
    <row r="124" spans="1:26" ht="19.95" customHeight="1" x14ac:dyDescent="0.3">
      <c r="A124" s="69"/>
      <c r="B124" s="69"/>
      <c r="C124" s="69"/>
      <c r="D124" s="69"/>
      <c r="E124" s="69"/>
      <c r="F124" s="69"/>
      <c r="G124" s="69"/>
      <c r="H124" s="69"/>
      <c r="I124" s="69"/>
      <c r="J124" s="69"/>
      <c r="K124" s="69"/>
      <c r="L124" s="69"/>
      <c r="M124" s="69"/>
      <c r="N124" s="69"/>
      <c r="O124" s="69"/>
      <c r="P124" s="69"/>
      <c r="Q124" s="69"/>
      <c r="R124" s="69"/>
      <c r="S124" s="69"/>
      <c r="T124" t="s">
        <v>60</v>
      </c>
      <c r="U124" s="72">
        <f>IF(ISNUMBER(KOHC!F129),KOHC!F129,NA())</f>
        <v>0.28654734202991289</v>
      </c>
      <c r="V124" s="72">
        <f>IF(ISNUMBER(LUCK!F129),LUCK!F129,NA())</f>
        <v>0.23480711540356072</v>
      </c>
      <c r="W124" s="72">
        <f>IF(ISNUMBER(DGKC!F129),DGKC!F129,NA())</f>
        <v>0.15182766799754666</v>
      </c>
      <c r="X124" s="72">
        <f>IF(ISNUMBER(MLCF!F129),MLCF!F129,NA())</f>
        <v>0.19224796146239193</v>
      </c>
      <c r="Y124" s="72">
        <f>IF(ISNUMBER(FCCL!F129),FCCL!F129,NA())</f>
        <v>0.22807525720632701</v>
      </c>
      <c r="Z124" s="72">
        <f>'Industry Averages'!F135</f>
        <v>0.21870106881994783</v>
      </c>
    </row>
    <row r="125" spans="1:26" ht="19.95" customHeight="1" x14ac:dyDescent="0.3">
      <c r="A125" s="69"/>
      <c r="B125" s="69"/>
      <c r="C125" s="69"/>
      <c r="D125" s="69"/>
      <c r="E125" s="69"/>
      <c r="F125" s="69"/>
      <c r="G125" s="69"/>
      <c r="H125" s="69"/>
      <c r="I125" s="69"/>
      <c r="J125" s="69"/>
      <c r="K125" s="69"/>
      <c r="L125" s="69"/>
      <c r="M125" s="69"/>
      <c r="N125" s="69"/>
      <c r="O125" s="69"/>
      <c r="P125" s="69"/>
      <c r="Q125" s="69"/>
      <c r="R125" s="69"/>
      <c r="S125" s="69"/>
      <c r="T125" t="s">
        <v>61</v>
      </c>
      <c r="U125" s="72">
        <f>IF(ISNUMBER(KOHC!G129),KOHC!G129,NA())</f>
        <v>0.37317728789535698</v>
      </c>
      <c r="V125" s="72">
        <f>IF(ISNUMBER(LUCK!G129),LUCK!G129,NA())</f>
        <v>0.37240945675047471</v>
      </c>
      <c r="W125" s="72">
        <f>IF(ISNUMBER(DGKC!G129),DGKC!G129,NA())</f>
        <v>0.16299366572828242</v>
      </c>
      <c r="X125" s="72">
        <f>IF(ISNUMBER(MLCF!G129),MLCF!G129,NA())</f>
        <v>0.19543128859795894</v>
      </c>
      <c r="Y125" s="72">
        <f>IF(ISNUMBER(FCCL!G129),FCCL!G129,NA())</f>
        <v>0.26089810857755552</v>
      </c>
      <c r="Z125" s="72">
        <f>'Industry Averages'!G135</f>
        <v>0.27298196150992571</v>
      </c>
    </row>
    <row r="126" spans="1:26" ht="19.95" customHeight="1" x14ac:dyDescent="0.3">
      <c r="A126" s="69"/>
      <c r="B126" s="69"/>
      <c r="C126" s="69"/>
      <c r="D126" s="69"/>
      <c r="E126" s="69"/>
      <c r="F126" s="69"/>
      <c r="G126" s="69"/>
      <c r="H126" s="69"/>
      <c r="I126" s="69"/>
      <c r="J126" s="69"/>
      <c r="K126" s="69"/>
      <c r="L126" s="69"/>
      <c r="M126" s="69"/>
      <c r="N126" s="69"/>
      <c r="O126" s="69"/>
      <c r="P126" s="69"/>
      <c r="Q126" s="69"/>
      <c r="R126" s="69"/>
      <c r="S126" s="69"/>
      <c r="T126" t="s">
        <v>62</v>
      </c>
      <c r="U126" s="72">
        <f>IF(ISNUMBER(KOHC!H129),KOHC!H129,NA())</f>
        <v>0.48095636892569549</v>
      </c>
      <c r="V126" s="72">
        <f>IF(ISNUMBER(LUCK!H129),LUCK!H129,NA())</f>
        <v>0.39071901522799324</v>
      </c>
      <c r="W126" s="72">
        <f>IF(ISNUMBER(DGKC!H129),DGKC!H129,NA())</f>
        <v>0.23397808045883622</v>
      </c>
      <c r="X126" s="72">
        <f>IF(ISNUMBER(MLCF!H129),MLCF!H129,NA())</f>
        <v>0.36375545770453227</v>
      </c>
      <c r="Y126" s="72">
        <f>IF(ISNUMBER(FCCL!H129),FCCL!H129,NA())</f>
        <v>0.3057657460861018</v>
      </c>
      <c r="Z126" s="72">
        <f>'Industry Averages'!H135</f>
        <v>0.35503493368063183</v>
      </c>
    </row>
    <row r="127" spans="1:26" ht="19.95" customHeight="1" x14ac:dyDescent="0.3">
      <c r="A127" s="69"/>
      <c r="B127" s="69"/>
      <c r="C127" s="69"/>
      <c r="D127" s="69"/>
      <c r="E127" s="69"/>
      <c r="F127" s="69"/>
      <c r="G127" s="69"/>
      <c r="H127" s="69"/>
      <c r="I127" s="69"/>
      <c r="J127" s="69"/>
      <c r="K127" s="69"/>
      <c r="L127" s="69"/>
      <c r="M127" s="69"/>
      <c r="N127" s="69"/>
      <c r="O127" s="69"/>
      <c r="P127" s="69"/>
      <c r="Q127" s="69"/>
      <c r="R127" s="69"/>
      <c r="S127" s="69"/>
    </row>
    <row r="128" spans="1:26" ht="19.95" customHeight="1" x14ac:dyDescent="0.3">
      <c r="A128" s="69"/>
      <c r="B128" s="69"/>
      <c r="C128" s="69"/>
      <c r="D128" s="69"/>
      <c r="E128" s="69"/>
      <c r="F128" s="69"/>
      <c r="G128" s="69"/>
      <c r="H128" s="69"/>
      <c r="I128" s="69"/>
      <c r="J128" s="69"/>
      <c r="K128" s="69"/>
      <c r="L128" s="69"/>
      <c r="M128" s="69"/>
      <c r="N128" s="69"/>
      <c r="O128" s="69"/>
      <c r="P128" s="69"/>
      <c r="Q128" s="69"/>
      <c r="R128" s="69"/>
      <c r="S128" s="69"/>
    </row>
    <row r="129" spans="1:26" ht="19.95" customHeight="1" x14ac:dyDescent="0.3">
      <c r="A129" s="69"/>
      <c r="B129" s="69"/>
      <c r="C129" s="69"/>
      <c r="D129" s="69"/>
      <c r="E129" s="69"/>
      <c r="F129" s="69"/>
      <c r="G129" s="69"/>
      <c r="H129" s="69"/>
      <c r="I129" s="69"/>
      <c r="J129" s="69"/>
      <c r="K129" s="69"/>
      <c r="L129" s="69"/>
      <c r="M129" s="69"/>
      <c r="N129" s="69"/>
      <c r="O129" s="69"/>
      <c r="P129" s="69"/>
      <c r="Q129" s="69"/>
      <c r="R129" s="69"/>
      <c r="S129" s="69"/>
      <c r="T129" t="s">
        <v>279</v>
      </c>
      <c r="U129" t="s">
        <v>13</v>
      </c>
      <c r="V129" t="s">
        <v>17</v>
      </c>
      <c r="W129" t="s">
        <v>21</v>
      </c>
      <c r="X129" t="s">
        <v>25</v>
      </c>
      <c r="Y129" t="s">
        <v>29</v>
      </c>
      <c r="Z129" t="s">
        <v>280</v>
      </c>
    </row>
    <row r="130" spans="1:26" ht="19.95" customHeight="1" x14ac:dyDescent="0.3">
      <c r="A130" s="69"/>
      <c r="B130" s="69"/>
      <c r="C130" s="69"/>
      <c r="D130" s="69"/>
      <c r="E130" s="69"/>
      <c r="F130" s="69"/>
      <c r="G130" s="69"/>
      <c r="H130" s="69"/>
      <c r="I130" s="69"/>
      <c r="J130" s="69"/>
      <c r="K130" s="69"/>
      <c r="L130" s="69"/>
      <c r="M130" s="69"/>
      <c r="N130" s="69"/>
      <c r="O130" s="69"/>
      <c r="P130" s="69"/>
      <c r="Q130" s="69"/>
      <c r="R130" s="69"/>
      <c r="S130" s="69"/>
      <c r="T130" t="s">
        <v>58</v>
      </c>
      <c r="U130" s="72">
        <f>IF(ISNUMBER(KOHC!D130),KOHC!D130,NA())</f>
        <v>0.1453819089897026</v>
      </c>
      <c r="V130" s="72">
        <f>IF(ISNUMBER(LUCK!D130),LUCK!D130,NA())</f>
        <v>0.22354637821997994</v>
      </c>
      <c r="W130" s="72">
        <f>IF(ISNUMBER(DGKC!D130),DGKC!D130,NA())</f>
        <v>8.2497529800351119E-2</v>
      </c>
      <c r="X130" s="72">
        <f>IF(ISNUMBER(MLCF!D130),MLCF!D130,NA())</f>
        <v>0.1759822170452098</v>
      </c>
      <c r="Y130" s="72">
        <f>IF(ISNUMBER(FCCL!D130),FCCL!D130,NA())</f>
        <v>0.14302295902338913</v>
      </c>
      <c r="Z130" s="72">
        <f>'Industry Averages'!D143</f>
        <v>0.15408619861572653</v>
      </c>
    </row>
    <row r="131" spans="1:26" ht="19.95" customHeight="1" x14ac:dyDescent="0.3">
      <c r="A131" s="69"/>
      <c r="B131" s="69"/>
      <c r="C131" s="69"/>
      <c r="D131" s="69"/>
      <c r="E131" s="69"/>
      <c r="F131" s="69"/>
      <c r="G131" s="69"/>
      <c r="H131" s="69"/>
      <c r="I131" s="69"/>
      <c r="J131" s="69"/>
      <c r="K131" s="69"/>
      <c r="L131" s="69"/>
      <c r="M131" s="69"/>
      <c r="N131" s="69"/>
      <c r="O131" s="69"/>
      <c r="P131" s="69"/>
      <c r="Q131" s="69"/>
      <c r="R131" s="69"/>
      <c r="S131" s="69"/>
      <c r="T131" t="s">
        <v>59</v>
      </c>
      <c r="U131" s="72">
        <f>IF(ISNUMBER(KOHC!E130),KOHC!E130,NA())</f>
        <v>0.15282075695786385</v>
      </c>
      <c r="V131" s="72">
        <f>IF(ISNUMBER(LUCK!E130),LUCK!E130,NA())</f>
        <v>0.18865400166042842</v>
      </c>
      <c r="W131" s="72">
        <f>IF(ISNUMBER(DGKC!E130),DGKC!E130,NA())</f>
        <v>5.120493100192175E-2</v>
      </c>
      <c r="X131" s="72">
        <f>IF(ISNUMBER(MLCF!E130),MLCF!E130,NA())</f>
        <v>7.4739658936337147E-2</v>
      </c>
      <c r="Y131" s="72">
        <f>IF(ISNUMBER(FCCL!E130),FCCL!E130,NA())</f>
        <v>0.13112336204567002</v>
      </c>
      <c r="Z131" s="72">
        <f>'Industry Averages'!E143</f>
        <v>0.11970854212044424</v>
      </c>
    </row>
    <row r="132" spans="1:26" ht="19.95" customHeight="1" x14ac:dyDescent="0.3">
      <c r="A132" s="69"/>
      <c r="B132" s="69"/>
      <c r="C132" s="69"/>
      <c r="D132" s="69"/>
      <c r="E132" s="69"/>
      <c r="F132" s="69"/>
      <c r="G132" s="69"/>
      <c r="H132" s="69"/>
      <c r="I132" s="69"/>
      <c r="J132" s="69"/>
      <c r="K132" s="69"/>
      <c r="L132" s="69"/>
      <c r="M132" s="69"/>
      <c r="N132" s="69"/>
      <c r="O132" s="69"/>
      <c r="P132" s="69"/>
      <c r="Q132" s="69"/>
      <c r="R132" s="69"/>
      <c r="S132" s="69"/>
      <c r="T132" t="s">
        <v>60</v>
      </c>
      <c r="U132" s="72">
        <f>IF(ISNUMBER(KOHC!F130),KOHC!F130,NA())</f>
        <v>0.14955052871384544</v>
      </c>
      <c r="V132" s="72">
        <f>IF(ISNUMBER(LUCK!F130),LUCK!F130,NA())</f>
        <v>0.14322765825125466</v>
      </c>
      <c r="W132" s="72" t="e">
        <f>IF(ISNUMBER(DGKC!F130),DGKC!F130,NA())</f>
        <v>#N/A</v>
      </c>
      <c r="X132" s="72">
        <f>IF(ISNUMBER(MLCF!F130),MLCF!F130,NA())</f>
        <v>7.2358441549152441E-2</v>
      </c>
      <c r="Y132" s="72">
        <f>IF(ISNUMBER(FCCL!F130),FCCL!F130,NA())</f>
        <v>0.10929571726641699</v>
      </c>
      <c r="Z132" s="72">
        <f>'Industry Averages'!F143</f>
        <v>0.11860808644516738</v>
      </c>
    </row>
    <row r="133" spans="1:26" ht="19.95" customHeight="1" x14ac:dyDescent="0.3">
      <c r="A133" s="69"/>
      <c r="B133" s="69"/>
      <c r="C133" s="69"/>
      <c r="D133" s="69"/>
      <c r="E133" s="69"/>
      <c r="F133" s="69"/>
      <c r="G133" s="69"/>
      <c r="H133" s="69"/>
      <c r="I133" s="69"/>
      <c r="J133" s="69"/>
      <c r="K133" s="69"/>
      <c r="L133" s="69"/>
      <c r="M133" s="69"/>
      <c r="N133" s="69"/>
      <c r="O133" s="69"/>
      <c r="P133" s="69"/>
      <c r="Q133" s="69"/>
      <c r="R133" s="69"/>
      <c r="S133" s="69"/>
      <c r="T133" t="s">
        <v>61</v>
      </c>
      <c r="U133" s="72">
        <f>IF(ISNUMBER(KOHC!G130),KOHC!G130,NA())</f>
        <v>0.23011561219895646</v>
      </c>
      <c r="V133" s="72">
        <f>IF(ISNUMBER(LUCK!G130),LUCK!G130,NA())</f>
        <v>0.24371604713228476</v>
      </c>
      <c r="W133" s="72">
        <f>IF(ISNUMBER(DGKC!G130),DGKC!G130,NA())</f>
        <v>8.2133065966830711E-3</v>
      </c>
      <c r="X133" s="72">
        <f>IF(ISNUMBER(MLCF!G130),MLCF!G130,NA())</f>
        <v>7.9342975209845082E-2</v>
      </c>
      <c r="Y133" s="72">
        <f>IF(ISNUMBER(FCCL!G130),FCCL!G130,NA())</f>
        <v>0.10275526425549537</v>
      </c>
      <c r="Z133" s="72">
        <f>'Industry Averages'!G143</f>
        <v>0.13282864107865294</v>
      </c>
    </row>
    <row r="134" spans="1:26" ht="19.95" customHeight="1" x14ac:dyDescent="0.3">
      <c r="A134" s="69"/>
      <c r="B134" s="69"/>
      <c r="C134" s="69"/>
      <c r="D134" s="69"/>
      <c r="E134" s="69"/>
      <c r="F134" s="69"/>
      <c r="G134" s="69"/>
      <c r="H134" s="69"/>
      <c r="I134" s="69"/>
      <c r="J134" s="69"/>
      <c r="K134" s="69"/>
      <c r="L134" s="69"/>
      <c r="M134" s="69"/>
      <c r="N134" s="69"/>
      <c r="O134" s="69"/>
      <c r="P134" s="69"/>
      <c r="Q134" s="69"/>
      <c r="R134" s="69"/>
      <c r="S134" s="69"/>
      <c r="T134" t="s">
        <v>62</v>
      </c>
      <c r="U134" s="72">
        <f>IF(ISNUMBER(KOHC!H130),KOHC!H130,NA())</f>
        <v>0.30837719707594857</v>
      </c>
      <c r="V134" s="72">
        <f>IF(ISNUMBER(LUCK!H130),LUCK!H130,NA())</f>
        <v>0.26577542757733763</v>
      </c>
      <c r="W134" s="72">
        <f>IF(ISNUMBER(DGKC!H130),DGKC!H130,NA())</f>
        <v>0.12066652759857006</v>
      </c>
      <c r="X134" s="72">
        <f>IF(ISNUMBER(MLCF!H130),MLCF!H130,NA())</f>
        <v>0.24711008947956384</v>
      </c>
      <c r="Y134" s="72">
        <f>IF(ISNUMBER(FCCL!H130),FCCL!H130,NA())</f>
        <v>0.14980611609777766</v>
      </c>
      <c r="Z134" s="72">
        <f>'Industry Averages'!H143</f>
        <v>0.21834707156583955</v>
      </c>
    </row>
    <row r="135" spans="1:26" ht="19.95" customHeight="1" x14ac:dyDescent="0.3">
      <c r="A135" s="69"/>
      <c r="B135" s="69"/>
      <c r="C135" s="69"/>
      <c r="D135" s="69"/>
      <c r="E135" s="69"/>
      <c r="F135" s="69"/>
      <c r="G135" s="69"/>
      <c r="H135" s="69"/>
      <c r="I135" s="69"/>
      <c r="J135" s="69"/>
      <c r="K135" s="69"/>
      <c r="L135" s="69"/>
      <c r="M135" s="69"/>
      <c r="N135" s="69"/>
      <c r="O135" s="69"/>
      <c r="P135" s="69"/>
      <c r="Q135" s="69"/>
      <c r="R135" s="69"/>
      <c r="S135" s="69"/>
    </row>
    <row r="136" spans="1:26" ht="19.95" customHeight="1" x14ac:dyDescent="0.3">
      <c r="A136" s="69"/>
      <c r="B136" s="69"/>
      <c r="C136" s="69"/>
      <c r="D136" s="69"/>
      <c r="E136" s="69"/>
      <c r="F136" s="69"/>
      <c r="G136" s="69"/>
      <c r="H136" s="69"/>
      <c r="I136" s="69"/>
      <c r="J136" s="69"/>
      <c r="K136" s="69"/>
      <c r="L136" s="69"/>
      <c r="M136" s="69"/>
      <c r="N136" s="69"/>
      <c r="O136" s="69"/>
      <c r="P136" s="69"/>
      <c r="Q136" s="69"/>
      <c r="R136" s="69"/>
      <c r="S136" s="69"/>
    </row>
    <row r="137" spans="1:26" ht="19.95" customHeight="1" x14ac:dyDescent="0.3">
      <c r="A137" s="69"/>
      <c r="B137" s="69"/>
      <c r="C137" s="69"/>
      <c r="D137" s="69"/>
      <c r="E137" s="69"/>
      <c r="F137" s="69"/>
      <c r="G137" s="69"/>
      <c r="H137" s="69"/>
      <c r="I137" s="69"/>
      <c r="J137" s="69"/>
      <c r="K137" s="69"/>
      <c r="L137" s="69"/>
      <c r="M137" s="69"/>
      <c r="N137" s="69"/>
      <c r="O137" s="69"/>
      <c r="P137" s="69"/>
      <c r="Q137" s="69"/>
      <c r="R137" s="69"/>
      <c r="S137" s="69"/>
      <c r="T137" t="s">
        <v>279</v>
      </c>
      <c r="U137" t="s">
        <v>13</v>
      </c>
      <c r="V137" t="s">
        <v>17</v>
      </c>
      <c r="W137" t="s">
        <v>21</v>
      </c>
      <c r="X137" t="s">
        <v>25</v>
      </c>
      <c r="Y137" t="s">
        <v>29</v>
      </c>
      <c r="Z137" t="s">
        <v>280</v>
      </c>
    </row>
    <row r="138" spans="1:26" ht="19.95" customHeight="1" x14ac:dyDescent="0.3">
      <c r="A138" s="69"/>
      <c r="B138" s="69"/>
      <c r="C138" s="69"/>
      <c r="D138" s="69"/>
      <c r="E138" s="69"/>
      <c r="F138" s="69"/>
      <c r="G138" s="69"/>
      <c r="H138" s="69"/>
      <c r="I138" s="69"/>
      <c r="J138" s="69"/>
      <c r="K138" s="69"/>
      <c r="L138" s="69"/>
      <c r="M138" s="69"/>
      <c r="N138" s="69"/>
      <c r="O138" s="69"/>
      <c r="P138" s="69"/>
      <c r="Q138" s="69"/>
      <c r="R138" s="69"/>
      <c r="S138" s="69"/>
      <c r="T138" t="s">
        <v>58</v>
      </c>
      <c r="U138" s="72">
        <f>IF(ISNUMBER(KOHC!D131),KOHC!D131,NA())</f>
        <v>9.6918969746585204E-2</v>
      </c>
      <c r="V138" s="72">
        <f>IF(ISNUMBER(LUCK!D131),LUCK!D131,NA())</f>
        <v>8.9981220078048957E-2</v>
      </c>
      <c r="W138" s="72">
        <f>IF(ISNUMBER(DGKC!D131),DGKC!D131,NA())</f>
        <v>2.6986338713228402E-2</v>
      </c>
      <c r="X138" s="72">
        <f>IF(ISNUMBER(MLCF!D131),MLCF!D131,NA())</f>
        <v>9.4416925860816264E-2</v>
      </c>
      <c r="Y138" s="72">
        <f>IF(ISNUMBER(FCCL!D131),FCCL!D131,NA())</f>
        <v>0.10194195499261118</v>
      </c>
      <c r="Z138" s="72">
        <f>'Industry Averages'!D151</f>
        <v>8.204908187825799E-2</v>
      </c>
    </row>
    <row r="139" spans="1:26" ht="19.95" customHeight="1" x14ac:dyDescent="0.3">
      <c r="A139" s="69"/>
      <c r="B139" s="69"/>
      <c r="C139" s="69"/>
      <c r="D139" s="69"/>
      <c r="E139" s="69"/>
      <c r="F139" s="69"/>
      <c r="G139" s="69"/>
      <c r="H139" s="69"/>
      <c r="I139" s="69"/>
      <c r="J139" s="69"/>
      <c r="K139" s="69"/>
      <c r="L139" s="69"/>
      <c r="M139" s="69"/>
      <c r="N139" s="69"/>
      <c r="O139" s="69"/>
      <c r="P139" s="69"/>
      <c r="Q139" s="69"/>
      <c r="R139" s="69"/>
      <c r="S139" s="69"/>
      <c r="T139" t="s">
        <v>59</v>
      </c>
      <c r="U139" s="72">
        <f>IF(ISNUMBER(KOHC!E131),KOHC!E131,NA())</f>
        <v>0.11589856650144761</v>
      </c>
      <c r="V139" s="72">
        <f>IF(ISNUMBER(LUCK!E131),LUCK!E131,NA())</f>
        <v>8.271205740618541E-2</v>
      </c>
      <c r="W139" s="72">
        <f>IF(ISNUMBER(DGKC!E131),DGKC!E131,NA())</f>
        <v>2.1763973265391149E-2</v>
      </c>
      <c r="X139" s="72">
        <f>IF(ISNUMBER(MLCF!E131),MLCF!E131,NA())</f>
        <v>4.4108433323144514E-2</v>
      </c>
      <c r="Y139" s="72">
        <f>IF(ISNUMBER(FCCL!E131),FCCL!E131,NA())</f>
        <v>6.2556379031810716E-2</v>
      </c>
      <c r="Z139" s="72">
        <f>'Industry Averages'!E151</f>
        <v>6.5407881905595877E-2</v>
      </c>
    </row>
    <row r="140" spans="1:26" ht="19.95" customHeight="1" x14ac:dyDescent="0.3">
      <c r="A140" s="69"/>
      <c r="B140" s="69"/>
      <c r="C140" s="69"/>
      <c r="D140" s="69"/>
      <c r="E140" s="69"/>
      <c r="F140" s="69"/>
      <c r="G140" s="69"/>
      <c r="H140" s="69"/>
      <c r="I140" s="69"/>
      <c r="J140" s="69"/>
      <c r="K140" s="69"/>
      <c r="L140" s="69"/>
      <c r="M140" s="69"/>
      <c r="N140" s="69"/>
      <c r="O140" s="69"/>
      <c r="P140" s="69"/>
      <c r="Q140" s="69"/>
      <c r="R140" s="69"/>
      <c r="S140" s="69"/>
      <c r="T140" t="s">
        <v>60</v>
      </c>
      <c r="U140" s="72">
        <f>IF(ISNUMBER(KOHC!F131),KOHC!F131,NA())</f>
        <v>0.11751952891151191</v>
      </c>
      <c r="V140" s="72">
        <f>IF(ISNUMBER(LUCK!F131),LUCK!F131,NA())</f>
        <v>6.4416529475417678E-2</v>
      </c>
      <c r="W140" s="72" t="e">
        <f>IF(ISNUMBER(DGKC!F131),DGKC!F131,NA())</f>
        <v>#N/A</v>
      </c>
      <c r="X140" s="72">
        <f>IF(ISNUMBER(MLCF!F131),MLCF!F131,NA())</f>
        <v>5.0070043588560612E-2</v>
      </c>
      <c r="Y140" s="72">
        <f>IF(ISNUMBER(FCCL!F131),FCCL!F131,NA())</f>
        <v>5.3589004856834314E-2</v>
      </c>
      <c r="Z140" s="72">
        <f>'Industry Averages'!F151</f>
        <v>7.1398776708081133E-2</v>
      </c>
    </row>
    <row r="141" spans="1:26" ht="19.95" customHeight="1" x14ac:dyDescent="0.3">
      <c r="A141" s="69"/>
      <c r="B141" s="69"/>
      <c r="C141" s="69"/>
      <c r="D141" s="69"/>
      <c r="E141" s="69"/>
      <c r="F141" s="69"/>
      <c r="G141" s="69"/>
      <c r="H141" s="69"/>
      <c r="I141" s="69"/>
      <c r="J141" s="69"/>
      <c r="K141" s="69"/>
      <c r="L141" s="69"/>
      <c r="M141" s="69"/>
      <c r="N141" s="69"/>
      <c r="O141" s="69"/>
      <c r="P141" s="69"/>
      <c r="Q141" s="69"/>
      <c r="R141" s="69"/>
      <c r="S141" s="69"/>
      <c r="T141" t="s">
        <v>61</v>
      </c>
      <c r="U141" s="72">
        <f>IF(ISNUMBER(KOHC!G131),KOHC!G131,NA())</f>
        <v>0.15113794625582791</v>
      </c>
      <c r="V141" s="72">
        <f>IF(ISNUMBER(LUCK!G131),LUCK!G131,NA())</f>
        <v>0.12010412955682188</v>
      </c>
      <c r="W141" s="72">
        <f>IF(ISNUMBER(DGKC!G131),DGKC!G131,NA())</f>
        <v>3.9194496855507379E-3</v>
      </c>
      <c r="X141" s="72">
        <f>IF(ISNUMBER(MLCF!G131),MLCF!G131,NA())</f>
        <v>5.3061850871209217E-2</v>
      </c>
      <c r="Y141" s="72">
        <f>IF(ISNUMBER(FCCL!G131),FCCL!G131,NA())</f>
        <v>5.5698470198037101E-2</v>
      </c>
      <c r="Z141" s="72">
        <f>'Industry Averages'!G151</f>
        <v>7.6784369313489378E-2</v>
      </c>
    </row>
    <row r="142" spans="1:26" ht="19.95" customHeight="1" x14ac:dyDescent="0.3">
      <c r="A142" s="69"/>
      <c r="B142" s="69"/>
      <c r="C142" s="69"/>
      <c r="D142" s="69"/>
      <c r="E142" s="69"/>
      <c r="F142" s="69"/>
      <c r="G142" s="69"/>
      <c r="H142" s="69"/>
      <c r="I142" s="69"/>
      <c r="J142" s="69"/>
      <c r="K142" s="69"/>
      <c r="L142" s="69"/>
      <c r="M142" s="69"/>
      <c r="N142" s="69"/>
      <c r="O142" s="69"/>
      <c r="P142" s="69"/>
      <c r="Q142" s="69"/>
      <c r="R142" s="69"/>
      <c r="S142" s="69"/>
      <c r="T142" t="s">
        <v>62</v>
      </c>
      <c r="U142" s="72">
        <f>IF(ISNUMBER(KOHC!H131),KOHC!H131,NA())</f>
        <v>0.17329550622820336</v>
      </c>
      <c r="V142" s="72">
        <f>IF(ISNUMBER(LUCK!H131),LUCK!H131,NA())</f>
        <v>0.12405775592794444</v>
      </c>
      <c r="W142" s="72">
        <f>IF(ISNUMBER(DGKC!H131),DGKC!H131,NA())</f>
        <v>5.9449062727654524E-2</v>
      </c>
      <c r="X142" s="72">
        <f>IF(ISNUMBER(MLCF!H131),MLCF!H131,NA())</f>
        <v>0.14303507159585241</v>
      </c>
      <c r="Y142" s="72">
        <f>IF(ISNUMBER(FCCL!H131),FCCL!H131,NA())</f>
        <v>8.2851106191915852E-2</v>
      </c>
      <c r="Z142" s="72">
        <f>'Industry Averages'!H151</f>
        <v>0.11653770053431411</v>
      </c>
    </row>
    <row r="143" spans="1:26" ht="19.95" customHeight="1" x14ac:dyDescent="0.3">
      <c r="A143" s="69"/>
      <c r="B143" s="69"/>
      <c r="C143" s="69"/>
      <c r="D143" s="69"/>
      <c r="E143" s="69"/>
      <c r="F143" s="69"/>
      <c r="G143" s="69"/>
      <c r="H143" s="69"/>
      <c r="I143" s="69"/>
      <c r="J143" s="69"/>
      <c r="K143" s="69"/>
      <c r="L143" s="69"/>
      <c r="M143" s="69"/>
      <c r="N143" s="69"/>
      <c r="O143" s="69"/>
      <c r="P143" s="69"/>
      <c r="Q143" s="69"/>
      <c r="R143" s="69"/>
      <c r="S143" s="69"/>
    </row>
    <row r="144" spans="1:26" ht="19.95" customHeight="1" x14ac:dyDescent="0.3">
      <c r="A144" s="97" t="s">
        <v>289</v>
      </c>
      <c r="B144" s="97"/>
      <c r="C144" s="97"/>
      <c r="D144" s="97"/>
      <c r="E144" s="97"/>
      <c r="F144" s="97"/>
      <c r="G144" s="97"/>
      <c r="H144" s="97"/>
      <c r="I144" s="97"/>
      <c r="J144" s="97"/>
      <c r="K144" s="97"/>
      <c r="L144" s="97"/>
      <c r="M144" s="97"/>
      <c r="N144" s="97"/>
      <c r="O144" s="97"/>
      <c r="P144" s="97"/>
      <c r="Q144" s="97"/>
      <c r="R144" s="97"/>
      <c r="S144" s="97"/>
    </row>
    <row r="145" spans="1:26" ht="19.95" customHeight="1" x14ac:dyDescent="0.3">
      <c r="A145" s="69"/>
      <c r="B145" s="69"/>
      <c r="C145" s="69"/>
      <c r="D145" s="69"/>
      <c r="E145" s="69"/>
      <c r="F145" s="69"/>
      <c r="G145" s="69"/>
      <c r="H145" s="69"/>
      <c r="I145" s="69"/>
      <c r="J145" s="69"/>
      <c r="K145" s="69"/>
      <c r="L145" s="69"/>
      <c r="M145" s="69"/>
      <c r="N145" s="69"/>
      <c r="O145" s="69"/>
      <c r="P145" s="69"/>
      <c r="Q145" s="69"/>
      <c r="R145" s="69"/>
      <c r="S145" s="69"/>
      <c r="T145" t="s">
        <v>279</v>
      </c>
      <c r="U145" t="s">
        <v>13</v>
      </c>
      <c r="V145" t="s">
        <v>17</v>
      </c>
      <c r="W145" t="s">
        <v>21</v>
      </c>
      <c r="X145" t="s">
        <v>25</v>
      </c>
      <c r="Y145" t="s">
        <v>29</v>
      </c>
      <c r="Z145" t="s">
        <v>280</v>
      </c>
    </row>
    <row r="146" spans="1:26" ht="19.95" customHeight="1" x14ac:dyDescent="0.3">
      <c r="A146" s="69"/>
      <c r="B146" s="69"/>
      <c r="C146" s="69"/>
      <c r="D146" s="69"/>
      <c r="E146" s="69"/>
      <c r="F146" s="69"/>
      <c r="G146" s="69"/>
      <c r="H146" s="69"/>
      <c r="I146" s="69"/>
      <c r="J146" s="69"/>
      <c r="K146" s="69"/>
      <c r="L146" s="69"/>
      <c r="M146" s="69"/>
      <c r="N146" s="69"/>
      <c r="O146" s="69"/>
      <c r="P146" s="69"/>
      <c r="Q146" s="69"/>
      <c r="R146" s="69"/>
      <c r="S146" s="69"/>
      <c r="T146" t="s">
        <v>58</v>
      </c>
      <c r="U146" s="72">
        <f>IF(ISNUMBER(KOHC!D132),KOHC!D132,NA())</f>
        <v>0.15737849802466555</v>
      </c>
      <c r="V146" s="72">
        <f>IF(ISNUMBER(LUCK!D132),LUCK!D132,NA())</f>
        <v>0.12429467254394423</v>
      </c>
      <c r="W146" s="72">
        <f>IF(ISNUMBER(DGKC!D132),DGKC!D132,NA())</f>
        <v>5.0644811125656837E-2</v>
      </c>
      <c r="X146" s="72">
        <f>IF(ISNUMBER(MLCF!D132),MLCF!D132,NA())</f>
        <v>0.16658725897109622</v>
      </c>
      <c r="Y146" s="72">
        <f>IF(ISNUMBER(FCCL!D132),FCCL!D132,NA())</f>
        <v>0.14914074872427949</v>
      </c>
      <c r="Z146" s="72">
        <f>'Industry Averages'!D159</f>
        <v>0.12960919787792846</v>
      </c>
    </row>
    <row r="147" spans="1:26" ht="19.95" customHeight="1" x14ac:dyDescent="0.3">
      <c r="A147" s="69"/>
      <c r="B147" s="69"/>
      <c r="C147" s="69"/>
      <c r="D147" s="69"/>
      <c r="E147" s="69"/>
      <c r="F147" s="69"/>
      <c r="G147" s="69"/>
      <c r="H147" s="69"/>
      <c r="I147" s="69"/>
      <c r="J147" s="69"/>
      <c r="K147" s="69"/>
      <c r="L147" s="69"/>
      <c r="M147" s="69"/>
      <c r="N147" s="69"/>
      <c r="O147" s="69"/>
      <c r="P147" s="69"/>
      <c r="Q147" s="69"/>
      <c r="R147" s="69"/>
      <c r="S147" s="69"/>
      <c r="T147" t="s">
        <v>59</v>
      </c>
      <c r="U147" s="72">
        <f>IF(ISNUMBER(KOHC!E132),KOHC!E132,NA())</f>
        <v>0.18440283523376622</v>
      </c>
      <c r="V147" s="72">
        <f>IF(ISNUMBER(LUCK!E132),LUCK!E132,NA())</f>
        <v>0.11901804448540206</v>
      </c>
      <c r="W147" s="72">
        <f>IF(ISNUMBER(DGKC!E132),DGKC!E132,NA())</f>
        <v>4.2508762609145177E-2</v>
      </c>
      <c r="X147" s="72">
        <f>IF(ISNUMBER(MLCF!E132),MLCF!E132,NA())</f>
        <v>8.9408976031592494E-2</v>
      </c>
      <c r="Y147" s="72">
        <f>IF(ISNUMBER(FCCL!E132),FCCL!E132,NA())</f>
        <v>0.12319061073378482</v>
      </c>
      <c r="Z147" s="72">
        <f>'Industry Averages'!E159</f>
        <v>0.11170584581873814</v>
      </c>
    </row>
    <row r="148" spans="1:26" ht="19.95" customHeight="1" x14ac:dyDescent="0.3">
      <c r="A148" s="69"/>
      <c r="B148" s="69"/>
      <c r="C148" s="69"/>
      <c r="D148" s="69"/>
      <c r="E148" s="69"/>
      <c r="F148" s="69"/>
      <c r="G148" s="69"/>
      <c r="H148" s="69"/>
      <c r="I148" s="69"/>
      <c r="J148" s="69"/>
      <c r="K148" s="69"/>
      <c r="L148" s="69"/>
      <c r="M148" s="69"/>
      <c r="N148" s="69"/>
      <c r="O148" s="69"/>
      <c r="P148" s="69"/>
      <c r="Q148" s="69"/>
      <c r="R148" s="69"/>
      <c r="S148" s="69"/>
      <c r="T148" t="s">
        <v>60</v>
      </c>
      <c r="U148" s="72">
        <f>IF(ISNUMBER(KOHC!F132),KOHC!F132,NA())</f>
        <v>0.17849564911664104</v>
      </c>
      <c r="V148" s="72">
        <f>IF(ISNUMBER(LUCK!F132),LUCK!F132,NA())</f>
        <v>9.9921242706891636E-2</v>
      </c>
      <c r="W148" s="72" t="e">
        <f>IF(ISNUMBER(DGKC!F132),DGKC!F132,NA())</f>
        <v>#N/A</v>
      </c>
      <c r="X148" s="72">
        <f>IF(ISNUMBER(MLCF!F132),MLCF!F132,NA())</f>
        <v>0.10000796203977304</v>
      </c>
      <c r="Y148" s="72">
        <f>IF(ISNUMBER(FCCL!F132),FCCL!F132,NA())</f>
        <v>0.11414801492770245</v>
      </c>
      <c r="Z148" s="72">
        <f>'Industry Averages'!F159</f>
        <v>0.12314321719775204</v>
      </c>
    </row>
    <row r="149" spans="1:26" ht="19.95" customHeight="1" x14ac:dyDescent="0.3">
      <c r="A149" s="69"/>
      <c r="B149" s="69"/>
      <c r="C149" s="69"/>
      <c r="D149" s="69"/>
      <c r="E149" s="69"/>
      <c r="F149" s="69"/>
      <c r="G149" s="69"/>
      <c r="H149" s="69"/>
      <c r="I149" s="69"/>
      <c r="J149" s="69"/>
      <c r="K149" s="69"/>
      <c r="L149" s="69"/>
      <c r="M149" s="69"/>
      <c r="N149" s="69"/>
      <c r="O149" s="69"/>
      <c r="P149" s="69"/>
      <c r="Q149" s="69"/>
      <c r="R149" s="69"/>
      <c r="S149" s="69"/>
      <c r="T149" t="s">
        <v>61</v>
      </c>
      <c r="U149" s="72">
        <f>IF(ISNUMBER(KOHC!G132),KOHC!G132,NA())</f>
        <v>0.21643681457260755</v>
      </c>
      <c r="V149" s="72">
        <f>IF(ISNUMBER(LUCK!G132),LUCK!G132,NA())</f>
        <v>0.19021586420101122</v>
      </c>
      <c r="W149" s="72">
        <f>IF(ISNUMBER(DGKC!G132),DGKC!G132,NA())</f>
        <v>7.1511352154898129E-3</v>
      </c>
      <c r="X149" s="72">
        <f>IF(ISNUMBER(MLCF!G132),MLCF!G132,NA())</f>
        <v>0.10020784968682853</v>
      </c>
      <c r="Y149" s="72">
        <f>IF(ISNUMBER(FCCL!G132),FCCL!G132,NA())</f>
        <v>0.1120333038446799</v>
      </c>
      <c r="Z149" s="72">
        <f>'Industry Averages'!G159</f>
        <v>0.1252089935041234</v>
      </c>
    </row>
    <row r="150" spans="1:26" ht="19.95" customHeight="1" x14ac:dyDescent="0.3">
      <c r="A150" s="69"/>
      <c r="B150" s="69"/>
      <c r="C150" s="69"/>
      <c r="D150" s="69"/>
      <c r="E150" s="69"/>
      <c r="F150" s="69"/>
      <c r="G150" s="69"/>
      <c r="H150" s="69"/>
      <c r="I150" s="69"/>
      <c r="J150" s="69"/>
      <c r="K150" s="69"/>
      <c r="L150" s="69"/>
      <c r="M150" s="69"/>
      <c r="N150" s="69"/>
      <c r="O150" s="69"/>
      <c r="P150" s="69"/>
      <c r="Q150" s="69"/>
      <c r="R150" s="69"/>
      <c r="S150" s="69"/>
      <c r="T150" t="s">
        <v>62</v>
      </c>
      <c r="U150" s="72">
        <f>IF(ISNUMBER(KOHC!H132),KOHC!H132,NA())</f>
        <v>0.24137435208870983</v>
      </c>
      <c r="V150" s="72">
        <f>IF(ISNUMBER(LUCK!H132),LUCK!H132,NA())</f>
        <v>0.18811941761260281</v>
      </c>
      <c r="W150" s="72">
        <f>IF(ISNUMBER(DGKC!H132),DGKC!H132,NA())</f>
        <v>9.1637161813901913E-2</v>
      </c>
      <c r="X150" s="72">
        <f>IF(ISNUMBER(MLCF!H132),MLCF!H132,NA())</f>
        <v>0.2383990269906105</v>
      </c>
      <c r="Y150" s="72">
        <f>IF(ISNUMBER(FCCL!H132),FCCL!H132,NA())</f>
        <v>0.15813282120245373</v>
      </c>
      <c r="Z150" s="72">
        <f>'Industry Averages'!H159</f>
        <v>0.18353255594165577</v>
      </c>
    </row>
    <row r="151" spans="1:26" ht="19.95" customHeight="1" x14ac:dyDescent="0.3">
      <c r="A151" s="69"/>
      <c r="B151" s="69"/>
      <c r="C151" s="69"/>
      <c r="D151" s="69"/>
      <c r="E151" s="69"/>
      <c r="F151" s="69"/>
      <c r="G151" s="69"/>
      <c r="H151" s="69"/>
      <c r="I151" s="69"/>
      <c r="J151" s="69"/>
      <c r="K151" s="69"/>
      <c r="L151" s="69"/>
      <c r="M151" s="69"/>
      <c r="N151" s="69"/>
      <c r="O151" s="69"/>
      <c r="P151" s="69"/>
      <c r="Q151" s="69"/>
      <c r="R151" s="69"/>
      <c r="S151" s="69"/>
    </row>
    <row r="152" spans="1:26" ht="19.95" customHeight="1" x14ac:dyDescent="0.3">
      <c r="A152" s="69"/>
      <c r="B152" s="69"/>
      <c r="C152" s="69"/>
      <c r="D152" s="69"/>
      <c r="E152" s="69"/>
      <c r="F152" s="69"/>
      <c r="G152" s="69"/>
      <c r="H152" s="69"/>
      <c r="I152" s="69"/>
      <c r="J152" s="69"/>
      <c r="K152" s="69"/>
      <c r="L152" s="69"/>
      <c r="M152" s="69"/>
      <c r="N152" s="69"/>
      <c r="O152" s="69"/>
      <c r="P152" s="69"/>
      <c r="Q152" s="69"/>
      <c r="R152" s="69"/>
      <c r="S152" s="69"/>
    </row>
    <row r="153" spans="1:26" ht="19.95" customHeight="1" x14ac:dyDescent="0.3">
      <c r="A153" s="69"/>
      <c r="B153" s="69"/>
      <c r="C153" s="69"/>
      <c r="D153" s="69"/>
      <c r="E153" s="69"/>
      <c r="F153" s="69"/>
      <c r="G153" s="69"/>
      <c r="H153" s="69"/>
      <c r="I153" s="69"/>
      <c r="J153" s="69"/>
      <c r="K153" s="69"/>
      <c r="L153" s="69"/>
      <c r="M153" s="69"/>
      <c r="N153" s="69"/>
      <c r="O153" s="69"/>
      <c r="P153" s="69"/>
      <c r="Q153" s="69"/>
      <c r="R153" s="69"/>
      <c r="S153" s="69"/>
      <c r="T153" t="s">
        <v>279</v>
      </c>
      <c r="U153" t="s">
        <v>13</v>
      </c>
      <c r="V153" t="s">
        <v>17</v>
      </c>
      <c r="W153" t="s">
        <v>21</v>
      </c>
      <c r="X153" t="s">
        <v>25</v>
      </c>
      <c r="Y153" t="s">
        <v>29</v>
      </c>
      <c r="Z153" t="s">
        <v>280</v>
      </c>
    </row>
    <row r="154" spans="1:26" ht="19.95" customHeight="1" x14ac:dyDescent="0.3">
      <c r="A154" s="69"/>
      <c r="B154" s="69"/>
      <c r="C154" s="69"/>
      <c r="D154" s="69"/>
      <c r="E154" s="69"/>
      <c r="F154" s="69"/>
      <c r="G154" s="69"/>
      <c r="H154" s="69"/>
      <c r="I154" s="69"/>
      <c r="J154" s="69"/>
      <c r="K154" s="69"/>
      <c r="L154" s="69"/>
      <c r="M154" s="69"/>
      <c r="N154" s="69"/>
      <c r="O154" s="69"/>
      <c r="P154" s="69"/>
      <c r="Q154" s="69"/>
      <c r="R154" s="69"/>
      <c r="S154" s="69"/>
      <c r="T154" t="s">
        <v>58</v>
      </c>
      <c r="U154" s="72">
        <f>IF(ISNUMBER(KOHC!D133),KOHC!D133,NA())</f>
        <v>0.13611222052431424</v>
      </c>
      <c r="V154" s="72">
        <f>IF(ISNUMBER(LUCK!D133),LUCK!D133,NA())</f>
        <v>0.11598113408973314</v>
      </c>
      <c r="W154" s="72">
        <f>IF(ISNUMBER(DGKC!D133),DGKC!D133,NA())</f>
        <v>5.0926469503026137E-2</v>
      </c>
      <c r="X154" s="72">
        <f>IF(ISNUMBER(MLCF!D133),MLCF!D133,NA())</f>
        <v>0.13938409686265396</v>
      </c>
      <c r="Y154" s="72">
        <f>IF(ISNUMBER(FCCL!D133),FCCL!D133,NA())</f>
        <v>0.13674299962769382</v>
      </c>
      <c r="Z154" s="72">
        <f>'Industry Averages'!D167</f>
        <v>0.11582938412148427</v>
      </c>
    </row>
    <row r="155" spans="1:26" ht="19.95" customHeight="1" x14ac:dyDescent="0.3">
      <c r="A155" s="69"/>
      <c r="B155" s="69"/>
      <c r="C155" s="69"/>
      <c r="D155" s="69"/>
      <c r="E155" s="69"/>
      <c r="F155" s="69"/>
      <c r="G155" s="69"/>
      <c r="H155" s="69"/>
      <c r="I155" s="69"/>
      <c r="J155" s="69"/>
      <c r="K155" s="69"/>
      <c r="L155" s="69"/>
      <c r="M155" s="69"/>
      <c r="N155" s="69"/>
      <c r="O155" s="69"/>
      <c r="P155" s="69"/>
      <c r="Q155" s="69"/>
      <c r="R155" s="69"/>
      <c r="S155" s="69"/>
      <c r="T155" t="s">
        <v>59</v>
      </c>
      <c r="U155" s="72">
        <f>IF(ISNUMBER(KOHC!E133),KOHC!E133,NA())</f>
        <v>0.16872337936741016</v>
      </c>
      <c r="V155" s="72">
        <f>IF(ISNUMBER(LUCK!E133),LUCK!E133,NA())</f>
        <v>0.10809497435976413</v>
      </c>
      <c r="W155" s="72">
        <f>IF(ISNUMBER(DGKC!E133),DGKC!E133,NA())</f>
        <v>4.0571100495840479E-2</v>
      </c>
      <c r="X155" s="72">
        <f>IF(ISNUMBER(MLCF!E133),MLCF!E133,NA())</f>
        <v>6.8354987715222609E-2</v>
      </c>
      <c r="Y155" s="72">
        <f>IF(ISNUMBER(FCCL!E133),FCCL!E133,NA())</f>
        <v>9.2363746892435927E-2</v>
      </c>
      <c r="Z155" s="72">
        <f>'Industry Averages'!E167</f>
        <v>9.5621637766134665E-2</v>
      </c>
    </row>
    <row r="156" spans="1:26" ht="19.95" customHeight="1" x14ac:dyDescent="0.3">
      <c r="A156" s="69"/>
      <c r="B156" s="69"/>
      <c r="C156" s="69"/>
      <c r="D156" s="69"/>
      <c r="E156" s="69"/>
      <c r="F156" s="69"/>
      <c r="G156" s="69"/>
      <c r="H156" s="69"/>
      <c r="I156" s="69"/>
      <c r="J156" s="69"/>
      <c r="K156" s="69"/>
      <c r="L156" s="69"/>
      <c r="M156" s="69"/>
      <c r="N156" s="69"/>
      <c r="O156" s="69"/>
      <c r="P156" s="69"/>
      <c r="Q156" s="69"/>
      <c r="R156" s="69"/>
      <c r="S156" s="69"/>
      <c r="T156" t="s">
        <v>60</v>
      </c>
      <c r="U156" s="72">
        <f>IF(ISNUMBER(KOHC!F133),KOHC!F133,NA())</f>
        <v>0.17323854283924056</v>
      </c>
      <c r="V156" s="72">
        <f>IF(ISNUMBER(LUCK!F133),LUCK!F133,NA())</f>
        <v>9.1352761839314733E-2</v>
      </c>
      <c r="W156" s="72" t="e">
        <f>IF(ISNUMBER(DGKC!F133),DGKC!F133,NA())</f>
        <v>#N/A</v>
      </c>
      <c r="X156" s="72">
        <f>IF(ISNUMBER(MLCF!F133),MLCF!F133,NA())</f>
        <v>8.9438322458184685E-2</v>
      </c>
      <c r="Y156" s="72">
        <f>IF(ISNUMBER(FCCL!F133),FCCL!F133,NA())</f>
        <v>8.4602379259019547E-2</v>
      </c>
      <c r="Z156" s="72">
        <f>'Industry Averages'!F167</f>
        <v>0.10965800159893987</v>
      </c>
    </row>
    <row r="157" spans="1:26" ht="19.95" customHeight="1" x14ac:dyDescent="0.3">
      <c r="A157" s="69"/>
      <c r="B157" s="69"/>
      <c r="C157" s="69"/>
      <c r="D157" s="69"/>
      <c r="E157" s="69"/>
      <c r="F157" s="69"/>
      <c r="G157" s="69"/>
      <c r="H157" s="69"/>
      <c r="I157" s="69"/>
      <c r="J157" s="69"/>
      <c r="K157" s="69"/>
      <c r="L157" s="69"/>
      <c r="M157" s="69"/>
      <c r="N157" s="69"/>
      <c r="O157" s="69"/>
      <c r="P157" s="69"/>
      <c r="Q157" s="69"/>
      <c r="R157" s="69"/>
      <c r="S157" s="69"/>
      <c r="T157" t="s">
        <v>61</v>
      </c>
      <c r="U157" s="72">
        <f>IF(ISNUMBER(KOHC!G133),KOHC!G133,NA())</f>
        <v>0.21530718381280636</v>
      </c>
      <c r="V157" s="72">
        <f>IF(ISNUMBER(LUCK!G133),LUCK!G133,NA())</f>
        <v>0.17349944050776198</v>
      </c>
      <c r="W157" s="72">
        <f>IF(ISNUMBER(DGKC!G133),DGKC!G133,NA())</f>
        <v>1.8666945531428475E-2</v>
      </c>
      <c r="X157" s="72">
        <f>IF(ISNUMBER(MLCF!G133),MLCF!G133,NA())</f>
        <v>0.10647533565261356</v>
      </c>
      <c r="Y157" s="72">
        <f>IF(ISNUMBER(FCCL!G133),FCCL!G133,NA())</f>
        <v>0.10165844956887071</v>
      </c>
      <c r="Z157" s="72">
        <f>'Industry Averages'!G167</f>
        <v>0.12312147101469621</v>
      </c>
    </row>
    <row r="158" spans="1:26" ht="19.95" customHeight="1" x14ac:dyDescent="0.3">
      <c r="A158" s="69"/>
      <c r="B158" s="69"/>
      <c r="C158" s="69"/>
      <c r="D158" s="69"/>
      <c r="E158" s="69"/>
      <c r="F158" s="69"/>
      <c r="G158" s="69"/>
      <c r="H158" s="69"/>
      <c r="I158" s="69"/>
      <c r="J158" s="69"/>
      <c r="K158" s="69"/>
      <c r="L158" s="69"/>
      <c r="M158" s="69"/>
      <c r="N158" s="69"/>
      <c r="O158" s="69"/>
      <c r="P158" s="69"/>
      <c r="Q158" s="69"/>
      <c r="R158" s="69"/>
      <c r="S158" s="69"/>
      <c r="T158" t="s">
        <v>62</v>
      </c>
      <c r="U158" s="72">
        <f>IF(ISNUMBER(KOHC!H133),KOHC!H133,NA())</f>
        <v>0.23456949398989801</v>
      </c>
      <c r="V158" s="72">
        <f>IF(ISNUMBER(LUCK!H133),LUCK!H133,NA())</f>
        <v>0.17586014458599655</v>
      </c>
      <c r="W158" s="72">
        <f>IF(ISNUMBER(DGKC!H133),DGKC!H133,NA())</f>
        <v>9.6256924504903307E-2</v>
      </c>
      <c r="X158" s="72">
        <f>IF(ISNUMBER(MLCF!H133),MLCF!H133,NA())</f>
        <v>0.22920346694221672</v>
      </c>
      <c r="Y158" s="72">
        <f>IF(ISNUMBER(FCCL!H133),FCCL!H133,NA())</f>
        <v>0.13546184028270253</v>
      </c>
      <c r="Z158" s="72">
        <f>'Industry Averages'!H167</f>
        <v>0.1742703740611434</v>
      </c>
    </row>
    <row r="159" spans="1:26" ht="19.95" customHeight="1" x14ac:dyDescent="0.3">
      <c r="A159" s="69"/>
      <c r="B159" s="69"/>
      <c r="C159" s="69"/>
      <c r="D159" s="69"/>
      <c r="E159" s="69"/>
      <c r="F159" s="69"/>
      <c r="G159" s="69"/>
      <c r="H159" s="69"/>
      <c r="I159" s="69"/>
      <c r="J159" s="69"/>
      <c r="K159" s="69"/>
      <c r="L159" s="69"/>
      <c r="M159" s="69"/>
      <c r="N159" s="69"/>
      <c r="O159" s="69"/>
      <c r="P159" s="69"/>
      <c r="Q159" s="69"/>
      <c r="R159" s="69"/>
      <c r="S159" s="69"/>
    </row>
    <row r="160" spans="1:26" ht="19.95" customHeight="1" x14ac:dyDescent="0.3">
      <c r="A160" s="69"/>
      <c r="B160" s="69"/>
      <c r="C160" s="69"/>
      <c r="D160" s="69"/>
      <c r="E160" s="69"/>
      <c r="F160" s="69"/>
      <c r="G160" s="69"/>
      <c r="H160" s="69"/>
      <c r="I160" s="69"/>
      <c r="J160" s="69"/>
      <c r="K160" s="69"/>
      <c r="L160" s="69"/>
      <c r="M160" s="69"/>
      <c r="N160" s="69"/>
      <c r="O160" s="69"/>
      <c r="P160" s="69"/>
      <c r="Q160" s="69"/>
      <c r="R160" s="69"/>
      <c r="S160" s="69"/>
    </row>
    <row r="161" spans="1:26" ht="19.95" customHeight="1" x14ac:dyDescent="0.3">
      <c r="A161" s="69"/>
      <c r="B161" s="69"/>
      <c r="C161" s="69"/>
      <c r="D161" s="69"/>
      <c r="E161" s="69"/>
      <c r="F161" s="69"/>
      <c r="G161" s="69"/>
      <c r="H161" s="69"/>
      <c r="I161" s="69"/>
      <c r="J161" s="69"/>
      <c r="K161" s="69"/>
      <c r="L161" s="69"/>
      <c r="M161" s="69"/>
      <c r="N161" s="69"/>
      <c r="O161" s="69"/>
      <c r="P161" s="69"/>
      <c r="Q161" s="69"/>
      <c r="R161" s="69"/>
      <c r="S161" s="69"/>
      <c r="T161" t="s">
        <v>279</v>
      </c>
      <c r="U161" t="s">
        <v>13</v>
      </c>
      <c r="V161" t="s">
        <v>17</v>
      </c>
      <c r="W161" t="s">
        <v>21</v>
      </c>
      <c r="X161" t="s">
        <v>25</v>
      </c>
      <c r="Y161" t="s">
        <v>29</v>
      </c>
      <c r="Z161" t="s">
        <v>280</v>
      </c>
    </row>
    <row r="162" spans="1:26" ht="19.95" customHeight="1" x14ac:dyDescent="0.3">
      <c r="A162" s="69"/>
      <c r="B162" s="69"/>
      <c r="C162" s="69"/>
      <c r="D162" s="69"/>
      <c r="E162" s="69"/>
      <c r="F162" s="69"/>
      <c r="G162" s="69"/>
      <c r="H162" s="69"/>
      <c r="I162" s="69"/>
      <c r="J162" s="69"/>
      <c r="K162" s="69"/>
      <c r="L162" s="69"/>
      <c r="M162" s="69"/>
      <c r="N162" s="69"/>
      <c r="O162" s="69"/>
      <c r="P162" s="69"/>
      <c r="Q162" s="69"/>
      <c r="R162" s="69"/>
      <c r="S162" s="69"/>
      <c r="T162" t="s">
        <v>58</v>
      </c>
      <c r="U162" s="72">
        <f>IF(ISNUMBER(KOHC!D134),KOHC!D134,NA())</f>
        <v>0.14898081420954101</v>
      </c>
      <c r="V162" s="72">
        <f>IF(ISNUMBER(LUCK!D134),LUCK!D134,NA())</f>
        <v>0.11079703731315671</v>
      </c>
      <c r="W162" s="72">
        <f>IF(ISNUMBER(DGKC!D134),DGKC!D134,NA())</f>
        <v>5.5531606121154903E-2</v>
      </c>
      <c r="X162" s="72">
        <f>IF(ISNUMBER(MLCF!D134),MLCF!D134,NA())</f>
        <v>0.13189876556323574</v>
      </c>
      <c r="Y162" s="72">
        <f>IF(ISNUMBER(FCCL!D134),FCCL!D134,NA())</f>
        <v>0.15270083184857988</v>
      </c>
      <c r="Z162" s="72">
        <f>'Industry Averages'!D175</f>
        <v>0.11998181101113366</v>
      </c>
    </row>
    <row r="163" spans="1:26" ht="19.95" customHeight="1" x14ac:dyDescent="0.3">
      <c r="A163" s="69"/>
      <c r="B163" s="69"/>
      <c r="C163" s="69"/>
      <c r="D163" s="69"/>
      <c r="E163" s="69"/>
      <c r="F163" s="69"/>
      <c r="G163" s="69"/>
      <c r="H163" s="69"/>
      <c r="I163" s="69"/>
      <c r="J163" s="69"/>
      <c r="K163" s="69"/>
      <c r="L163" s="69"/>
      <c r="M163" s="69"/>
      <c r="N163" s="69"/>
      <c r="O163" s="69"/>
      <c r="P163" s="69"/>
      <c r="Q163" s="69"/>
      <c r="R163" s="69"/>
      <c r="S163" s="69"/>
      <c r="T163" t="s">
        <v>59</v>
      </c>
      <c r="U163" s="72">
        <f>IF(ISNUMBER(KOHC!E134),KOHC!E134,NA())</f>
        <v>0.21777808611792054</v>
      </c>
      <c r="V163" s="72">
        <f>IF(ISNUMBER(LUCK!E134),LUCK!E134,NA())</f>
        <v>0.11794695989186292</v>
      </c>
      <c r="W163" s="72">
        <f>IF(ISNUMBER(DGKC!E134),DGKC!E134,NA())</f>
        <v>7.0037177908325046E-2</v>
      </c>
      <c r="X163" s="72">
        <f>IF(ISNUMBER(MLCF!E134),MLCF!E134,NA())</f>
        <v>0.10793191347335213</v>
      </c>
      <c r="Y163" s="72">
        <f>IF(ISNUMBER(FCCL!E134),FCCL!E134,NA())</f>
        <v>0.11014537211566031</v>
      </c>
      <c r="Z163" s="72">
        <f>'Industry Averages'!E175</f>
        <v>0.1247679019014242</v>
      </c>
    </row>
    <row r="164" spans="1:26" ht="19.95" customHeight="1" x14ac:dyDescent="0.3">
      <c r="A164" s="69"/>
      <c r="B164" s="69"/>
      <c r="C164" s="69"/>
      <c r="D164" s="69"/>
      <c r="E164" s="69"/>
      <c r="F164" s="69"/>
      <c r="G164" s="69"/>
      <c r="H164" s="69"/>
      <c r="I164" s="69"/>
      <c r="J164" s="69"/>
      <c r="K164" s="69"/>
      <c r="L164" s="69"/>
      <c r="M164" s="69"/>
      <c r="N164" s="69"/>
      <c r="O164" s="69"/>
      <c r="P164" s="69"/>
      <c r="Q164" s="69"/>
      <c r="R164" s="69"/>
      <c r="S164" s="69"/>
      <c r="T164" t="s">
        <v>60</v>
      </c>
      <c r="U164" s="72">
        <f>IF(ISNUMBER(KOHC!F134),KOHC!F134,NA())</f>
        <v>0.22517411964912432</v>
      </c>
      <c r="V164" s="72">
        <f>IF(ISNUMBER(LUCK!F134),LUCK!F134,NA())</f>
        <v>0.10560432010902317</v>
      </c>
      <c r="W164" s="72">
        <f>IF(ISNUMBER(DGKC!F134),DGKC!F134,NA())</f>
        <v>7.3239578935566346E-2</v>
      </c>
      <c r="X164" s="72">
        <f>IF(ISNUMBER(MLCF!F134),MLCF!F134,NA())</f>
        <v>0.13303028097551164</v>
      </c>
      <c r="Y164" s="72">
        <f>IF(ISNUMBER(FCCL!F134),FCCL!F134,NA())</f>
        <v>0.11182804204816831</v>
      </c>
      <c r="Z164" s="72">
        <f>'Industry Averages'!F175</f>
        <v>0.12977526834347874</v>
      </c>
    </row>
    <row r="165" spans="1:26" ht="19.95" customHeight="1" x14ac:dyDescent="0.3">
      <c r="A165" s="69"/>
      <c r="B165" s="69"/>
      <c r="C165" s="69"/>
      <c r="D165" s="69"/>
      <c r="E165" s="69"/>
      <c r="F165" s="69"/>
      <c r="G165" s="69"/>
      <c r="H165" s="69"/>
      <c r="I165" s="69"/>
      <c r="J165" s="69"/>
      <c r="K165" s="69"/>
      <c r="L165" s="69"/>
      <c r="M165" s="69"/>
      <c r="N165" s="69"/>
      <c r="O165" s="69"/>
      <c r="P165" s="69"/>
      <c r="Q165" s="69"/>
      <c r="R165" s="69"/>
      <c r="S165" s="69"/>
      <c r="T165" t="s">
        <v>61</v>
      </c>
      <c r="U165" s="72">
        <f>IF(ISNUMBER(KOHC!G134),KOHC!G134,NA())</f>
        <v>0.24509961902567451</v>
      </c>
      <c r="V165" s="72">
        <f>IF(ISNUMBER(LUCK!G134),LUCK!G134,NA())</f>
        <v>0.18352469674459784</v>
      </c>
      <c r="W165" s="72">
        <f>IF(ISNUMBER(DGKC!G134),DGKC!G134,NA())</f>
        <v>7.7781763576617868E-2</v>
      </c>
      <c r="X165" s="72">
        <f>IF(ISNUMBER(MLCF!G134),MLCF!G134,NA())</f>
        <v>0.13069771915820996</v>
      </c>
      <c r="Y165" s="72">
        <f>IF(ISNUMBER(FCCL!G134),FCCL!G134,NA())</f>
        <v>0.14141976696394967</v>
      </c>
      <c r="Z165" s="72">
        <f>'Industry Averages'!G175</f>
        <v>0.15570471309380998</v>
      </c>
    </row>
    <row r="166" spans="1:26" ht="19.95" customHeight="1" x14ac:dyDescent="0.3">
      <c r="A166" s="69"/>
      <c r="B166" s="69"/>
      <c r="C166" s="69"/>
      <c r="D166" s="69"/>
      <c r="E166" s="69"/>
      <c r="F166" s="69"/>
      <c r="G166" s="69"/>
      <c r="H166" s="69"/>
      <c r="I166" s="69"/>
      <c r="J166" s="69"/>
      <c r="K166" s="69"/>
      <c r="L166" s="69"/>
      <c r="M166" s="69"/>
      <c r="N166" s="69"/>
      <c r="O166" s="69"/>
      <c r="P166" s="69"/>
      <c r="Q166" s="69"/>
      <c r="R166" s="69"/>
      <c r="S166" s="69"/>
      <c r="T166" t="s">
        <v>62</v>
      </c>
      <c r="U166" s="72">
        <f>IF(ISNUMBER(KOHC!H134),KOHC!H134,NA())</f>
        <v>0.2702780173662766</v>
      </c>
      <c r="V166" s="72">
        <f>IF(ISNUMBER(LUCK!H134),LUCK!H134,NA())</f>
        <v>0.18237850153944901</v>
      </c>
      <c r="W166" s="72">
        <f>IF(ISNUMBER(DGKC!H134),DGKC!H134,NA())</f>
        <v>0.11527453270527682</v>
      </c>
      <c r="X166" s="72">
        <f>IF(ISNUMBER(MLCF!H134),MLCF!H134,NA())</f>
        <v>0.21055306987152678</v>
      </c>
      <c r="Y166" s="72">
        <f>IF(ISNUMBER(FCCL!H134),FCCL!H134,NA())</f>
        <v>0.16910544748583739</v>
      </c>
      <c r="Z166" s="72">
        <f>'Industry Averages'!H175</f>
        <v>0.18951791379367333</v>
      </c>
    </row>
    <row r="167" spans="1:26" ht="19.95" customHeight="1" x14ac:dyDescent="0.3">
      <c r="A167" s="97" t="s">
        <v>290</v>
      </c>
      <c r="B167" s="97"/>
      <c r="C167" s="97"/>
      <c r="D167" s="97"/>
      <c r="E167" s="97"/>
      <c r="F167" s="97"/>
      <c r="G167" s="97"/>
      <c r="H167" s="97"/>
      <c r="I167" s="97"/>
      <c r="J167" s="97"/>
      <c r="K167" s="97"/>
      <c r="L167" s="97"/>
      <c r="M167" s="97"/>
      <c r="N167" s="97"/>
      <c r="O167" s="97"/>
      <c r="P167" s="97"/>
      <c r="Q167" s="97"/>
      <c r="R167" s="97"/>
      <c r="S167" s="97"/>
    </row>
    <row r="168" spans="1:26" ht="19.95" customHeight="1" x14ac:dyDescent="0.3">
      <c r="A168" s="69"/>
      <c r="B168" s="69"/>
      <c r="C168" s="69"/>
      <c r="D168" s="69"/>
      <c r="E168" s="69"/>
      <c r="F168" s="69"/>
      <c r="G168" s="69"/>
      <c r="H168" s="69"/>
      <c r="I168" s="69"/>
      <c r="J168" s="69"/>
      <c r="K168" s="69"/>
      <c r="L168" s="69"/>
      <c r="M168" s="69"/>
      <c r="N168" s="69"/>
      <c r="O168" s="69"/>
      <c r="P168" s="69"/>
      <c r="Q168" s="69"/>
      <c r="R168" s="69"/>
      <c r="S168" s="69"/>
    </row>
    <row r="169" spans="1:26" ht="19.95" customHeight="1" x14ac:dyDescent="0.3">
      <c r="A169" s="69"/>
      <c r="B169" s="69"/>
      <c r="C169" s="69"/>
      <c r="D169" s="69"/>
      <c r="E169" s="69"/>
      <c r="F169" s="69"/>
      <c r="G169" s="69"/>
      <c r="H169" s="69"/>
      <c r="I169" s="69"/>
      <c r="J169" s="69"/>
      <c r="K169" s="69"/>
      <c r="L169" s="69"/>
      <c r="M169" s="69"/>
      <c r="N169" s="69"/>
      <c r="O169" s="69"/>
      <c r="P169" s="69"/>
      <c r="Q169" s="69"/>
      <c r="R169" s="69"/>
      <c r="S169" s="69"/>
      <c r="T169" t="s">
        <v>279</v>
      </c>
      <c r="U169" t="s">
        <v>13</v>
      </c>
      <c r="V169" t="s">
        <v>17</v>
      </c>
      <c r="W169" t="s">
        <v>21</v>
      </c>
      <c r="X169" t="s">
        <v>25</v>
      </c>
      <c r="Y169" t="s">
        <v>29</v>
      </c>
      <c r="Z169" t="s">
        <v>280</v>
      </c>
    </row>
    <row r="170" spans="1:26" ht="19.95" customHeight="1" x14ac:dyDescent="0.3">
      <c r="A170" s="69"/>
      <c r="B170" s="69"/>
      <c r="C170" s="69"/>
      <c r="D170" s="69"/>
      <c r="E170" s="69"/>
      <c r="F170" s="69"/>
      <c r="G170" s="69"/>
      <c r="H170" s="69"/>
      <c r="I170" s="69"/>
      <c r="J170" s="69"/>
      <c r="K170" s="69"/>
      <c r="L170" s="69"/>
      <c r="M170" s="69"/>
      <c r="N170" s="69"/>
      <c r="O170" s="69"/>
      <c r="P170" s="69"/>
      <c r="Q170" s="69"/>
      <c r="R170" s="69"/>
      <c r="S170" s="69"/>
      <c r="T170" t="s">
        <v>58</v>
      </c>
      <c r="U170" s="70">
        <f>IF(ISNUMBER(KOHC!D136),KOHC!D136,NA())</f>
        <v>17.412549352402124</v>
      </c>
      <c r="V170" s="70">
        <f>IF(ISNUMBER(LUCK!D136),LUCK!D136,NA())</f>
        <v>43.510441437959038</v>
      </c>
      <c r="W170" s="70">
        <f>IF(ISNUMBER(DGKC!D136),DGKC!D136,NA())</f>
        <v>8.4937471274650029</v>
      </c>
      <c r="X170" s="70">
        <f>IF(ISNUMBER(MLCF!D136),MLCF!D136,NA())</f>
        <v>5.6941155155115029</v>
      </c>
      <c r="Y170" s="70">
        <f>IF(ISNUMBER(FCCL!D136),FCCL!D136,NA())</f>
        <v>2.5158090033808875</v>
      </c>
      <c r="Z170" s="70">
        <f>'Industry Averages'!D184</f>
        <v>15.525332487343713</v>
      </c>
    </row>
    <row r="171" spans="1:26" ht="19.95" customHeight="1" x14ac:dyDescent="0.3">
      <c r="A171" s="69"/>
      <c r="B171" s="69"/>
      <c r="C171" s="69"/>
      <c r="D171" s="69"/>
      <c r="E171" s="69"/>
      <c r="F171" s="69"/>
      <c r="G171" s="69"/>
      <c r="H171" s="69"/>
      <c r="I171" s="69"/>
      <c r="J171" s="69"/>
      <c r="K171" s="69"/>
      <c r="L171" s="69"/>
      <c r="M171" s="69"/>
      <c r="N171" s="69"/>
      <c r="O171" s="69"/>
      <c r="P171" s="69"/>
      <c r="Q171" s="69"/>
      <c r="R171" s="69"/>
      <c r="S171" s="69"/>
      <c r="T171" t="s">
        <v>59</v>
      </c>
      <c r="U171" s="70">
        <f>IF(ISNUMBER(KOHC!E136),KOHC!E136,NA())</f>
        <v>25.013680261160516</v>
      </c>
      <c r="V171" s="70">
        <f>IF(ISNUMBER(LUCK!E136),LUCK!E136,NA())</f>
        <v>47.309216853498242</v>
      </c>
      <c r="W171" s="70">
        <f>IF(ISNUMBER(DGKC!E136),DGKC!E136,NA())</f>
        <v>6.7838445707817723</v>
      </c>
      <c r="X171" s="70">
        <f>IF(ISNUMBER(MLCF!E136),MLCF!E136,NA())</f>
        <v>3.3041099784606085</v>
      </c>
      <c r="Y171" s="70">
        <f>IF(ISNUMBER(FCCL!E136),FCCL!E136,NA())</f>
        <v>3.2621706372812294</v>
      </c>
      <c r="Z171" s="70">
        <f>'Industry Averages'!E184</f>
        <v>17.134604460236471</v>
      </c>
    </row>
    <row r="172" spans="1:26" ht="19.95" customHeight="1" x14ac:dyDescent="0.3">
      <c r="A172" s="69"/>
      <c r="B172" s="69"/>
      <c r="C172" s="69"/>
      <c r="D172" s="69"/>
      <c r="E172" s="69"/>
      <c r="F172" s="69"/>
      <c r="G172" s="69"/>
      <c r="H172" s="69"/>
      <c r="I172" s="69"/>
      <c r="J172" s="69"/>
      <c r="K172" s="69"/>
      <c r="L172" s="69"/>
      <c r="M172" s="69"/>
      <c r="N172" s="69"/>
      <c r="O172" s="69"/>
      <c r="P172" s="69"/>
      <c r="Q172" s="69"/>
      <c r="R172" s="69"/>
      <c r="S172" s="69"/>
      <c r="T172" t="s">
        <v>60</v>
      </c>
      <c r="U172" s="70">
        <f>IF(ISNUMBER(KOHC!F136),KOHC!F136,NA())</f>
        <v>28.978958275869324</v>
      </c>
      <c r="V172" s="70">
        <f>IF(ISNUMBER(LUCK!F136),LUCK!F136,NA())</f>
        <v>43.061512349842658</v>
      </c>
      <c r="W172" s="70" t="e">
        <f>IF(ISNUMBER(DGKC!F136),DGKC!F136,NA())</f>
        <v>#N/A</v>
      </c>
      <c r="X172" s="70">
        <f>IF(ISNUMBER(MLCF!F136),MLCF!F136,NA())</f>
        <v>4.1845053824045904</v>
      </c>
      <c r="Y172" s="70">
        <f>IF(ISNUMBER(FCCL!F136),FCCL!F136,NA())</f>
        <v>3.0330791851886794</v>
      </c>
      <c r="Z172" s="70">
        <f>'Industry Averages'!F184</f>
        <v>19.814513798326313</v>
      </c>
    </row>
    <row r="173" spans="1:26" ht="19.95" customHeight="1" x14ac:dyDescent="0.3">
      <c r="A173" s="69"/>
      <c r="B173" s="69"/>
      <c r="C173" s="69"/>
      <c r="D173" s="69"/>
      <c r="E173" s="69"/>
      <c r="F173" s="69"/>
      <c r="G173" s="69"/>
      <c r="H173" s="69"/>
      <c r="I173" s="69"/>
      <c r="J173" s="69"/>
      <c r="K173" s="69"/>
      <c r="L173" s="69"/>
      <c r="M173" s="69"/>
      <c r="N173" s="69"/>
      <c r="O173" s="69"/>
      <c r="P173" s="69"/>
      <c r="Q173" s="69"/>
      <c r="R173" s="69"/>
      <c r="S173" s="69"/>
      <c r="T173" t="s">
        <v>61</v>
      </c>
      <c r="U173" s="70">
        <f>IF(ISNUMBER(KOHC!G136),KOHC!G136,NA())</f>
        <v>45.274272678614977</v>
      </c>
      <c r="V173" s="70">
        <f>IF(ISNUMBER(LUCK!G136),LUCK!G136,NA())</f>
        <v>94.540589177116431</v>
      </c>
      <c r="W173" s="70">
        <f>IF(ISNUMBER(DGKC!G136),DGKC!G136,NA())</f>
        <v>1.2380103440270365</v>
      </c>
      <c r="X173" s="70">
        <f>IF(ISNUMBER(MLCF!G136),MLCF!G136,NA())</f>
        <v>4.9791974962957211</v>
      </c>
      <c r="Y173" s="70">
        <f>IF(ISNUMBER(FCCL!G136),FCCL!G136,NA())</f>
        <v>3.3524781610919856</v>
      </c>
      <c r="Z173" s="70">
        <f>'Industry Averages'!G184</f>
        <v>29.876909571429231</v>
      </c>
    </row>
    <row r="174" spans="1:26" ht="19.95" customHeight="1" x14ac:dyDescent="0.3">
      <c r="A174" s="69"/>
      <c r="B174" s="69"/>
      <c r="C174" s="69"/>
      <c r="D174" s="69"/>
      <c r="E174" s="69"/>
      <c r="F174" s="69"/>
      <c r="G174" s="69"/>
      <c r="H174" s="69"/>
      <c r="I174" s="69"/>
      <c r="J174" s="69"/>
      <c r="K174" s="69"/>
      <c r="L174" s="69"/>
      <c r="M174" s="69"/>
      <c r="N174" s="69"/>
      <c r="O174" s="69"/>
      <c r="P174" s="69"/>
      <c r="Q174" s="69"/>
      <c r="R174" s="69"/>
      <c r="S174" s="69"/>
      <c r="T174" t="s">
        <v>62</v>
      </c>
      <c r="U174" s="70">
        <f>IF(ISNUMBER(KOHC!H136),KOHC!H136,NA())</f>
        <v>59.842054600869929</v>
      </c>
      <c r="V174" s="70">
        <f>IF(ISNUMBER(LUCK!H136),LUCK!H136,NA())</f>
        <v>22.588506484641641</v>
      </c>
      <c r="W174" s="70">
        <f>IF(ISNUMBER(DGKC!H136),DGKC!H136,NA())</f>
        <v>19.800685803443983</v>
      </c>
      <c r="X174" s="70">
        <f>IF(ISNUMBER(MLCF!H136),MLCF!H136,NA())</f>
        <v>16.262863426829693</v>
      </c>
      <c r="Y174" s="70">
        <f>IF(ISNUMBER(FCCL!H136),FCCL!H136,NA())</f>
        <v>5.4329528095311241</v>
      </c>
      <c r="Z174" s="70">
        <f>'Industry Averages'!H184</f>
        <v>24.785412625063277</v>
      </c>
    </row>
    <row r="175" spans="1:26" ht="19.95" customHeight="1" x14ac:dyDescent="0.3">
      <c r="A175" s="69"/>
      <c r="B175" s="69"/>
      <c r="C175" s="69"/>
      <c r="D175" s="69"/>
      <c r="E175" s="69"/>
      <c r="F175" s="69"/>
      <c r="G175" s="69"/>
      <c r="H175" s="69"/>
      <c r="I175" s="69"/>
      <c r="J175" s="69"/>
      <c r="K175" s="69"/>
      <c r="L175" s="69"/>
      <c r="M175" s="69"/>
      <c r="N175" s="69"/>
      <c r="O175" s="69"/>
      <c r="P175" s="69"/>
      <c r="Q175" s="69"/>
      <c r="R175" s="69"/>
      <c r="S175" s="69"/>
    </row>
    <row r="176" spans="1:26" ht="19.95" customHeight="1" x14ac:dyDescent="0.3">
      <c r="A176" s="69"/>
      <c r="B176" s="69"/>
      <c r="C176" s="69"/>
      <c r="D176" s="69"/>
      <c r="E176" s="69"/>
      <c r="F176" s="69"/>
      <c r="G176" s="69"/>
      <c r="H176" s="69"/>
      <c r="I176" s="69"/>
      <c r="J176" s="69"/>
      <c r="K176" s="69"/>
      <c r="L176" s="69"/>
      <c r="M176" s="69"/>
      <c r="N176" s="69"/>
      <c r="O176" s="69"/>
      <c r="P176" s="69"/>
      <c r="Q176" s="69"/>
      <c r="R176" s="69"/>
      <c r="S176" s="69"/>
    </row>
    <row r="177" spans="1:26" ht="19.95" customHeight="1" x14ac:dyDescent="0.3">
      <c r="A177" s="69"/>
      <c r="B177" s="69"/>
      <c r="C177" s="69"/>
      <c r="D177" s="69"/>
      <c r="E177" s="69"/>
      <c r="F177" s="69"/>
      <c r="G177" s="69"/>
      <c r="H177" s="69"/>
      <c r="I177" s="69"/>
      <c r="J177" s="69"/>
      <c r="K177" s="69"/>
      <c r="L177" s="69"/>
      <c r="M177" s="69"/>
      <c r="N177" s="69"/>
      <c r="O177" s="69"/>
      <c r="P177" s="69"/>
      <c r="Q177" s="69"/>
      <c r="R177" s="69"/>
      <c r="S177" s="69"/>
      <c r="T177" t="s">
        <v>279</v>
      </c>
      <c r="U177" t="s">
        <v>13</v>
      </c>
      <c r="V177" t="s">
        <v>17</v>
      </c>
      <c r="W177" t="s">
        <v>21</v>
      </c>
      <c r="X177" t="s">
        <v>25</v>
      </c>
      <c r="Y177" t="s">
        <v>29</v>
      </c>
      <c r="Z177" t="s">
        <v>280</v>
      </c>
    </row>
    <row r="178" spans="1:26" ht="19.95" customHeight="1" x14ac:dyDescent="0.3">
      <c r="A178" s="69"/>
      <c r="B178" s="69"/>
      <c r="C178" s="69"/>
      <c r="D178" s="69"/>
      <c r="E178" s="69"/>
      <c r="F178" s="69"/>
      <c r="G178" s="69"/>
      <c r="H178" s="69"/>
      <c r="I178" s="69"/>
      <c r="J178" s="69"/>
      <c r="K178" s="69"/>
      <c r="L178" s="69"/>
      <c r="M178" s="69"/>
      <c r="N178" s="69"/>
      <c r="O178" s="69"/>
      <c r="P178" s="69"/>
      <c r="Q178" s="69"/>
      <c r="R178" s="69"/>
      <c r="S178" s="69"/>
      <c r="T178" t="s">
        <v>58</v>
      </c>
      <c r="U178" s="70">
        <f>IF(ISNUMBER(KOHC!D137),KOHC!D137,NA())</f>
        <v>110.64122209168052</v>
      </c>
      <c r="V178" s="70">
        <f>IF(ISNUMBER(LUCK!D137),LUCK!D137,NA())</f>
        <v>350.05878005411677</v>
      </c>
      <c r="W178" s="70">
        <f>IF(ISNUMBER(DGKC!D137),DGKC!D137,NA())</f>
        <v>167.71209700741193</v>
      </c>
      <c r="X178" s="70">
        <f>IF(ISNUMBER(MLCF!D137),MLCF!D137,NA())</f>
        <v>34.180972265393187</v>
      </c>
      <c r="Y178" s="70">
        <f>IF(ISNUMBER(FCCL!D137),FCCL!D137,NA())</f>
        <v>16.868689643176804</v>
      </c>
      <c r="Z178" s="70">
        <f>'Industry Averages'!D192</f>
        <v>135.89235221235583</v>
      </c>
    </row>
    <row r="179" spans="1:26" ht="19.95" customHeight="1" x14ac:dyDescent="0.3">
      <c r="A179" s="69"/>
      <c r="B179" s="69"/>
      <c r="C179" s="69"/>
      <c r="D179" s="69"/>
      <c r="E179" s="69"/>
      <c r="F179" s="69"/>
      <c r="G179" s="69"/>
      <c r="H179" s="69"/>
      <c r="I179" s="69"/>
      <c r="J179" s="69"/>
      <c r="K179" s="69"/>
      <c r="L179" s="69"/>
      <c r="M179" s="69"/>
      <c r="N179" s="69"/>
      <c r="O179" s="69"/>
      <c r="P179" s="69"/>
      <c r="Q179" s="69"/>
      <c r="R179" s="69"/>
      <c r="S179" s="69"/>
      <c r="T179" t="s">
        <v>59</v>
      </c>
      <c r="U179" s="70">
        <f>IF(ISNUMBER(KOHC!E137),KOHC!E137,NA())</f>
        <v>135.64693964412666</v>
      </c>
      <c r="V179" s="70">
        <f>IF(ISNUMBER(LUCK!E137),LUCK!E137,NA())</f>
        <v>397.49617008117508</v>
      </c>
      <c r="W179" s="70">
        <f>IF(ISNUMBER(DGKC!E137),DGKC!E137,NA())</f>
        <v>159.58697532246367</v>
      </c>
      <c r="X179" s="70">
        <f>IF(ISNUMBER(MLCF!E137),MLCF!E137,NA())</f>
        <v>37.561557627459578</v>
      </c>
      <c r="Y179" s="70">
        <f>IF(ISNUMBER(FCCL!E137),FCCL!E137,NA())</f>
        <v>26.480675904195227</v>
      </c>
      <c r="Z179" s="70">
        <f>'Industry Averages'!E192</f>
        <v>151.35446371588404</v>
      </c>
    </row>
    <row r="180" spans="1:26" ht="19.95" customHeight="1" x14ac:dyDescent="0.3">
      <c r="A180" s="69"/>
      <c r="B180" s="69"/>
      <c r="C180" s="69"/>
      <c r="D180" s="69"/>
      <c r="E180" s="69"/>
      <c r="F180" s="69"/>
      <c r="G180" s="69"/>
      <c r="H180" s="69"/>
      <c r="I180" s="69"/>
      <c r="J180" s="69"/>
      <c r="K180" s="69"/>
      <c r="L180" s="69"/>
      <c r="M180" s="69"/>
      <c r="N180" s="69"/>
      <c r="O180" s="69"/>
      <c r="P180" s="69"/>
      <c r="Q180" s="69"/>
      <c r="R180" s="69"/>
      <c r="S180" s="69"/>
      <c r="T180" t="s">
        <v>60</v>
      </c>
      <c r="U180" s="70">
        <f>IF(ISNUMBER(KOHC!F137),KOHC!F137,NA())</f>
        <v>162.35106244484723</v>
      </c>
      <c r="V180" s="70">
        <f>IF(ISNUMBER(LUCK!F137),LUCK!F137,NA())</f>
        <v>440.50456229600826</v>
      </c>
      <c r="W180" s="70">
        <f>IF(ISNUMBER(DGKC!F137),DGKC!F137,NA())</f>
        <v>146.51786922779672</v>
      </c>
      <c r="X180" s="70">
        <f>IF(ISNUMBER(MLCF!F137),MLCF!F137,NA())</f>
        <v>41.844014540695262</v>
      </c>
      <c r="Y180" s="70">
        <f>IF(ISNUMBER(FCCL!F137),FCCL!F137,NA())</f>
        <v>26.571458006604239</v>
      </c>
      <c r="Z180" s="70">
        <f>'Industry Averages'!F192</f>
        <v>163.55779330319035</v>
      </c>
    </row>
    <row r="181" spans="1:26" ht="19.95" customHeight="1" x14ac:dyDescent="0.3">
      <c r="A181" s="69"/>
      <c r="B181" s="69"/>
      <c r="C181" s="69"/>
      <c r="D181" s="69"/>
      <c r="E181" s="69"/>
      <c r="F181" s="69"/>
      <c r="G181" s="69"/>
      <c r="H181" s="69"/>
      <c r="I181" s="69"/>
      <c r="J181" s="69"/>
      <c r="K181" s="69"/>
      <c r="L181" s="69"/>
      <c r="M181" s="69"/>
      <c r="N181" s="69"/>
      <c r="O181" s="69"/>
      <c r="P181" s="69"/>
      <c r="Q181" s="69"/>
      <c r="R181" s="69"/>
      <c r="S181" s="69"/>
      <c r="T181" t="s">
        <v>61</v>
      </c>
      <c r="U181" s="70">
        <f>IF(ISNUMBER(KOHC!G137),KOHC!G137,NA())</f>
        <v>209.79287853383309</v>
      </c>
      <c r="V181" s="70">
        <f>IF(ISNUMBER(LUCK!G137),LUCK!G137,NA())</f>
        <v>504.3046996587031</v>
      </c>
      <c r="W181" s="70">
        <f>IF(ISNUMBER(DGKC!G137),DGKC!G137,NA())</f>
        <v>173.12082034314415</v>
      </c>
      <c r="X181" s="70">
        <f>IF(ISNUMBER(MLCF!G137),MLCF!G137,NA())</f>
        <v>50.226982139301263</v>
      </c>
      <c r="Y181" s="70">
        <f>IF(ISNUMBER(FCCL!G137),FCCL!G137,NA())</f>
        <v>29.923935347634316</v>
      </c>
      <c r="Z181" s="70">
        <f>'Industry Averages'!G192</f>
        <v>193.47386320452318</v>
      </c>
    </row>
    <row r="182" spans="1:26" ht="19.95" customHeight="1" x14ac:dyDescent="0.3">
      <c r="A182" s="69"/>
      <c r="B182" s="69"/>
      <c r="C182" s="69"/>
      <c r="D182" s="69"/>
      <c r="E182" s="69"/>
      <c r="F182" s="69"/>
      <c r="G182" s="69"/>
      <c r="H182" s="69"/>
      <c r="I182" s="69"/>
      <c r="J182" s="69"/>
      <c r="K182" s="69"/>
      <c r="L182" s="69"/>
      <c r="M182" s="69"/>
      <c r="N182" s="69"/>
      <c r="O182" s="69"/>
      <c r="P182" s="69"/>
      <c r="Q182" s="69"/>
      <c r="R182" s="69"/>
      <c r="S182" s="69"/>
      <c r="T182" t="s">
        <v>62</v>
      </c>
      <c r="U182" s="70">
        <f>IF(ISNUMBER(KOHC!H137),KOHC!H137,NA())</f>
        <v>260.8226721418157</v>
      </c>
      <c r="V182" s="70">
        <f>IF(ISNUMBER(LUCK!H137),LUCK!H137,NA())</f>
        <v>120.07535836177475</v>
      </c>
      <c r="W182" s="70">
        <f>IF(ISNUMBER(DGKC!H137),DGKC!H137,NA())</f>
        <v>216.07703932560804</v>
      </c>
      <c r="X182" s="70">
        <f>IF(ISNUMBER(MLCF!H137),MLCF!H137,NA())</f>
        <v>68.217013474898792</v>
      </c>
      <c r="Y182" s="70">
        <f>IF(ISNUMBER(FCCL!H137),FCCL!H137,NA())</f>
        <v>34.356887072804682</v>
      </c>
      <c r="Z182" s="70">
        <f>'Industry Averages'!H192</f>
        <v>139.90979407538038</v>
      </c>
    </row>
    <row r="183" spans="1:26" ht="19.95" customHeight="1" x14ac:dyDescent="0.3">
      <c r="A183" s="69"/>
      <c r="B183" s="69"/>
      <c r="C183" s="69"/>
      <c r="D183" s="69"/>
      <c r="E183" s="69"/>
      <c r="F183" s="69"/>
      <c r="G183" s="69"/>
      <c r="H183" s="69"/>
      <c r="I183" s="69"/>
      <c r="J183" s="69"/>
      <c r="K183" s="69"/>
      <c r="L183" s="69"/>
      <c r="M183" s="69"/>
      <c r="N183" s="69"/>
      <c r="O183" s="69"/>
      <c r="P183" s="69"/>
      <c r="Q183" s="69"/>
      <c r="R183" s="69"/>
      <c r="S183" s="69"/>
    </row>
    <row r="184" spans="1:26" ht="19.95" customHeight="1" x14ac:dyDescent="0.3">
      <c r="A184" s="69"/>
      <c r="B184" s="69"/>
      <c r="C184" s="69"/>
      <c r="D184" s="69"/>
      <c r="E184" s="69"/>
      <c r="F184" s="69"/>
      <c r="G184" s="69"/>
      <c r="H184" s="69"/>
      <c r="I184" s="69"/>
      <c r="J184" s="69"/>
      <c r="K184" s="69"/>
      <c r="L184" s="69"/>
      <c r="M184" s="69"/>
      <c r="N184" s="69"/>
      <c r="O184" s="69"/>
      <c r="P184" s="69"/>
      <c r="Q184" s="69"/>
      <c r="R184" s="69"/>
      <c r="S184" s="69"/>
    </row>
    <row r="185" spans="1:26" ht="19.95" customHeight="1" x14ac:dyDescent="0.3">
      <c r="A185" s="69"/>
      <c r="B185" s="69"/>
      <c r="C185" s="69"/>
      <c r="D185" s="69"/>
      <c r="E185" s="69"/>
      <c r="F185" s="69"/>
      <c r="G185" s="69"/>
      <c r="H185" s="69"/>
      <c r="I185" s="69"/>
      <c r="J185" s="69"/>
      <c r="K185" s="69"/>
      <c r="L185" s="69"/>
      <c r="M185" s="69"/>
      <c r="N185" s="69"/>
      <c r="O185" s="69"/>
      <c r="P185" s="69"/>
      <c r="Q185" s="69"/>
      <c r="R185" s="69"/>
      <c r="S185" s="69"/>
      <c r="T185" t="s">
        <v>279</v>
      </c>
      <c r="U185" t="s">
        <v>13</v>
      </c>
      <c r="V185" t="s">
        <v>17</v>
      </c>
      <c r="W185" t="s">
        <v>21</v>
      </c>
      <c r="X185" t="s">
        <v>25</v>
      </c>
      <c r="Y185" t="s">
        <v>29</v>
      </c>
      <c r="Z185" t="s">
        <v>280</v>
      </c>
    </row>
    <row r="186" spans="1:26" ht="19.95" customHeight="1" x14ac:dyDescent="0.3">
      <c r="A186" s="69"/>
      <c r="B186" s="69"/>
      <c r="C186" s="69"/>
      <c r="D186" s="69"/>
      <c r="E186" s="69"/>
      <c r="F186" s="69"/>
      <c r="G186" s="69"/>
      <c r="H186" s="69"/>
      <c r="I186" s="69"/>
      <c r="J186" s="69"/>
      <c r="K186" s="69"/>
      <c r="L186" s="69"/>
      <c r="M186" s="69"/>
      <c r="N186" s="69"/>
      <c r="O186" s="69"/>
      <c r="P186" s="69"/>
      <c r="Q186" s="69"/>
      <c r="R186" s="69"/>
      <c r="S186" s="69"/>
      <c r="T186" t="s">
        <v>58</v>
      </c>
      <c r="U186" s="70">
        <f>IF(ISNUMBER(KOHC!D138),KOHC!D138,NA())</f>
        <v>11.858688571154802</v>
      </c>
      <c r="V186" s="70">
        <f>IF(ISNUMBER(LUCK!D138),LUCK!D138,NA())</f>
        <v>19.844432082610968</v>
      </c>
      <c r="W186" s="70">
        <f>IF(ISNUMBER(DGKC!D138),DGKC!D138,NA())</f>
        <v>13.883154069739035</v>
      </c>
      <c r="X186" s="70">
        <f>IF(ISNUMBER(MLCF!D138),MLCF!D138,NA())</f>
        <v>8.2506229232653325</v>
      </c>
      <c r="Y186" s="70">
        <f>IF(ISNUMBER(FCCL!D138),FCCL!D138,NA())</f>
        <v>9.1421884447870596</v>
      </c>
      <c r="Z186" s="70">
        <f>'Industry Averages'!D200</f>
        <v>12.59581721831144</v>
      </c>
    </row>
    <row r="187" spans="1:26" ht="19.95" customHeight="1" x14ac:dyDescent="0.3">
      <c r="A187" s="69"/>
      <c r="B187" s="69"/>
      <c r="C187" s="69"/>
      <c r="D187" s="69"/>
      <c r="E187" s="69"/>
      <c r="F187" s="69"/>
      <c r="G187" s="69"/>
      <c r="H187" s="69"/>
      <c r="I187" s="69"/>
      <c r="J187" s="69"/>
      <c r="K187" s="69"/>
      <c r="L187" s="69"/>
      <c r="M187" s="69"/>
      <c r="N187" s="69"/>
      <c r="O187" s="69"/>
      <c r="P187" s="69"/>
      <c r="Q187" s="69"/>
      <c r="R187" s="69"/>
      <c r="S187" s="69"/>
      <c r="T187" t="s">
        <v>59</v>
      </c>
      <c r="U187" s="70">
        <f>IF(ISNUMBER(KOHC!E138),KOHC!E138,NA())</f>
        <v>5.2023532179731546</v>
      </c>
      <c r="V187" s="70">
        <f>IF(ISNUMBER(LUCK!E138),LUCK!E138,NA())</f>
        <v>9.7029718632101325</v>
      </c>
      <c r="W187" s="70">
        <f>IF(ISNUMBER(DGKC!E138),DGKC!E138,NA())</f>
        <v>9.2130648554640278</v>
      </c>
      <c r="X187" s="70">
        <f>IF(ISNUMBER(MLCF!E138),MLCF!E138,NA())</f>
        <v>8.2775695053414715</v>
      </c>
      <c r="Y187" s="70">
        <f>IF(ISNUMBER(FCCL!E138),FCCL!E138,NA())</f>
        <v>4.3437335368236942</v>
      </c>
      <c r="Z187" s="70">
        <f>'Industry Averages'!E200</f>
        <v>7.3479385957624954</v>
      </c>
    </row>
    <row r="188" spans="1:26" ht="19.95" customHeight="1" x14ac:dyDescent="0.3">
      <c r="A188" s="69"/>
      <c r="B188" s="69"/>
      <c r="C188" s="69"/>
      <c r="D188" s="69"/>
      <c r="E188" s="69"/>
      <c r="F188" s="69"/>
      <c r="G188" s="69"/>
      <c r="H188" s="69"/>
      <c r="I188" s="69"/>
      <c r="J188" s="69"/>
      <c r="K188" s="69"/>
      <c r="L188" s="69"/>
      <c r="M188" s="69"/>
      <c r="N188" s="69"/>
      <c r="O188" s="69"/>
      <c r="P188" s="69"/>
      <c r="Q188" s="69"/>
      <c r="R188" s="69"/>
      <c r="S188" s="69"/>
      <c r="T188" t="s">
        <v>60</v>
      </c>
      <c r="U188" s="70">
        <f>IF(ISNUMBER(KOHC!F138),KOHC!F138,NA())</f>
        <v>5.9860674889907219</v>
      </c>
      <c r="V188" s="70">
        <f>IF(ISNUMBER(LUCK!F138),LUCK!F138,NA())</f>
        <v>12.124283879265743</v>
      </c>
      <c r="W188" s="70" t="e">
        <f>IF(ISNUMBER(DGKC!F138),DGKC!F138,NA())</f>
        <v>#N/A</v>
      </c>
      <c r="X188" s="70">
        <f>IF(ISNUMBER(MLCF!F138),MLCF!F138,NA())</f>
        <v>6.7702147353244424</v>
      </c>
      <c r="Y188" s="70">
        <f>IF(ISNUMBER(FCCL!F138),FCCL!F138,NA())</f>
        <v>3.877247932539039</v>
      </c>
      <c r="Z188" s="70">
        <f>'Industry Averages'!F200</f>
        <v>7.1894535090299874</v>
      </c>
    </row>
    <row r="189" spans="1:26" ht="19.95" customHeight="1" x14ac:dyDescent="0.3">
      <c r="A189" s="69"/>
      <c r="B189" s="69"/>
      <c r="C189" s="69"/>
      <c r="D189" s="69"/>
      <c r="E189" s="69"/>
      <c r="F189" s="69"/>
      <c r="G189" s="69"/>
      <c r="H189" s="69"/>
      <c r="I189" s="69"/>
      <c r="J189" s="69"/>
      <c r="K189" s="69"/>
      <c r="L189" s="69"/>
      <c r="M189" s="69"/>
      <c r="N189" s="69"/>
      <c r="O189" s="69"/>
      <c r="P189" s="69"/>
      <c r="Q189" s="69"/>
      <c r="R189" s="69"/>
      <c r="S189" s="69"/>
      <c r="T189" t="s">
        <v>61</v>
      </c>
      <c r="U189" s="70">
        <f>IF(ISNUMBER(KOHC!G138),KOHC!G138,NA())</f>
        <v>5.5313975285193058</v>
      </c>
      <c r="V189" s="70">
        <f>IF(ISNUMBER(LUCK!G138),LUCK!G138,NA())</f>
        <v>9.5909070156236584</v>
      </c>
      <c r="W189" s="70">
        <f>IF(ISNUMBER(DGKC!G138),DGKC!G138,NA())</f>
        <v>72.91538429829842</v>
      </c>
      <c r="X189" s="70">
        <f>IF(ISNUMBER(MLCF!G138),MLCF!G138,NA())</f>
        <v>7.6317519094733912</v>
      </c>
      <c r="Y189" s="70">
        <f>IF(ISNUMBER(FCCL!G138),FCCL!G138,NA())</f>
        <v>6.8337507059367812</v>
      </c>
      <c r="Z189" s="70">
        <f>'Industry Averages'!G200</f>
        <v>20.500638291570311</v>
      </c>
    </row>
    <row r="190" spans="1:26" ht="19.95" customHeight="1" x14ac:dyDescent="0.3">
      <c r="A190" s="97" t="s">
        <v>291</v>
      </c>
      <c r="B190" s="97"/>
      <c r="C190" s="97"/>
      <c r="D190" s="97"/>
      <c r="E190" s="97"/>
      <c r="F190" s="97"/>
      <c r="G190" s="97"/>
      <c r="H190" s="97"/>
      <c r="I190" s="97"/>
      <c r="J190" s="97"/>
      <c r="K190" s="97"/>
      <c r="L190" s="97"/>
      <c r="M190" s="97"/>
      <c r="N190" s="97"/>
      <c r="O190" s="97"/>
      <c r="P190" s="97"/>
      <c r="Q190" s="97"/>
      <c r="R190" s="97"/>
      <c r="S190" s="97"/>
      <c r="T190" t="s">
        <v>62</v>
      </c>
      <c r="U190" s="70">
        <f>IF(ISNUMBER(KOHC!H138),KOHC!H138,NA())</f>
        <v>6.3393545313613817</v>
      </c>
      <c r="V190" s="70">
        <f>IF(ISNUMBER(LUCK!H138),LUCK!H138,NA())</f>
        <v>15.726582022655393</v>
      </c>
      <c r="W190" s="70">
        <f>IF(ISNUMBER(DGKC!H138),DGKC!H138,NA())</f>
        <v>8.3613265542147914</v>
      </c>
      <c r="X190" s="70">
        <f>IF(ISNUMBER(MLCF!H138),MLCF!H138,NA())</f>
        <v>5.1823592062489379</v>
      </c>
      <c r="Y190" s="70">
        <f>IF(ISNUMBER(FCCL!H138),FCCL!H138,NA())</f>
        <v>8.2220482242427426</v>
      </c>
      <c r="Z190" s="70">
        <f>'Industry Averages'!H200</f>
        <v>8.7663341077446493</v>
      </c>
    </row>
    <row r="191" spans="1:26" ht="19.95" customHeight="1" x14ac:dyDescent="0.3">
      <c r="A191" s="69"/>
      <c r="B191" s="69"/>
      <c r="C191" s="69"/>
      <c r="D191" s="69"/>
      <c r="E191" s="69"/>
      <c r="F191" s="69"/>
      <c r="G191" s="69"/>
      <c r="H191" s="69"/>
      <c r="I191" s="69"/>
      <c r="J191" s="69"/>
      <c r="K191" s="69"/>
      <c r="L191" s="69"/>
      <c r="M191" s="69"/>
      <c r="N191" s="69"/>
      <c r="O191" s="69"/>
      <c r="P191" s="69"/>
      <c r="Q191" s="69"/>
      <c r="R191" s="69"/>
      <c r="S191" s="69"/>
    </row>
    <row r="192" spans="1:26" ht="19.95" customHeight="1" x14ac:dyDescent="0.3">
      <c r="A192" s="69"/>
      <c r="B192" s="69"/>
      <c r="C192" s="69"/>
      <c r="D192" s="69"/>
      <c r="E192" s="69"/>
      <c r="F192" s="69"/>
      <c r="G192" s="69"/>
      <c r="H192" s="69"/>
      <c r="I192" s="69"/>
      <c r="J192" s="69"/>
      <c r="K192" s="69"/>
      <c r="L192" s="69"/>
      <c r="M192" s="69"/>
      <c r="N192" s="69"/>
      <c r="O192" s="69"/>
      <c r="P192" s="69"/>
      <c r="Q192" s="69"/>
      <c r="R192" s="69"/>
      <c r="S192" s="69"/>
    </row>
    <row r="193" spans="1:26" ht="19.95" customHeight="1" x14ac:dyDescent="0.3">
      <c r="A193" s="69"/>
      <c r="B193" s="69"/>
      <c r="C193" s="69"/>
      <c r="D193" s="69"/>
      <c r="E193" s="69"/>
      <c r="F193" s="69"/>
      <c r="G193" s="69"/>
      <c r="H193" s="69"/>
      <c r="I193" s="69"/>
      <c r="J193" s="69"/>
      <c r="K193" s="69"/>
      <c r="L193" s="69"/>
      <c r="M193" s="69"/>
      <c r="N193" s="69"/>
      <c r="O193" s="69"/>
      <c r="P193" s="69"/>
      <c r="Q193" s="69"/>
      <c r="R193" s="69"/>
      <c r="S193" s="69"/>
      <c r="T193" t="s">
        <v>279</v>
      </c>
      <c r="U193" t="s">
        <v>13</v>
      </c>
      <c r="V193" t="s">
        <v>17</v>
      </c>
      <c r="W193" t="s">
        <v>21</v>
      </c>
      <c r="X193" t="s">
        <v>25</v>
      </c>
      <c r="Y193" t="s">
        <v>29</v>
      </c>
      <c r="Z193" t="s">
        <v>280</v>
      </c>
    </row>
    <row r="194" spans="1:26" ht="19.95" customHeight="1" x14ac:dyDescent="0.3">
      <c r="A194" s="69"/>
      <c r="B194" s="69"/>
      <c r="C194" s="69"/>
      <c r="D194" s="69"/>
      <c r="E194" s="69"/>
      <c r="F194" s="69"/>
      <c r="G194" s="69"/>
      <c r="H194" s="69"/>
      <c r="I194" s="69"/>
      <c r="J194" s="69"/>
      <c r="K194" s="69"/>
      <c r="L194" s="69"/>
      <c r="M194" s="69"/>
      <c r="N194" s="69"/>
      <c r="O194" s="69"/>
      <c r="P194" s="69"/>
      <c r="Q194" s="69"/>
      <c r="R194" s="69"/>
      <c r="S194" s="69"/>
      <c r="T194" t="s">
        <v>58</v>
      </c>
      <c r="U194" s="70">
        <f>IF(ISNUMBER(KOHC!D139),KOHC!D139,NA())</f>
        <v>1.8663025958706099</v>
      </c>
      <c r="V194" s="70">
        <f>IF(ISNUMBER(LUCK!D139),LUCK!D139,NA())</f>
        <v>2.4665571875286716</v>
      </c>
      <c r="W194" s="70">
        <f>IF(ISNUMBER(DGKC!D139),DGKC!D139,NA())</f>
        <v>0.7031096868032638</v>
      </c>
      <c r="X194" s="70">
        <f>IF(ISNUMBER(MLCF!D139),MLCF!D139,NA())</f>
        <v>1.3744489078669448</v>
      </c>
      <c r="Y194" s="70">
        <f>IF(ISNUMBER(FCCL!D139),FCCL!D139,NA())</f>
        <v>1.3634728296339984</v>
      </c>
      <c r="Z194" s="70">
        <f>'Industry Averages'!D208</f>
        <v>1.5547782415406979</v>
      </c>
    </row>
    <row r="195" spans="1:26" ht="19.95" customHeight="1" x14ac:dyDescent="0.3">
      <c r="A195" s="69"/>
      <c r="B195" s="69"/>
      <c r="C195" s="69"/>
      <c r="D195" s="69"/>
      <c r="E195" s="69"/>
      <c r="F195" s="69"/>
      <c r="G195" s="69"/>
      <c r="H195" s="69"/>
      <c r="I195" s="69"/>
      <c r="J195" s="69"/>
      <c r="K195" s="69"/>
      <c r="L195" s="69"/>
      <c r="M195" s="69"/>
      <c r="N195" s="69"/>
      <c r="O195" s="69"/>
      <c r="P195" s="69"/>
      <c r="Q195" s="69"/>
      <c r="R195" s="69"/>
      <c r="S195" s="69"/>
      <c r="T195" t="s">
        <v>59</v>
      </c>
      <c r="U195" s="70">
        <f>IF(ISNUMBER(KOHC!E139),KOHC!E139,NA())</f>
        <v>0.95932868328175702</v>
      </c>
      <c r="V195" s="70">
        <f>IF(ISNUMBER(LUCK!E139),LUCK!E139,NA())</f>
        <v>1.1548287368561481</v>
      </c>
      <c r="W195" s="70">
        <f>IF(ISNUMBER(DGKC!E139),DGKC!E139,NA())</f>
        <v>0.39163597075332512</v>
      </c>
      <c r="X195" s="70">
        <f>IF(ISNUMBER(MLCF!E139),MLCF!E139,NA())</f>
        <v>0.72813806794864222</v>
      </c>
      <c r="Y195" s="70">
        <f>IF(ISNUMBER(FCCL!E139),FCCL!E139,NA())</f>
        <v>0.53510718726613404</v>
      </c>
      <c r="Z195" s="70">
        <f>'Industry Averages'!E208</f>
        <v>0.75380772922120132</v>
      </c>
    </row>
    <row r="196" spans="1:26" ht="19.95" customHeight="1" x14ac:dyDescent="0.3">
      <c r="A196" s="69"/>
      <c r="B196" s="69"/>
      <c r="C196" s="69"/>
      <c r="D196" s="69"/>
      <c r="E196" s="69"/>
      <c r="F196" s="69"/>
      <c r="G196" s="69"/>
      <c r="H196" s="69"/>
      <c r="I196" s="69"/>
      <c r="J196" s="69"/>
      <c r="K196" s="69"/>
      <c r="L196" s="69"/>
      <c r="M196" s="69"/>
      <c r="N196" s="69"/>
      <c r="O196" s="69"/>
      <c r="P196" s="69"/>
      <c r="Q196" s="69"/>
      <c r="R196" s="69"/>
      <c r="S196" s="69"/>
      <c r="T196" t="s">
        <v>60</v>
      </c>
      <c r="U196" s="70">
        <f>IF(ISNUMBER(KOHC!F139),KOHC!F139,NA())</f>
        <v>1.0684870021034203</v>
      </c>
      <c r="V196" s="70">
        <f>IF(ISNUMBER(LUCK!F139),LUCK!F139,NA())</f>
        <v>1.1852090640758639</v>
      </c>
      <c r="W196" s="70">
        <f>IF(ISNUMBER(DGKC!F139),DGKC!F139,NA())</f>
        <v>0.35012794187063967</v>
      </c>
      <c r="X196" s="70">
        <f>IF(ISNUMBER(MLCF!F139),MLCF!F139,NA())</f>
        <v>0.67703828877240613</v>
      </c>
      <c r="Y196" s="70">
        <f>IF(ISNUMBER(FCCL!F139),FCCL!F139,NA())</f>
        <v>0.44258015488186969</v>
      </c>
      <c r="Z196" s="70">
        <f>'Industry Averages'!F208</f>
        <v>0.74468849034083984</v>
      </c>
    </row>
    <row r="197" spans="1:26" ht="19.95" customHeight="1" x14ac:dyDescent="0.3">
      <c r="A197" s="69"/>
      <c r="B197" s="69"/>
      <c r="C197" s="69"/>
      <c r="D197" s="69"/>
      <c r="E197" s="69"/>
      <c r="F197" s="69"/>
      <c r="G197" s="69"/>
      <c r="H197" s="69"/>
      <c r="I197" s="69"/>
      <c r="J197" s="69"/>
      <c r="K197" s="69"/>
      <c r="L197" s="69"/>
      <c r="M197" s="69"/>
      <c r="N197" s="69"/>
      <c r="O197" s="69"/>
      <c r="P197" s="69"/>
      <c r="Q197" s="69"/>
      <c r="R197" s="69"/>
      <c r="S197" s="69"/>
      <c r="T197" t="s">
        <v>61</v>
      </c>
      <c r="U197" s="70">
        <f>IF(ISNUMBER(KOHC!G139),KOHC!G139,NA())</f>
        <v>1.1937011482475723</v>
      </c>
      <c r="V197" s="70">
        <f>IF(ISNUMBER(LUCK!G139),LUCK!G139,NA())</f>
        <v>1.7979804681845026</v>
      </c>
      <c r="W197" s="70">
        <f>IF(ISNUMBER(DGKC!G139),DGKC!G139,NA())</f>
        <v>0.52142775098382221</v>
      </c>
      <c r="X197" s="70">
        <f>IF(ISNUMBER(MLCF!G139),MLCF!G139,NA())</f>
        <v>0.75656546305349337</v>
      </c>
      <c r="Y197" s="70">
        <f>IF(ISNUMBER(FCCL!G139),FCCL!G139,NA())</f>
        <v>0.76560785651514207</v>
      </c>
      <c r="Z197" s="70">
        <f>'Industry Averages'!G208</f>
        <v>1.0070565373969065</v>
      </c>
    </row>
    <row r="198" spans="1:26" ht="19.95" customHeight="1" x14ac:dyDescent="0.3">
      <c r="A198" s="69"/>
      <c r="B198" s="69"/>
      <c r="C198" s="69"/>
      <c r="D198" s="69"/>
      <c r="E198" s="69"/>
      <c r="F198" s="69"/>
      <c r="G198" s="69"/>
      <c r="H198" s="69"/>
      <c r="I198" s="69"/>
      <c r="J198" s="69"/>
      <c r="K198" s="69"/>
      <c r="L198" s="69"/>
      <c r="M198" s="69"/>
      <c r="N198" s="69"/>
      <c r="O198" s="69"/>
      <c r="P198" s="69"/>
      <c r="Q198" s="69"/>
      <c r="R198" s="69"/>
      <c r="S198" s="69"/>
      <c r="T198" t="s">
        <v>62</v>
      </c>
      <c r="U198" s="70">
        <f>IF(ISNUMBER(KOHC!H139),KOHC!H139,NA())</f>
        <v>1.4544747850514033</v>
      </c>
      <c r="V198" s="70">
        <f>IF(ISNUMBER(LUCK!H139),LUCK!H139,NA())</f>
        <v>2.9584754511387614</v>
      </c>
      <c r="W198" s="70">
        <f>IF(ISNUMBER(DGKC!H139),DGKC!H139,NA())</f>
        <v>0.76620820294800718</v>
      </c>
      <c r="X198" s="70">
        <f>IF(ISNUMBER(MLCF!H139),MLCF!H139,NA())</f>
        <v>1.2354689205356633</v>
      </c>
      <c r="Y198" s="70">
        <f>IF(ISNUMBER(FCCL!H139),FCCL!H139,NA())</f>
        <v>1.3001759998029245</v>
      </c>
      <c r="Z198" s="70">
        <f>'Industry Averages'!H208</f>
        <v>1.5429606718953519</v>
      </c>
    </row>
    <row r="199" spans="1:26" ht="19.95" customHeight="1" x14ac:dyDescent="0.3">
      <c r="A199" s="69"/>
      <c r="B199" s="69"/>
      <c r="C199" s="69"/>
      <c r="D199" s="69"/>
      <c r="E199" s="69"/>
      <c r="F199" s="69"/>
      <c r="G199" s="69"/>
      <c r="H199" s="69"/>
      <c r="I199" s="69"/>
      <c r="J199" s="69"/>
      <c r="K199" s="69"/>
      <c r="L199" s="69"/>
      <c r="M199" s="69"/>
      <c r="N199" s="69"/>
      <c r="O199" s="69"/>
      <c r="P199" s="69"/>
      <c r="Q199" s="69"/>
      <c r="R199" s="69"/>
      <c r="S199" s="69"/>
    </row>
    <row r="200" spans="1:26" ht="19.95" customHeight="1" x14ac:dyDescent="0.3">
      <c r="A200" s="69"/>
      <c r="B200" s="69"/>
      <c r="C200" s="69"/>
      <c r="D200" s="69"/>
      <c r="E200" s="69"/>
      <c r="F200" s="69"/>
      <c r="G200" s="69"/>
      <c r="H200" s="69"/>
      <c r="I200" s="69"/>
      <c r="J200" s="69"/>
      <c r="K200" s="69"/>
      <c r="L200" s="69"/>
      <c r="M200" s="69"/>
      <c r="N200" s="69"/>
      <c r="O200" s="69"/>
      <c r="P200" s="69"/>
      <c r="Q200" s="69"/>
      <c r="R200" s="69"/>
      <c r="S200" s="69"/>
    </row>
    <row r="201" spans="1:26" ht="19.95" customHeight="1" x14ac:dyDescent="0.3">
      <c r="A201" s="69"/>
      <c r="B201" s="69"/>
      <c r="C201" s="69"/>
      <c r="D201" s="69"/>
      <c r="E201" s="69"/>
      <c r="F201" s="69"/>
      <c r="G201" s="69"/>
      <c r="H201" s="69"/>
      <c r="I201" s="69"/>
      <c r="J201" s="69"/>
      <c r="K201" s="69"/>
      <c r="L201" s="69"/>
      <c r="M201" s="69"/>
      <c r="N201" s="69"/>
      <c r="O201" s="69"/>
      <c r="P201" s="69"/>
      <c r="Q201" s="69"/>
      <c r="R201" s="69"/>
      <c r="S201" s="69"/>
      <c r="T201" t="s">
        <v>279</v>
      </c>
      <c r="U201" t="s">
        <v>13</v>
      </c>
      <c r="V201" t="s">
        <v>17</v>
      </c>
      <c r="W201" t="s">
        <v>21</v>
      </c>
      <c r="X201" t="s">
        <v>25</v>
      </c>
      <c r="Y201" t="s">
        <v>29</v>
      </c>
      <c r="Z201" t="s">
        <v>280</v>
      </c>
    </row>
    <row r="202" spans="1:26" ht="19.95" customHeight="1" x14ac:dyDescent="0.3">
      <c r="A202" s="69"/>
      <c r="B202" s="69"/>
      <c r="C202" s="69"/>
      <c r="D202" s="69"/>
      <c r="E202" s="69"/>
      <c r="F202" s="69"/>
      <c r="G202" s="69"/>
      <c r="H202" s="69"/>
      <c r="I202" s="69"/>
      <c r="J202" s="69"/>
      <c r="K202" s="69"/>
      <c r="L202" s="69"/>
      <c r="M202" s="69"/>
      <c r="N202" s="69"/>
      <c r="O202" s="69"/>
      <c r="P202" s="69"/>
      <c r="Q202" s="69"/>
      <c r="R202" s="69"/>
      <c r="S202" s="69"/>
      <c r="T202" t="s">
        <v>58</v>
      </c>
      <c r="U202" s="72">
        <f>IF(ISNUMBER(KOHC!D140),KOHC!D140,NA())</f>
        <v>0</v>
      </c>
      <c r="V202" s="72">
        <f>IF(ISNUMBER(LUCK!D140),LUCK!D140,NA())</f>
        <v>0</v>
      </c>
      <c r="W202" s="72">
        <f>IF(ISNUMBER(DGKC!D140),DGKC!D140,NA())</f>
        <v>8.4803256445047485E-3</v>
      </c>
      <c r="X202" s="72">
        <f>IF(ISNUMBER(MLCF!D140),MLCF!D140,NA())</f>
        <v>0</v>
      </c>
      <c r="Y202" s="72">
        <f>IF(ISNUMBER(FCCL!D140),FCCL!D140,NA())</f>
        <v>0</v>
      </c>
      <c r="Z202" s="72">
        <f>'Industry Averages'!D216</f>
        <v>1.6960651289009497E-3</v>
      </c>
    </row>
    <row r="203" spans="1:26" ht="19.95" customHeight="1" x14ac:dyDescent="0.3">
      <c r="A203" s="69"/>
      <c r="B203" s="69"/>
      <c r="C203" s="69"/>
      <c r="D203" s="69"/>
      <c r="E203" s="69"/>
      <c r="F203" s="69"/>
      <c r="G203" s="69"/>
      <c r="H203" s="69"/>
      <c r="I203" s="69"/>
      <c r="J203" s="69"/>
      <c r="K203" s="69"/>
      <c r="L203" s="69"/>
      <c r="M203" s="69"/>
      <c r="N203" s="69"/>
      <c r="O203" s="69"/>
      <c r="P203" s="69"/>
      <c r="Q203" s="69"/>
      <c r="R203" s="69"/>
      <c r="S203" s="69"/>
      <c r="T203" t="s">
        <v>59</v>
      </c>
      <c r="U203" s="72">
        <f>IF(ISNUMBER(KOHC!E140),KOHC!E140,NA())</f>
        <v>0</v>
      </c>
      <c r="V203" s="72">
        <f>IF(ISNUMBER(LUCK!E140),LUCK!E140,NA())</f>
        <v>0</v>
      </c>
      <c r="W203" s="72">
        <f>IF(ISNUMBER(DGKC!E140),DGKC!E140,NA())</f>
        <v>1.6E-2</v>
      </c>
      <c r="X203" s="72">
        <f>IF(ISNUMBER(MLCF!E140),MLCF!E140,NA())</f>
        <v>0</v>
      </c>
      <c r="Y203" s="72">
        <f>IF(ISNUMBER(FCCL!E140),FCCL!E140,NA())</f>
        <v>0</v>
      </c>
      <c r="Z203" s="72">
        <f>'Industry Averages'!E216</f>
        <v>3.2000000000000002E-3</v>
      </c>
    </row>
    <row r="204" spans="1:26" ht="19.95" customHeight="1" x14ac:dyDescent="0.3">
      <c r="A204" s="69"/>
      <c r="B204" s="69"/>
      <c r="C204" s="69"/>
      <c r="D204" s="69"/>
      <c r="E204" s="69"/>
      <c r="F204" s="69"/>
      <c r="G204" s="69"/>
      <c r="H204" s="69"/>
      <c r="I204" s="69"/>
      <c r="J204" s="69"/>
      <c r="K204" s="69"/>
      <c r="L204" s="69"/>
      <c r="M204" s="69"/>
      <c r="N204" s="69"/>
      <c r="O204" s="69"/>
      <c r="P204" s="69"/>
      <c r="Q204" s="69"/>
      <c r="R204" s="69"/>
      <c r="S204" s="69"/>
      <c r="T204" t="s">
        <v>60</v>
      </c>
      <c r="U204" s="72">
        <f>IF(ISNUMBER(KOHC!F140),KOHC!F140,NA())</f>
        <v>0</v>
      </c>
      <c r="V204" s="72">
        <f>IF(ISNUMBER(LUCK!F140),LUCK!F140,NA())</f>
        <v>3.4476814342354764E-2</v>
      </c>
      <c r="W204" s="72">
        <f>IF(ISNUMBER(DGKC!F140),DGKC!F140,NA())</f>
        <v>0</v>
      </c>
      <c r="X204" s="72">
        <f>IF(ISNUMBER(MLCF!F140),MLCF!F140,NA())</f>
        <v>0</v>
      </c>
      <c r="Y204" s="72">
        <f>IF(ISNUMBER(FCCL!F140),FCCL!F140,NA())</f>
        <v>0</v>
      </c>
      <c r="Z204" s="72">
        <f>'Industry Averages'!F216</f>
        <v>6.8953628684709526E-3</v>
      </c>
    </row>
    <row r="205" spans="1:26" ht="19.95" customHeight="1" x14ac:dyDescent="0.3">
      <c r="A205" s="69"/>
      <c r="B205" s="69"/>
      <c r="C205" s="69"/>
      <c r="D205" s="69"/>
      <c r="E205" s="69"/>
      <c r="F205" s="69"/>
      <c r="G205" s="69"/>
      <c r="H205" s="69"/>
      <c r="I205" s="69"/>
      <c r="J205" s="69"/>
      <c r="K205" s="69"/>
      <c r="L205" s="69"/>
      <c r="M205" s="69"/>
      <c r="N205" s="69"/>
      <c r="O205" s="69"/>
      <c r="P205" s="69"/>
      <c r="Q205" s="69"/>
      <c r="R205" s="69"/>
      <c r="S205" s="69"/>
      <c r="T205" t="s">
        <v>61</v>
      </c>
      <c r="U205" s="72">
        <f>IF(ISNUMBER(KOHC!G140),KOHC!G140,NA())</f>
        <v>0</v>
      </c>
      <c r="V205" s="72">
        <f>IF(ISNUMBER(LUCK!G140),LUCK!G140,NA())</f>
        <v>1.6542962072502287E-2</v>
      </c>
      <c r="W205" s="72">
        <f>IF(ISNUMBER(DGKC!G140),DGKC!G140,NA())</f>
        <v>0</v>
      </c>
      <c r="X205" s="72">
        <f>IF(ISNUMBER(MLCF!G140),MLCF!G140,NA())</f>
        <v>0</v>
      </c>
      <c r="Y205" s="72">
        <f>IF(ISNUMBER(FCCL!G140),FCCL!G140,NA())</f>
        <v>4.3649061545176782E-2</v>
      </c>
      <c r="Z205" s="72">
        <f>'Industry Averages'!G216</f>
        <v>1.2038404723535814E-2</v>
      </c>
    </row>
    <row r="206" spans="1:26" ht="19.95" customHeight="1" x14ac:dyDescent="0.3">
      <c r="A206" s="69"/>
      <c r="B206" s="69"/>
      <c r="C206" s="69"/>
      <c r="D206" s="69"/>
      <c r="E206" s="69"/>
      <c r="F206" s="69"/>
      <c r="G206" s="69"/>
      <c r="H206" s="69"/>
      <c r="I206" s="69"/>
      <c r="J206" s="69"/>
      <c r="K206" s="69"/>
      <c r="L206" s="69"/>
      <c r="M206" s="69"/>
      <c r="N206" s="69"/>
      <c r="O206" s="69"/>
      <c r="P206" s="69"/>
      <c r="Q206" s="69"/>
      <c r="R206" s="69"/>
      <c r="S206" s="69"/>
      <c r="T206" t="s">
        <v>62</v>
      </c>
      <c r="U206" s="72">
        <f>IF(ISNUMBER(KOHC!H140),KOHC!H140,NA())</f>
        <v>0</v>
      </c>
      <c r="V206" s="72">
        <f>IF(ISNUMBER(LUCK!H140),LUCK!H140,NA())</f>
        <v>1.1259993244004052E-2</v>
      </c>
      <c r="W206" s="72">
        <f>IF(ISNUMBER(DGKC!H140),DGKC!H140,NA())</f>
        <v>1.2080212611741966E-2</v>
      </c>
      <c r="X206" s="72">
        <f>IF(ISNUMBER(MLCF!H140),MLCF!H140,NA())</f>
        <v>0</v>
      </c>
      <c r="Y206" s="72">
        <f>IF(ISNUMBER(FCCL!H140),FCCL!H140,NA())</f>
        <v>2.7982986344302664E-2</v>
      </c>
      <c r="Z206" s="72">
        <f>'Industry Averages'!H216</f>
        <v>1.0264638440009737E-2</v>
      </c>
    </row>
    <row r="207" spans="1:26" ht="19.95" customHeight="1" x14ac:dyDescent="0.3">
      <c r="A207" s="69"/>
      <c r="B207" s="69"/>
      <c r="C207" s="69"/>
      <c r="D207" s="69"/>
      <c r="E207" s="69"/>
      <c r="F207" s="69"/>
      <c r="G207" s="69"/>
      <c r="H207" s="69"/>
      <c r="I207" s="69"/>
      <c r="J207" s="69"/>
      <c r="K207" s="69"/>
      <c r="L207" s="69"/>
      <c r="M207" s="69"/>
      <c r="N207" s="69"/>
      <c r="O207" s="69"/>
      <c r="P207" s="69"/>
      <c r="Q207" s="69"/>
      <c r="R207" s="69"/>
      <c r="S207" s="69"/>
    </row>
    <row r="208" spans="1:26" ht="19.95" customHeight="1" x14ac:dyDescent="0.3">
      <c r="A208" s="69"/>
      <c r="B208" s="69"/>
      <c r="C208" s="69"/>
      <c r="D208" s="69"/>
      <c r="E208" s="69"/>
      <c r="F208" s="69"/>
      <c r="G208" s="69"/>
      <c r="H208" s="69"/>
      <c r="I208" s="69"/>
      <c r="J208" s="69"/>
      <c r="K208" s="69"/>
      <c r="L208" s="69"/>
      <c r="M208" s="69"/>
      <c r="N208" s="69"/>
      <c r="O208" s="69"/>
      <c r="P208" s="69"/>
      <c r="Q208" s="69"/>
      <c r="R208" s="69"/>
      <c r="S208" s="69"/>
    </row>
    <row r="209" spans="1:26" ht="19.95" customHeight="1" x14ac:dyDescent="0.3">
      <c r="A209" s="69"/>
      <c r="B209" s="69"/>
      <c r="C209" s="69"/>
      <c r="D209" s="69"/>
      <c r="E209" s="69"/>
      <c r="F209" s="69"/>
      <c r="G209" s="69"/>
      <c r="H209" s="69"/>
      <c r="I209" s="69"/>
      <c r="J209" s="69"/>
      <c r="K209" s="69"/>
      <c r="L209" s="69"/>
      <c r="M209" s="69"/>
      <c r="N209" s="69"/>
      <c r="O209" s="69"/>
      <c r="P209" s="69"/>
      <c r="Q209" s="69"/>
      <c r="R209" s="69"/>
      <c r="S209" s="69"/>
      <c r="T209" t="s">
        <v>279</v>
      </c>
      <c r="U209" t="s">
        <v>13</v>
      </c>
      <c r="V209" t="s">
        <v>17</v>
      </c>
      <c r="W209" t="s">
        <v>21</v>
      </c>
      <c r="X209" t="s">
        <v>25</v>
      </c>
      <c r="Y209" t="s">
        <v>29</v>
      </c>
      <c r="Z209" t="s">
        <v>280</v>
      </c>
    </row>
    <row r="210" spans="1:26" ht="19.95" customHeight="1" x14ac:dyDescent="0.3">
      <c r="A210" s="69"/>
      <c r="B210" s="69"/>
      <c r="C210" s="69"/>
      <c r="D210" s="69"/>
      <c r="E210" s="69"/>
      <c r="F210" s="69"/>
      <c r="G210" s="69"/>
      <c r="H210" s="69"/>
      <c r="I210" s="69"/>
      <c r="J210" s="69"/>
      <c r="K210" s="69"/>
      <c r="L210" s="69"/>
      <c r="M210" s="69"/>
      <c r="N210" s="69"/>
      <c r="O210" s="69"/>
      <c r="P210" s="69"/>
      <c r="Q210" s="69"/>
      <c r="R210" s="69"/>
      <c r="S210" s="69"/>
      <c r="T210" t="s">
        <v>58</v>
      </c>
      <c r="U210" s="70">
        <f>IF(ISNUMBER(KOHC!D141),KOHC!D141,NA())</f>
        <v>7.030703799061059</v>
      </c>
      <c r="V210" s="70">
        <f>IF(ISNUMBER(LUCK!D141),LUCK!D141,NA())</f>
        <v>12.530231924140164</v>
      </c>
      <c r="W210" s="70">
        <f>IF(ISNUMBER(DGKC!D141),DGKC!D141,NA())</f>
        <v>8.4672094053907152</v>
      </c>
      <c r="X210" s="70">
        <f>IF(ISNUMBER(MLCF!D141),MLCF!D141,NA())</f>
        <v>5.6223501239668989</v>
      </c>
      <c r="Y210" s="70">
        <f>IF(ISNUMBER(FCCL!D141),FCCL!D141,NA())</f>
        <v>4.9126800998035849</v>
      </c>
      <c r="Z210" s="70">
        <f>'Industry Averages'!D224</f>
        <v>7.7126350704724844</v>
      </c>
    </row>
    <row r="211" spans="1:26" ht="19.95" customHeight="1" x14ac:dyDescent="0.3">
      <c r="A211" s="69"/>
      <c r="B211" s="69"/>
      <c r="C211" s="69"/>
      <c r="D211" s="69"/>
      <c r="E211" s="69"/>
      <c r="F211" s="69"/>
      <c r="G211" s="69"/>
      <c r="H211" s="69"/>
      <c r="I211" s="69"/>
      <c r="J211" s="69"/>
      <c r="K211" s="69"/>
      <c r="L211" s="69"/>
      <c r="M211" s="69"/>
      <c r="N211" s="69"/>
      <c r="O211" s="69"/>
      <c r="P211" s="69"/>
      <c r="Q211" s="69"/>
      <c r="R211" s="69"/>
      <c r="S211" s="69"/>
      <c r="T211" t="s">
        <v>59</v>
      </c>
      <c r="U211" s="70">
        <f>IF(ISNUMBER(KOHC!E141),KOHC!E141,NA())</f>
        <v>2.8460065892461768</v>
      </c>
      <c r="V211" s="70">
        <f>IF(ISNUMBER(LUCK!E141),LUCK!E141,NA())</f>
        <v>5.6439003003016683</v>
      </c>
      <c r="W211" s="70">
        <f>IF(ISNUMBER(DGKC!E141),DGKC!E141,NA())</f>
        <v>5.5150906801201929</v>
      </c>
      <c r="X211" s="70">
        <f>IF(ISNUMBER(MLCF!E141),MLCF!E141,NA())</f>
        <v>4.4912459172048038</v>
      </c>
      <c r="Y211" s="70">
        <f>IF(ISNUMBER(FCCL!E141),FCCL!E141,NA())</f>
        <v>3.9999441320816422</v>
      </c>
      <c r="Z211" s="70">
        <f>'Industry Averages'!E224</f>
        <v>4.4992375237908968</v>
      </c>
    </row>
    <row r="212" spans="1:26" ht="19.95" customHeight="1" x14ac:dyDescent="0.3">
      <c r="A212" s="69"/>
      <c r="B212" s="69"/>
      <c r="C212" s="69"/>
      <c r="D212" s="69"/>
      <c r="E212" s="69"/>
      <c r="F212" s="69"/>
      <c r="G212" s="69"/>
      <c r="H212" s="69"/>
      <c r="I212" s="69"/>
      <c r="J212" s="69"/>
      <c r="K212" s="69"/>
      <c r="L212" s="69"/>
      <c r="M212" s="69"/>
      <c r="N212" s="69"/>
      <c r="O212" s="69"/>
      <c r="P212" s="69"/>
      <c r="Q212" s="69"/>
      <c r="R212" s="69"/>
      <c r="S212" s="69"/>
      <c r="T212" t="s">
        <v>60</v>
      </c>
      <c r="U212" s="70">
        <f>IF(ISNUMBER(KOHC!F141),KOHC!F141,NA())</f>
        <v>3.0390586129963157</v>
      </c>
      <c r="V212" s="70">
        <f>IF(ISNUMBER(LUCK!F141),LUCK!F141,NA())</f>
        <v>5.6924500846825419</v>
      </c>
      <c r="W212" s="70">
        <f>IF(ISNUMBER(DGKC!F141),DGKC!F141,NA())</f>
        <v>4.7839328299471351</v>
      </c>
      <c r="X212" s="70">
        <f>IF(ISNUMBER(MLCF!F141),MLCF!F141,NA())</f>
        <v>3.2721791070017887</v>
      </c>
      <c r="Y212" s="70">
        <f>IF(ISNUMBER(FCCL!F141),FCCL!F141,NA())</f>
        <v>3.9638226712605413</v>
      </c>
      <c r="Z212" s="70">
        <f>'Industry Averages'!F224</f>
        <v>4.1502886611776644</v>
      </c>
    </row>
    <row r="213" spans="1:26" ht="19.95" customHeight="1" x14ac:dyDescent="0.3">
      <c r="A213" s="97" t="s">
        <v>292</v>
      </c>
      <c r="B213" s="97"/>
      <c r="C213" s="97"/>
      <c r="D213" s="97"/>
      <c r="E213" s="97"/>
      <c r="F213" s="97"/>
      <c r="G213" s="97"/>
      <c r="H213" s="97"/>
      <c r="I213" s="97"/>
      <c r="J213" s="97"/>
      <c r="K213" s="97"/>
      <c r="L213" s="97"/>
      <c r="M213" s="97"/>
      <c r="N213" s="97"/>
      <c r="O213" s="97"/>
      <c r="P213" s="97"/>
      <c r="Q213" s="97"/>
      <c r="R213" s="97"/>
      <c r="S213" s="97"/>
      <c r="T213" t="s">
        <v>61</v>
      </c>
      <c r="U213" s="70">
        <f>IF(ISNUMBER(KOHC!G141),KOHC!G141,NA())</f>
        <v>3.2191008909496732</v>
      </c>
      <c r="V213" s="70">
        <f>IF(ISNUMBER(LUCK!G141),LUCK!G141,NA())</f>
        <v>5.178403100254557</v>
      </c>
      <c r="W213" s="70">
        <f>IF(ISNUMBER(DGKC!G141),DGKC!G141,NA())</f>
        <v>5.0911516840273263</v>
      </c>
      <c r="X213" s="70">
        <f>IF(ISNUMBER(MLCF!G141),MLCF!G141,NA())</f>
        <v>3.3522633268626687</v>
      </c>
      <c r="Y213" s="70">
        <f>IF(ISNUMBER(FCCL!G141),FCCL!G141,NA())</f>
        <v>3.9028355635230949</v>
      </c>
      <c r="Z213" s="70">
        <f>'Industry Averages'!G224</f>
        <v>4.1487509131234637</v>
      </c>
    </row>
    <row r="214" spans="1:26" ht="19.95" customHeight="1" x14ac:dyDescent="0.3">
      <c r="A214" s="69"/>
      <c r="B214" s="69"/>
      <c r="C214" s="69"/>
      <c r="D214" s="69"/>
      <c r="E214" s="69"/>
      <c r="F214" s="69"/>
      <c r="G214" s="69"/>
      <c r="H214" s="69"/>
      <c r="I214" s="69"/>
      <c r="J214" s="69"/>
      <c r="K214" s="69"/>
      <c r="L214" s="69"/>
      <c r="M214" s="69"/>
      <c r="N214" s="69"/>
      <c r="O214" s="69"/>
      <c r="P214" s="69"/>
      <c r="Q214" s="69"/>
      <c r="R214" s="69"/>
      <c r="S214" s="69"/>
      <c r="T214" t="s">
        <v>62</v>
      </c>
      <c r="U214" s="70">
        <f>IF(ISNUMBER(KOHC!H141),KOHC!H141,NA())</f>
        <v>3.6540457208322041</v>
      </c>
      <c r="V214" s="70">
        <f>IF(ISNUMBER(LUCK!H141),LUCK!H141,NA())</f>
        <v>8.5282679327793396</v>
      </c>
      <c r="W214" s="70">
        <f>IF(ISNUMBER(DGKC!H141),DGKC!H141,NA())</f>
        <v>4.5245291189336676</v>
      </c>
      <c r="X214" s="70">
        <f>IF(ISNUMBER(MLCF!H141),MLCF!H141,NA())</f>
        <v>3.4441662826745523</v>
      </c>
      <c r="Y214" s="70">
        <f>IF(ISNUMBER(FCCL!H141),FCCL!H141,NA())</f>
        <v>4.5760845203336329</v>
      </c>
      <c r="Z214" s="70">
        <f>'Industry Averages'!H224</f>
        <v>4.9454187151106792</v>
      </c>
    </row>
    <row r="215" spans="1:26" ht="19.95" customHeight="1" x14ac:dyDescent="0.3">
      <c r="A215" s="69"/>
      <c r="B215" s="69"/>
      <c r="C215" s="69"/>
      <c r="D215" s="69"/>
      <c r="E215" s="69"/>
      <c r="F215" s="69"/>
      <c r="G215" s="69"/>
      <c r="H215" s="69"/>
      <c r="I215" s="69"/>
      <c r="J215" s="69"/>
      <c r="K215" s="69"/>
      <c r="L215" s="69"/>
      <c r="M215" s="69"/>
      <c r="N215" s="69"/>
      <c r="O215" s="69"/>
      <c r="P215" s="69"/>
      <c r="Q215" s="69"/>
      <c r="R215" s="69"/>
      <c r="S215" s="69"/>
    </row>
    <row r="216" spans="1:26" ht="19.95" customHeight="1" x14ac:dyDescent="0.3">
      <c r="A216" s="69"/>
      <c r="B216" s="69"/>
      <c r="C216" s="69"/>
      <c r="D216" s="69"/>
      <c r="E216" s="69"/>
      <c r="F216" s="69"/>
      <c r="G216" s="69"/>
      <c r="H216" s="69"/>
      <c r="I216" s="69"/>
      <c r="J216" s="69"/>
      <c r="K216" s="69"/>
      <c r="L216" s="69"/>
      <c r="M216" s="69"/>
      <c r="N216" s="69"/>
      <c r="O216" s="69"/>
      <c r="P216" s="69"/>
      <c r="Q216" s="69"/>
      <c r="R216" s="69"/>
      <c r="S216" s="69"/>
    </row>
    <row r="217" spans="1:26" ht="19.95" customHeight="1" x14ac:dyDescent="0.3">
      <c r="A217" s="69"/>
      <c r="B217" s="69"/>
      <c r="C217" s="69"/>
      <c r="D217" s="69"/>
      <c r="E217" s="69"/>
      <c r="F217" s="69"/>
      <c r="G217" s="69"/>
      <c r="H217" s="69"/>
      <c r="I217" s="69"/>
      <c r="J217" s="69"/>
      <c r="K217" s="69"/>
      <c r="L217" s="69"/>
      <c r="M217" s="69"/>
      <c r="N217" s="69"/>
      <c r="O217" s="69"/>
      <c r="P217" s="69"/>
      <c r="Q217" s="69"/>
      <c r="R217" s="69"/>
      <c r="S217" s="69"/>
    </row>
    <row r="218" spans="1:26" ht="19.95" customHeight="1" x14ac:dyDescent="0.3">
      <c r="A218" s="69"/>
      <c r="B218" s="69"/>
      <c r="C218" s="69"/>
      <c r="D218" s="69"/>
      <c r="E218" s="69"/>
      <c r="F218" s="69"/>
      <c r="G218" s="69"/>
      <c r="H218" s="69"/>
      <c r="I218" s="69"/>
      <c r="J218" s="69"/>
      <c r="K218" s="69"/>
      <c r="L218" s="69"/>
      <c r="M218" s="69"/>
      <c r="N218" s="69"/>
      <c r="O218" s="69"/>
      <c r="P218" s="69"/>
      <c r="Q218" s="69"/>
      <c r="R218" s="69"/>
      <c r="S218" s="69"/>
    </row>
    <row r="219" spans="1:26" ht="19.95" customHeight="1" x14ac:dyDescent="0.3">
      <c r="A219" s="69"/>
      <c r="B219" s="69"/>
      <c r="C219" s="69"/>
      <c r="D219" s="69"/>
      <c r="E219" s="69"/>
      <c r="F219" s="69"/>
      <c r="G219" s="69"/>
      <c r="H219" s="69"/>
      <c r="I219" s="69"/>
      <c r="J219" s="69"/>
      <c r="K219" s="69"/>
      <c r="L219" s="69"/>
      <c r="M219" s="69"/>
      <c r="N219" s="69"/>
      <c r="O219" s="69"/>
      <c r="P219" s="69"/>
      <c r="Q219" s="69"/>
      <c r="R219" s="69"/>
      <c r="S219" s="69"/>
    </row>
    <row r="220" spans="1:26" ht="19.95" customHeight="1" x14ac:dyDescent="0.3">
      <c r="A220" s="69"/>
      <c r="B220" s="69"/>
      <c r="C220" s="69"/>
      <c r="D220" s="69"/>
      <c r="E220" s="69"/>
      <c r="F220" s="69"/>
      <c r="G220" s="69"/>
      <c r="H220" s="69"/>
      <c r="I220" s="69"/>
      <c r="J220" s="69"/>
      <c r="K220" s="69"/>
      <c r="L220" s="69"/>
      <c r="M220" s="69"/>
      <c r="N220" s="69"/>
      <c r="O220" s="69"/>
      <c r="P220" s="69"/>
      <c r="Q220" s="69"/>
      <c r="R220" s="69"/>
      <c r="S220" s="69"/>
    </row>
    <row r="221" spans="1:26" ht="19.95" customHeight="1" x14ac:dyDescent="0.3">
      <c r="A221" s="69"/>
      <c r="B221" s="69"/>
      <c r="C221" s="69"/>
      <c r="D221" s="69"/>
      <c r="E221" s="69"/>
      <c r="F221" s="69"/>
      <c r="G221" s="69"/>
      <c r="H221" s="69"/>
      <c r="I221" s="69"/>
      <c r="J221" s="69"/>
      <c r="K221" s="69"/>
      <c r="L221" s="69"/>
      <c r="M221" s="69"/>
      <c r="N221" s="69"/>
      <c r="O221" s="69"/>
      <c r="P221" s="69"/>
      <c r="Q221" s="69"/>
      <c r="R221" s="69"/>
      <c r="S221" s="69"/>
    </row>
    <row r="222" spans="1:26" ht="19.95" customHeight="1" x14ac:dyDescent="0.3">
      <c r="A222" s="69"/>
      <c r="B222" s="69"/>
      <c r="C222" s="69"/>
      <c r="D222" s="69"/>
      <c r="E222" s="69"/>
      <c r="F222" s="69"/>
      <c r="G222" s="69"/>
      <c r="H222" s="69"/>
      <c r="I222" s="69"/>
      <c r="J222" s="69"/>
      <c r="K222" s="69"/>
      <c r="L222" s="69"/>
      <c r="M222" s="69"/>
      <c r="N222" s="69"/>
      <c r="O222" s="69"/>
      <c r="P222" s="69"/>
      <c r="Q222" s="69"/>
      <c r="R222" s="69"/>
      <c r="S222" s="69"/>
    </row>
    <row r="223" spans="1:26" ht="19.95" customHeight="1" x14ac:dyDescent="0.3">
      <c r="A223" s="69"/>
      <c r="B223" s="69"/>
      <c r="C223" s="69"/>
      <c r="D223" s="69"/>
      <c r="E223" s="69"/>
      <c r="F223" s="69"/>
      <c r="G223" s="69"/>
      <c r="H223" s="69"/>
      <c r="I223" s="69"/>
      <c r="J223" s="69"/>
      <c r="K223" s="69"/>
      <c r="L223" s="69"/>
      <c r="M223" s="69"/>
      <c r="N223" s="69"/>
      <c r="O223" s="69"/>
      <c r="P223" s="69"/>
      <c r="Q223" s="69"/>
      <c r="R223" s="69"/>
      <c r="S223" s="69"/>
    </row>
    <row r="224" spans="1:26" ht="19.95" customHeight="1" x14ac:dyDescent="0.3">
      <c r="A224" s="69"/>
      <c r="B224" s="69"/>
      <c r="C224" s="69"/>
      <c r="D224" s="69"/>
      <c r="E224" s="69"/>
      <c r="F224" s="69"/>
      <c r="G224" s="69"/>
      <c r="H224" s="69"/>
      <c r="I224" s="69"/>
      <c r="J224" s="69"/>
      <c r="K224" s="69"/>
      <c r="L224" s="69"/>
      <c r="M224" s="69"/>
      <c r="N224" s="69"/>
      <c r="O224" s="69"/>
      <c r="P224" s="69"/>
      <c r="Q224" s="69"/>
      <c r="R224" s="69"/>
      <c r="S224" s="69"/>
    </row>
    <row r="225" spans="1:19" ht="19.95" customHeight="1" x14ac:dyDescent="0.3">
      <c r="A225" s="69"/>
      <c r="B225" s="69"/>
      <c r="C225" s="69"/>
      <c r="D225" s="69"/>
      <c r="E225" s="69"/>
      <c r="F225" s="69"/>
      <c r="G225" s="69"/>
      <c r="H225" s="69"/>
      <c r="I225" s="69"/>
      <c r="J225" s="69"/>
      <c r="K225" s="69"/>
      <c r="L225" s="69"/>
      <c r="M225" s="69"/>
      <c r="N225" s="69"/>
      <c r="O225" s="69"/>
      <c r="P225" s="69"/>
      <c r="Q225" s="69"/>
      <c r="R225" s="69"/>
      <c r="S225" s="69"/>
    </row>
    <row r="226" spans="1:19" ht="19.95" customHeight="1" x14ac:dyDescent="0.3">
      <c r="A226" s="69"/>
      <c r="B226" s="69"/>
      <c r="C226" s="69"/>
      <c r="D226" s="69"/>
      <c r="E226" s="69"/>
      <c r="F226" s="69"/>
      <c r="G226" s="69"/>
      <c r="H226" s="69"/>
      <c r="I226" s="69"/>
      <c r="J226" s="69"/>
      <c r="K226" s="69"/>
      <c r="L226" s="69"/>
      <c r="M226" s="69"/>
      <c r="N226" s="69"/>
      <c r="O226" s="69"/>
      <c r="P226" s="69"/>
      <c r="Q226" s="69"/>
      <c r="R226" s="69"/>
      <c r="S226" s="69"/>
    </row>
    <row r="227" spans="1:19" ht="19.95" customHeight="1" x14ac:dyDescent="0.3">
      <c r="A227" s="69"/>
      <c r="B227" s="69"/>
      <c r="C227" s="69"/>
      <c r="D227" s="69"/>
      <c r="E227" s="69"/>
      <c r="F227" s="69"/>
      <c r="G227" s="69"/>
      <c r="H227" s="69"/>
      <c r="I227" s="69"/>
      <c r="J227" s="69"/>
      <c r="K227" s="69"/>
      <c r="L227" s="69"/>
      <c r="M227" s="69"/>
      <c r="N227" s="69"/>
      <c r="O227" s="69"/>
      <c r="P227" s="69"/>
      <c r="Q227" s="69"/>
      <c r="R227" s="69"/>
      <c r="S227" s="69"/>
    </row>
    <row r="228" spans="1:19" ht="19.95" customHeight="1" x14ac:dyDescent="0.3">
      <c r="A228" s="69"/>
      <c r="B228" s="69"/>
      <c r="C228" s="69"/>
      <c r="D228" s="69"/>
      <c r="E228" s="69"/>
      <c r="F228" s="69"/>
      <c r="G228" s="69"/>
      <c r="H228" s="69"/>
      <c r="I228" s="69"/>
      <c r="J228" s="69"/>
      <c r="K228" s="69"/>
      <c r="L228" s="69"/>
      <c r="M228" s="69"/>
      <c r="N228" s="69"/>
      <c r="O228" s="69"/>
      <c r="P228" s="69"/>
      <c r="Q228" s="69"/>
      <c r="R228" s="69"/>
      <c r="S228" s="69"/>
    </row>
    <row r="229" spans="1:19" ht="19.95" customHeight="1" x14ac:dyDescent="0.3">
      <c r="A229" s="69"/>
      <c r="B229" s="69"/>
      <c r="C229" s="69"/>
      <c r="D229" s="69"/>
      <c r="E229" s="69"/>
      <c r="F229" s="69"/>
      <c r="G229" s="69"/>
      <c r="H229" s="69"/>
      <c r="I229" s="69"/>
      <c r="J229" s="69"/>
      <c r="K229" s="69"/>
      <c r="L229" s="69"/>
      <c r="M229" s="69"/>
      <c r="N229" s="69"/>
      <c r="O229" s="69"/>
      <c r="P229" s="69"/>
      <c r="Q229" s="69"/>
      <c r="R229" s="69"/>
      <c r="S229" s="69"/>
    </row>
    <row r="230" spans="1:19" ht="19.95" customHeight="1" x14ac:dyDescent="0.3">
      <c r="A230" s="69"/>
      <c r="B230" s="69"/>
      <c r="C230" s="69"/>
      <c r="D230" s="69"/>
      <c r="E230" s="69"/>
      <c r="F230" s="69"/>
      <c r="G230" s="69"/>
      <c r="H230" s="69"/>
      <c r="I230" s="69"/>
      <c r="J230" s="69"/>
      <c r="K230" s="69"/>
      <c r="L230" s="69"/>
      <c r="M230" s="69"/>
      <c r="N230" s="69"/>
      <c r="O230" s="69"/>
      <c r="P230" s="69"/>
      <c r="Q230" s="69"/>
      <c r="R230" s="69"/>
      <c r="S230" s="69"/>
    </row>
    <row r="231" spans="1:19" ht="19.95" customHeight="1" x14ac:dyDescent="0.3">
      <c r="A231" s="69"/>
      <c r="B231" s="69"/>
      <c r="C231" s="69"/>
      <c r="D231" s="69"/>
      <c r="E231" s="69"/>
      <c r="F231" s="69"/>
      <c r="G231" s="69"/>
      <c r="H231" s="69"/>
      <c r="I231" s="69"/>
      <c r="J231" s="69"/>
      <c r="K231" s="69"/>
      <c r="L231" s="69"/>
      <c r="M231" s="69"/>
      <c r="N231" s="69"/>
      <c r="O231" s="69"/>
      <c r="P231" s="69"/>
      <c r="Q231" s="69"/>
      <c r="R231" s="69"/>
      <c r="S231" s="69"/>
    </row>
    <row r="232" spans="1:19" ht="19.95" customHeight="1" x14ac:dyDescent="0.3">
      <c r="A232" s="69"/>
      <c r="B232" s="69"/>
      <c r="C232" s="69"/>
      <c r="D232" s="69"/>
      <c r="E232" s="69"/>
      <c r="F232" s="69"/>
      <c r="G232" s="69"/>
      <c r="H232" s="69"/>
      <c r="I232" s="69"/>
      <c r="J232" s="69"/>
      <c r="K232" s="69"/>
      <c r="L232" s="69"/>
      <c r="M232" s="69"/>
      <c r="N232" s="69"/>
      <c r="O232" s="69"/>
      <c r="P232" s="69"/>
      <c r="Q232" s="69"/>
      <c r="R232" s="69"/>
      <c r="S232" s="69"/>
    </row>
    <row r="233" spans="1:19" ht="19.95" customHeight="1" x14ac:dyDescent="0.3">
      <c r="A233" s="69"/>
      <c r="B233" s="69"/>
      <c r="C233" s="69"/>
      <c r="D233" s="69"/>
      <c r="E233" s="69"/>
      <c r="F233" s="69"/>
      <c r="G233" s="69"/>
      <c r="H233" s="69"/>
      <c r="I233" s="69"/>
      <c r="J233" s="69"/>
      <c r="K233" s="69"/>
      <c r="L233" s="69"/>
      <c r="M233" s="69"/>
      <c r="N233" s="69"/>
      <c r="O233" s="69"/>
      <c r="P233" s="69"/>
      <c r="Q233" s="69"/>
      <c r="R233" s="69"/>
      <c r="S233" s="69"/>
    </row>
    <row r="234" spans="1:19" ht="19.95" customHeight="1" x14ac:dyDescent="0.3">
      <c r="A234" s="69"/>
      <c r="B234" s="69"/>
      <c r="C234" s="69"/>
      <c r="D234" s="69"/>
      <c r="E234" s="69"/>
      <c r="F234" s="69"/>
      <c r="G234" s="69"/>
      <c r="H234" s="69"/>
      <c r="I234" s="69"/>
      <c r="J234" s="69"/>
      <c r="K234" s="69"/>
      <c r="L234" s="69"/>
      <c r="M234" s="69"/>
      <c r="N234" s="69"/>
      <c r="O234" s="69"/>
      <c r="P234" s="69"/>
      <c r="Q234" s="69"/>
      <c r="R234" s="69"/>
      <c r="S234" s="69"/>
    </row>
    <row r="235" spans="1:19" ht="19.95" customHeight="1" x14ac:dyDescent="0.3">
      <c r="A235" s="69"/>
      <c r="B235" s="69"/>
      <c r="C235" s="69"/>
      <c r="D235" s="69"/>
      <c r="E235" s="69"/>
      <c r="F235" s="69"/>
      <c r="G235" s="69"/>
      <c r="H235" s="69"/>
      <c r="I235" s="69"/>
      <c r="J235" s="69"/>
      <c r="K235" s="69"/>
      <c r="L235" s="69"/>
      <c r="M235" s="69"/>
      <c r="N235" s="69"/>
      <c r="O235" s="69"/>
      <c r="P235" s="69"/>
      <c r="Q235" s="69"/>
      <c r="R235" s="69"/>
      <c r="S235" s="69"/>
    </row>
    <row r="236" spans="1:19" ht="19.95" customHeight="1" x14ac:dyDescent="0.3">
      <c r="A236" s="97" t="s">
        <v>293</v>
      </c>
      <c r="B236" s="97"/>
      <c r="C236" s="97"/>
      <c r="D236" s="97"/>
      <c r="E236" s="97"/>
      <c r="F236" s="97"/>
      <c r="G236" s="97"/>
      <c r="H236" s="97"/>
      <c r="I236" s="97"/>
      <c r="J236" s="97"/>
      <c r="K236" s="97"/>
      <c r="L236" s="97"/>
      <c r="M236" s="97"/>
      <c r="N236" s="97"/>
      <c r="O236" s="97"/>
      <c r="P236" s="97"/>
      <c r="Q236" s="97"/>
      <c r="R236" s="97"/>
      <c r="S236" s="97"/>
    </row>
    <row r="237" spans="1:19" ht="19.95" customHeight="1" x14ac:dyDescent="0.3">
      <c r="A237" s="69"/>
      <c r="B237" s="69"/>
      <c r="C237" s="69"/>
      <c r="D237" s="69"/>
      <c r="E237" s="69"/>
      <c r="F237" s="69"/>
      <c r="G237" s="69"/>
      <c r="H237" s="69"/>
      <c r="I237" s="69"/>
      <c r="J237" s="69"/>
      <c r="K237" s="69"/>
      <c r="L237" s="69"/>
      <c r="M237" s="69"/>
      <c r="N237" s="69"/>
      <c r="O237" s="69"/>
      <c r="P237" s="69"/>
      <c r="Q237" s="69"/>
      <c r="R237" s="69"/>
      <c r="S237" s="69"/>
    </row>
    <row r="238" spans="1:19" ht="19.95" customHeight="1" x14ac:dyDescent="0.3">
      <c r="A238" s="69"/>
      <c r="B238" s="69"/>
      <c r="C238" s="69"/>
      <c r="D238" s="69"/>
      <c r="E238" s="69"/>
      <c r="F238" s="69"/>
      <c r="G238" s="69"/>
      <c r="H238" s="69"/>
      <c r="I238" s="69"/>
      <c r="J238" s="69"/>
      <c r="K238" s="69"/>
      <c r="L238" s="69"/>
      <c r="M238" s="69"/>
      <c r="N238" s="69"/>
      <c r="O238" s="69"/>
      <c r="P238" s="69"/>
      <c r="Q238" s="69"/>
      <c r="R238" s="69"/>
      <c r="S238" s="69"/>
    </row>
    <row r="239" spans="1:19" ht="19.95" customHeight="1" x14ac:dyDescent="0.3">
      <c r="A239" s="69"/>
      <c r="B239" s="69"/>
      <c r="C239" s="69"/>
      <c r="D239" s="69"/>
      <c r="E239" s="69"/>
      <c r="F239" s="69"/>
      <c r="G239" s="69"/>
      <c r="H239" s="69"/>
      <c r="I239" s="69"/>
      <c r="J239" s="69"/>
      <c r="K239" s="69"/>
      <c r="L239" s="69"/>
      <c r="M239" s="69"/>
      <c r="N239" s="69"/>
      <c r="O239" s="69"/>
      <c r="P239" s="69"/>
      <c r="Q239" s="69"/>
      <c r="R239" s="69"/>
      <c r="S239" s="69"/>
    </row>
    <row r="240" spans="1:19" ht="19.95" customHeight="1" x14ac:dyDescent="0.3">
      <c r="A240" s="69"/>
      <c r="B240" s="69"/>
      <c r="C240" s="69"/>
      <c r="D240" s="69"/>
      <c r="E240" s="69"/>
      <c r="F240" s="69"/>
      <c r="G240" s="69"/>
      <c r="H240" s="69"/>
      <c r="I240" s="69"/>
      <c r="J240" s="69"/>
      <c r="K240" s="69"/>
      <c r="L240" s="69"/>
      <c r="M240" s="69"/>
      <c r="N240" s="69"/>
      <c r="O240" s="69"/>
      <c r="P240" s="69"/>
      <c r="Q240" s="69"/>
      <c r="R240" s="69"/>
      <c r="S240" s="69"/>
    </row>
    <row r="241" spans="1:19" ht="19.95" customHeight="1" x14ac:dyDescent="0.3">
      <c r="A241" s="69"/>
      <c r="B241" s="69"/>
      <c r="C241" s="69"/>
      <c r="D241" s="69"/>
      <c r="E241" s="69"/>
      <c r="F241" s="69"/>
      <c r="G241" s="69"/>
      <c r="H241" s="69"/>
      <c r="I241" s="69"/>
      <c r="J241" s="69"/>
      <c r="K241" s="69"/>
      <c r="L241" s="69"/>
      <c r="M241" s="69"/>
      <c r="N241" s="69"/>
      <c r="O241" s="69"/>
      <c r="P241" s="69"/>
      <c r="Q241" s="69"/>
      <c r="R241" s="69"/>
      <c r="S241" s="69"/>
    </row>
    <row r="242" spans="1:19" ht="19.95" customHeight="1" x14ac:dyDescent="0.3">
      <c r="A242" s="69"/>
      <c r="B242" s="69"/>
      <c r="C242" s="69"/>
      <c r="D242" s="69"/>
      <c r="E242" s="69"/>
      <c r="F242" s="69"/>
      <c r="G242" s="69"/>
      <c r="H242" s="69"/>
      <c r="I242" s="69"/>
      <c r="J242" s="69"/>
      <c r="K242" s="69"/>
      <c r="L242" s="69"/>
      <c r="M242" s="69"/>
      <c r="N242" s="69"/>
      <c r="O242" s="69"/>
      <c r="P242" s="69"/>
      <c r="Q242" s="69"/>
      <c r="R242" s="69"/>
      <c r="S242" s="69"/>
    </row>
    <row r="243" spans="1:19" ht="19.95" customHeight="1" x14ac:dyDescent="0.3">
      <c r="A243" s="69"/>
      <c r="B243" s="69"/>
      <c r="C243" s="69"/>
      <c r="D243" s="69"/>
      <c r="E243" s="69"/>
      <c r="F243" s="69"/>
      <c r="G243" s="69"/>
      <c r="H243" s="69"/>
      <c r="I243" s="69"/>
      <c r="J243" s="69"/>
      <c r="K243" s="69"/>
      <c r="L243" s="69"/>
      <c r="M243" s="69"/>
      <c r="N243" s="69"/>
      <c r="O243" s="69"/>
      <c r="P243" s="69"/>
      <c r="Q243" s="69"/>
      <c r="R243" s="69"/>
      <c r="S243" s="69"/>
    </row>
    <row r="244" spans="1:19" ht="19.95" customHeight="1" x14ac:dyDescent="0.3">
      <c r="A244" s="69"/>
      <c r="B244" s="69"/>
      <c r="C244" s="69"/>
      <c r="D244" s="69"/>
      <c r="E244" s="69"/>
      <c r="F244" s="69"/>
      <c r="G244" s="69"/>
      <c r="H244" s="69"/>
      <c r="I244" s="69"/>
      <c r="J244" s="69"/>
      <c r="K244" s="69"/>
      <c r="L244" s="69"/>
      <c r="M244" s="69"/>
      <c r="N244" s="69"/>
      <c r="O244" s="69"/>
      <c r="P244" s="69"/>
      <c r="Q244" s="69"/>
      <c r="R244" s="69"/>
      <c r="S244" s="69"/>
    </row>
    <row r="245" spans="1:19" ht="19.95" customHeight="1" x14ac:dyDescent="0.3">
      <c r="A245" s="69"/>
      <c r="B245" s="69"/>
      <c r="C245" s="69"/>
      <c r="D245" s="69"/>
      <c r="E245" s="69"/>
      <c r="F245" s="69"/>
      <c r="G245" s="69"/>
      <c r="H245" s="69"/>
      <c r="I245" s="69"/>
      <c r="J245" s="69"/>
      <c r="K245" s="69"/>
      <c r="L245" s="69"/>
      <c r="M245" s="69"/>
      <c r="N245" s="69"/>
      <c r="O245" s="69"/>
      <c r="P245" s="69"/>
      <c r="Q245" s="69"/>
      <c r="R245" s="69"/>
      <c r="S245" s="69"/>
    </row>
    <row r="246" spans="1:19" ht="19.95" customHeight="1" x14ac:dyDescent="0.3">
      <c r="A246" s="69"/>
      <c r="B246" s="69"/>
      <c r="C246" s="69"/>
      <c r="D246" s="69"/>
      <c r="E246" s="69"/>
      <c r="F246" s="69"/>
      <c r="G246" s="69"/>
      <c r="H246" s="69"/>
      <c r="I246" s="69"/>
      <c r="J246" s="69"/>
      <c r="K246" s="69"/>
      <c r="L246" s="69"/>
      <c r="M246" s="69"/>
      <c r="N246" s="69"/>
      <c r="O246" s="69"/>
      <c r="P246" s="69"/>
      <c r="Q246" s="69"/>
      <c r="R246" s="69"/>
      <c r="S246" s="69"/>
    </row>
    <row r="247" spans="1:19" ht="19.95" customHeight="1" x14ac:dyDescent="0.3">
      <c r="A247" s="69"/>
      <c r="B247" s="69"/>
      <c r="C247" s="69"/>
      <c r="D247" s="69"/>
      <c r="E247" s="69"/>
      <c r="F247" s="69"/>
      <c r="G247" s="69"/>
      <c r="H247" s="69"/>
      <c r="I247" s="69"/>
      <c r="J247" s="69"/>
      <c r="K247" s="69"/>
      <c r="L247" s="69"/>
      <c r="M247" s="69"/>
      <c r="N247" s="69"/>
      <c r="O247" s="69"/>
      <c r="P247" s="69"/>
      <c r="Q247" s="69"/>
      <c r="R247" s="69"/>
      <c r="S247" s="69"/>
    </row>
    <row r="248" spans="1:19" ht="19.95" customHeight="1" x14ac:dyDescent="0.3">
      <c r="A248" s="69"/>
      <c r="B248" s="69"/>
      <c r="C248" s="69"/>
      <c r="D248" s="69"/>
      <c r="E248" s="69"/>
      <c r="F248" s="69"/>
      <c r="G248" s="69"/>
      <c r="H248" s="69"/>
      <c r="I248" s="69"/>
      <c r="J248" s="69"/>
      <c r="K248" s="69"/>
      <c r="L248" s="69"/>
      <c r="M248" s="69"/>
      <c r="N248" s="69"/>
      <c r="O248" s="69"/>
      <c r="P248" s="69"/>
      <c r="Q248" s="69"/>
      <c r="R248" s="69"/>
      <c r="S248" s="69"/>
    </row>
    <row r="249" spans="1:19" ht="19.95" customHeight="1" x14ac:dyDescent="0.3">
      <c r="A249" s="69"/>
      <c r="B249" s="69"/>
      <c r="C249" s="69"/>
      <c r="D249" s="69"/>
      <c r="E249" s="69"/>
      <c r="F249" s="69"/>
      <c r="G249" s="69"/>
      <c r="H249" s="69"/>
      <c r="I249" s="69"/>
      <c r="J249" s="69"/>
      <c r="K249" s="69"/>
      <c r="L249" s="69"/>
      <c r="M249" s="69"/>
      <c r="N249" s="69"/>
      <c r="O249" s="69"/>
      <c r="P249" s="69"/>
      <c r="Q249" s="69"/>
      <c r="R249" s="69"/>
      <c r="S249" s="69"/>
    </row>
    <row r="250" spans="1:19" ht="19.95" customHeight="1" x14ac:dyDescent="0.3">
      <c r="A250" s="69"/>
      <c r="B250" s="69"/>
      <c r="C250" s="69"/>
      <c r="D250" s="69"/>
      <c r="E250" s="69"/>
      <c r="F250" s="69"/>
      <c r="G250" s="69"/>
      <c r="H250" s="69"/>
      <c r="I250" s="69"/>
      <c r="J250" s="69"/>
      <c r="K250" s="69"/>
      <c r="L250" s="69"/>
      <c r="M250" s="69"/>
      <c r="N250" s="69"/>
      <c r="O250" s="69"/>
      <c r="P250" s="69"/>
      <c r="Q250" s="69"/>
      <c r="R250" s="69"/>
      <c r="S250" s="69"/>
    </row>
    <row r="251" spans="1:19" ht="19.95" customHeight="1" x14ac:dyDescent="0.3">
      <c r="A251" s="69"/>
      <c r="B251" s="69"/>
      <c r="C251" s="69"/>
      <c r="D251" s="69"/>
      <c r="E251" s="69"/>
      <c r="F251" s="69"/>
      <c r="G251" s="69"/>
      <c r="H251" s="69"/>
      <c r="I251" s="69"/>
      <c r="J251" s="69"/>
      <c r="K251" s="69"/>
      <c r="L251" s="69"/>
      <c r="M251" s="69"/>
      <c r="N251" s="69"/>
      <c r="O251" s="69"/>
      <c r="P251" s="69"/>
      <c r="Q251" s="69"/>
      <c r="R251" s="69"/>
      <c r="S251" s="69"/>
    </row>
    <row r="252" spans="1:19" ht="19.95" customHeight="1" x14ac:dyDescent="0.3">
      <c r="A252" s="69"/>
      <c r="B252" s="69"/>
      <c r="C252" s="69"/>
      <c r="D252" s="69"/>
      <c r="E252" s="69"/>
      <c r="F252" s="69"/>
      <c r="G252" s="69"/>
      <c r="H252" s="69"/>
      <c r="I252" s="69"/>
      <c r="J252" s="69"/>
      <c r="K252" s="69"/>
      <c r="L252" s="69"/>
      <c r="M252" s="69"/>
      <c r="N252" s="69"/>
      <c r="O252" s="69"/>
      <c r="P252" s="69"/>
      <c r="Q252" s="69"/>
      <c r="R252" s="69"/>
      <c r="S252" s="69"/>
    </row>
    <row r="253" spans="1:19" ht="19.95" customHeight="1" x14ac:dyDescent="0.3">
      <c r="A253" s="69"/>
      <c r="B253" s="69"/>
      <c r="C253" s="69"/>
      <c r="D253" s="69"/>
      <c r="E253" s="69"/>
      <c r="F253" s="69"/>
      <c r="G253" s="69"/>
      <c r="H253" s="69"/>
      <c r="I253" s="69"/>
      <c r="J253" s="69"/>
      <c r="K253" s="69"/>
      <c r="L253" s="69"/>
      <c r="M253" s="69"/>
      <c r="N253" s="69"/>
      <c r="O253" s="69"/>
      <c r="P253" s="69"/>
      <c r="Q253" s="69"/>
      <c r="R253" s="69"/>
      <c r="S253" s="69"/>
    </row>
    <row r="254" spans="1:19" ht="19.95" customHeight="1" x14ac:dyDescent="0.3">
      <c r="A254" s="69"/>
      <c r="B254" s="69"/>
      <c r="C254" s="69"/>
      <c r="D254" s="69"/>
      <c r="E254" s="69"/>
      <c r="F254" s="69"/>
      <c r="G254" s="69"/>
      <c r="H254" s="69"/>
      <c r="I254" s="69"/>
      <c r="J254" s="69"/>
      <c r="K254" s="69"/>
      <c r="L254" s="69"/>
      <c r="M254" s="69"/>
      <c r="N254" s="69"/>
      <c r="O254" s="69"/>
      <c r="P254" s="69"/>
      <c r="Q254" s="69"/>
      <c r="R254" s="69"/>
      <c r="S254" s="69"/>
    </row>
    <row r="255" spans="1:19" ht="19.95" customHeight="1" x14ac:dyDescent="0.3">
      <c r="A255" s="69"/>
      <c r="B255" s="69"/>
      <c r="C255" s="69"/>
      <c r="D255" s="69"/>
      <c r="E255" s="69"/>
      <c r="F255" s="69"/>
      <c r="G255" s="69"/>
      <c r="H255" s="69"/>
      <c r="I255" s="69"/>
      <c r="J255" s="69"/>
      <c r="K255" s="69"/>
      <c r="L255" s="69"/>
      <c r="M255" s="69"/>
      <c r="N255" s="69"/>
      <c r="O255" s="69"/>
      <c r="P255" s="69"/>
      <c r="Q255" s="69"/>
      <c r="R255" s="69"/>
      <c r="S255" s="69"/>
    </row>
    <row r="256" spans="1:19" ht="19.95" customHeight="1" x14ac:dyDescent="0.3">
      <c r="A256" s="69"/>
      <c r="B256" s="69"/>
      <c r="C256" s="69"/>
      <c r="D256" s="69"/>
      <c r="E256" s="69"/>
      <c r="F256" s="69"/>
      <c r="G256" s="69"/>
      <c r="H256" s="69"/>
      <c r="I256" s="69"/>
      <c r="J256" s="69"/>
      <c r="K256" s="69"/>
      <c r="L256" s="69"/>
      <c r="M256" s="69"/>
      <c r="N256" s="69"/>
      <c r="O256" s="69"/>
      <c r="P256" s="69"/>
      <c r="Q256" s="69"/>
      <c r="R256" s="69"/>
      <c r="S256" s="69"/>
    </row>
    <row r="257" spans="1:19" ht="19.95" customHeight="1" x14ac:dyDescent="0.3">
      <c r="A257" s="69"/>
      <c r="B257" s="69"/>
      <c r="C257" s="69"/>
      <c r="D257" s="69"/>
      <c r="E257" s="69"/>
      <c r="F257" s="69"/>
      <c r="G257" s="69"/>
      <c r="H257" s="69"/>
      <c r="I257" s="69"/>
      <c r="J257" s="69"/>
      <c r="K257" s="69"/>
      <c r="L257" s="69"/>
      <c r="M257" s="69"/>
      <c r="N257" s="69"/>
      <c r="O257" s="69"/>
      <c r="P257" s="69"/>
      <c r="Q257" s="69"/>
      <c r="R257" s="69"/>
      <c r="S257" s="69"/>
    </row>
    <row r="258" spans="1:19" ht="19.95" customHeight="1" x14ac:dyDescent="0.3">
      <c r="A258" s="69"/>
      <c r="B258" s="69"/>
      <c r="C258" s="69"/>
      <c r="D258" s="69"/>
      <c r="E258" s="69"/>
      <c r="F258" s="69"/>
      <c r="G258" s="69"/>
      <c r="H258" s="69"/>
      <c r="I258" s="69"/>
      <c r="J258" s="69"/>
      <c r="K258" s="69"/>
      <c r="L258" s="69"/>
      <c r="M258" s="69"/>
      <c r="N258" s="69"/>
      <c r="O258" s="69"/>
      <c r="P258" s="69"/>
      <c r="Q258" s="69"/>
      <c r="R258" s="69"/>
      <c r="S258" s="69"/>
    </row>
    <row r="259" spans="1:19" ht="19.95" customHeight="1" x14ac:dyDescent="0.3">
      <c r="A259" s="97" t="s">
        <v>294</v>
      </c>
      <c r="B259" s="97"/>
      <c r="C259" s="97"/>
      <c r="D259" s="97"/>
      <c r="E259" s="97"/>
      <c r="F259" s="97"/>
      <c r="G259" s="97"/>
      <c r="H259" s="97"/>
      <c r="I259" s="97"/>
      <c r="J259" s="97"/>
      <c r="K259" s="97"/>
      <c r="L259" s="97"/>
      <c r="M259" s="97"/>
      <c r="N259" s="97"/>
      <c r="O259" s="97"/>
      <c r="P259" s="97"/>
      <c r="Q259" s="97"/>
      <c r="R259" s="97"/>
      <c r="S259" s="97"/>
    </row>
    <row r="260" spans="1:19" ht="19.95" customHeight="1" x14ac:dyDescent="0.3">
      <c r="A260" s="69"/>
      <c r="B260" s="69"/>
      <c r="C260" s="69"/>
      <c r="D260" s="69"/>
      <c r="E260" s="69"/>
      <c r="F260" s="69"/>
      <c r="G260" s="69"/>
      <c r="H260" s="69"/>
      <c r="I260" s="69"/>
      <c r="J260" s="69"/>
      <c r="K260" s="69"/>
      <c r="L260" s="69"/>
      <c r="M260" s="69"/>
      <c r="N260" s="69"/>
      <c r="O260" s="69"/>
      <c r="P260" s="69"/>
      <c r="Q260" s="69"/>
      <c r="R260" s="69"/>
      <c r="S260" s="69"/>
    </row>
    <row r="261" spans="1:19" ht="19.95" customHeight="1" x14ac:dyDescent="0.3">
      <c r="A261" s="69"/>
      <c r="B261" s="69"/>
      <c r="C261" s="69"/>
      <c r="D261" s="69"/>
      <c r="E261" s="69"/>
      <c r="F261" s="69"/>
      <c r="G261" s="69"/>
      <c r="H261" s="69"/>
      <c r="I261" s="69"/>
      <c r="J261" s="69"/>
      <c r="K261" s="69"/>
      <c r="L261" s="69"/>
      <c r="M261" s="69"/>
      <c r="N261" s="69"/>
      <c r="O261" s="69"/>
      <c r="P261" s="69"/>
      <c r="Q261" s="69"/>
      <c r="R261" s="69"/>
      <c r="S261" s="69"/>
    </row>
    <row r="262" spans="1:19" ht="19.95" customHeight="1" x14ac:dyDescent="0.3">
      <c r="A262" s="69"/>
      <c r="B262" s="69"/>
      <c r="C262" s="69"/>
      <c r="D262" s="69"/>
      <c r="E262" s="69"/>
      <c r="F262" s="69"/>
      <c r="G262" s="69"/>
      <c r="H262" s="69"/>
      <c r="I262" s="69"/>
      <c r="J262" s="69"/>
      <c r="K262" s="69"/>
      <c r="L262" s="69"/>
      <c r="M262" s="69"/>
      <c r="N262" s="69"/>
      <c r="O262" s="69"/>
      <c r="P262" s="69"/>
      <c r="Q262" s="69"/>
      <c r="R262" s="69"/>
      <c r="S262" s="69"/>
    </row>
    <row r="263" spans="1:19" ht="19.95" customHeight="1" x14ac:dyDescent="0.3">
      <c r="A263" s="69"/>
      <c r="B263" s="69"/>
      <c r="C263" s="69"/>
      <c r="D263" s="69"/>
      <c r="E263" s="69"/>
      <c r="F263" s="69"/>
      <c r="G263" s="69"/>
      <c r="H263" s="69"/>
      <c r="I263" s="69"/>
      <c r="J263" s="69"/>
      <c r="K263" s="69"/>
      <c r="L263" s="69"/>
      <c r="M263" s="69"/>
      <c r="N263" s="69"/>
      <c r="O263" s="69"/>
      <c r="P263" s="69"/>
      <c r="Q263" s="69"/>
      <c r="R263" s="69"/>
      <c r="S263" s="69"/>
    </row>
    <row r="264" spans="1:19" ht="19.95" customHeight="1" x14ac:dyDescent="0.3">
      <c r="A264" s="69"/>
      <c r="B264" s="69"/>
      <c r="C264" s="69"/>
      <c r="D264" s="69"/>
      <c r="E264" s="69"/>
      <c r="F264" s="69"/>
      <c r="G264" s="69"/>
      <c r="H264" s="69"/>
      <c r="I264" s="69"/>
      <c r="J264" s="69"/>
      <c r="K264" s="69"/>
      <c r="L264" s="69"/>
      <c r="M264" s="69"/>
      <c r="N264" s="69"/>
      <c r="O264" s="69"/>
      <c r="P264" s="69"/>
      <c r="Q264" s="69"/>
      <c r="R264" s="69"/>
      <c r="S264" s="69"/>
    </row>
    <row r="265" spans="1:19" ht="19.95" customHeight="1" x14ac:dyDescent="0.3">
      <c r="A265" s="69"/>
      <c r="B265" s="69"/>
      <c r="C265" s="69"/>
      <c r="D265" s="69"/>
      <c r="E265" s="69"/>
      <c r="F265" s="69"/>
      <c r="G265" s="69"/>
      <c r="H265" s="69"/>
      <c r="I265" s="69"/>
      <c r="J265" s="69"/>
      <c r="K265" s="69"/>
      <c r="L265" s="69"/>
      <c r="M265" s="69"/>
      <c r="N265" s="69"/>
      <c r="O265" s="69"/>
      <c r="P265" s="69"/>
      <c r="Q265" s="69"/>
      <c r="R265" s="69"/>
      <c r="S265" s="69"/>
    </row>
    <row r="266" spans="1:19" ht="19.95" customHeight="1" x14ac:dyDescent="0.3">
      <c r="A266" s="69"/>
      <c r="B266" s="69"/>
      <c r="C266" s="69"/>
      <c r="D266" s="69"/>
      <c r="E266" s="69"/>
      <c r="F266" s="69"/>
      <c r="G266" s="69"/>
      <c r="H266" s="69"/>
      <c r="I266" s="69"/>
      <c r="J266" s="69"/>
      <c r="K266" s="69"/>
      <c r="L266" s="69"/>
      <c r="M266" s="69"/>
      <c r="N266" s="69"/>
      <c r="O266" s="69"/>
      <c r="P266" s="69"/>
      <c r="Q266" s="69"/>
      <c r="R266" s="69"/>
      <c r="S266" s="69"/>
    </row>
    <row r="267" spans="1:19" ht="19.95" customHeight="1" x14ac:dyDescent="0.3">
      <c r="A267" s="69"/>
      <c r="B267" s="69"/>
      <c r="C267" s="69"/>
      <c r="D267" s="69"/>
      <c r="E267" s="69"/>
      <c r="F267" s="69"/>
      <c r="G267" s="69"/>
      <c r="H267" s="69"/>
      <c r="I267" s="69"/>
      <c r="J267" s="69"/>
      <c r="K267" s="69"/>
      <c r="L267" s="69"/>
      <c r="M267" s="69"/>
      <c r="N267" s="69"/>
      <c r="O267" s="69"/>
      <c r="P267" s="69"/>
      <c r="Q267" s="69"/>
      <c r="R267" s="69"/>
      <c r="S267" s="69"/>
    </row>
    <row r="268" spans="1:19" ht="19.95" customHeight="1" x14ac:dyDescent="0.3">
      <c r="A268" s="69"/>
      <c r="B268" s="69"/>
      <c r="C268" s="69"/>
      <c r="D268" s="69"/>
      <c r="E268" s="69"/>
      <c r="F268" s="69"/>
      <c r="G268" s="69"/>
      <c r="H268" s="69"/>
      <c r="I268" s="69"/>
      <c r="J268" s="69"/>
      <c r="K268" s="69"/>
      <c r="L268" s="69"/>
      <c r="M268" s="69"/>
      <c r="N268" s="69"/>
      <c r="O268" s="69"/>
      <c r="P268" s="69"/>
      <c r="Q268" s="69"/>
      <c r="R268" s="69"/>
      <c r="S268" s="69"/>
    </row>
    <row r="269" spans="1:19" ht="19.95" customHeight="1" x14ac:dyDescent="0.3">
      <c r="A269" s="69"/>
      <c r="B269" s="69"/>
      <c r="C269" s="69"/>
      <c r="D269" s="69"/>
      <c r="E269" s="69"/>
      <c r="F269" s="69"/>
      <c r="G269" s="69"/>
      <c r="H269" s="69"/>
      <c r="I269" s="69"/>
      <c r="J269" s="69"/>
      <c r="K269" s="69"/>
      <c r="L269" s="69"/>
      <c r="M269" s="69"/>
      <c r="N269" s="69"/>
      <c r="O269" s="69"/>
      <c r="P269" s="69"/>
      <c r="Q269" s="69"/>
      <c r="R269" s="69"/>
      <c r="S269" s="69"/>
    </row>
    <row r="270" spans="1:19" ht="19.95" customHeight="1" x14ac:dyDescent="0.3">
      <c r="A270" s="69"/>
      <c r="B270" s="69"/>
      <c r="C270" s="69"/>
      <c r="D270" s="69"/>
      <c r="E270" s="69"/>
      <c r="F270" s="69"/>
      <c r="G270" s="69"/>
      <c r="H270" s="69"/>
      <c r="I270" s="69"/>
      <c r="J270" s="69"/>
      <c r="K270" s="69"/>
      <c r="L270" s="69"/>
      <c r="M270" s="69"/>
      <c r="N270" s="69"/>
      <c r="O270" s="69"/>
      <c r="P270" s="69"/>
      <c r="Q270" s="69"/>
      <c r="R270" s="69"/>
      <c r="S270" s="69"/>
    </row>
    <row r="271" spans="1:19" ht="19.95" customHeight="1" x14ac:dyDescent="0.3">
      <c r="A271" s="69"/>
      <c r="B271" s="69"/>
      <c r="C271" s="69"/>
      <c r="D271" s="69"/>
      <c r="E271" s="69"/>
      <c r="F271" s="69"/>
      <c r="G271" s="69"/>
      <c r="H271" s="69"/>
      <c r="I271" s="69"/>
      <c r="J271" s="69"/>
      <c r="K271" s="69"/>
      <c r="L271" s="69"/>
      <c r="M271" s="69"/>
      <c r="N271" s="69"/>
      <c r="O271" s="69"/>
      <c r="P271" s="69"/>
      <c r="Q271" s="69"/>
      <c r="R271" s="69"/>
      <c r="S271" s="69"/>
    </row>
    <row r="272" spans="1:19" ht="19.95" customHeight="1" x14ac:dyDescent="0.3">
      <c r="A272" s="69"/>
      <c r="B272" s="69"/>
      <c r="C272" s="69"/>
      <c r="D272" s="69"/>
      <c r="E272" s="69"/>
      <c r="F272" s="69"/>
      <c r="G272" s="69"/>
      <c r="H272" s="69"/>
      <c r="I272" s="69"/>
      <c r="J272" s="69"/>
      <c r="K272" s="69"/>
      <c r="L272" s="69"/>
      <c r="M272" s="69"/>
      <c r="N272" s="69"/>
      <c r="O272" s="69"/>
      <c r="P272" s="69"/>
      <c r="Q272" s="69"/>
      <c r="R272" s="69"/>
      <c r="S272" s="69"/>
    </row>
    <row r="273" spans="1:19" ht="19.95" customHeight="1" x14ac:dyDescent="0.3">
      <c r="A273" s="69"/>
      <c r="B273" s="69"/>
      <c r="C273" s="69"/>
      <c r="D273" s="69"/>
      <c r="E273" s="69"/>
      <c r="F273" s="69"/>
      <c r="G273" s="69"/>
      <c r="H273" s="69"/>
      <c r="I273" s="69"/>
      <c r="J273" s="69"/>
      <c r="K273" s="69"/>
      <c r="L273" s="69"/>
      <c r="M273" s="69"/>
      <c r="N273" s="69"/>
      <c r="O273" s="69"/>
      <c r="P273" s="69"/>
      <c r="Q273" s="69"/>
      <c r="R273" s="69"/>
      <c r="S273" s="69"/>
    </row>
    <row r="274" spans="1:19" ht="19.95" customHeight="1" x14ac:dyDescent="0.3">
      <c r="A274" s="69"/>
      <c r="B274" s="69"/>
      <c r="C274" s="69"/>
      <c r="D274" s="69"/>
      <c r="E274" s="69"/>
      <c r="F274" s="69"/>
      <c r="G274" s="69"/>
      <c r="H274" s="69"/>
      <c r="I274" s="69"/>
      <c r="J274" s="69"/>
      <c r="K274" s="69"/>
      <c r="L274" s="69"/>
      <c r="M274" s="69"/>
      <c r="N274" s="69"/>
      <c r="O274" s="69"/>
      <c r="P274" s="69"/>
      <c r="Q274" s="69"/>
      <c r="R274" s="69"/>
      <c r="S274" s="69"/>
    </row>
    <row r="275" spans="1:19" ht="19.95" customHeight="1" x14ac:dyDescent="0.3">
      <c r="A275" s="69"/>
      <c r="B275" s="69"/>
      <c r="C275" s="69"/>
      <c r="D275" s="69"/>
      <c r="E275" s="69"/>
      <c r="F275" s="69"/>
      <c r="G275" s="69"/>
      <c r="H275" s="69"/>
      <c r="I275" s="69"/>
      <c r="J275" s="69"/>
      <c r="K275" s="69"/>
      <c r="L275" s="69"/>
      <c r="M275" s="69"/>
      <c r="N275" s="69"/>
      <c r="O275" s="69"/>
      <c r="P275" s="69"/>
      <c r="Q275" s="69"/>
      <c r="R275" s="69"/>
      <c r="S275" s="69"/>
    </row>
    <row r="276" spans="1:19" ht="19.95" customHeight="1" x14ac:dyDescent="0.3">
      <c r="A276" s="69"/>
      <c r="B276" s="69"/>
      <c r="C276" s="69"/>
      <c r="D276" s="69"/>
      <c r="E276" s="69"/>
      <c r="F276" s="69"/>
      <c r="G276" s="69"/>
      <c r="H276" s="69"/>
      <c r="I276" s="69"/>
      <c r="J276" s="69"/>
      <c r="K276" s="69"/>
      <c r="L276" s="69"/>
      <c r="M276" s="69"/>
      <c r="N276" s="69"/>
      <c r="O276" s="69"/>
      <c r="P276" s="69"/>
      <c r="Q276" s="69"/>
      <c r="R276" s="69"/>
      <c r="S276" s="69"/>
    </row>
    <row r="277" spans="1:19" ht="19.95" customHeight="1" x14ac:dyDescent="0.3">
      <c r="A277" s="69"/>
      <c r="B277" s="69"/>
      <c r="C277" s="69"/>
      <c r="D277" s="69"/>
      <c r="E277" s="69"/>
      <c r="F277" s="69"/>
      <c r="G277" s="69"/>
      <c r="H277" s="69"/>
      <c r="I277" s="69"/>
      <c r="J277" s="69"/>
      <c r="K277" s="69"/>
      <c r="L277" s="69"/>
      <c r="M277" s="69"/>
      <c r="N277" s="69"/>
      <c r="O277" s="69"/>
      <c r="P277" s="69"/>
      <c r="Q277" s="69"/>
      <c r="R277" s="69"/>
      <c r="S277" s="69"/>
    </row>
    <row r="278" spans="1:19" ht="19.95" customHeight="1" x14ac:dyDescent="0.3">
      <c r="A278" s="69"/>
      <c r="B278" s="69"/>
      <c r="C278" s="69"/>
      <c r="D278" s="69"/>
      <c r="E278" s="69"/>
      <c r="F278" s="69"/>
      <c r="G278" s="69"/>
      <c r="H278" s="69"/>
      <c r="I278" s="69"/>
      <c r="J278" s="69"/>
      <c r="K278" s="69"/>
      <c r="L278" s="69"/>
      <c r="M278" s="69"/>
      <c r="N278" s="69"/>
      <c r="O278" s="69"/>
      <c r="P278" s="69"/>
      <c r="Q278" s="69"/>
      <c r="R278" s="69"/>
      <c r="S278" s="69"/>
    </row>
    <row r="279" spans="1:19" ht="19.95" customHeight="1" x14ac:dyDescent="0.3">
      <c r="A279" s="69"/>
      <c r="B279" s="69"/>
      <c r="C279" s="69"/>
      <c r="D279" s="69"/>
      <c r="E279" s="69"/>
      <c r="F279" s="69"/>
      <c r="G279" s="69"/>
      <c r="H279" s="69"/>
      <c r="I279" s="69"/>
      <c r="J279" s="69"/>
      <c r="K279" s="69"/>
      <c r="L279" s="69"/>
      <c r="M279" s="69"/>
      <c r="N279" s="69"/>
      <c r="O279" s="69"/>
      <c r="P279" s="69"/>
      <c r="Q279" s="69"/>
      <c r="R279" s="69"/>
      <c r="S279" s="69"/>
    </row>
    <row r="280" spans="1:19" ht="19.95" customHeight="1" x14ac:dyDescent="0.3">
      <c r="A280" s="69"/>
      <c r="B280" s="69"/>
      <c r="C280" s="69"/>
      <c r="D280" s="69"/>
      <c r="E280" s="69"/>
      <c r="F280" s="69"/>
      <c r="G280" s="69"/>
      <c r="H280" s="69"/>
      <c r="I280" s="69"/>
      <c r="J280" s="69"/>
      <c r="K280" s="69"/>
      <c r="L280" s="69"/>
      <c r="M280" s="69"/>
      <c r="N280" s="69"/>
      <c r="O280" s="69"/>
      <c r="P280" s="69"/>
      <c r="Q280" s="69"/>
      <c r="R280" s="69"/>
      <c r="S280" s="69"/>
    </row>
    <row r="281" spans="1:19" ht="19.95" customHeight="1" x14ac:dyDescent="0.3">
      <c r="A281" s="69"/>
      <c r="B281" s="69"/>
      <c r="C281" s="69"/>
      <c r="D281" s="69"/>
      <c r="E281" s="69"/>
      <c r="F281" s="69"/>
      <c r="G281" s="69"/>
      <c r="H281" s="69"/>
      <c r="I281" s="69"/>
      <c r="J281" s="69"/>
      <c r="K281" s="69"/>
      <c r="L281" s="69"/>
      <c r="M281" s="69"/>
      <c r="N281" s="69"/>
      <c r="O281" s="69"/>
      <c r="P281" s="69"/>
      <c r="Q281" s="69"/>
      <c r="R281" s="69"/>
      <c r="S281" s="69"/>
    </row>
    <row r="282" spans="1:19" ht="19.95" customHeight="1" x14ac:dyDescent="0.3">
      <c r="A282" s="97" t="s">
        <v>295</v>
      </c>
      <c r="B282" s="97"/>
      <c r="C282" s="97"/>
      <c r="D282" s="97"/>
      <c r="E282" s="97"/>
      <c r="F282" s="97"/>
      <c r="G282" s="97"/>
      <c r="H282" s="97"/>
      <c r="I282" s="97"/>
      <c r="J282" s="97"/>
      <c r="K282" s="97"/>
      <c r="L282" s="97"/>
      <c r="M282" s="97"/>
      <c r="N282" s="97"/>
      <c r="O282" s="97"/>
      <c r="P282" s="97"/>
      <c r="Q282" s="97"/>
      <c r="R282" s="97"/>
      <c r="S282" s="97"/>
    </row>
    <row r="283" spans="1:19" ht="19.95" customHeight="1" x14ac:dyDescent="0.3">
      <c r="A283" s="69"/>
      <c r="B283" s="69"/>
      <c r="C283" s="69"/>
      <c r="D283" s="69"/>
      <c r="E283" s="69"/>
      <c r="F283" s="69"/>
      <c r="G283" s="69"/>
      <c r="H283" s="69"/>
      <c r="I283" s="69"/>
      <c r="J283" s="69"/>
      <c r="K283" s="69"/>
      <c r="L283" s="69"/>
      <c r="M283" s="69"/>
      <c r="N283" s="69"/>
      <c r="O283" s="69"/>
      <c r="P283" s="69"/>
      <c r="Q283" s="69"/>
      <c r="R283" s="69"/>
      <c r="S283" s="69"/>
    </row>
    <row r="284" spans="1:19" ht="19.95" customHeight="1" x14ac:dyDescent="0.3">
      <c r="A284" s="69"/>
      <c r="B284" s="69"/>
      <c r="C284" s="69"/>
      <c r="D284" s="69"/>
      <c r="E284" s="69"/>
      <c r="F284" s="69"/>
      <c r="G284" s="69"/>
      <c r="H284" s="69"/>
      <c r="I284" s="69"/>
      <c r="J284" s="69"/>
      <c r="K284" s="69"/>
      <c r="L284" s="69"/>
      <c r="M284" s="69"/>
      <c r="N284" s="69"/>
      <c r="O284" s="69"/>
      <c r="P284" s="69"/>
      <c r="Q284" s="69"/>
      <c r="R284" s="69"/>
      <c r="S284" s="69"/>
    </row>
    <row r="285" spans="1:19" ht="19.95" customHeight="1" x14ac:dyDescent="0.3">
      <c r="A285" s="69"/>
      <c r="B285" s="69"/>
      <c r="C285" s="69"/>
      <c r="D285" s="69"/>
      <c r="E285" s="69"/>
      <c r="F285" s="69"/>
      <c r="G285" s="69"/>
      <c r="H285" s="69"/>
      <c r="I285" s="69"/>
      <c r="J285" s="69"/>
      <c r="K285" s="69"/>
      <c r="L285" s="69"/>
      <c r="M285" s="69"/>
      <c r="N285" s="69"/>
      <c r="O285" s="69"/>
      <c r="P285" s="69"/>
      <c r="Q285" s="69"/>
      <c r="R285" s="69"/>
      <c r="S285" s="69"/>
    </row>
    <row r="286" spans="1:19" ht="19.95" customHeight="1" x14ac:dyDescent="0.3">
      <c r="A286" s="69"/>
      <c r="B286" s="69"/>
      <c r="C286" s="69"/>
      <c r="D286" s="69"/>
      <c r="E286" s="69"/>
      <c r="F286" s="69"/>
      <c r="G286" s="69"/>
      <c r="H286" s="69"/>
      <c r="I286" s="69"/>
      <c r="J286" s="69"/>
      <c r="K286" s="69"/>
      <c r="L286" s="69"/>
      <c r="M286" s="69"/>
      <c r="N286" s="69"/>
      <c r="O286" s="69"/>
      <c r="P286" s="69"/>
      <c r="Q286" s="69"/>
      <c r="R286" s="69"/>
      <c r="S286" s="69"/>
    </row>
    <row r="287" spans="1:19" ht="19.95" customHeight="1" x14ac:dyDescent="0.3">
      <c r="A287" s="69"/>
      <c r="B287" s="69"/>
      <c r="C287" s="69"/>
      <c r="D287" s="69"/>
      <c r="E287" s="69"/>
      <c r="F287" s="69"/>
      <c r="G287" s="69"/>
      <c r="H287" s="69"/>
      <c r="I287" s="69"/>
      <c r="J287" s="69"/>
      <c r="K287" s="69"/>
      <c r="L287" s="69"/>
      <c r="M287" s="69"/>
      <c r="N287" s="69"/>
      <c r="O287" s="69"/>
      <c r="P287" s="69"/>
      <c r="Q287" s="69"/>
      <c r="R287" s="69"/>
      <c r="S287" s="69"/>
    </row>
    <row r="288" spans="1:19" ht="19.95" customHeight="1" x14ac:dyDescent="0.3">
      <c r="A288" s="69"/>
      <c r="B288" s="69"/>
      <c r="C288" s="69"/>
      <c r="D288" s="69"/>
      <c r="E288" s="69"/>
      <c r="F288" s="69"/>
      <c r="G288" s="69"/>
      <c r="H288" s="69"/>
      <c r="I288" s="69"/>
      <c r="J288" s="69"/>
      <c r="K288" s="69"/>
      <c r="L288" s="69"/>
      <c r="M288" s="69"/>
      <c r="N288" s="69"/>
      <c r="O288" s="69"/>
      <c r="P288" s="69"/>
      <c r="Q288" s="69"/>
      <c r="R288" s="69"/>
      <c r="S288" s="69"/>
    </row>
    <row r="289" spans="1:19" ht="19.95" customHeight="1" x14ac:dyDescent="0.3">
      <c r="A289" s="69"/>
      <c r="B289" s="69"/>
      <c r="C289" s="69"/>
      <c r="D289" s="69"/>
      <c r="E289" s="69"/>
      <c r="F289" s="69"/>
      <c r="G289" s="69"/>
      <c r="H289" s="69"/>
      <c r="I289" s="69"/>
      <c r="J289" s="69"/>
      <c r="K289" s="69"/>
      <c r="L289" s="69"/>
      <c r="M289" s="69"/>
      <c r="N289" s="69"/>
      <c r="O289" s="69"/>
      <c r="P289" s="69"/>
      <c r="Q289" s="69"/>
      <c r="R289" s="69"/>
      <c r="S289" s="69"/>
    </row>
    <row r="290" spans="1:19" ht="19.95" customHeight="1" x14ac:dyDescent="0.3">
      <c r="A290" s="69"/>
      <c r="B290" s="69"/>
      <c r="C290" s="69"/>
      <c r="D290" s="69"/>
      <c r="E290" s="69"/>
      <c r="F290" s="69"/>
      <c r="G290" s="69"/>
      <c r="H290" s="69"/>
      <c r="I290" s="69"/>
      <c r="J290" s="69"/>
      <c r="K290" s="69"/>
      <c r="L290" s="69"/>
      <c r="M290" s="69"/>
      <c r="N290" s="69"/>
      <c r="O290" s="69"/>
      <c r="P290" s="69"/>
      <c r="Q290" s="69"/>
      <c r="R290" s="69"/>
      <c r="S290" s="69"/>
    </row>
    <row r="291" spans="1:19" ht="19.95" customHeight="1" x14ac:dyDescent="0.3">
      <c r="A291" s="69"/>
      <c r="B291" s="69"/>
      <c r="C291" s="69"/>
      <c r="D291" s="69"/>
      <c r="E291" s="69"/>
      <c r="F291" s="69"/>
      <c r="G291" s="69"/>
      <c r="H291" s="69"/>
      <c r="I291" s="69"/>
      <c r="J291" s="69"/>
      <c r="K291" s="69"/>
      <c r="L291" s="69"/>
      <c r="M291" s="69"/>
      <c r="N291" s="69"/>
      <c r="O291" s="69"/>
      <c r="P291" s="69"/>
      <c r="Q291" s="69"/>
      <c r="R291" s="69"/>
      <c r="S291" s="69"/>
    </row>
    <row r="292" spans="1:19" ht="19.95" customHeight="1" x14ac:dyDescent="0.3">
      <c r="A292" s="69"/>
      <c r="B292" s="69"/>
      <c r="C292" s="69"/>
      <c r="D292" s="69"/>
      <c r="E292" s="69"/>
      <c r="F292" s="69"/>
      <c r="G292" s="69"/>
      <c r="H292" s="69"/>
      <c r="I292" s="69"/>
      <c r="J292" s="69"/>
      <c r="K292" s="69"/>
      <c r="L292" s="69"/>
      <c r="M292" s="69"/>
      <c r="N292" s="69"/>
      <c r="O292" s="69"/>
      <c r="P292" s="69"/>
      <c r="Q292" s="69"/>
      <c r="R292" s="69"/>
      <c r="S292" s="69"/>
    </row>
    <row r="293" spans="1:19" ht="19.95" customHeight="1" x14ac:dyDescent="0.3">
      <c r="A293" s="69"/>
      <c r="B293" s="69"/>
      <c r="C293" s="69"/>
      <c r="D293" s="69"/>
      <c r="E293" s="69"/>
      <c r="F293" s="69"/>
      <c r="G293" s="69"/>
      <c r="H293" s="69"/>
      <c r="I293" s="69"/>
      <c r="J293" s="69"/>
      <c r="K293" s="69"/>
      <c r="L293" s="69"/>
      <c r="M293" s="69"/>
      <c r="N293" s="69"/>
      <c r="O293" s="69"/>
      <c r="P293" s="69"/>
      <c r="Q293" s="69"/>
      <c r="R293" s="69"/>
      <c r="S293" s="69"/>
    </row>
    <row r="294" spans="1:19" ht="19.95" customHeight="1" x14ac:dyDescent="0.3">
      <c r="A294" s="69"/>
      <c r="B294" s="69"/>
      <c r="C294" s="69"/>
      <c r="D294" s="69"/>
      <c r="E294" s="69"/>
      <c r="F294" s="69"/>
      <c r="G294" s="69"/>
      <c r="H294" s="69"/>
      <c r="I294" s="69"/>
      <c r="J294" s="69"/>
      <c r="K294" s="69"/>
      <c r="L294" s="69"/>
      <c r="M294" s="69"/>
      <c r="N294" s="69"/>
      <c r="O294" s="69"/>
      <c r="P294" s="69"/>
      <c r="Q294" s="69"/>
      <c r="R294" s="69"/>
      <c r="S294" s="69"/>
    </row>
    <row r="295" spans="1:19" ht="19.95" customHeight="1" x14ac:dyDescent="0.3">
      <c r="A295" s="69"/>
      <c r="B295" s="69"/>
      <c r="C295" s="69"/>
      <c r="D295" s="69"/>
      <c r="E295" s="69"/>
      <c r="F295" s="69"/>
      <c r="G295" s="69"/>
      <c r="H295" s="69"/>
      <c r="I295" s="69"/>
      <c r="J295" s="69"/>
      <c r="K295" s="69"/>
      <c r="L295" s="69"/>
      <c r="M295" s="69"/>
      <c r="N295" s="69"/>
      <c r="O295" s="69"/>
      <c r="P295" s="69"/>
      <c r="Q295" s="69"/>
      <c r="R295" s="69"/>
      <c r="S295" s="69"/>
    </row>
    <row r="296" spans="1:19" ht="19.95" customHeight="1" x14ac:dyDescent="0.3">
      <c r="A296" s="69"/>
      <c r="B296" s="69"/>
      <c r="C296" s="69"/>
      <c r="D296" s="69"/>
      <c r="E296" s="69"/>
      <c r="F296" s="69"/>
      <c r="G296" s="69"/>
      <c r="H296" s="69"/>
      <c r="I296" s="69"/>
      <c r="J296" s="69"/>
      <c r="K296" s="69"/>
      <c r="L296" s="69"/>
      <c r="M296" s="69"/>
      <c r="N296" s="69"/>
      <c r="O296" s="69"/>
      <c r="P296" s="69"/>
      <c r="Q296" s="69"/>
      <c r="R296" s="69"/>
      <c r="S296" s="69"/>
    </row>
    <row r="297" spans="1:19" ht="19.95" customHeight="1" x14ac:dyDescent="0.3">
      <c r="A297" s="69"/>
      <c r="B297" s="69"/>
      <c r="C297" s="69"/>
      <c r="D297" s="69"/>
      <c r="E297" s="69"/>
      <c r="F297" s="69"/>
      <c r="G297" s="69"/>
      <c r="H297" s="69"/>
      <c r="I297" s="69"/>
      <c r="J297" s="69"/>
      <c r="K297" s="69"/>
      <c r="L297" s="69"/>
      <c r="M297" s="69"/>
      <c r="N297" s="69"/>
      <c r="O297" s="69"/>
      <c r="P297" s="69"/>
      <c r="Q297" s="69"/>
      <c r="R297" s="69"/>
      <c r="S297" s="69"/>
    </row>
    <row r="298" spans="1:19" ht="19.95" customHeight="1" x14ac:dyDescent="0.3">
      <c r="A298" s="69"/>
      <c r="B298" s="69"/>
      <c r="C298" s="69"/>
      <c r="D298" s="69"/>
      <c r="E298" s="69"/>
      <c r="F298" s="69"/>
      <c r="G298" s="69"/>
      <c r="H298" s="69"/>
      <c r="I298" s="69"/>
      <c r="J298" s="69"/>
      <c r="K298" s="69"/>
      <c r="L298" s="69"/>
      <c r="M298" s="69"/>
      <c r="N298" s="69"/>
      <c r="O298" s="69"/>
      <c r="P298" s="69"/>
      <c r="Q298" s="69"/>
      <c r="R298" s="69"/>
      <c r="S298" s="69"/>
    </row>
    <row r="299" spans="1:19" ht="19.95" customHeight="1" x14ac:dyDescent="0.3">
      <c r="A299" s="69"/>
      <c r="B299" s="69"/>
      <c r="C299" s="69"/>
      <c r="D299" s="69"/>
      <c r="E299" s="69"/>
      <c r="F299" s="69"/>
      <c r="G299" s="69"/>
      <c r="H299" s="69"/>
      <c r="I299" s="69"/>
      <c r="J299" s="69"/>
      <c r="K299" s="69"/>
      <c r="L299" s="69"/>
      <c r="M299" s="69"/>
      <c r="N299" s="69"/>
      <c r="O299" s="69"/>
      <c r="P299" s="69"/>
      <c r="Q299" s="69"/>
      <c r="R299" s="69"/>
      <c r="S299" s="69"/>
    </row>
    <row r="300" spans="1:19" ht="19.95" customHeight="1" x14ac:dyDescent="0.3">
      <c r="A300" s="69"/>
      <c r="B300" s="69"/>
      <c r="C300" s="69"/>
      <c r="D300" s="69"/>
      <c r="E300" s="69"/>
      <c r="F300" s="69"/>
      <c r="G300" s="69"/>
      <c r="H300" s="69"/>
      <c r="I300" s="69"/>
      <c r="J300" s="69"/>
      <c r="K300" s="69"/>
      <c r="L300" s="69"/>
      <c r="M300" s="69"/>
      <c r="N300" s="69"/>
      <c r="O300" s="69"/>
      <c r="P300" s="69"/>
      <c r="Q300" s="69"/>
      <c r="R300" s="69"/>
      <c r="S300" s="69"/>
    </row>
    <row r="301" spans="1:19" ht="19.95" customHeight="1" x14ac:dyDescent="0.3">
      <c r="A301" s="69"/>
      <c r="B301" s="69"/>
      <c r="C301" s="69"/>
      <c r="D301" s="69"/>
      <c r="E301" s="69"/>
      <c r="F301" s="69"/>
      <c r="G301" s="69"/>
      <c r="H301" s="69"/>
      <c r="I301" s="69"/>
      <c r="J301" s="69"/>
      <c r="K301" s="69"/>
      <c r="L301" s="69"/>
      <c r="M301" s="69"/>
      <c r="N301" s="69"/>
      <c r="O301" s="69"/>
      <c r="P301" s="69"/>
      <c r="Q301" s="69"/>
      <c r="R301" s="69"/>
      <c r="S301" s="69"/>
    </row>
    <row r="302" spans="1:19" ht="19.95" customHeight="1" x14ac:dyDescent="0.3">
      <c r="A302" s="69"/>
      <c r="B302" s="69"/>
      <c r="C302" s="69"/>
      <c r="D302" s="69"/>
      <c r="E302" s="69"/>
      <c r="F302" s="69"/>
      <c r="G302" s="69"/>
      <c r="H302" s="69"/>
      <c r="I302" s="69"/>
      <c r="J302" s="69"/>
      <c r="K302" s="69"/>
      <c r="L302" s="69"/>
      <c r="M302" s="69"/>
      <c r="N302" s="69"/>
      <c r="O302" s="69"/>
      <c r="P302" s="69"/>
      <c r="Q302" s="69"/>
      <c r="R302" s="69"/>
      <c r="S302" s="69"/>
    </row>
    <row r="303" spans="1:19" ht="19.95" customHeight="1" x14ac:dyDescent="0.3">
      <c r="A303" s="69"/>
      <c r="B303" s="69"/>
      <c r="C303" s="69"/>
      <c r="D303" s="69"/>
      <c r="E303" s="69"/>
      <c r="F303" s="69"/>
      <c r="G303" s="69"/>
      <c r="H303" s="69"/>
      <c r="I303" s="69"/>
      <c r="J303" s="69"/>
      <c r="K303" s="69"/>
      <c r="L303" s="69"/>
      <c r="M303" s="69"/>
      <c r="N303" s="69"/>
      <c r="O303" s="69"/>
      <c r="P303" s="69"/>
      <c r="Q303" s="69"/>
      <c r="R303" s="69"/>
      <c r="S303" s="69"/>
    </row>
    <row r="304" spans="1:19" ht="19.95" customHeight="1" x14ac:dyDescent="0.3">
      <c r="A304" s="69"/>
      <c r="B304" s="69"/>
      <c r="C304" s="69"/>
      <c r="D304" s="69"/>
      <c r="E304" s="69"/>
      <c r="F304" s="69"/>
      <c r="G304" s="69"/>
      <c r="H304" s="69"/>
      <c r="I304" s="69"/>
      <c r="J304" s="69"/>
      <c r="K304" s="69"/>
      <c r="L304" s="69"/>
      <c r="M304" s="69"/>
      <c r="N304" s="69"/>
      <c r="O304" s="69"/>
      <c r="P304" s="69"/>
      <c r="Q304" s="69"/>
      <c r="R304" s="69"/>
      <c r="S304" s="69"/>
    </row>
    <row r="305" spans="1:19" ht="19.95" customHeight="1" x14ac:dyDescent="0.3">
      <c r="A305" s="97" t="s">
        <v>296</v>
      </c>
      <c r="B305" s="97"/>
      <c r="C305" s="97"/>
      <c r="D305" s="97"/>
      <c r="E305" s="97"/>
      <c r="F305" s="97"/>
      <c r="G305" s="97"/>
      <c r="H305" s="97"/>
      <c r="I305" s="97"/>
      <c r="J305" s="97"/>
      <c r="K305" s="97"/>
      <c r="L305" s="97"/>
      <c r="M305" s="97"/>
      <c r="N305" s="97"/>
      <c r="O305" s="97"/>
      <c r="P305" s="97"/>
      <c r="Q305" s="97"/>
      <c r="R305" s="97"/>
      <c r="S305" s="97"/>
    </row>
    <row r="306" spans="1:19" ht="19.95" customHeight="1" x14ac:dyDescent="0.3">
      <c r="A306" s="69"/>
      <c r="B306" s="69"/>
      <c r="C306" s="69"/>
      <c r="D306" s="69"/>
      <c r="E306" s="69"/>
      <c r="F306" s="69"/>
      <c r="G306" s="69"/>
      <c r="H306" s="69"/>
      <c r="I306" s="69"/>
      <c r="J306" s="69"/>
      <c r="K306" s="69"/>
      <c r="L306" s="69"/>
      <c r="M306" s="69"/>
      <c r="N306" s="69"/>
      <c r="O306" s="69"/>
      <c r="P306" s="69"/>
      <c r="Q306" s="69"/>
      <c r="R306" s="69"/>
      <c r="S306" s="69"/>
    </row>
    <row r="307" spans="1:19" ht="19.95" customHeight="1" x14ac:dyDescent="0.3">
      <c r="A307" s="69"/>
      <c r="B307" s="69"/>
      <c r="C307" s="69"/>
      <c r="D307" s="69"/>
      <c r="E307" s="69"/>
      <c r="F307" s="69"/>
      <c r="G307" s="69"/>
      <c r="H307" s="69"/>
      <c r="I307" s="69"/>
      <c r="J307" s="69"/>
      <c r="K307" s="69"/>
      <c r="L307" s="69"/>
      <c r="M307" s="69"/>
      <c r="N307" s="69"/>
      <c r="O307" s="69"/>
      <c r="P307" s="69"/>
      <c r="Q307" s="69"/>
      <c r="R307" s="69"/>
      <c r="S307" s="69"/>
    </row>
    <row r="308" spans="1:19" ht="19.95" customHeight="1" x14ac:dyDescent="0.3">
      <c r="A308" s="69"/>
      <c r="B308" s="69"/>
      <c r="C308" s="69"/>
      <c r="D308" s="69"/>
      <c r="E308" s="69"/>
      <c r="F308" s="69"/>
      <c r="G308" s="69"/>
      <c r="H308" s="69"/>
      <c r="I308" s="69"/>
      <c r="J308" s="69"/>
      <c r="K308" s="69"/>
      <c r="L308" s="69"/>
      <c r="M308" s="69"/>
      <c r="N308" s="69"/>
      <c r="O308" s="69"/>
      <c r="P308" s="69"/>
      <c r="Q308" s="69"/>
      <c r="R308" s="69"/>
      <c r="S308" s="69"/>
    </row>
    <row r="309" spans="1:19" ht="19.95" customHeight="1" x14ac:dyDescent="0.3">
      <c r="A309" s="69"/>
      <c r="B309" s="69"/>
      <c r="C309" s="69"/>
      <c r="D309" s="69"/>
      <c r="E309" s="69"/>
      <c r="F309" s="69"/>
      <c r="G309" s="69"/>
      <c r="H309" s="69"/>
      <c r="I309" s="69"/>
      <c r="J309" s="69"/>
      <c r="K309" s="69"/>
      <c r="L309" s="69"/>
      <c r="M309" s="69"/>
      <c r="N309" s="69"/>
      <c r="O309" s="69"/>
      <c r="P309" s="69"/>
      <c r="Q309" s="69"/>
      <c r="R309" s="69"/>
      <c r="S309" s="69"/>
    </row>
    <row r="310" spans="1:19" ht="19.95" customHeight="1" x14ac:dyDescent="0.3">
      <c r="A310" s="69"/>
      <c r="B310" s="69"/>
      <c r="C310" s="69"/>
      <c r="D310" s="69"/>
      <c r="E310" s="69"/>
      <c r="F310" s="69"/>
      <c r="G310" s="69"/>
      <c r="H310" s="69"/>
      <c r="I310" s="69"/>
      <c r="J310" s="69"/>
      <c r="K310" s="69"/>
      <c r="L310" s="69"/>
      <c r="M310" s="69"/>
      <c r="N310" s="69"/>
      <c r="O310" s="69"/>
      <c r="P310" s="69"/>
      <c r="Q310" s="69"/>
      <c r="R310" s="69"/>
      <c r="S310" s="69"/>
    </row>
    <row r="311" spans="1:19" ht="19.95" customHeight="1" x14ac:dyDescent="0.3">
      <c r="A311" s="69"/>
      <c r="B311" s="69"/>
      <c r="C311" s="69"/>
      <c r="D311" s="69"/>
      <c r="E311" s="69"/>
      <c r="F311" s="69"/>
      <c r="G311" s="69"/>
      <c r="H311" s="69"/>
      <c r="I311" s="69"/>
      <c r="J311" s="69"/>
      <c r="K311" s="69"/>
      <c r="L311" s="69"/>
      <c r="M311" s="69"/>
      <c r="N311" s="69"/>
      <c r="O311" s="69"/>
      <c r="P311" s="69"/>
      <c r="Q311" s="69"/>
      <c r="R311" s="69"/>
      <c r="S311" s="69"/>
    </row>
    <row r="312" spans="1:19" ht="19.95" customHeight="1" x14ac:dyDescent="0.3">
      <c r="A312" s="69"/>
      <c r="B312" s="69"/>
      <c r="C312" s="69"/>
      <c r="D312" s="69"/>
      <c r="E312" s="69"/>
      <c r="F312" s="69"/>
      <c r="G312" s="69"/>
      <c r="H312" s="69"/>
      <c r="I312" s="69"/>
      <c r="J312" s="69"/>
      <c r="K312" s="69"/>
      <c r="L312" s="69"/>
      <c r="M312" s="69"/>
      <c r="N312" s="69"/>
      <c r="O312" s="69"/>
      <c r="P312" s="69"/>
      <c r="Q312" s="69"/>
      <c r="R312" s="69"/>
      <c r="S312" s="69"/>
    </row>
    <row r="313" spans="1:19" ht="19.95" customHeight="1" x14ac:dyDescent="0.3">
      <c r="A313" s="69"/>
      <c r="B313" s="69"/>
      <c r="C313" s="69"/>
      <c r="D313" s="69"/>
      <c r="E313" s="69"/>
      <c r="F313" s="69"/>
      <c r="G313" s="69"/>
      <c r="H313" s="69"/>
      <c r="I313" s="69"/>
      <c r="J313" s="69"/>
      <c r="K313" s="69"/>
      <c r="L313" s="69"/>
      <c r="M313" s="69"/>
      <c r="N313" s="69"/>
      <c r="O313" s="69"/>
      <c r="P313" s="69"/>
      <c r="Q313" s="69"/>
      <c r="R313" s="69"/>
      <c r="S313" s="69"/>
    </row>
    <row r="314" spans="1:19" ht="19.95" customHeight="1" x14ac:dyDescent="0.3">
      <c r="A314" s="69"/>
      <c r="B314" s="69"/>
      <c r="C314" s="69"/>
      <c r="D314" s="69"/>
      <c r="E314" s="69"/>
      <c r="F314" s="69"/>
      <c r="G314" s="69"/>
      <c r="H314" s="69"/>
      <c r="I314" s="69"/>
      <c r="J314" s="69"/>
      <c r="K314" s="69"/>
      <c r="L314" s="69"/>
      <c r="M314" s="69"/>
      <c r="N314" s="69"/>
      <c r="O314" s="69"/>
      <c r="P314" s="69"/>
      <c r="Q314" s="69"/>
      <c r="R314" s="69"/>
      <c r="S314" s="69"/>
    </row>
    <row r="315" spans="1:19" ht="19.95" customHeight="1" x14ac:dyDescent="0.3">
      <c r="A315" s="69"/>
      <c r="B315" s="69"/>
      <c r="C315" s="69"/>
      <c r="D315" s="69"/>
      <c r="E315" s="69"/>
      <c r="F315" s="69"/>
      <c r="G315" s="69"/>
      <c r="H315" s="69"/>
      <c r="I315" s="69"/>
      <c r="J315" s="69"/>
      <c r="K315" s="69"/>
      <c r="L315" s="69"/>
      <c r="M315" s="69"/>
      <c r="N315" s="69"/>
      <c r="O315" s="69"/>
      <c r="P315" s="69"/>
      <c r="Q315" s="69"/>
      <c r="R315" s="69"/>
      <c r="S315" s="69"/>
    </row>
    <row r="316" spans="1:19" ht="19.95" customHeight="1" x14ac:dyDescent="0.3">
      <c r="A316" s="69"/>
      <c r="B316" s="69"/>
      <c r="C316" s="69"/>
      <c r="D316" s="69"/>
      <c r="E316" s="69"/>
      <c r="F316" s="69"/>
      <c r="G316" s="69"/>
      <c r="H316" s="69"/>
      <c r="I316" s="69"/>
      <c r="J316" s="69"/>
      <c r="K316" s="69"/>
      <c r="L316" s="69"/>
      <c r="M316" s="69"/>
      <c r="N316" s="69"/>
      <c r="O316" s="69"/>
      <c r="P316" s="69"/>
      <c r="Q316" s="69"/>
      <c r="R316" s="69"/>
      <c r="S316" s="69"/>
    </row>
    <row r="317" spans="1:19" ht="19.95" customHeight="1" x14ac:dyDescent="0.3">
      <c r="A317" s="69"/>
      <c r="B317" s="69"/>
      <c r="C317" s="69"/>
      <c r="D317" s="69"/>
      <c r="E317" s="69"/>
      <c r="F317" s="69"/>
      <c r="G317" s="69"/>
      <c r="H317" s="69"/>
      <c r="I317" s="69"/>
      <c r="J317" s="69"/>
      <c r="K317" s="69"/>
      <c r="L317" s="69"/>
      <c r="M317" s="69"/>
      <c r="N317" s="69"/>
      <c r="O317" s="69"/>
      <c r="P317" s="69"/>
      <c r="Q317" s="69"/>
      <c r="R317" s="69"/>
      <c r="S317" s="69"/>
    </row>
    <row r="318" spans="1:19" ht="19.95" customHeight="1" x14ac:dyDescent="0.3">
      <c r="A318" s="69"/>
      <c r="B318" s="69"/>
      <c r="C318" s="69"/>
      <c r="D318" s="69"/>
      <c r="E318" s="69"/>
      <c r="F318" s="69"/>
      <c r="G318" s="69"/>
      <c r="H318" s="69"/>
      <c r="I318" s="69"/>
      <c r="J318" s="69"/>
      <c r="K318" s="69"/>
      <c r="L318" s="69"/>
      <c r="M318" s="69"/>
      <c r="N318" s="69"/>
      <c r="O318" s="69"/>
      <c r="P318" s="69"/>
      <c r="Q318" s="69"/>
      <c r="R318" s="69"/>
      <c r="S318" s="69"/>
    </row>
    <row r="319" spans="1:19" ht="19.95" customHeight="1" x14ac:dyDescent="0.3">
      <c r="A319" s="69"/>
      <c r="B319" s="69"/>
      <c r="C319" s="69"/>
      <c r="D319" s="69"/>
      <c r="E319" s="69"/>
      <c r="F319" s="69"/>
      <c r="G319" s="69"/>
      <c r="H319" s="69"/>
      <c r="I319" s="69"/>
      <c r="J319" s="69"/>
      <c r="K319" s="69"/>
      <c r="L319" s="69"/>
      <c r="M319" s="69"/>
      <c r="N319" s="69"/>
      <c r="O319" s="69"/>
      <c r="P319" s="69"/>
      <c r="Q319" s="69"/>
      <c r="R319" s="69"/>
      <c r="S319" s="69"/>
    </row>
    <row r="320" spans="1:19" ht="19.95" customHeight="1" x14ac:dyDescent="0.3">
      <c r="A320" s="69"/>
      <c r="B320" s="69"/>
      <c r="C320" s="69"/>
      <c r="D320" s="69"/>
      <c r="E320" s="69"/>
      <c r="F320" s="69"/>
      <c r="G320" s="69"/>
      <c r="H320" s="69"/>
      <c r="I320" s="69"/>
      <c r="J320" s="69"/>
      <c r="K320" s="69"/>
      <c r="L320" s="69"/>
      <c r="M320" s="69"/>
      <c r="N320" s="69"/>
      <c r="O320" s="69"/>
      <c r="P320" s="69"/>
      <c r="Q320" s="69"/>
      <c r="R320" s="69"/>
      <c r="S320" s="69"/>
    </row>
    <row r="321" spans="1:19" ht="19.95" customHeight="1" x14ac:dyDescent="0.3">
      <c r="A321" s="69"/>
      <c r="B321" s="69"/>
      <c r="C321" s="69"/>
      <c r="D321" s="69"/>
      <c r="E321" s="69"/>
      <c r="F321" s="69"/>
      <c r="G321" s="69"/>
      <c r="H321" s="69"/>
      <c r="I321" s="69"/>
      <c r="J321" s="69"/>
      <c r="K321" s="69"/>
      <c r="L321" s="69"/>
      <c r="M321" s="69"/>
      <c r="N321" s="69"/>
      <c r="O321" s="69"/>
      <c r="P321" s="69"/>
      <c r="Q321" s="69"/>
      <c r="R321" s="69"/>
      <c r="S321" s="69"/>
    </row>
    <row r="322" spans="1:19" ht="19.95" customHeight="1" x14ac:dyDescent="0.3">
      <c r="A322" s="69"/>
      <c r="B322" s="69"/>
      <c r="C322" s="69"/>
      <c r="D322" s="69"/>
      <c r="E322" s="69"/>
      <c r="F322" s="69"/>
      <c r="G322" s="69"/>
      <c r="H322" s="69"/>
      <c r="I322" s="69"/>
      <c r="J322" s="69"/>
      <c r="K322" s="69"/>
      <c r="L322" s="69"/>
      <c r="M322" s="69"/>
      <c r="N322" s="69"/>
      <c r="O322" s="69"/>
      <c r="P322" s="69"/>
      <c r="Q322" s="69"/>
      <c r="R322" s="69"/>
      <c r="S322" s="69"/>
    </row>
    <row r="323" spans="1:19" ht="19.95" customHeight="1" x14ac:dyDescent="0.3">
      <c r="A323" s="69"/>
      <c r="B323" s="69"/>
      <c r="C323" s="69"/>
      <c r="D323" s="69"/>
      <c r="E323" s="69"/>
      <c r="F323" s="69"/>
      <c r="G323" s="69"/>
      <c r="H323" s="69"/>
      <c r="I323" s="69"/>
      <c r="J323" s="69"/>
      <c r="K323" s="69"/>
      <c r="L323" s="69"/>
      <c r="M323" s="69"/>
      <c r="N323" s="69"/>
      <c r="O323" s="69"/>
      <c r="P323" s="69"/>
      <c r="Q323" s="69"/>
      <c r="R323" s="69"/>
      <c r="S323" s="69"/>
    </row>
    <row r="324" spans="1:19" ht="19.95" customHeight="1" x14ac:dyDescent="0.3">
      <c r="A324" s="69"/>
      <c r="B324" s="69"/>
      <c r="C324" s="69"/>
      <c r="D324" s="69"/>
      <c r="E324" s="69"/>
      <c r="F324" s="69"/>
      <c r="G324" s="69"/>
      <c r="H324" s="69"/>
      <c r="I324" s="69"/>
      <c r="J324" s="69"/>
      <c r="K324" s="69"/>
      <c r="L324" s="69"/>
      <c r="M324" s="69"/>
      <c r="N324" s="69"/>
      <c r="O324" s="69"/>
      <c r="P324" s="69"/>
      <c r="Q324" s="69"/>
      <c r="R324" s="69"/>
      <c r="S324" s="69"/>
    </row>
    <row r="325" spans="1:19" ht="19.95" customHeight="1" x14ac:dyDescent="0.3">
      <c r="A325" s="69"/>
      <c r="B325" s="69"/>
      <c r="C325" s="69"/>
      <c r="D325" s="69"/>
      <c r="E325" s="69"/>
      <c r="F325" s="69"/>
      <c r="G325" s="69"/>
      <c r="H325" s="69"/>
      <c r="I325" s="69"/>
      <c r="J325" s="69"/>
      <c r="K325" s="69"/>
      <c r="L325" s="69"/>
      <c r="M325" s="69"/>
      <c r="N325" s="69"/>
      <c r="O325" s="69"/>
      <c r="P325" s="69"/>
      <c r="Q325" s="69"/>
      <c r="R325" s="69"/>
      <c r="S325" s="69"/>
    </row>
    <row r="326" spans="1:19" ht="19.95" customHeight="1" x14ac:dyDescent="0.3">
      <c r="A326" s="69"/>
      <c r="B326" s="69"/>
      <c r="C326" s="69"/>
      <c r="D326" s="69"/>
      <c r="E326" s="69"/>
      <c r="F326" s="69"/>
      <c r="G326" s="69"/>
      <c r="H326" s="69"/>
      <c r="I326" s="69"/>
      <c r="J326" s="69"/>
      <c r="K326" s="69"/>
      <c r="L326" s="69"/>
      <c r="M326" s="69"/>
      <c r="N326" s="69"/>
      <c r="O326" s="69"/>
      <c r="P326" s="69"/>
      <c r="Q326" s="69"/>
      <c r="R326" s="69"/>
      <c r="S326" s="69"/>
    </row>
    <row r="327" spans="1:19" ht="19.95" customHeight="1" x14ac:dyDescent="0.3">
      <c r="A327" s="69"/>
      <c r="B327" s="69"/>
      <c r="C327" s="69"/>
      <c r="D327" s="69"/>
      <c r="E327" s="69"/>
      <c r="F327" s="69"/>
      <c r="G327" s="69"/>
      <c r="H327" s="69"/>
      <c r="I327" s="69"/>
      <c r="J327" s="69"/>
      <c r="K327" s="69"/>
      <c r="L327" s="69"/>
      <c r="M327" s="69"/>
      <c r="N327" s="69"/>
      <c r="O327" s="69"/>
      <c r="P327" s="69"/>
      <c r="Q327" s="69"/>
      <c r="R327" s="69"/>
      <c r="S327" s="69"/>
    </row>
    <row r="328" spans="1:19" ht="19.95" customHeight="1" x14ac:dyDescent="0.3">
      <c r="A328" s="97" t="s">
        <v>297</v>
      </c>
      <c r="B328" s="97"/>
      <c r="C328" s="97"/>
      <c r="D328" s="97"/>
      <c r="E328" s="97"/>
      <c r="F328" s="97"/>
      <c r="G328" s="97"/>
      <c r="H328" s="97"/>
      <c r="I328" s="97"/>
      <c r="J328" s="97"/>
      <c r="K328" s="97"/>
      <c r="L328" s="97"/>
      <c r="M328" s="97"/>
      <c r="N328" s="97"/>
      <c r="O328" s="97"/>
      <c r="P328" s="97"/>
      <c r="Q328" s="97"/>
      <c r="R328" s="97"/>
      <c r="S328" s="97"/>
    </row>
    <row r="329" spans="1:19" ht="19.95" customHeight="1" x14ac:dyDescent="0.3">
      <c r="A329" s="69"/>
      <c r="B329" s="69"/>
      <c r="C329" s="69"/>
      <c r="D329" s="69"/>
      <c r="E329" s="69"/>
      <c r="F329" s="69"/>
      <c r="G329" s="69"/>
      <c r="H329" s="69"/>
      <c r="I329" s="69"/>
      <c r="J329" s="69"/>
      <c r="K329" s="69"/>
      <c r="L329" s="69"/>
      <c r="M329" s="69"/>
      <c r="N329" s="69"/>
      <c r="O329" s="69"/>
      <c r="P329" s="69"/>
      <c r="Q329" s="69"/>
      <c r="R329" s="69"/>
      <c r="S329" s="69"/>
    </row>
    <row r="330" spans="1:19" ht="19.95" customHeight="1" x14ac:dyDescent="0.3">
      <c r="A330" s="69"/>
      <c r="B330" s="69"/>
      <c r="C330" s="69"/>
      <c r="D330" s="69"/>
      <c r="E330" s="69"/>
      <c r="F330" s="69"/>
      <c r="G330" s="69"/>
      <c r="H330" s="69"/>
      <c r="I330" s="69"/>
      <c r="J330" s="69"/>
      <c r="K330" s="69"/>
      <c r="L330" s="69"/>
      <c r="M330" s="69"/>
      <c r="N330" s="69"/>
      <c r="O330" s="69"/>
      <c r="P330" s="69"/>
      <c r="Q330" s="69"/>
      <c r="R330" s="69"/>
      <c r="S330" s="69"/>
    </row>
    <row r="331" spans="1:19" ht="19.95" customHeight="1" x14ac:dyDescent="0.3">
      <c r="A331" s="69"/>
      <c r="B331" s="69"/>
      <c r="C331" s="69"/>
      <c r="D331" s="69"/>
      <c r="E331" s="69"/>
      <c r="F331" s="69"/>
      <c r="G331" s="69"/>
      <c r="H331" s="69"/>
      <c r="I331" s="69"/>
      <c r="J331" s="69"/>
      <c r="K331" s="69"/>
      <c r="L331" s="69"/>
      <c r="M331" s="69"/>
      <c r="N331" s="69"/>
      <c r="O331" s="69"/>
      <c r="P331" s="69"/>
      <c r="Q331" s="69"/>
      <c r="R331" s="69"/>
      <c r="S331" s="69"/>
    </row>
    <row r="332" spans="1:19" ht="19.95" customHeight="1" x14ac:dyDescent="0.3">
      <c r="A332" s="69"/>
      <c r="B332" s="69"/>
      <c r="C332" s="69"/>
      <c r="D332" s="69"/>
      <c r="E332" s="69"/>
      <c r="F332" s="69"/>
      <c r="G332" s="69"/>
      <c r="H332" s="69"/>
      <c r="I332" s="69"/>
      <c r="J332" s="69"/>
      <c r="K332" s="69"/>
      <c r="L332" s="69"/>
      <c r="M332" s="69"/>
      <c r="N332" s="69"/>
      <c r="O332" s="69"/>
      <c r="P332" s="69"/>
      <c r="Q332" s="69"/>
      <c r="R332" s="69"/>
      <c r="S332" s="69"/>
    </row>
    <row r="333" spans="1:19" ht="19.95" customHeight="1" x14ac:dyDescent="0.3">
      <c r="A333" s="69"/>
      <c r="B333" s="69"/>
      <c r="C333" s="69"/>
      <c r="D333" s="69"/>
      <c r="E333" s="69"/>
      <c r="F333" s="69"/>
      <c r="G333" s="69"/>
      <c r="H333" s="69"/>
      <c r="I333" s="69"/>
      <c r="J333" s="69"/>
      <c r="K333" s="69"/>
      <c r="L333" s="69"/>
      <c r="M333" s="69"/>
      <c r="N333" s="69"/>
      <c r="O333" s="69"/>
      <c r="P333" s="69"/>
      <c r="Q333" s="69"/>
      <c r="R333" s="69"/>
      <c r="S333" s="69"/>
    </row>
    <row r="334" spans="1:19" ht="19.95" customHeight="1" x14ac:dyDescent="0.3">
      <c r="A334" s="69"/>
      <c r="B334" s="69"/>
      <c r="C334" s="69"/>
      <c r="D334" s="69"/>
      <c r="E334" s="69"/>
      <c r="F334" s="69"/>
      <c r="G334" s="69"/>
      <c r="H334" s="69"/>
      <c r="I334" s="69"/>
      <c r="J334" s="69"/>
      <c r="K334" s="69"/>
      <c r="L334" s="69"/>
      <c r="M334" s="69"/>
      <c r="N334" s="69"/>
      <c r="O334" s="69"/>
      <c r="P334" s="69"/>
      <c r="Q334" s="69"/>
      <c r="R334" s="69"/>
      <c r="S334" s="69"/>
    </row>
    <row r="335" spans="1:19" ht="19.95" customHeight="1" x14ac:dyDescent="0.3">
      <c r="A335" s="69"/>
      <c r="B335" s="69"/>
      <c r="C335" s="69"/>
      <c r="D335" s="69"/>
      <c r="E335" s="69"/>
      <c r="F335" s="69"/>
      <c r="G335" s="69"/>
      <c r="H335" s="69"/>
      <c r="I335" s="69"/>
      <c r="J335" s="69"/>
      <c r="K335" s="69"/>
      <c r="L335" s="69"/>
      <c r="M335" s="69"/>
      <c r="N335" s="69"/>
      <c r="O335" s="69"/>
      <c r="P335" s="69"/>
      <c r="Q335" s="69"/>
      <c r="R335" s="69"/>
      <c r="S335" s="69"/>
    </row>
    <row r="336" spans="1:19" ht="19.95" customHeight="1" x14ac:dyDescent="0.3">
      <c r="A336" s="69"/>
      <c r="B336" s="69"/>
      <c r="C336" s="69"/>
      <c r="D336" s="69"/>
      <c r="E336" s="69"/>
      <c r="F336" s="69"/>
      <c r="G336" s="69"/>
      <c r="H336" s="69"/>
      <c r="I336" s="69"/>
      <c r="J336" s="69"/>
      <c r="K336" s="69"/>
      <c r="L336" s="69"/>
      <c r="M336" s="69"/>
      <c r="N336" s="69"/>
      <c r="O336" s="69"/>
      <c r="P336" s="69"/>
      <c r="Q336" s="69"/>
      <c r="R336" s="69"/>
      <c r="S336" s="69"/>
    </row>
    <row r="337" spans="1:19" ht="19.95" customHeight="1" x14ac:dyDescent="0.3">
      <c r="A337" s="69"/>
      <c r="B337" s="69"/>
      <c r="C337" s="69"/>
      <c r="D337" s="69"/>
      <c r="E337" s="69"/>
      <c r="F337" s="69"/>
      <c r="G337" s="69"/>
      <c r="H337" s="69"/>
      <c r="I337" s="69"/>
      <c r="J337" s="69"/>
      <c r="K337" s="69"/>
      <c r="L337" s="69"/>
      <c r="M337" s="69"/>
      <c r="N337" s="69"/>
      <c r="O337" s="69"/>
      <c r="P337" s="69"/>
      <c r="Q337" s="69"/>
      <c r="R337" s="69"/>
      <c r="S337" s="69"/>
    </row>
    <row r="338" spans="1:19" ht="19.95" customHeight="1" x14ac:dyDescent="0.3">
      <c r="A338" s="69"/>
      <c r="B338" s="69"/>
      <c r="C338" s="69"/>
      <c r="D338" s="69"/>
      <c r="E338" s="69"/>
      <c r="F338" s="69"/>
      <c r="G338" s="69"/>
      <c r="H338" s="69"/>
      <c r="I338" s="69"/>
      <c r="J338" s="69"/>
      <c r="K338" s="69"/>
      <c r="L338" s="69"/>
      <c r="M338" s="69"/>
      <c r="N338" s="69"/>
      <c r="O338" s="69"/>
      <c r="P338" s="69"/>
      <c r="Q338" s="69"/>
      <c r="R338" s="69"/>
      <c r="S338" s="69"/>
    </row>
    <row r="339" spans="1:19" ht="19.95" customHeight="1" x14ac:dyDescent="0.3">
      <c r="A339" s="69"/>
      <c r="B339" s="69"/>
      <c r="C339" s="69"/>
      <c r="D339" s="69"/>
      <c r="E339" s="69"/>
      <c r="F339" s="69"/>
      <c r="G339" s="69"/>
      <c r="H339" s="69"/>
      <c r="I339" s="69"/>
      <c r="J339" s="69"/>
      <c r="K339" s="69"/>
      <c r="L339" s="69"/>
      <c r="M339" s="69"/>
      <c r="N339" s="69"/>
      <c r="O339" s="69"/>
      <c r="P339" s="69"/>
      <c r="Q339" s="69"/>
      <c r="R339" s="69"/>
      <c r="S339" s="69"/>
    </row>
    <row r="340" spans="1:19" ht="19.95" customHeight="1" x14ac:dyDescent="0.3">
      <c r="A340" s="69"/>
      <c r="B340" s="69"/>
      <c r="C340" s="69"/>
      <c r="D340" s="69"/>
      <c r="E340" s="69"/>
      <c r="F340" s="69"/>
      <c r="G340" s="69"/>
      <c r="H340" s="69"/>
      <c r="I340" s="69"/>
      <c r="J340" s="69"/>
      <c r="K340" s="69"/>
      <c r="L340" s="69"/>
      <c r="M340" s="69"/>
      <c r="N340" s="69"/>
      <c r="O340" s="69"/>
      <c r="P340" s="69"/>
      <c r="Q340" s="69"/>
      <c r="R340" s="69"/>
      <c r="S340" s="69"/>
    </row>
    <row r="341" spans="1:19" ht="19.95" customHeight="1" x14ac:dyDescent="0.3">
      <c r="A341" s="69"/>
      <c r="B341" s="69"/>
      <c r="C341" s="69"/>
      <c r="D341" s="69"/>
      <c r="E341" s="69"/>
      <c r="F341" s="69"/>
      <c r="G341" s="69"/>
      <c r="H341" s="69"/>
      <c r="I341" s="69"/>
      <c r="J341" s="69"/>
      <c r="K341" s="69"/>
      <c r="L341" s="69"/>
      <c r="M341" s="69"/>
      <c r="N341" s="69"/>
      <c r="O341" s="69"/>
      <c r="P341" s="69"/>
      <c r="Q341" s="69"/>
      <c r="R341" s="69"/>
      <c r="S341" s="69"/>
    </row>
    <row r="342" spans="1:19" ht="19.95" customHeight="1" x14ac:dyDescent="0.3">
      <c r="A342" s="69"/>
      <c r="B342" s="69"/>
      <c r="C342" s="69"/>
      <c r="D342" s="69"/>
      <c r="E342" s="69"/>
      <c r="F342" s="69"/>
      <c r="G342" s="69"/>
      <c r="H342" s="69"/>
      <c r="I342" s="69"/>
      <c r="J342" s="69"/>
      <c r="K342" s="69"/>
      <c r="L342" s="69"/>
      <c r="M342" s="69"/>
      <c r="N342" s="69"/>
      <c r="O342" s="69"/>
      <c r="P342" s="69"/>
      <c r="Q342" s="69"/>
      <c r="R342" s="69"/>
      <c r="S342" s="69"/>
    </row>
    <row r="343" spans="1:19" ht="19.95" customHeight="1" x14ac:dyDescent="0.3">
      <c r="A343" s="69"/>
      <c r="B343" s="69"/>
      <c r="C343" s="69"/>
      <c r="D343" s="69"/>
      <c r="E343" s="69"/>
      <c r="F343" s="69"/>
      <c r="G343" s="69"/>
      <c r="H343" s="69"/>
      <c r="I343" s="69"/>
      <c r="J343" s="69"/>
      <c r="K343" s="69"/>
      <c r="L343" s="69"/>
      <c r="M343" s="69"/>
      <c r="N343" s="69"/>
      <c r="O343" s="69"/>
      <c r="P343" s="69"/>
      <c r="Q343" s="69"/>
      <c r="R343" s="69"/>
      <c r="S343" s="69"/>
    </row>
    <row r="344" spans="1:19" ht="19.95" customHeight="1" x14ac:dyDescent="0.3">
      <c r="A344" s="69"/>
      <c r="B344" s="69"/>
      <c r="C344" s="69"/>
      <c r="D344" s="69"/>
      <c r="E344" s="69"/>
      <c r="F344" s="69"/>
      <c r="G344" s="69"/>
      <c r="H344" s="69"/>
      <c r="I344" s="69"/>
      <c r="J344" s="69"/>
      <c r="K344" s="69"/>
      <c r="L344" s="69"/>
      <c r="M344" s="69"/>
      <c r="N344" s="69"/>
      <c r="O344" s="69"/>
      <c r="P344" s="69"/>
      <c r="Q344" s="69"/>
      <c r="R344" s="69"/>
      <c r="S344" s="69"/>
    </row>
    <row r="345" spans="1:19" ht="19.95" customHeight="1" x14ac:dyDescent="0.3">
      <c r="A345" s="69"/>
      <c r="B345" s="69"/>
      <c r="C345" s="69"/>
      <c r="D345" s="69"/>
      <c r="E345" s="69"/>
      <c r="F345" s="69"/>
      <c r="G345" s="69"/>
      <c r="H345" s="69"/>
      <c r="I345" s="69"/>
      <c r="J345" s="69"/>
      <c r="K345" s="69"/>
      <c r="L345" s="69"/>
      <c r="M345" s="69"/>
      <c r="N345" s="69"/>
      <c r="O345" s="69"/>
      <c r="P345" s="69"/>
      <c r="Q345" s="69"/>
      <c r="R345" s="69"/>
      <c r="S345" s="69"/>
    </row>
    <row r="346" spans="1:19" ht="19.95" customHeight="1" x14ac:dyDescent="0.3">
      <c r="A346" s="69"/>
      <c r="B346" s="69"/>
      <c r="C346" s="69"/>
      <c r="D346" s="69"/>
      <c r="E346" s="69"/>
      <c r="F346" s="69"/>
      <c r="G346" s="69"/>
      <c r="H346" s="69"/>
      <c r="I346" s="69"/>
      <c r="J346" s="69"/>
      <c r="K346" s="69"/>
      <c r="L346" s="69"/>
      <c r="M346" s="69"/>
      <c r="N346" s="69"/>
      <c r="O346" s="69"/>
      <c r="P346" s="69"/>
      <c r="Q346" s="69"/>
      <c r="R346" s="69"/>
      <c r="S346" s="69"/>
    </row>
    <row r="347" spans="1:19" ht="19.95" customHeight="1" x14ac:dyDescent="0.3">
      <c r="A347" s="69"/>
      <c r="B347" s="69"/>
      <c r="C347" s="69"/>
      <c r="D347" s="69"/>
      <c r="E347" s="69"/>
      <c r="F347" s="69"/>
      <c r="G347" s="69"/>
      <c r="H347" s="69"/>
      <c r="I347" s="69"/>
      <c r="J347" s="69"/>
      <c r="K347" s="69"/>
      <c r="L347" s="69"/>
      <c r="M347" s="69"/>
      <c r="N347" s="69"/>
      <c r="O347" s="69"/>
      <c r="P347" s="69"/>
      <c r="Q347" s="69"/>
      <c r="R347" s="69"/>
      <c r="S347" s="69"/>
    </row>
    <row r="348" spans="1:19" ht="19.95" customHeight="1" x14ac:dyDescent="0.3">
      <c r="A348" s="69"/>
      <c r="B348" s="69"/>
      <c r="C348" s="69"/>
      <c r="D348" s="69"/>
      <c r="E348" s="69"/>
      <c r="F348" s="69"/>
      <c r="G348" s="69"/>
      <c r="H348" s="69"/>
      <c r="I348" s="69"/>
      <c r="J348" s="69"/>
      <c r="K348" s="69"/>
      <c r="L348" s="69"/>
      <c r="M348" s="69"/>
      <c r="N348" s="69"/>
      <c r="O348" s="69"/>
      <c r="P348" s="69"/>
      <c r="Q348" s="69"/>
      <c r="R348" s="69"/>
      <c r="S348" s="69"/>
    </row>
    <row r="349" spans="1:19" ht="19.95" customHeight="1" x14ac:dyDescent="0.3">
      <c r="A349" s="69"/>
      <c r="B349" s="69"/>
      <c r="C349" s="69"/>
      <c r="D349" s="69"/>
      <c r="E349" s="69"/>
      <c r="F349" s="69"/>
      <c r="G349" s="69"/>
      <c r="H349" s="69"/>
      <c r="I349" s="69"/>
      <c r="J349" s="69"/>
      <c r="K349" s="69"/>
      <c r="L349" s="69"/>
      <c r="M349" s="69"/>
      <c r="N349" s="69"/>
      <c r="O349" s="69"/>
      <c r="P349" s="69"/>
      <c r="Q349" s="69"/>
      <c r="R349" s="69"/>
      <c r="S349" s="69"/>
    </row>
    <row r="350" spans="1:19" ht="19.95" customHeight="1" x14ac:dyDescent="0.3">
      <c r="A350" s="69"/>
      <c r="B350" s="69"/>
      <c r="C350" s="69"/>
      <c r="D350" s="69"/>
      <c r="E350" s="69"/>
      <c r="F350" s="69"/>
      <c r="G350" s="69"/>
      <c r="H350" s="69"/>
      <c r="I350" s="69"/>
      <c r="J350" s="69"/>
      <c r="K350" s="69"/>
      <c r="L350" s="69"/>
      <c r="M350" s="69"/>
      <c r="N350" s="69"/>
      <c r="O350" s="69"/>
      <c r="P350" s="69"/>
      <c r="Q350" s="69"/>
      <c r="R350" s="69"/>
      <c r="S350" s="69"/>
    </row>
    <row r="351" spans="1:19" ht="19.95" customHeight="1" x14ac:dyDescent="0.3">
      <c r="A351" s="97" t="s">
        <v>298</v>
      </c>
      <c r="B351" s="97"/>
      <c r="C351" s="97"/>
      <c r="D351" s="97"/>
      <c r="E351" s="97"/>
      <c r="F351" s="97"/>
      <c r="G351" s="97"/>
      <c r="H351" s="97"/>
      <c r="I351" s="97"/>
      <c r="J351" s="97"/>
      <c r="K351" s="97"/>
      <c r="L351" s="97"/>
      <c r="M351" s="97"/>
      <c r="N351" s="97"/>
      <c r="O351" s="97"/>
      <c r="P351" s="97"/>
      <c r="Q351" s="97"/>
      <c r="R351" s="97"/>
      <c r="S351" s="97"/>
    </row>
    <row r="352" spans="1:19" ht="19.95" customHeight="1" x14ac:dyDescent="0.3">
      <c r="A352" s="69"/>
      <c r="B352" s="69"/>
      <c r="C352" s="69"/>
      <c r="D352" s="69"/>
      <c r="E352" s="69"/>
      <c r="F352" s="69"/>
      <c r="G352" s="69"/>
      <c r="H352" s="69"/>
      <c r="I352" s="69"/>
      <c r="J352" s="69"/>
      <c r="K352" s="69"/>
      <c r="L352" s="69"/>
      <c r="M352" s="69"/>
      <c r="N352" s="69"/>
      <c r="O352" s="69"/>
      <c r="P352" s="69"/>
      <c r="Q352" s="69"/>
      <c r="R352" s="69"/>
      <c r="S352" s="69"/>
    </row>
    <row r="353" spans="1:19" ht="19.95" customHeight="1" x14ac:dyDescent="0.3">
      <c r="A353" s="69"/>
      <c r="B353" s="69"/>
      <c r="C353" s="69"/>
      <c r="D353" s="69"/>
      <c r="E353" s="69"/>
      <c r="F353" s="69"/>
      <c r="G353" s="69"/>
      <c r="H353" s="69"/>
      <c r="I353" s="69"/>
      <c r="J353" s="69"/>
      <c r="K353" s="69"/>
      <c r="L353" s="69"/>
      <c r="M353" s="69"/>
      <c r="N353" s="69"/>
      <c r="O353" s="69"/>
      <c r="P353" s="69"/>
      <c r="Q353" s="69"/>
      <c r="R353" s="69"/>
      <c r="S353" s="69"/>
    </row>
    <row r="354" spans="1:19" ht="19.95" customHeight="1" x14ac:dyDescent="0.3">
      <c r="A354" s="69"/>
      <c r="B354" s="69"/>
      <c r="C354" s="69"/>
      <c r="D354" s="69"/>
      <c r="E354" s="69"/>
      <c r="F354" s="69"/>
      <c r="G354" s="69"/>
      <c r="H354" s="69"/>
      <c r="I354" s="69"/>
      <c r="J354" s="69"/>
      <c r="K354" s="69"/>
      <c r="L354" s="69"/>
      <c r="M354" s="69"/>
      <c r="N354" s="69"/>
      <c r="O354" s="69"/>
      <c r="P354" s="69"/>
      <c r="Q354" s="69"/>
      <c r="R354" s="69"/>
      <c r="S354" s="69"/>
    </row>
    <row r="355" spans="1:19" ht="19.95" customHeight="1" x14ac:dyDescent="0.3">
      <c r="A355" s="69"/>
      <c r="B355" s="69"/>
      <c r="C355" s="69"/>
      <c r="D355" s="69"/>
      <c r="E355" s="69"/>
      <c r="F355" s="69"/>
      <c r="G355" s="69"/>
      <c r="H355" s="69"/>
      <c r="I355" s="69"/>
      <c r="J355" s="69"/>
      <c r="K355" s="69"/>
      <c r="L355" s="69"/>
      <c r="M355" s="69"/>
      <c r="N355" s="69"/>
      <c r="O355" s="69"/>
      <c r="P355" s="69"/>
      <c r="Q355" s="69"/>
      <c r="R355" s="69"/>
      <c r="S355" s="69"/>
    </row>
    <row r="356" spans="1:19" ht="19.95" customHeight="1" x14ac:dyDescent="0.3">
      <c r="A356" s="69"/>
      <c r="B356" s="69"/>
      <c r="C356" s="69"/>
      <c r="D356" s="69"/>
      <c r="E356" s="69"/>
      <c r="F356" s="69"/>
      <c r="G356" s="69"/>
      <c r="H356" s="69"/>
      <c r="I356" s="69"/>
      <c r="J356" s="69"/>
      <c r="K356" s="69"/>
      <c r="L356" s="69"/>
      <c r="M356" s="69"/>
      <c r="N356" s="69"/>
      <c r="O356" s="69"/>
      <c r="P356" s="69"/>
      <c r="Q356" s="69"/>
      <c r="R356" s="69"/>
      <c r="S356" s="69"/>
    </row>
    <row r="357" spans="1:19" ht="19.95" customHeight="1" x14ac:dyDescent="0.3">
      <c r="A357" s="69"/>
      <c r="B357" s="69"/>
      <c r="C357" s="69"/>
      <c r="D357" s="69"/>
      <c r="E357" s="69"/>
      <c r="F357" s="69"/>
      <c r="G357" s="69"/>
      <c r="H357" s="69"/>
      <c r="I357" s="69"/>
      <c r="J357" s="69"/>
      <c r="K357" s="69"/>
      <c r="L357" s="69"/>
      <c r="M357" s="69"/>
      <c r="N357" s="69"/>
      <c r="O357" s="69"/>
      <c r="P357" s="69"/>
      <c r="Q357" s="69"/>
      <c r="R357" s="69"/>
      <c r="S357" s="69"/>
    </row>
    <row r="358" spans="1:19" ht="19.95" customHeight="1" x14ac:dyDescent="0.3">
      <c r="A358" s="69"/>
      <c r="B358" s="69"/>
      <c r="C358" s="69"/>
      <c r="D358" s="69"/>
      <c r="E358" s="69"/>
      <c r="F358" s="69"/>
      <c r="G358" s="69"/>
      <c r="H358" s="69"/>
      <c r="I358" s="69"/>
      <c r="J358" s="69"/>
      <c r="K358" s="69"/>
      <c r="L358" s="69"/>
      <c r="M358" s="69"/>
      <c r="N358" s="69"/>
      <c r="O358" s="69"/>
      <c r="P358" s="69"/>
      <c r="Q358" s="69"/>
      <c r="R358" s="69"/>
      <c r="S358" s="69"/>
    </row>
    <row r="359" spans="1:19" ht="19.95" customHeight="1" x14ac:dyDescent="0.3">
      <c r="A359" s="69"/>
      <c r="B359" s="69"/>
      <c r="C359" s="69"/>
      <c r="D359" s="69"/>
      <c r="E359" s="69"/>
      <c r="F359" s="69"/>
      <c r="G359" s="69"/>
      <c r="H359" s="69"/>
      <c r="I359" s="69"/>
      <c r="J359" s="69"/>
      <c r="K359" s="69"/>
      <c r="L359" s="69"/>
      <c r="M359" s="69"/>
      <c r="N359" s="69"/>
      <c r="O359" s="69"/>
      <c r="P359" s="69"/>
      <c r="Q359" s="69"/>
      <c r="R359" s="69"/>
      <c r="S359" s="69"/>
    </row>
    <row r="360" spans="1:19" ht="19.95" customHeight="1" x14ac:dyDescent="0.3">
      <c r="A360" s="69"/>
      <c r="B360" s="69"/>
      <c r="C360" s="69"/>
      <c r="D360" s="69"/>
      <c r="E360" s="69"/>
      <c r="F360" s="69"/>
      <c r="G360" s="69"/>
      <c r="H360" s="69"/>
      <c r="I360" s="69"/>
      <c r="J360" s="69"/>
      <c r="K360" s="69"/>
      <c r="L360" s="69"/>
      <c r="M360" s="69"/>
      <c r="N360" s="69"/>
      <c r="O360" s="69"/>
      <c r="P360" s="69"/>
      <c r="Q360" s="69"/>
      <c r="R360" s="69"/>
      <c r="S360" s="69"/>
    </row>
    <row r="361" spans="1:19" ht="19.95" customHeight="1" x14ac:dyDescent="0.3">
      <c r="A361" s="69"/>
      <c r="B361" s="69"/>
      <c r="C361" s="69"/>
      <c r="D361" s="69"/>
      <c r="E361" s="69"/>
      <c r="F361" s="69"/>
      <c r="G361" s="69"/>
      <c r="H361" s="69"/>
      <c r="I361" s="69"/>
      <c r="J361" s="69"/>
      <c r="K361" s="69"/>
      <c r="L361" s="69"/>
      <c r="M361" s="69"/>
      <c r="N361" s="69"/>
      <c r="O361" s="69"/>
      <c r="P361" s="69"/>
      <c r="Q361" s="69"/>
      <c r="R361" s="69"/>
      <c r="S361" s="69"/>
    </row>
    <row r="362" spans="1:19" ht="19.95" customHeight="1" x14ac:dyDescent="0.3">
      <c r="A362" s="69"/>
      <c r="B362" s="69"/>
      <c r="C362" s="69"/>
      <c r="D362" s="69"/>
      <c r="E362" s="69"/>
      <c r="F362" s="69"/>
      <c r="G362" s="69"/>
      <c r="H362" s="69"/>
      <c r="I362" s="69"/>
      <c r="J362" s="69"/>
      <c r="K362" s="69"/>
      <c r="L362" s="69"/>
      <c r="M362" s="69"/>
      <c r="N362" s="69"/>
      <c r="O362" s="69"/>
      <c r="P362" s="69"/>
      <c r="Q362" s="69"/>
      <c r="R362" s="69"/>
      <c r="S362" s="69"/>
    </row>
    <row r="363" spans="1:19" ht="19.95" customHeight="1" x14ac:dyDescent="0.3">
      <c r="A363" s="69"/>
      <c r="B363" s="69"/>
      <c r="C363" s="69"/>
      <c r="D363" s="69"/>
      <c r="E363" s="69"/>
      <c r="F363" s="69"/>
      <c r="G363" s="69"/>
      <c r="H363" s="69"/>
      <c r="I363" s="69"/>
      <c r="J363" s="69"/>
      <c r="K363" s="69"/>
      <c r="L363" s="69"/>
      <c r="M363" s="69"/>
      <c r="N363" s="69"/>
      <c r="O363" s="69"/>
      <c r="P363" s="69"/>
      <c r="Q363" s="69"/>
      <c r="R363" s="69"/>
      <c r="S363" s="69"/>
    </row>
    <row r="364" spans="1:19" ht="19.95" customHeight="1" x14ac:dyDescent="0.3">
      <c r="A364" s="69"/>
      <c r="B364" s="69"/>
      <c r="C364" s="69"/>
      <c r="D364" s="69"/>
      <c r="E364" s="69"/>
      <c r="F364" s="69"/>
      <c r="G364" s="69"/>
      <c r="H364" s="69"/>
      <c r="I364" s="69"/>
      <c r="J364" s="69"/>
      <c r="K364" s="69"/>
      <c r="L364" s="69"/>
      <c r="M364" s="69"/>
      <c r="N364" s="69"/>
      <c r="O364" s="69"/>
      <c r="P364" s="69"/>
      <c r="Q364" s="69"/>
      <c r="R364" s="69"/>
      <c r="S364" s="69"/>
    </row>
    <row r="365" spans="1:19" ht="19.95" customHeight="1" x14ac:dyDescent="0.3">
      <c r="A365" s="69"/>
      <c r="B365" s="69"/>
      <c r="C365" s="69"/>
      <c r="D365" s="69"/>
      <c r="E365" s="69"/>
      <c r="F365" s="69"/>
      <c r="G365" s="69"/>
      <c r="H365" s="69"/>
      <c r="I365" s="69"/>
      <c r="J365" s="69"/>
      <c r="K365" s="69"/>
      <c r="L365" s="69"/>
      <c r="M365" s="69"/>
      <c r="N365" s="69"/>
      <c r="O365" s="69"/>
      <c r="P365" s="69"/>
      <c r="Q365" s="69"/>
      <c r="R365" s="69"/>
      <c r="S365" s="69"/>
    </row>
    <row r="366" spans="1:19" ht="19.95" customHeight="1" x14ac:dyDescent="0.3">
      <c r="A366" s="69"/>
      <c r="B366" s="69"/>
      <c r="C366" s="69"/>
      <c r="D366" s="69"/>
      <c r="E366" s="69"/>
      <c r="F366" s="69"/>
      <c r="G366" s="69"/>
      <c r="H366" s="69"/>
      <c r="I366" s="69"/>
      <c r="J366" s="69"/>
      <c r="K366" s="69"/>
      <c r="L366" s="69"/>
      <c r="M366" s="69"/>
      <c r="N366" s="69"/>
      <c r="O366" s="69"/>
      <c r="P366" s="69"/>
      <c r="Q366" s="69"/>
      <c r="R366" s="69"/>
      <c r="S366" s="69"/>
    </row>
    <row r="367" spans="1:19" ht="19.95" customHeight="1" x14ac:dyDescent="0.3">
      <c r="A367" s="69"/>
      <c r="B367" s="69"/>
      <c r="C367" s="69"/>
      <c r="D367" s="69"/>
      <c r="E367" s="69"/>
      <c r="F367" s="69"/>
      <c r="G367" s="69"/>
      <c r="H367" s="69"/>
      <c r="I367" s="69"/>
      <c r="J367" s="69"/>
      <c r="K367" s="69"/>
      <c r="L367" s="69"/>
      <c r="M367" s="69"/>
      <c r="N367" s="69"/>
      <c r="O367" s="69"/>
      <c r="P367" s="69"/>
      <c r="Q367" s="69"/>
      <c r="R367" s="69"/>
      <c r="S367" s="69"/>
    </row>
    <row r="368" spans="1:19" ht="19.95" customHeight="1" x14ac:dyDescent="0.3">
      <c r="A368" s="69"/>
      <c r="B368" s="69"/>
      <c r="C368" s="69"/>
      <c r="D368" s="69"/>
      <c r="E368" s="69"/>
      <c r="F368" s="69"/>
      <c r="G368" s="69"/>
      <c r="H368" s="69"/>
      <c r="I368" s="69"/>
      <c r="J368" s="69"/>
      <c r="K368" s="69"/>
      <c r="L368" s="69"/>
      <c r="M368" s="69"/>
      <c r="N368" s="69"/>
      <c r="O368" s="69"/>
      <c r="P368" s="69"/>
      <c r="Q368" s="69"/>
      <c r="R368" s="69"/>
      <c r="S368" s="69"/>
    </row>
    <row r="369" spans="1:19" ht="19.95" customHeight="1" x14ac:dyDescent="0.3">
      <c r="A369" s="69"/>
      <c r="B369" s="69"/>
      <c r="C369" s="69"/>
      <c r="D369" s="69"/>
      <c r="E369" s="69"/>
      <c r="F369" s="69"/>
      <c r="G369" s="69"/>
      <c r="H369" s="69"/>
      <c r="I369" s="69"/>
      <c r="J369" s="69"/>
      <c r="K369" s="69"/>
      <c r="L369" s="69"/>
      <c r="M369" s="69"/>
      <c r="N369" s="69"/>
      <c r="O369" s="69"/>
      <c r="P369" s="69"/>
      <c r="Q369" s="69"/>
      <c r="R369" s="69"/>
      <c r="S369" s="69"/>
    </row>
    <row r="370" spans="1:19" ht="19.95" customHeight="1" x14ac:dyDescent="0.3">
      <c r="A370" s="69"/>
      <c r="B370" s="69"/>
      <c r="C370" s="69"/>
      <c r="D370" s="69"/>
      <c r="E370" s="69"/>
      <c r="F370" s="69"/>
      <c r="G370" s="69"/>
      <c r="H370" s="69"/>
      <c r="I370" s="69"/>
      <c r="J370" s="69"/>
      <c r="K370" s="69"/>
      <c r="L370" s="69"/>
      <c r="M370" s="69"/>
      <c r="N370" s="69"/>
      <c r="O370" s="69"/>
      <c r="P370" s="69"/>
      <c r="Q370" s="69"/>
      <c r="R370" s="69"/>
      <c r="S370" s="69"/>
    </row>
    <row r="371" spans="1:19" ht="19.95" customHeight="1" x14ac:dyDescent="0.3">
      <c r="A371" s="69"/>
      <c r="B371" s="69"/>
      <c r="C371" s="69"/>
      <c r="D371" s="69"/>
      <c r="E371" s="69"/>
      <c r="F371" s="69"/>
      <c r="G371" s="69"/>
      <c r="H371" s="69"/>
      <c r="I371" s="69"/>
      <c r="J371" s="69"/>
      <c r="K371" s="69"/>
      <c r="L371" s="69"/>
      <c r="M371" s="69"/>
      <c r="N371" s="69"/>
      <c r="O371" s="69"/>
      <c r="P371" s="69"/>
      <c r="Q371" s="69"/>
      <c r="R371" s="69"/>
      <c r="S371" s="69"/>
    </row>
    <row r="372" spans="1:19" ht="19.95" customHeight="1" x14ac:dyDescent="0.3">
      <c r="A372" s="69"/>
      <c r="B372" s="69"/>
      <c r="C372" s="69"/>
      <c r="D372" s="69"/>
      <c r="E372" s="69"/>
      <c r="F372" s="69"/>
      <c r="G372" s="69"/>
      <c r="H372" s="69"/>
      <c r="I372" s="69"/>
      <c r="J372" s="69"/>
      <c r="K372" s="69"/>
      <c r="L372" s="69"/>
      <c r="M372" s="69"/>
      <c r="N372" s="69"/>
      <c r="O372" s="69"/>
      <c r="P372" s="69"/>
      <c r="Q372" s="69"/>
      <c r="R372" s="69"/>
      <c r="S372" s="69"/>
    </row>
    <row r="373" spans="1:19" ht="19.95" customHeight="1" x14ac:dyDescent="0.3">
      <c r="A373" s="69"/>
      <c r="B373" s="69"/>
      <c r="C373" s="69"/>
      <c r="D373" s="69"/>
      <c r="E373" s="69"/>
      <c r="F373" s="69"/>
      <c r="G373" s="69"/>
      <c r="H373" s="69"/>
      <c r="I373" s="69"/>
      <c r="J373" s="69"/>
      <c r="K373" s="69"/>
      <c r="L373" s="69"/>
      <c r="M373" s="69"/>
      <c r="N373" s="69"/>
      <c r="O373" s="69"/>
      <c r="P373" s="69"/>
      <c r="Q373" s="69"/>
      <c r="R373" s="69"/>
      <c r="S373" s="69"/>
    </row>
    <row r="374" spans="1:19" ht="19.95" customHeight="1" x14ac:dyDescent="0.3">
      <c r="A374" s="97" t="s">
        <v>299</v>
      </c>
      <c r="B374" s="97"/>
      <c r="C374" s="97"/>
      <c r="D374" s="97"/>
      <c r="E374" s="97"/>
      <c r="F374" s="97"/>
      <c r="G374" s="97"/>
      <c r="H374" s="97"/>
      <c r="I374" s="97"/>
      <c r="J374" s="97"/>
      <c r="K374" s="97"/>
      <c r="L374" s="97"/>
      <c r="M374" s="97"/>
      <c r="N374" s="97"/>
      <c r="O374" s="97"/>
      <c r="P374" s="97"/>
      <c r="Q374" s="97"/>
      <c r="R374" s="97"/>
      <c r="S374" s="97"/>
    </row>
    <row r="375" spans="1:19" ht="19.95" customHeight="1" x14ac:dyDescent="0.3">
      <c r="A375" s="69"/>
      <c r="B375" s="69"/>
      <c r="C375" s="69"/>
      <c r="D375" s="69"/>
      <c r="E375" s="69"/>
      <c r="F375" s="69"/>
      <c r="G375" s="69"/>
      <c r="H375" s="69"/>
      <c r="I375" s="69"/>
      <c r="J375" s="69"/>
      <c r="K375" s="69"/>
      <c r="L375" s="69"/>
      <c r="M375" s="69"/>
      <c r="N375" s="69"/>
      <c r="O375" s="69"/>
      <c r="P375" s="69"/>
      <c r="Q375" s="69"/>
      <c r="R375" s="69"/>
      <c r="S375" s="69"/>
    </row>
    <row r="376" spans="1:19" ht="19.95" customHeight="1" x14ac:dyDescent="0.3">
      <c r="A376" s="69"/>
      <c r="B376" s="69"/>
      <c r="C376" s="69"/>
      <c r="D376" s="69"/>
      <c r="E376" s="69"/>
      <c r="F376" s="69"/>
      <c r="G376" s="69"/>
      <c r="H376" s="69"/>
      <c r="I376" s="69"/>
      <c r="J376" s="69"/>
      <c r="K376" s="69"/>
      <c r="L376" s="69"/>
      <c r="M376" s="69"/>
      <c r="N376" s="69"/>
      <c r="O376" s="69"/>
      <c r="P376" s="69"/>
      <c r="Q376" s="69"/>
      <c r="R376" s="69"/>
      <c r="S376" s="69"/>
    </row>
    <row r="377" spans="1:19" ht="19.95" customHeight="1" x14ac:dyDescent="0.3">
      <c r="A377" s="69"/>
      <c r="B377" s="69"/>
      <c r="C377" s="69"/>
      <c r="D377" s="69"/>
      <c r="E377" s="69"/>
      <c r="F377" s="69"/>
      <c r="G377" s="69"/>
      <c r="H377" s="69"/>
      <c r="I377" s="69"/>
      <c r="J377" s="69"/>
      <c r="K377" s="69"/>
      <c r="L377" s="69"/>
      <c r="M377" s="69"/>
      <c r="N377" s="69"/>
      <c r="O377" s="69"/>
      <c r="P377" s="69"/>
      <c r="Q377" s="69"/>
      <c r="R377" s="69"/>
      <c r="S377" s="69"/>
    </row>
    <row r="378" spans="1:19" ht="19.95" customHeight="1" x14ac:dyDescent="0.3">
      <c r="A378" s="69"/>
      <c r="B378" s="69"/>
      <c r="C378" s="69"/>
      <c r="D378" s="69"/>
      <c r="E378" s="69"/>
      <c r="F378" s="69"/>
      <c r="G378" s="69"/>
      <c r="H378" s="69"/>
      <c r="I378" s="69"/>
      <c r="J378" s="69"/>
      <c r="K378" s="69"/>
      <c r="L378" s="69"/>
      <c r="M378" s="69"/>
      <c r="N378" s="69"/>
      <c r="O378" s="69"/>
      <c r="P378" s="69"/>
      <c r="Q378" s="69"/>
      <c r="R378" s="69"/>
      <c r="S378" s="69"/>
    </row>
    <row r="379" spans="1:19" ht="19.95" customHeight="1" x14ac:dyDescent="0.3">
      <c r="A379" s="69"/>
      <c r="B379" s="69"/>
      <c r="C379" s="69"/>
      <c r="D379" s="69"/>
      <c r="E379" s="69"/>
      <c r="F379" s="69"/>
      <c r="G379" s="69"/>
      <c r="H379" s="69"/>
      <c r="I379" s="69"/>
      <c r="J379" s="69"/>
      <c r="K379" s="69"/>
      <c r="L379" s="69"/>
      <c r="M379" s="69"/>
      <c r="N379" s="69"/>
      <c r="O379" s="69"/>
      <c r="P379" s="69"/>
      <c r="Q379" s="69"/>
      <c r="R379" s="69"/>
      <c r="S379" s="69"/>
    </row>
    <row r="380" spans="1:19" ht="19.95" customHeight="1" x14ac:dyDescent="0.3">
      <c r="A380" s="69"/>
      <c r="B380" s="69"/>
      <c r="C380" s="69"/>
      <c r="D380" s="69"/>
      <c r="E380" s="69"/>
      <c r="F380" s="69"/>
      <c r="G380" s="69"/>
      <c r="H380" s="69"/>
      <c r="I380" s="69"/>
      <c r="J380" s="69"/>
      <c r="K380" s="69"/>
      <c r="L380" s="69"/>
      <c r="M380" s="69"/>
      <c r="N380" s="69"/>
      <c r="O380" s="69"/>
      <c r="P380" s="69"/>
      <c r="Q380" s="69"/>
      <c r="R380" s="69"/>
      <c r="S380" s="69"/>
    </row>
    <row r="381" spans="1:19" ht="19.95" customHeight="1" x14ac:dyDescent="0.3">
      <c r="A381" s="69"/>
      <c r="B381" s="69"/>
      <c r="C381" s="69"/>
      <c r="D381" s="69"/>
      <c r="E381" s="69"/>
      <c r="F381" s="69"/>
      <c r="G381" s="69"/>
      <c r="H381" s="69"/>
      <c r="I381" s="69"/>
      <c r="J381" s="69"/>
      <c r="K381" s="69"/>
      <c r="L381" s="69"/>
      <c r="M381" s="69"/>
      <c r="N381" s="69"/>
      <c r="O381" s="69"/>
      <c r="P381" s="69"/>
      <c r="Q381" s="69"/>
      <c r="R381" s="69"/>
      <c r="S381" s="69"/>
    </row>
    <row r="382" spans="1:19" ht="19.95" customHeight="1" x14ac:dyDescent="0.3">
      <c r="A382" s="69"/>
      <c r="B382" s="69"/>
      <c r="C382" s="69"/>
      <c r="D382" s="69"/>
      <c r="E382" s="69"/>
      <c r="F382" s="69"/>
      <c r="G382" s="69"/>
      <c r="H382" s="69"/>
      <c r="I382" s="69"/>
      <c r="J382" s="69"/>
      <c r="K382" s="69"/>
      <c r="L382" s="69"/>
      <c r="M382" s="69"/>
      <c r="N382" s="69"/>
      <c r="O382" s="69"/>
      <c r="P382" s="69"/>
      <c r="Q382" s="69"/>
      <c r="R382" s="69"/>
      <c r="S382" s="69"/>
    </row>
    <row r="383" spans="1:19" ht="19.95" customHeight="1" x14ac:dyDescent="0.3">
      <c r="A383" s="69"/>
      <c r="B383" s="69"/>
      <c r="C383" s="69"/>
      <c r="D383" s="69"/>
      <c r="E383" s="69"/>
      <c r="F383" s="69"/>
      <c r="G383" s="69"/>
      <c r="H383" s="69"/>
      <c r="I383" s="69"/>
      <c r="J383" s="69"/>
      <c r="K383" s="69"/>
      <c r="L383" s="69"/>
      <c r="M383" s="69"/>
      <c r="N383" s="69"/>
      <c r="O383" s="69"/>
      <c r="P383" s="69"/>
      <c r="Q383" s="69"/>
      <c r="R383" s="69"/>
      <c r="S383" s="69"/>
    </row>
    <row r="384" spans="1:19" ht="19.95" customHeight="1" x14ac:dyDescent="0.3">
      <c r="A384" s="69"/>
      <c r="B384" s="69"/>
      <c r="C384" s="69"/>
      <c r="D384" s="69"/>
      <c r="E384" s="69"/>
      <c r="F384" s="69"/>
      <c r="G384" s="69"/>
      <c r="H384" s="69"/>
      <c r="I384" s="69"/>
      <c r="J384" s="69"/>
      <c r="K384" s="69"/>
      <c r="L384" s="69"/>
      <c r="M384" s="69"/>
      <c r="N384" s="69"/>
      <c r="O384" s="69"/>
      <c r="P384" s="69"/>
      <c r="Q384" s="69"/>
      <c r="R384" s="69"/>
      <c r="S384" s="69"/>
    </row>
    <row r="385" spans="1:19" ht="19.95" customHeight="1" x14ac:dyDescent="0.3">
      <c r="A385" s="69"/>
      <c r="B385" s="69"/>
      <c r="C385" s="69"/>
      <c r="D385" s="69"/>
      <c r="E385" s="69"/>
      <c r="F385" s="69"/>
      <c r="G385" s="69"/>
      <c r="H385" s="69"/>
      <c r="I385" s="69"/>
      <c r="J385" s="69"/>
      <c r="K385" s="69"/>
      <c r="L385" s="69"/>
      <c r="M385" s="69"/>
      <c r="N385" s="69"/>
      <c r="O385" s="69"/>
      <c r="P385" s="69"/>
      <c r="Q385" s="69"/>
      <c r="R385" s="69"/>
      <c r="S385" s="69"/>
    </row>
    <row r="386" spans="1:19" ht="19.95" customHeight="1" x14ac:dyDescent="0.3">
      <c r="A386" s="69"/>
      <c r="B386" s="69"/>
      <c r="C386" s="69"/>
      <c r="D386" s="69"/>
      <c r="E386" s="69"/>
      <c r="F386" s="69"/>
      <c r="G386" s="69"/>
      <c r="H386" s="69"/>
      <c r="I386" s="69"/>
      <c r="J386" s="69"/>
      <c r="K386" s="69"/>
      <c r="L386" s="69"/>
      <c r="M386" s="69"/>
      <c r="N386" s="69"/>
      <c r="O386" s="69"/>
      <c r="P386" s="69"/>
      <c r="Q386" s="69"/>
      <c r="R386" s="69"/>
      <c r="S386" s="69"/>
    </row>
    <row r="387" spans="1:19" ht="19.95" customHeight="1" x14ac:dyDescent="0.3">
      <c r="A387" s="69"/>
      <c r="B387" s="69"/>
      <c r="C387" s="69"/>
      <c r="D387" s="69"/>
      <c r="E387" s="69"/>
      <c r="F387" s="69"/>
      <c r="G387" s="69"/>
      <c r="H387" s="69"/>
      <c r="I387" s="69"/>
      <c r="J387" s="69"/>
      <c r="K387" s="69"/>
      <c r="L387" s="69"/>
      <c r="M387" s="69"/>
      <c r="N387" s="69"/>
      <c r="O387" s="69"/>
      <c r="P387" s="69"/>
      <c r="Q387" s="69"/>
      <c r="R387" s="69"/>
      <c r="S387" s="69"/>
    </row>
    <row r="388" spans="1:19" ht="19.95" customHeight="1" x14ac:dyDescent="0.3">
      <c r="A388" s="69"/>
      <c r="B388" s="69"/>
      <c r="C388" s="69"/>
      <c r="D388" s="69"/>
      <c r="E388" s="69"/>
      <c r="F388" s="69"/>
      <c r="G388" s="69"/>
      <c r="H388" s="69"/>
      <c r="I388" s="69"/>
      <c r="J388" s="69"/>
      <c r="K388" s="69"/>
      <c r="L388" s="69"/>
      <c r="M388" s="69"/>
      <c r="N388" s="69"/>
      <c r="O388" s="69"/>
      <c r="P388" s="69"/>
      <c r="Q388" s="69"/>
      <c r="R388" s="69"/>
      <c r="S388" s="69"/>
    </row>
    <row r="389" spans="1:19" ht="19.95" customHeight="1" x14ac:dyDescent="0.3">
      <c r="A389" s="69"/>
      <c r="B389" s="69"/>
      <c r="C389" s="69"/>
      <c r="D389" s="69"/>
      <c r="E389" s="69"/>
      <c r="F389" s="69"/>
      <c r="G389" s="69"/>
      <c r="H389" s="69"/>
      <c r="I389" s="69"/>
      <c r="J389" s="69"/>
      <c r="K389" s="69"/>
      <c r="L389" s="69"/>
      <c r="M389" s="69"/>
      <c r="N389" s="69"/>
      <c r="O389" s="69"/>
      <c r="P389" s="69"/>
      <c r="Q389" s="69"/>
      <c r="R389" s="69"/>
      <c r="S389" s="69"/>
    </row>
    <row r="390" spans="1:19" ht="19.95" customHeight="1" x14ac:dyDescent="0.3">
      <c r="A390" s="69"/>
      <c r="B390" s="69"/>
      <c r="C390" s="69"/>
      <c r="D390" s="69"/>
      <c r="E390" s="69"/>
      <c r="F390" s="69"/>
      <c r="G390" s="69"/>
      <c r="H390" s="69"/>
      <c r="I390" s="69"/>
      <c r="J390" s="69"/>
      <c r="K390" s="69"/>
      <c r="L390" s="69"/>
      <c r="M390" s="69"/>
      <c r="N390" s="69"/>
      <c r="O390" s="69"/>
      <c r="P390" s="69"/>
      <c r="Q390" s="69"/>
      <c r="R390" s="69"/>
      <c r="S390" s="69"/>
    </row>
    <row r="391" spans="1:19" ht="19.95" customHeight="1" x14ac:dyDescent="0.3">
      <c r="A391" s="69"/>
      <c r="B391" s="69"/>
      <c r="C391" s="69"/>
      <c r="D391" s="69"/>
      <c r="E391" s="69"/>
      <c r="F391" s="69"/>
      <c r="G391" s="69"/>
      <c r="H391" s="69"/>
      <c r="I391" s="69"/>
      <c r="J391" s="69"/>
      <c r="K391" s="69"/>
      <c r="L391" s="69"/>
      <c r="M391" s="69"/>
      <c r="N391" s="69"/>
      <c r="O391" s="69"/>
      <c r="P391" s="69"/>
      <c r="Q391" s="69"/>
      <c r="R391" s="69"/>
      <c r="S391" s="69"/>
    </row>
    <row r="392" spans="1:19" ht="19.95" customHeight="1" x14ac:dyDescent="0.3">
      <c r="A392" s="69"/>
      <c r="B392" s="69"/>
      <c r="C392" s="69"/>
      <c r="D392" s="69"/>
      <c r="E392" s="69"/>
      <c r="F392" s="69"/>
      <c r="G392" s="69"/>
      <c r="H392" s="69"/>
      <c r="I392" s="69"/>
      <c r="J392" s="69"/>
      <c r="K392" s="69"/>
      <c r="L392" s="69"/>
      <c r="M392" s="69"/>
      <c r="N392" s="69"/>
      <c r="O392" s="69"/>
      <c r="P392" s="69"/>
      <c r="Q392" s="69"/>
      <c r="R392" s="69"/>
      <c r="S392" s="69"/>
    </row>
    <row r="393" spans="1:19" ht="19.95" customHeight="1" x14ac:dyDescent="0.3">
      <c r="A393" s="69"/>
      <c r="B393" s="69"/>
      <c r="C393" s="69"/>
      <c r="D393" s="69"/>
      <c r="E393" s="69"/>
      <c r="F393" s="69"/>
      <c r="G393" s="69"/>
      <c r="H393" s="69"/>
      <c r="I393" s="69"/>
      <c r="J393" s="69"/>
      <c r="K393" s="69"/>
      <c r="L393" s="69"/>
      <c r="M393" s="69"/>
      <c r="N393" s="69"/>
      <c r="O393" s="69"/>
      <c r="P393" s="69"/>
      <c r="Q393" s="69"/>
      <c r="R393" s="69"/>
      <c r="S393" s="69"/>
    </row>
    <row r="394" spans="1:19" ht="19.95" customHeight="1" x14ac:dyDescent="0.3">
      <c r="A394" s="69"/>
      <c r="B394" s="69"/>
      <c r="C394" s="69"/>
      <c r="D394" s="69"/>
      <c r="E394" s="69"/>
      <c r="F394" s="69"/>
      <c r="G394" s="69"/>
      <c r="H394" s="69"/>
      <c r="I394" s="69"/>
      <c r="J394" s="69"/>
      <c r="K394" s="69"/>
      <c r="L394" s="69"/>
      <c r="M394" s="69"/>
      <c r="N394" s="69"/>
      <c r="O394" s="69"/>
      <c r="P394" s="69"/>
      <c r="Q394" s="69"/>
      <c r="R394" s="69"/>
      <c r="S394" s="69"/>
    </row>
    <row r="395" spans="1:19" ht="19.95" customHeight="1" x14ac:dyDescent="0.3">
      <c r="A395" s="69"/>
      <c r="B395" s="69"/>
      <c r="C395" s="69"/>
      <c r="D395" s="69"/>
      <c r="E395" s="69"/>
      <c r="F395" s="69"/>
      <c r="G395" s="69"/>
      <c r="H395" s="69"/>
      <c r="I395" s="69"/>
      <c r="J395" s="69"/>
      <c r="K395" s="69"/>
      <c r="L395" s="69"/>
      <c r="M395" s="69"/>
      <c r="N395" s="69"/>
      <c r="O395" s="69"/>
      <c r="P395" s="69"/>
      <c r="Q395" s="69"/>
      <c r="R395" s="69"/>
      <c r="S395" s="69"/>
    </row>
    <row r="396" spans="1:19" ht="19.95" customHeight="1" x14ac:dyDescent="0.3">
      <c r="A396" s="69"/>
      <c r="B396" s="69"/>
      <c r="C396" s="69"/>
      <c r="D396" s="69"/>
      <c r="E396" s="69"/>
      <c r="F396" s="69"/>
      <c r="G396" s="69"/>
      <c r="H396" s="69"/>
      <c r="I396" s="69"/>
      <c r="J396" s="69"/>
      <c r="K396" s="69"/>
      <c r="L396" s="69"/>
      <c r="M396" s="69"/>
      <c r="N396" s="69"/>
      <c r="O396" s="69"/>
      <c r="P396" s="69"/>
      <c r="Q396" s="69"/>
      <c r="R396" s="69"/>
      <c r="S396" s="69"/>
    </row>
    <row r="397" spans="1:19" ht="19.95" customHeight="1" x14ac:dyDescent="0.3">
      <c r="A397" s="97" t="s">
        <v>300</v>
      </c>
      <c r="B397" s="97"/>
      <c r="C397" s="97"/>
      <c r="D397" s="97"/>
      <c r="E397" s="97"/>
      <c r="F397" s="97"/>
      <c r="G397" s="97"/>
      <c r="H397" s="97"/>
      <c r="I397" s="97"/>
      <c r="J397" s="97"/>
      <c r="K397" s="97"/>
      <c r="L397" s="97"/>
      <c r="M397" s="97"/>
      <c r="N397" s="97"/>
      <c r="O397" s="97"/>
      <c r="P397" s="97"/>
      <c r="Q397" s="97"/>
      <c r="R397" s="97"/>
      <c r="S397" s="97"/>
    </row>
    <row r="398" spans="1:19" ht="19.95" customHeight="1" x14ac:dyDescent="0.3">
      <c r="A398" s="69"/>
      <c r="B398" s="69"/>
      <c r="C398" s="69"/>
      <c r="D398" s="69"/>
      <c r="E398" s="69"/>
      <c r="F398" s="69"/>
      <c r="G398" s="69"/>
      <c r="H398" s="69"/>
      <c r="I398" s="69"/>
      <c r="J398" s="69"/>
      <c r="K398" s="69"/>
      <c r="L398" s="69"/>
      <c r="M398" s="69"/>
      <c r="N398" s="69"/>
      <c r="O398" s="69"/>
      <c r="P398" s="69"/>
      <c r="Q398" s="69"/>
      <c r="R398" s="69"/>
      <c r="S398" s="69"/>
    </row>
    <row r="399" spans="1:19" ht="19.95" customHeight="1" x14ac:dyDescent="0.3">
      <c r="A399" s="69"/>
      <c r="B399" s="69"/>
      <c r="C399" s="69"/>
      <c r="D399" s="69"/>
      <c r="E399" s="69"/>
      <c r="F399" s="69"/>
      <c r="G399" s="69"/>
      <c r="H399" s="69"/>
      <c r="I399" s="69"/>
      <c r="J399" s="69"/>
      <c r="K399" s="69"/>
      <c r="L399" s="69"/>
      <c r="M399" s="69"/>
      <c r="N399" s="69"/>
      <c r="O399" s="69"/>
      <c r="P399" s="69"/>
      <c r="Q399" s="69"/>
      <c r="R399" s="69"/>
      <c r="S399" s="69"/>
    </row>
    <row r="400" spans="1:19" ht="19.95" customHeight="1" x14ac:dyDescent="0.3">
      <c r="A400" s="69"/>
      <c r="B400" s="69"/>
      <c r="C400" s="69"/>
      <c r="D400" s="69"/>
      <c r="E400" s="69"/>
      <c r="F400" s="69"/>
      <c r="G400" s="69"/>
      <c r="H400" s="69"/>
      <c r="I400" s="69"/>
      <c r="J400" s="69"/>
      <c r="K400" s="69"/>
      <c r="L400" s="69"/>
      <c r="M400" s="69"/>
      <c r="N400" s="69"/>
      <c r="O400" s="69"/>
      <c r="P400" s="69"/>
      <c r="Q400" s="69"/>
      <c r="R400" s="69"/>
      <c r="S400" s="69"/>
    </row>
    <row r="401" spans="1:19" ht="19.95" customHeight="1" x14ac:dyDescent="0.3">
      <c r="A401" s="69"/>
      <c r="B401" s="69"/>
      <c r="C401" s="69"/>
      <c r="D401" s="69"/>
      <c r="E401" s="69"/>
      <c r="F401" s="69"/>
      <c r="G401" s="69"/>
      <c r="H401" s="69"/>
      <c r="I401" s="69"/>
      <c r="J401" s="69"/>
      <c r="K401" s="69"/>
      <c r="L401" s="69"/>
      <c r="M401" s="69"/>
      <c r="N401" s="69"/>
      <c r="O401" s="69"/>
      <c r="P401" s="69"/>
      <c r="Q401" s="69"/>
      <c r="R401" s="69"/>
      <c r="S401" s="69"/>
    </row>
    <row r="402" spans="1:19" ht="19.95" customHeight="1" x14ac:dyDescent="0.3">
      <c r="A402" s="69"/>
      <c r="B402" s="69"/>
      <c r="C402" s="69"/>
      <c r="D402" s="69"/>
      <c r="E402" s="69"/>
      <c r="F402" s="69"/>
      <c r="G402" s="69"/>
      <c r="H402" s="69"/>
      <c r="I402" s="69"/>
      <c r="J402" s="69"/>
      <c r="K402" s="69"/>
      <c r="L402" s="69"/>
      <c r="M402" s="69"/>
      <c r="N402" s="69"/>
      <c r="O402" s="69"/>
      <c r="P402" s="69"/>
      <c r="Q402" s="69"/>
      <c r="R402" s="69"/>
      <c r="S402" s="69"/>
    </row>
    <row r="403" spans="1:19" ht="19.95" customHeight="1" x14ac:dyDescent="0.3">
      <c r="A403" s="69"/>
      <c r="B403" s="69"/>
      <c r="C403" s="69"/>
      <c r="D403" s="69"/>
      <c r="E403" s="69"/>
      <c r="F403" s="69"/>
      <c r="G403" s="69"/>
      <c r="H403" s="69"/>
      <c r="I403" s="69"/>
      <c r="J403" s="69"/>
      <c r="K403" s="69"/>
      <c r="L403" s="69"/>
      <c r="M403" s="69"/>
      <c r="N403" s="69"/>
      <c r="O403" s="69"/>
      <c r="P403" s="69"/>
      <c r="Q403" s="69"/>
      <c r="R403" s="69"/>
      <c r="S403" s="69"/>
    </row>
    <row r="404" spans="1:19" ht="19.95" customHeight="1" x14ac:dyDescent="0.3">
      <c r="A404" s="69"/>
      <c r="B404" s="69"/>
      <c r="C404" s="69"/>
      <c r="D404" s="69"/>
      <c r="E404" s="69"/>
      <c r="F404" s="69"/>
      <c r="G404" s="69"/>
      <c r="H404" s="69"/>
      <c r="I404" s="69"/>
      <c r="J404" s="69"/>
      <c r="K404" s="69"/>
      <c r="L404" s="69"/>
      <c r="M404" s="69"/>
      <c r="N404" s="69"/>
      <c r="O404" s="69"/>
      <c r="P404" s="69"/>
      <c r="Q404" s="69"/>
      <c r="R404" s="69"/>
      <c r="S404" s="69"/>
    </row>
    <row r="405" spans="1:19" ht="19.95" customHeight="1" x14ac:dyDescent="0.3">
      <c r="A405" s="69"/>
      <c r="B405" s="69"/>
      <c r="C405" s="69"/>
      <c r="D405" s="69"/>
      <c r="E405" s="69"/>
      <c r="F405" s="69"/>
      <c r="G405" s="69"/>
      <c r="H405" s="69"/>
      <c r="I405" s="69"/>
      <c r="J405" s="69"/>
      <c r="K405" s="69"/>
      <c r="L405" s="69"/>
      <c r="M405" s="69"/>
      <c r="N405" s="69"/>
      <c r="O405" s="69"/>
      <c r="P405" s="69"/>
      <c r="Q405" s="69"/>
      <c r="R405" s="69"/>
      <c r="S405" s="69"/>
    </row>
    <row r="406" spans="1:19" ht="19.95" customHeight="1" x14ac:dyDescent="0.3">
      <c r="A406" s="69"/>
      <c r="B406" s="69"/>
      <c r="C406" s="69"/>
      <c r="D406" s="69"/>
      <c r="E406" s="69"/>
      <c r="F406" s="69"/>
      <c r="G406" s="69"/>
      <c r="H406" s="69"/>
      <c r="I406" s="69"/>
      <c r="J406" s="69"/>
      <c r="K406" s="69"/>
      <c r="L406" s="69"/>
      <c r="M406" s="69"/>
      <c r="N406" s="69"/>
      <c r="O406" s="69"/>
      <c r="P406" s="69"/>
      <c r="Q406" s="69"/>
      <c r="R406" s="69"/>
      <c r="S406" s="69"/>
    </row>
    <row r="407" spans="1:19" ht="19.95" customHeight="1" x14ac:dyDescent="0.3">
      <c r="A407" s="69"/>
      <c r="B407" s="69"/>
      <c r="C407" s="69"/>
      <c r="D407" s="69"/>
      <c r="E407" s="69"/>
      <c r="F407" s="69"/>
      <c r="G407" s="69"/>
      <c r="H407" s="69"/>
      <c r="I407" s="69"/>
      <c r="J407" s="69"/>
      <c r="K407" s="69"/>
      <c r="L407" s="69"/>
      <c r="M407" s="69"/>
      <c r="N407" s="69"/>
      <c r="O407" s="69"/>
      <c r="P407" s="69"/>
      <c r="Q407" s="69"/>
      <c r="R407" s="69"/>
      <c r="S407" s="69"/>
    </row>
    <row r="408" spans="1:19" ht="19.95" customHeight="1" x14ac:dyDescent="0.3">
      <c r="A408" s="69"/>
      <c r="B408" s="69"/>
      <c r="C408" s="69"/>
      <c r="D408" s="69"/>
      <c r="E408" s="69"/>
      <c r="F408" s="69"/>
      <c r="G408" s="69"/>
      <c r="H408" s="69"/>
      <c r="I408" s="69"/>
      <c r="J408" s="69"/>
      <c r="K408" s="69"/>
      <c r="L408" s="69"/>
      <c r="M408" s="69"/>
      <c r="N408" s="69"/>
      <c r="O408" s="69"/>
      <c r="P408" s="69"/>
      <c r="Q408" s="69"/>
      <c r="R408" s="69"/>
      <c r="S408" s="69"/>
    </row>
    <row r="409" spans="1:19" ht="19.95" customHeight="1" x14ac:dyDescent="0.3">
      <c r="A409" s="69"/>
      <c r="B409" s="69"/>
      <c r="C409" s="69"/>
      <c r="D409" s="69"/>
      <c r="E409" s="69"/>
      <c r="F409" s="69"/>
      <c r="G409" s="69"/>
      <c r="H409" s="69"/>
      <c r="I409" s="69"/>
      <c r="J409" s="69"/>
      <c r="K409" s="69"/>
      <c r="L409" s="69"/>
      <c r="M409" s="69"/>
      <c r="N409" s="69"/>
      <c r="O409" s="69"/>
      <c r="P409" s="69"/>
      <c r="Q409" s="69"/>
      <c r="R409" s="69"/>
      <c r="S409" s="69"/>
    </row>
    <row r="410" spans="1:19" ht="19.95" customHeight="1" x14ac:dyDescent="0.3">
      <c r="A410" s="69"/>
      <c r="B410" s="69"/>
      <c r="C410" s="69"/>
      <c r="D410" s="69"/>
      <c r="E410" s="69"/>
      <c r="F410" s="69"/>
      <c r="G410" s="69"/>
      <c r="H410" s="69"/>
      <c r="I410" s="69"/>
      <c r="J410" s="69"/>
      <c r="K410" s="69"/>
      <c r="L410" s="69"/>
      <c r="M410" s="69"/>
      <c r="N410" s="69"/>
      <c r="O410" s="69"/>
      <c r="P410" s="69"/>
      <c r="Q410" s="69"/>
      <c r="R410" s="69"/>
      <c r="S410" s="69"/>
    </row>
    <row r="411" spans="1:19" ht="19.95" customHeight="1" x14ac:dyDescent="0.3">
      <c r="A411" s="69"/>
      <c r="B411" s="69"/>
      <c r="C411" s="69"/>
      <c r="D411" s="69"/>
      <c r="E411" s="69"/>
      <c r="F411" s="69"/>
      <c r="G411" s="69"/>
      <c r="H411" s="69"/>
      <c r="I411" s="69"/>
      <c r="J411" s="69"/>
      <c r="K411" s="69"/>
      <c r="L411" s="69"/>
      <c r="M411" s="69"/>
      <c r="N411" s="69"/>
      <c r="O411" s="69"/>
      <c r="P411" s="69"/>
      <c r="Q411" s="69"/>
      <c r="R411" s="69"/>
      <c r="S411" s="69"/>
    </row>
    <row r="412" spans="1:19" ht="19.95" customHeight="1" x14ac:dyDescent="0.3">
      <c r="A412" s="69"/>
      <c r="B412" s="69"/>
      <c r="C412" s="69"/>
      <c r="D412" s="69"/>
      <c r="E412" s="69"/>
      <c r="F412" s="69"/>
      <c r="G412" s="69"/>
      <c r="H412" s="69"/>
      <c r="I412" s="69"/>
      <c r="J412" s="69"/>
      <c r="K412" s="69"/>
      <c r="L412" s="69"/>
      <c r="M412" s="69"/>
      <c r="N412" s="69"/>
      <c r="O412" s="69"/>
      <c r="P412" s="69"/>
      <c r="Q412" s="69"/>
      <c r="R412" s="69"/>
      <c r="S412" s="69"/>
    </row>
    <row r="413" spans="1:19" ht="19.95" customHeight="1" x14ac:dyDescent="0.3">
      <c r="A413" s="69"/>
      <c r="B413" s="69"/>
      <c r="C413" s="69"/>
      <c r="D413" s="69"/>
      <c r="E413" s="69"/>
      <c r="F413" s="69"/>
      <c r="G413" s="69"/>
      <c r="H413" s="69"/>
      <c r="I413" s="69"/>
      <c r="J413" s="69"/>
      <c r="K413" s="69"/>
      <c r="L413" s="69"/>
      <c r="M413" s="69"/>
      <c r="N413" s="69"/>
      <c r="O413" s="69"/>
      <c r="P413" s="69"/>
      <c r="Q413" s="69"/>
      <c r="R413" s="69"/>
      <c r="S413" s="69"/>
    </row>
    <row r="414" spans="1:19" ht="19.95" customHeight="1" x14ac:dyDescent="0.3">
      <c r="A414" s="69"/>
      <c r="B414" s="69"/>
      <c r="C414" s="69"/>
      <c r="D414" s="69"/>
      <c r="E414" s="69"/>
      <c r="F414" s="69"/>
      <c r="G414" s="69"/>
      <c r="H414" s="69"/>
      <c r="I414" s="69"/>
      <c r="J414" s="69"/>
      <c r="K414" s="69"/>
      <c r="L414" s="69"/>
      <c r="M414" s="69"/>
      <c r="N414" s="69"/>
      <c r="O414" s="69"/>
      <c r="P414" s="69"/>
      <c r="Q414" s="69"/>
      <c r="R414" s="69"/>
      <c r="S414" s="69"/>
    </row>
    <row r="415" spans="1:19" ht="19.95" customHeight="1" x14ac:dyDescent="0.3">
      <c r="A415" s="69"/>
      <c r="B415" s="69"/>
      <c r="C415" s="69"/>
      <c r="D415" s="69"/>
      <c r="E415" s="69"/>
      <c r="F415" s="69"/>
      <c r="G415" s="69"/>
      <c r="H415" s="69"/>
      <c r="I415" s="69"/>
      <c r="J415" s="69"/>
      <c r="K415" s="69"/>
      <c r="L415" s="69"/>
      <c r="M415" s="69"/>
      <c r="N415" s="69"/>
      <c r="O415" s="69"/>
      <c r="P415" s="69"/>
      <c r="Q415" s="69"/>
      <c r="R415" s="69"/>
      <c r="S415" s="69"/>
    </row>
    <row r="416" spans="1:19" ht="19.95" customHeight="1" x14ac:dyDescent="0.3">
      <c r="A416" s="69"/>
      <c r="B416" s="69"/>
      <c r="C416" s="69"/>
      <c r="D416" s="69"/>
      <c r="E416" s="69"/>
      <c r="F416" s="69"/>
      <c r="G416" s="69"/>
      <c r="H416" s="69"/>
      <c r="I416" s="69"/>
      <c r="J416" s="69"/>
      <c r="K416" s="69"/>
      <c r="L416" s="69"/>
      <c r="M416" s="69"/>
      <c r="N416" s="69"/>
      <c r="O416" s="69"/>
      <c r="P416" s="69"/>
      <c r="Q416" s="69"/>
      <c r="R416" s="69"/>
      <c r="S416" s="69"/>
    </row>
    <row r="417" spans="1:19" ht="19.95" customHeight="1" x14ac:dyDescent="0.3">
      <c r="A417" s="69"/>
      <c r="B417" s="69"/>
      <c r="C417" s="69"/>
      <c r="D417" s="69"/>
      <c r="E417" s="69"/>
      <c r="F417" s="69"/>
      <c r="G417" s="69"/>
      <c r="H417" s="69"/>
      <c r="I417" s="69"/>
      <c r="J417" s="69"/>
      <c r="K417" s="69"/>
      <c r="L417" s="69"/>
      <c r="M417" s="69"/>
      <c r="N417" s="69"/>
      <c r="O417" s="69"/>
      <c r="P417" s="69"/>
      <c r="Q417" s="69"/>
      <c r="R417" s="69"/>
      <c r="S417" s="69"/>
    </row>
    <row r="418" spans="1:19" ht="19.95" customHeight="1" x14ac:dyDescent="0.3">
      <c r="A418" s="69"/>
      <c r="B418" s="69"/>
      <c r="C418" s="69"/>
      <c r="D418" s="69"/>
      <c r="E418" s="69"/>
      <c r="F418" s="69"/>
      <c r="G418" s="69"/>
      <c r="H418" s="69"/>
      <c r="I418" s="69"/>
      <c r="J418" s="69"/>
      <c r="K418" s="69"/>
      <c r="L418" s="69"/>
      <c r="M418" s="69"/>
      <c r="N418" s="69"/>
      <c r="O418" s="69"/>
      <c r="P418" s="69"/>
      <c r="Q418" s="69"/>
      <c r="R418" s="69"/>
      <c r="S418" s="69"/>
    </row>
    <row r="419" spans="1:19" ht="19.95" customHeight="1" x14ac:dyDescent="0.3">
      <c r="A419" s="69"/>
      <c r="B419" s="69"/>
      <c r="C419" s="69"/>
      <c r="D419" s="69"/>
      <c r="E419" s="69"/>
      <c r="F419" s="69"/>
      <c r="G419" s="69"/>
      <c r="H419" s="69"/>
      <c r="I419" s="69"/>
      <c r="J419" s="69"/>
      <c r="K419" s="69"/>
      <c r="L419" s="69"/>
      <c r="M419" s="69"/>
      <c r="N419" s="69"/>
      <c r="O419" s="69"/>
      <c r="P419" s="69"/>
      <c r="Q419" s="69"/>
      <c r="R419" s="69"/>
      <c r="S419" s="69"/>
    </row>
    <row r="420" spans="1:19" ht="19.95" customHeight="1" x14ac:dyDescent="0.3">
      <c r="A420" s="97" t="s">
        <v>301</v>
      </c>
      <c r="B420" s="97"/>
      <c r="C420" s="97"/>
      <c r="D420" s="97"/>
      <c r="E420" s="97"/>
      <c r="F420" s="97"/>
      <c r="G420" s="97"/>
      <c r="H420" s="97"/>
      <c r="I420" s="97"/>
      <c r="J420" s="97"/>
      <c r="K420" s="97"/>
      <c r="L420" s="97"/>
      <c r="M420" s="97"/>
      <c r="N420" s="97"/>
      <c r="O420" s="97"/>
      <c r="P420" s="97"/>
      <c r="Q420" s="97"/>
      <c r="R420" s="97"/>
      <c r="S420" s="97"/>
    </row>
    <row r="421" spans="1:19" ht="19.95" customHeight="1" x14ac:dyDescent="0.3">
      <c r="A421" s="69"/>
      <c r="B421" s="69"/>
      <c r="C421" s="69"/>
      <c r="D421" s="69"/>
      <c r="E421" s="69"/>
      <c r="F421" s="69"/>
      <c r="G421" s="69"/>
      <c r="H421" s="69"/>
      <c r="I421" s="69"/>
      <c r="J421" s="69"/>
      <c r="K421" s="69"/>
      <c r="L421" s="69"/>
      <c r="M421" s="69"/>
      <c r="N421" s="69"/>
      <c r="O421" s="69"/>
      <c r="P421" s="69"/>
      <c r="Q421" s="69"/>
      <c r="R421" s="69"/>
      <c r="S421" s="69"/>
    </row>
    <row r="422" spans="1:19" ht="19.95" customHeight="1" x14ac:dyDescent="0.3">
      <c r="A422" s="69"/>
      <c r="B422" s="69"/>
      <c r="C422" s="69"/>
      <c r="D422" s="69"/>
      <c r="E422" s="69"/>
      <c r="F422" s="69"/>
      <c r="G422" s="69"/>
      <c r="H422" s="69"/>
      <c r="I422" s="69"/>
      <c r="J422" s="69"/>
      <c r="K422" s="69"/>
      <c r="L422" s="69"/>
      <c r="M422" s="69"/>
      <c r="N422" s="69"/>
      <c r="O422" s="69"/>
      <c r="P422" s="69"/>
      <c r="Q422" s="69"/>
      <c r="R422" s="69"/>
      <c r="S422" s="69"/>
    </row>
    <row r="423" spans="1:19" ht="19.95" customHeight="1" x14ac:dyDescent="0.3">
      <c r="A423" s="69"/>
      <c r="B423" s="69"/>
      <c r="C423" s="69"/>
      <c r="D423" s="69"/>
      <c r="E423" s="69"/>
      <c r="F423" s="69"/>
      <c r="G423" s="69"/>
      <c r="H423" s="69"/>
      <c r="I423" s="69"/>
      <c r="J423" s="69"/>
      <c r="K423" s="69"/>
      <c r="L423" s="69"/>
      <c r="M423" s="69"/>
      <c r="N423" s="69"/>
      <c r="O423" s="69"/>
      <c r="P423" s="69"/>
      <c r="Q423" s="69"/>
      <c r="R423" s="69"/>
      <c r="S423" s="69"/>
    </row>
    <row r="424" spans="1:19" ht="19.95" customHeight="1" x14ac:dyDescent="0.3">
      <c r="A424" s="69"/>
      <c r="B424" s="69"/>
      <c r="C424" s="69"/>
      <c r="D424" s="69"/>
      <c r="E424" s="69"/>
      <c r="F424" s="69"/>
      <c r="G424" s="69"/>
      <c r="H424" s="69"/>
      <c r="I424" s="69"/>
      <c r="J424" s="69"/>
      <c r="K424" s="69"/>
      <c r="L424" s="69"/>
      <c r="M424" s="69"/>
      <c r="N424" s="69"/>
      <c r="O424" s="69"/>
      <c r="P424" s="69"/>
      <c r="Q424" s="69"/>
      <c r="R424" s="69"/>
      <c r="S424" s="69"/>
    </row>
    <row r="425" spans="1:19" ht="19.95" customHeight="1" x14ac:dyDescent="0.3">
      <c r="A425" s="69"/>
      <c r="B425" s="69"/>
      <c r="C425" s="69"/>
      <c r="D425" s="69"/>
      <c r="E425" s="69"/>
      <c r="F425" s="69"/>
      <c r="G425" s="69"/>
      <c r="H425" s="69"/>
      <c r="I425" s="69"/>
      <c r="J425" s="69"/>
      <c r="K425" s="69"/>
      <c r="L425" s="69"/>
      <c r="M425" s="69"/>
      <c r="N425" s="69"/>
      <c r="O425" s="69"/>
      <c r="P425" s="69"/>
      <c r="Q425" s="69"/>
      <c r="R425" s="69"/>
      <c r="S425" s="69"/>
    </row>
    <row r="426" spans="1:19" ht="19.95" customHeight="1" x14ac:dyDescent="0.3">
      <c r="A426" s="69"/>
      <c r="B426" s="69"/>
      <c r="C426" s="69"/>
      <c r="D426" s="69"/>
      <c r="E426" s="69"/>
      <c r="F426" s="69"/>
      <c r="G426" s="69"/>
      <c r="H426" s="69"/>
      <c r="I426" s="69"/>
      <c r="J426" s="69"/>
      <c r="K426" s="69"/>
      <c r="L426" s="69"/>
      <c r="M426" s="69"/>
      <c r="N426" s="69"/>
      <c r="O426" s="69"/>
      <c r="P426" s="69"/>
      <c r="Q426" s="69"/>
      <c r="R426" s="69"/>
      <c r="S426" s="69"/>
    </row>
    <row r="427" spans="1:19" ht="19.95" customHeight="1" x14ac:dyDescent="0.3">
      <c r="A427" s="69"/>
      <c r="B427" s="69"/>
      <c r="C427" s="69"/>
      <c r="D427" s="69"/>
      <c r="E427" s="69"/>
      <c r="F427" s="69"/>
      <c r="G427" s="69"/>
      <c r="H427" s="69"/>
      <c r="I427" s="69"/>
      <c r="J427" s="69"/>
      <c r="K427" s="69"/>
      <c r="L427" s="69"/>
      <c r="M427" s="69"/>
      <c r="N427" s="69"/>
      <c r="O427" s="69"/>
      <c r="P427" s="69"/>
      <c r="Q427" s="69"/>
      <c r="R427" s="69"/>
      <c r="S427" s="69"/>
    </row>
    <row r="428" spans="1:19" ht="19.95" customHeight="1" x14ac:dyDescent="0.3">
      <c r="A428" s="69"/>
      <c r="B428" s="69"/>
      <c r="C428" s="69"/>
      <c r="D428" s="69"/>
      <c r="E428" s="69"/>
      <c r="F428" s="69"/>
      <c r="G428" s="69"/>
      <c r="H428" s="69"/>
      <c r="I428" s="69"/>
      <c r="J428" s="69"/>
      <c r="K428" s="69"/>
      <c r="L428" s="69"/>
      <c r="M428" s="69"/>
      <c r="N428" s="69"/>
      <c r="O428" s="69"/>
      <c r="P428" s="69"/>
      <c r="Q428" s="69"/>
      <c r="R428" s="69"/>
      <c r="S428" s="69"/>
    </row>
    <row r="429" spans="1:19" ht="19.95" customHeight="1" x14ac:dyDescent="0.3">
      <c r="A429" s="69"/>
      <c r="B429" s="69"/>
      <c r="C429" s="69"/>
      <c r="D429" s="69"/>
      <c r="E429" s="69"/>
      <c r="F429" s="69"/>
      <c r="G429" s="69"/>
      <c r="H429" s="69"/>
      <c r="I429" s="69"/>
      <c r="J429" s="69"/>
      <c r="K429" s="69"/>
      <c r="L429" s="69"/>
      <c r="M429" s="69"/>
      <c r="N429" s="69"/>
      <c r="O429" s="69"/>
      <c r="P429" s="69"/>
      <c r="Q429" s="69"/>
      <c r="R429" s="69"/>
      <c r="S429" s="69"/>
    </row>
    <row r="430" spans="1:19" ht="19.95" customHeight="1" x14ac:dyDescent="0.3">
      <c r="A430" s="69"/>
      <c r="B430" s="69"/>
      <c r="C430" s="69"/>
      <c r="D430" s="69"/>
      <c r="E430" s="69"/>
      <c r="F430" s="69"/>
      <c r="G430" s="69"/>
      <c r="H430" s="69"/>
      <c r="I430" s="69"/>
      <c r="J430" s="69"/>
      <c r="K430" s="69"/>
      <c r="L430" s="69"/>
      <c r="M430" s="69"/>
      <c r="N430" s="69"/>
      <c r="O430" s="69"/>
      <c r="P430" s="69"/>
      <c r="Q430" s="69"/>
      <c r="R430" s="69"/>
      <c r="S430" s="69"/>
    </row>
    <row r="431" spans="1:19" ht="19.95" customHeight="1" x14ac:dyDescent="0.3">
      <c r="A431" s="69"/>
      <c r="B431" s="69"/>
      <c r="C431" s="69"/>
      <c r="D431" s="69"/>
      <c r="E431" s="69"/>
      <c r="F431" s="69"/>
      <c r="G431" s="69"/>
      <c r="H431" s="69"/>
      <c r="I431" s="69"/>
      <c r="J431" s="69"/>
      <c r="K431" s="69"/>
      <c r="L431" s="69"/>
      <c r="M431" s="69"/>
      <c r="N431" s="69"/>
      <c r="O431" s="69"/>
      <c r="P431" s="69"/>
      <c r="Q431" s="69"/>
      <c r="R431" s="69"/>
      <c r="S431" s="69"/>
    </row>
    <row r="432" spans="1:19" ht="19.95" customHeight="1" x14ac:dyDescent="0.3">
      <c r="A432" s="69"/>
      <c r="B432" s="69"/>
      <c r="C432" s="69"/>
      <c r="D432" s="69"/>
      <c r="E432" s="69"/>
      <c r="F432" s="69"/>
      <c r="G432" s="69"/>
      <c r="H432" s="69"/>
      <c r="I432" s="69"/>
      <c r="J432" s="69"/>
      <c r="K432" s="69"/>
      <c r="L432" s="69"/>
      <c r="M432" s="69"/>
      <c r="N432" s="69"/>
      <c r="O432" s="69"/>
      <c r="P432" s="69"/>
      <c r="Q432" s="69"/>
      <c r="R432" s="69"/>
      <c r="S432" s="69"/>
    </row>
    <row r="433" spans="1:19" ht="19.95" customHeight="1" x14ac:dyDescent="0.3">
      <c r="A433" s="69"/>
      <c r="B433" s="69"/>
      <c r="C433" s="69"/>
      <c r="D433" s="69"/>
      <c r="E433" s="69"/>
      <c r="F433" s="69"/>
      <c r="G433" s="69"/>
      <c r="H433" s="69"/>
      <c r="I433" s="69"/>
      <c r="J433" s="69"/>
      <c r="K433" s="69"/>
      <c r="L433" s="69"/>
      <c r="M433" s="69"/>
      <c r="N433" s="69"/>
      <c r="O433" s="69"/>
      <c r="P433" s="69"/>
      <c r="Q433" s="69"/>
      <c r="R433" s="69"/>
      <c r="S433" s="69"/>
    </row>
    <row r="434" spans="1:19" ht="19.95" customHeight="1" x14ac:dyDescent="0.3">
      <c r="A434" s="69"/>
      <c r="B434" s="69"/>
      <c r="C434" s="69"/>
      <c r="D434" s="69"/>
      <c r="E434" s="69"/>
      <c r="F434" s="69"/>
      <c r="G434" s="69"/>
      <c r="H434" s="69"/>
      <c r="I434" s="69"/>
      <c r="J434" s="69"/>
      <c r="K434" s="69"/>
      <c r="L434" s="69"/>
      <c r="M434" s="69"/>
      <c r="N434" s="69"/>
      <c r="O434" s="69"/>
      <c r="P434" s="69"/>
      <c r="Q434" s="69"/>
      <c r="R434" s="69"/>
      <c r="S434" s="69"/>
    </row>
    <row r="435" spans="1:19" ht="19.95" customHeight="1" x14ac:dyDescent="0.3">
      <c r="A435" s="69"/>
      <c r="B435" s="69"/>
      <c r="C435" s="69"/>
      <c r="D435" s="69"/>
      <c r="E435" s="69"/>
      <c r="F435" s="69"/>
      <c r="G435" s="69"/>
      <c r="H435" s="69"/>
      <c r="I435" s="69"/>
      <c r="J435" s="69"/>
      <c r="K435" s="69"/>
      <c r="L435" s="69"/>
      <c r="M435" s="69"/>
      <c r="N435" s="69"/>
      <c r="O435" s="69"/>
      <c r="P435" s="69"/>
      <c r="Q435" s="69"/>
      <c r="R435" s="69"/>
      <c r="S435" s="69"/>
    </row>
    <row r="436" spans="1:19" ht="19.95" customHeight="1" x14ac:dyDescent="0.3">
      <c r="A436" s="69"/>
      <c r="B436" s="69"/>
      <c r="C436" s="69"/>
      <c r="D436" s="69"/>
      <c r="E436" s="69"/>
      <c r="F436" s="69"/>
      <c r="G436" s="69"/>
      <c r="H436" s="69"/>
      <c r="I436" s="69"/>
      <c r="J436" s="69"/>
      <c r="K436" s="69"/>
      <c r="L436" s="69"/>
      <c r="M436" s="69"/>
      <c r="N436" s="69"/>
      <c r="O436" s="69"/>
      <c r="P436" s="69"/>
      <c r="Q436" s="69"/>
      <c r="R436" s="69"/>
      <c r="S436" s="69"/>
    </row>
    <row r="437" spans="1:19" ht="19.95" customHeight="1" x14ac:dyDescent="0.3">
      <c r="A437" s="69"/>
      <c r="B437" s="69"/>
      <c r="C437" s="69"/>
      <c r="D437" s="69"/>
      <c r="E437" s="69"/>
      <c r="F437" s="69"/>
      <c r="G437" s="69"/>
      <c r="H437" s="69"/>
      <c r="I437" s="69"/>
      <c r="J437" s="69"/>
      <c r="K437" s="69"/>
      <c r="L437" s="69"/>
      <c r="M437" s="69"/>
      <c r="N437" s="69"/>
      <c r="O437" s="69"/>
      <c r="P437" s="69"/>
      <c r="Q437" s="69"/>
      <c r="R437" s="69"/>
      <c r="S437" s="69"/>
    </row>
    <row r="438" spans="1:19" ht="19.95" customHeight="1" x14ac:dyDescent="0.3">
      <c r="A438" s="69"/>
      <c r="B438" s="69"/>
      <c r="C438" s="69"/>
      <c r="D438" s="69"/>
      <c r="E438" s="69"/>
      <c r="F438" s="69"/>
      <c r="G438" s="69"/>
      <c r="H438" s="69"/>
      <c r="I438" s="69"/>
      <c r="J438" s="69"/>
      <c r="K438" s="69"/>
      <c r="L438" s="69"/>
      <c r="M438" s="69"/>
      <c r="N438" s="69"/>
      <c r="O438" s="69"/>
      <c r="P438" s="69"/>
      <c r="Q438" s="69"/>
      <c r="R438" s="69"/>
      <c r="S438" s="69"/>
    </row>
    <row r="439" spans="1:19" ht="19.95" customHeight="1" x14ac:dyDescent="0.3">
      <c r="A439" s="69"/>
      <c r="B439" s="69"/>
      <c r="C439" s="69"/>
      <c r="D439" s="69"/>
      <c r="E439" s="69"/>
      <c r="F439" s="69"/>
      <c r="G439" s="69"/>
      <c r="H439" s="69"/>
      <c r="I439" s="69"/>
      <c r="J439" s="69"/>
      <c r="K439" s="69"/>
      <c r="L439" s="69"/>
      <c r="M439" s="69"/>
      <c r="N439" s="69"/>
      <c r="O439" s="69"/>
      <c r="P439" s="69"/>
      <c r="Q439" s="69"/>
      <c r="R439" s="69"/>
      <c r="S439" s="69"/>
    </row>
    <row r="440" spans="1:19" ht="19.95" customHeight="1" x14ac:dyDescent="0.3">
      <c r="A440" s="69"/>
      <c r="B440" s="69"/>
      <c r="C440" s="69"/>
      <c r="D440" s="69"/>
      <c r="E440" s="69"/>
      <c r="F440" s="69"/>
      <c r="G440" s="69"/>
      <c r="H440" s="69"/>
      <c r="I440" s="69"/>
      <c r="J440" s="69"/>
      <c r="K440" s="69"/>
      <c r="L440" s="69"/>
      <c r="M440" s="69"/>
      <c r="N440" s="69"/>
      <c r="O440" s="69"/>
      <c r="P440" s="69"/>
      <c r="Q440" s="69"/>
      <c r="R440" s="69"/>
      <c r="S440" s="69"/>
    </row>
    <row r="441" spans="1:19" ht="19.95" customHeight="1" x14ac:dyDescent="0.3">
      <c r="A441" s="69"/>
      <c r="B441" s="69"/>
      <c r="C441" s="69"/>
      <c r="D441" s="69"/>
      <c r="E441" s="69"/>
      <c r="F441" s="69"/>
      <c r="G441" s="69"/>
      <c r="H441" s="69"/>
      <c r="I441" s="69"/>
      <c r="J441" s="69"/>
      <c r="K441" s="69"/>
      <c r="L441" s="69"/>
      <c r="M441" s="69"/>
      <c r="N441" s="69"/>
      <c r="O441" s="69"/>
      <c r="P441" s="69"/>
      <c r="Q441" s="69"/>
      <c r="R441" s="69"/>
      <c r="S441" s="69"/>
    </row>
    <row r="442" spans="1:19" ht="19.95" customHeight="1" x14ac:dyDescent="0.3">
      <c r="A442" s="69"/>
      <c r="B442" s="69"/>
      <c r="C442" s="69"/>
      <c r="D442" s="69"/>
      <c r="E442" s="69"/>
      <c r="F442" s="69"/>
      <c r="G442" s="69"/>
      <c r="H442" s="69"/>
      <c r="I442" s="69"/>
      <c r="J442" s="69"/>
      <c r="K442" s="69"/>
      <c r="L442" s="69"/>
      <c r="M442" s="69"/>
      <c r="N442" s="69"/>
      <c r="O442" s="69"/>
      <c r="P442" s="69"/>
      <c r="Q442" s="69"/>
      <c r="R442" s="69"/>
      <c r="S442" s="69"/>
    </row>
    <row r="443" spans="1:19" ht="19.95" customHeight="1" x14ac:dyDescent="0.3">
      <c r="A443" s="97" t="s">
        <v>302</v>
      </c>
      <c r="B443" s="97"/>
      <c r="C443" s="97"/>
      <c r="D443" s="97"/>
      <c r="E443" s="97"/>
      <c r="F443" s="97"/>
      <c r="G443" s="97"/>
      <c r="H443" s="97"/>
      <c r="I443" s="97"/>
      <c r="J443" s="97"/>
      <c r="K443" s="97"/>
      <c r="L443" s="97"/>
      <c r="M443" s="97"/>
      <c r="N443" s="97"/>
      <c r="O443" s="97"/>
      <c r="P443" s="97"/>
      <c r="Q443" s="97"/>
      <c r="R443" s="97"/>
      <c r="S443" s="97"/>
    </row>
    <row r="444" spans="1:19" ht="19.95" customHeight="1" x14ac:dyDescent="0.3">
      <c r="A444" s="69"/>
      <c r="B444" s="69"/>
      <c r="C444" s="69"/>
      <c r="D444" s="69"/>
      <c r="E444" s="69"/>
      <c r="F444" s="69"/>
      <c r="G444" s="69"/>
      <c r="H444" s="69"/>
      <c r="I444" s="69"/>
      <c r="J444" s="69"/>
      <c r="K444" s="69"/>
      <c r="L444" s="69"/>
      <c r="M444" s="69"/>
      <c r="N444" s="69"/>
      <c r="O444" s="69"/>
      <c r="P444" s="69"/>
      <c r="Q444" s="69"/>
      <c r="R444" s="69"/>
      <c r="S444" s="69"/>
    </row>
    <row r="445" spans="1:19" ht="19.95" customHeight="1" x14ac:dyDescent="0.3">
      <c r="A445" s="69"/>
      <c r="B445" s="69"/>
      <c r="C445" s="69"/>
      <c r="D445" s="69"/>
      <c r="E445" s="69"/>
      <c r="F445" s="69"/>
      <c r="G445" s="69"/>
      <c r="H445" s="69"/>
      <c r="I445" s="69"/>
      <c r="J445" s="69"/>
      <c r="K445" s="69"/>
      <c r="L445" s="69"/>
      <c r="M445" s="69"/>
      <c r="N445" s="69"/>
      <c r="O445" s="69"/>
      <c r="P445" s="69"/>
      <c r="Q445" s="69"/>
      <c r="R445" s="69"/>
      <c r="S445" s="69"/>
    </row>
    <row r="446" spans="1:19" ht="19.95" customHeight="1" x14ac:dyDescent="0.3">
      <c r="A446" s="69"/>
      <c r="B446" s="69"/>
      <c r="C446" s="69"/>
      <c r="D446" s="69"/>
      <c r="E446" s="69"/>
      <c r="F446" s="69"/>
      <c r="G446" s="69"/>
      <c r="H446" s="69"/>
      <c r="I446" s="69"/>
      <c r="J446" s="69"/>
      <c r="K446" s="69"/>
      <c r="L446" s="69"/>
      <c r="M446" s="69"/>
      <c r="N446" s="69"/>
      <c r="O446" s="69"/>
      <c r="P446" s="69"/>
      <c r="Q446" s="69"/>
      <c r="R446" s="69"/>
      <c r="S446" s="69"/>
    </row>
    <row r="447" spans="1:19" ht="19.95" customHeight="1" x14ac:dyDescent="0.3">
      <c r="A447" s="69"/>
      <c r="B447" s="69"/>
      <c r="C447" s="69"/>
      <c r="D447" s="69"/>
      <c r="E447" s="69"/>
      <c r="F447" s="69"/>
      <c r="G447" s="69"/>
      <c r="H447" s="69"/>
      <c r="I447" s="69"/>
      <c r="J447" s="69"/>
      <c r="K447" s="69"/>
      <c r="L447" s="69"/>
      <c r="M447" s="69"/>
      <c r="N447" s="69"/>
      <c r="O447" s="69"/>
      <c r="P447" s="69"/>
      <c r="Q447" s="69"/>
      <c r="R447" s="69"/>
      <c r="S447" s="69"/>
    </row>
    <row r="448" spans="1:19" ht="19.95" customHeight="1" x14ac:dyDescent="0.3">
      <c r="A448" s="69"/>
      <c r="B448" s="69"/>
      <c r="C448" s="69"/>
      <c r="D448" s="69"/>
      <c r="E448" s="69"/>
      <c r="F448" s="69"/>
      <c r="G448" s="69"/>
      <c r="H448" s="69"/>
      <c r="I448" s="69"/>
      <c r="J448" s="69"/>
      <c r="K448" s="69"/>
      <c r="L448" s="69"/>
      <c r="M448" s="69"/>
      <c r="N448" s="69"/>
      <c r="O448" s="69"/>
      <c r="P448" s="69"/>
      <c r="Q448" s="69"/>
      <c r="R448" s="69"/>
      <c r="S448" s="69"/>
    </row>
    <row r="449" spans="1:19" ht="19.95" customHeight="1" x14ac:dyDescent="0.3">
      <c r="A449" s="69"/>
      <c r="B449" s="69"/>
      <c r="C449" s="69"/>
      <c r="D449" s="69"/>
      <c r="E449" s="69"/>
      <c r="F449" s="69"/>
      <c r="G449" s="69"/>
      <c r="H449" s="69"/>
      <c r="I449" s="69"/>
      <c r="J449" s="69"/>
      <c r="K449" s="69"/>
      <c r="L449" s="69"/>
      <c r="M449" s="69"/>
      <c r="N449" s="69"/>
      <c r="O449" s="69"/>
      <c r="P449" s="69"/>
      <c r="Q449" s="69"/>
      <c r="R449" s="69"/>
      <c r="S449" s="69"/>
    </row>
    <row r="450" spans="1:19" ht="19.95" customHeight="1" x14ac:dyDescent="0.3">
      <c r="A450" s="69"/>
      <c r="B450" s="69"/>
      <c r="C450" s="69"/>
      <c r="D450" s="69"/>
      <c r="E450" s="69"/>
      <c r="F450" s="69"/>
      <c r="G450" s="69"/>
      <c r="H450" s="69"/>
      <c r="I450" s="69"/>
      <c r="J450" s="69"/>
      <c r="K450" s="69"/>
      <c r="L450" s="69"/>
      <c r="M450" s="69"/>
      <c r="N450" s="69"/>
      <c r="O450" s="69"/>
      <c r="P450" s="69"/>
      <c r="Q450" s="69"/>
      <c r="R450" s="69"/>
      <c r="S450" s="69"/>
    </row>
    <row r="451" spans="1:19" ht="19.95" customHeight="1" x14ac:dyDescent="0.3">
      <c r="A451" s="69"/>
      <c r="B451" s="69"/>
      <c r="C451" s="69"/>
      <c r="D451" s="69"/>
      <c r="E451" s="69"/>
      <c r="F451" s="69"/>
      <c r="G451" s="69"/>
      <c r="H451" s="69"/>
      <c r="I451" s="69"/>
      <c r="J451" s="69"/>
      <c r="K451" s="69"/>
      <c r="L451" s="69"/>
      <c r="M451" s="69"/>
      <c r="N451" s="69"/>
      <c r="O451" s="69"/>
      <c r="P451" s="69"/>
      <c r="Q451" s="69"/>
      <c r="R451" s="69"/>
      <c r="S451" s="69"/>
    </row>
    <row r="452" spans="1:19" ht="19.95" customHeight="1" x14ac:dyDescent="0.3">
      <c r="A452" s="69"/>
      <c r="B452" s="69"/>
      <c r="C452" s="69"/>
      <c r="D452" s="69"/>
      <c r="E452" s="69"/>
      <c r="F452" s="69"/>
      <c r="G452" s="69"/>
      <c r="H452" s="69"/>
      <c r="I452" s="69"/>
      <c r="J452" s="69"/>
      <c r="K452" s="69"/>
      <c r="L452" s="69"/>
      <c r="M452" s="69"/>
      <c r="N452" s="69"/>
      <c r="O452" s="69"/>
      <c r="P452" s="69"/>
      <c r="Q452" s="69"/>
      <c r="R452" s="69"/>
      <c r="S452" s="69"/>
    </row>
    <row r="453" spans="1:19" ht="19.95" customHeight="1" x14ac:dyDescent="0.3">
      <c r="A453" s="69"/>
      <c r="B453" s="69"/>
      <c r="C453" s="69"/>
      <c r="D453" s="69"/>
      <c r="E453" s="69"/>
      <c r="F453" s="69"/>
      <c r="G453" s="69"/>
      <c r="H453" s="69"/>
      <c r="I453" s="69"/>
      <c r="J453" s="69"/>
      <c r="K453" s="69"/>
      <c r="L453" s="69"/>
      <c r="M453" s="69"/>
      <c r="N453" s="69"/>
      <c r="O453" s="69"/>
      <c r="P453" s="69"/>
      <c r="Q453" s="69"/>
      <c r="R453" s="69"/>
      <c r="S453" s="69"/>
    </row>
    <row r="454" spans="1:19" ht="19.95" customHeight="1" x14ac:dyDescent="0.3">
      <c r="A454" s="69"/>
      <c r="B454" s="69"/>
      <c r="C454" s="69"/>
      <c r="D454" s="69"/>
      <c r="E454" s="69"/>
      <c r="F454" s="69"/>
      <c r="G454" s="69"/>
      <c r="H454" s="69"/>
      <c r="I454" s="69"/>
      <c r="J454" s="69"/>
      <c r="K454" s="69"/>
      <c r="L454" s="69"/>
      <c r="M454" s="69"/>
      <c r="N454" s="69"/>
      <c r="O454" s="69"/>
      <c r="P454" s="69"/>
      <c r="Q454" s="69"/>
      <c r="R454" s="69"/>
      <c r="S454" s="69"/>
    </row>
    <row r="455" spans="1:19" ht="19.95" customHeight="1" x14ac:dyDescent="0.3">
      <c r="A455" s="69"/>
      <c r="B455" s="69"/>
      <c r="C455" s="69"/>
      <c r="D455" s="69"/>
      <c r="E455" s="69"/>
      <c r="F455" s="69"/>
      <c r="G455" s="69"/>
      <c r="H455" s="69"/>
      <c r="I455" s="69"/>
      <c r="J455" s="69"/>
      <c r="K455" s="69"/>
      <c r="L455" s="69"/>
      <c r="M455" s="69"/>
      <c r="N455" s="69"/>
      <c r="O455" s="69"/>
      <c r="P455" s="69"/>
      <c r="Q455" s="69"/>
      <c r="R455" s="69"/>
      <c r="S455" s="69"/>
    </row>
    <row r="456" spans="1:19" ht="19.95" customHeight="1" x14ac:dyDescent="0.3">
      <c r="A456" s="69"/>
      <c r="B456" s="69"/>
      <c r="C456" s="69"/>
      <c r="D456" s="69"/>
      <c r="E456" s="69"/>
      <c r="F456" s="69"/>
      <c r="G456" s="69"/>
      <c r="H456" s="69"/>
      <c r="I456" s="69"/>
      <c r="J456" s="69"/>
      <c r="K456" s="69"/>
      <c r="L456" s="69"/>
      <c r="M456" s="69"/>
      <c r="N456" s="69"/>
      <c r="O456" s="69"/>
      <c r="P456" s="69"/>
      <c r="Q456" s="69"/>
      <c r="R456" s="69"/>
      <c r="S456" s="69"/>
    </row>
    <row r="457" spans="1:19" ht="19.95" customHeight="1" x14ac:dyDescent="0.3">
      <c r="A457" s="69"/>
      <c r="B457" s="69"/>
      <c r="C457" s="69"/>
      <c r="D457" s="69"/>
      <c r="E457" s="69"/>
      <c r="F457" s="69"/>
      <c r="G457" s="69"/>
      <c r="H457" s="69"/>
      <c r="I457" s="69"/>
      <c r="J457" s="69"/>
      <c r="K457" s="69"/>
      <c r="L457" s="69"/>
      <c r="M457" s="69"/>
      <c r="N457" s="69"/>
      <c r="O457" s="69"/>
      <c r="P457" s="69"/>
      <c r="Q457" s="69"/>
      <c r="R457" s="69"/>
      <c r="S457" s="69"/>
    </row>
    <row r="458" spans="1:19" ht="19.95" customHeight="1" x14ac:dyDescent="0.3">
      <c r="A458" s="69"/>
      <c r="B458" s="69"/>
      <c r="C458" s="69"/>
      <c r="D458" s="69"/>
      <c r="E458" s="69"/>
      <c r="F458" s="69"/>
      <c r="G458" s="69"/>
      <c r="H458" s="69"/>
      <c r="I458" s="69"/>
      <c r="J458" s="69"/>
      <c r="K458" s="69"/>
      <c r="L458" s="69"/>
      <c r="M458" s="69"/>
      <c r="N458" s="69"/>
      <c r="O458" s="69"/>
      <c r="P458" s="69"/>
      <c r="Q458" s="69"/>
      <c r="R458" s="69"/>
      <c r="S458" s="69"/>
    </row>
    <row r="459" spans="1:19" ht="19.95" customHeight="1" x14ac:dyDescent="0.3">
      <c r="A459" s="69"/>
      <c r="B459" s="69"/>
      <c r="C459" s="69"/>
      <c r="D459" s="69"/>
      <c r="E459" s="69"/>
      <c r="F459" s="69"/>
      <c r="G459" s="69"/>
      <c r="H459" s="69"/>
      <c r="I459" s="69"/>
      <c r="J459" s="69"/>
      <c r="K459" s="69"/>
      <c r="L459" s="69"/>
      <c r="M459" s="69"/>
      <c r="N459" s="69"/>
      <c r="O459" s="69"/>
      <c r="P459" s="69"/>
      <c r="Q459" s="69"/>
      <c r="R459" s="69"/>
      <c r="S459" s="69"/>
    </row>
    <row r="460" spans="1:19" ht="19.95" customHeight="1" x14ac:dyDescent="0.3">
      <c r="A460" s="69"/>
      <c r="B460" s="69"/>
      <c r="C460" s="69"/>
      <c r="D460" s="69"/>
      <c r="E460" s="69"/>
      <c r="F460" s="69"/>
      <c r="G460" s="69"/>
      <c r="H460" s="69"/>
      <c r="I460" s="69"/>
      <c r="J460" s="69"/>
      <c r="K460" s="69"/>
      <c r="L460" s="69"/>
      <c r="M460" s="69"/>
      <c r="N460" s="69"/>
      <c r="O460" s="69"/>
      <c r="P460" s="69"/>
      <c r="Q460" s="69"/>
      <c r="R460" s="69"/>
      <c r="S460" s="69"/>
    </row>
    <row r="461" spans="1:19" ht="19.95" customHeight="1" x14ac:dyDescent="0.3">
      <c r="A461" s="69"/>
      <c r="B461" s="69"/>
      <c r="C461" s="69"/>
      <c r="D461" s="69"/>
      <c r="E461" s="69"/>
      <c r="F461" s="69"/>
      <c r="G461" s="69"/>
      <c r="H461" s="69"/>
      <c r="I461" s="69"/>
      <c r="J461" s="69"/>
      <c r="K461" s="69"/>
      <c r="L461" s="69"/>
      <c r="M461" s="69"/>
      <c r="N461" s="69"/>
      <c r="O461" s="69"/>
      <c r="P461" s="69"/>
      <c r="Q461" s="69"/>
      <c r="R461" s="69"/>
      <c r="S461" s="69"/>
    </row>
    <row r="462" spans="1:19" ht="19.95" customHeight="1" x14ac:dyDescent="0.3">
      <c r="A462" s="69"/>
      <c r="B462" s="69"/>
      <c r="C462" s="69"/>
      <c r="D462" s="69"/>
      <c r="E462" s="69"/>
      <c r="F462" s="69"/>
      <c r="G462" s="69"/>
      <c r="H462" s="69"/>
      <c r="I462" s="69"/>
      <c r="J462" s="69"/>
      <c r="K462" s="69"/>
      <c r="L462" s="69"/>
      <c r="M462" s="69"/>
      <c r="N462" s="69"/>
      <c r="O462" s="69"/>
      <c r="P462" s="69"/>
      <c r="Q462" s="69"/>
      <c r="R462" s="69"/>
      <c r="S462" s="69"/>
    </row>
    <row r="463" spans="1:19" ht="19.95" customHeight="1" x14ac:dyDescent="0.3">
      <c r="A463" s="69"/>
      <c r="B463" s="69"/>
      <c r="C463" s="69"/>
      <c r="D463" s="69"/>
      <c r="E463" s="69"/>
      <c r="F463" s="69"/>
      <c r="G463" s="69"/>
      <c r="H463" s="69"/>
      <c r="I463" s="69"/>
      <c r="J463" s="69"/>
      <c r="K463" s="69"/>
      <c r="L463" s="69"/>
      <c r="M463" s="69"/>
      <c r="N463" s="69"/>
      <c r="O463" s="69"/>
      <c r="P463" s="69"/>
      <c r="Q463" s="69"/>
      <c r="R463" s="69"/>
      <c r="S463" s="69"/>
    </row>
    <row r="464" spans="1:19" ht="19.95" customHeight="1" x14ac:dyDescent="0.3">
      <c r="A464" s="69"/>
      <c r="B464" s="69"/>
      <c r="C464" s="69"/>
      <c r="D464" s="69"/>
      <c r="E464" s="69"/>
      <c r="F464" s="69"/>
      <c r="G464" s="69"/>
      <c r="H464" s="69"/>
      <c r="I464" s="69"/>
      <c r="J464" s="69"/>
      <c r="K464" s="69"/>
      <c r="L464" s="69"/>
      <c r="M464" s="69"/>
      <c r="N464" s="69"/>
      <c r="O464" s="69"/>
      <c r="P464" s="69"/>
      <c r="Q464" s="69"/>
      <c r="R464" s="69"/>
      <c r="S464" s="69"/>
    </row>
    <row r="465" spans="1:19" ht="19.95" customHeight="1" x14ac:dyDescent="0.3">
      <c r="A465" s="69"/>
      <c r="B465" s="69"/>
      <c r="C465" s="69"/>
      <c r="D465" s="69"/>
      <c r="E465" s="69"/>
      <c r="F465" s="69"/>
      <c r="G465" s="69"/>
      <c r="H465" s="69"/>
      <c r="I465" s="69"/>
      <c r="J465" s="69"/>
      <c r="K465" s="69"/>
      <c r="L465" s="69"/>
      <c r="M465" s="69"/>
      <c r="N465" s="69"/>
      <c r="O465" s="69"/>
      <c r="P465" s="69"/>
      <c r="Q465" s="69"/>
      <c r="R465" s="69"/>
      <c r="S465" s="69"/>
    </row>
    <row r="466" spans="1:19" ht="19.95" customHeight="1" x14ac:dyDescent="0.3">
      <c r="A466" s="97" t="s">
        <v>303</v>
      </c>
      <c r="B466" s="97"/>
      <c r="C466" s="97"/>
      <c r="D466" s="97"/>
      <c r="E466" s="97"/>
      <c r="F466" s="97"/>
      <c r="G466" s="97"/>
      <c r="H466" s="97"/>
      <c r="I466" s="97"/>
      <c r="J466" s="97"/>
      <c r="K466" s="97"/>
      <c r="L466" s="97"/>
      <c r="M466" s="97"/>
      <c r="N466" s="97"/>
      <c r="O466" s="97"/>
      <c r="P466" s="97"/>
      <c r="Q466" s="97"/>
      <c r="R466" s="97"/>
      <c r="S466" s="97"/>
    </row>
    <row r="467" spans="1:19" ht="19.95" customHeight="1" x14ac:dyDescent="0.3">
      <c r="A467" s="69"/>
      <c r="B467" s="69"/>
      <c r="C467" s="69"/>
      <c r="D467" s="69"/>
      <c r="E467" s="69"/>
      <c r="F467" s="69"/>
      <c r="G467" s="69"/>
      <c r="H467" s="69"/>
      <c r="I467" s="69"/>
      <c r="J467" s="69"/>
      <c r="K467" s="69"/>
      <c r="L467" s="69"/>
      <c r="M467" s="69"/>
      <c r="N467" s="69"/>
      <c r="O467" s="69"/>
      <c r="P467" s="69"/>
      <c r="Q467" s="69"/>
      <c r="R467" s="69"/>
      <c r="S467" s="69"/>
    </row>
    <row r="468" spans="1:19" ht="19.95" customHeight="1" x14ac:dyDescent="0.3">
      <c r="A468" s="69"/>
      <c r="B468" s="69"/>
      <c r="C468" s="69"/>
      <c r="D468" s="69"/>
      <c r="E468" s="69"/>
      <c r="F468" s="69"/>
      <c r="G468" s="69"/>
      <c r="H468" s="69"/>
      <c r="I468" s="69"/>
      <c r="J468" s="69"/>
      <c r="K468" s="69"/>
      <c r="L468" s="69"/>
      <c r="M468" s="69"/>
      <c r="N468" s="69"/>
      <c r="O468" s="69"/>
      <c r="P468" s="69"/>
      <c r="Q468" s="69"/>
      <c r="R468" s="69"/>
      <c r="S468" s="69"/>
    </row>
    <row r="469" spans="1:19" ht="19.95" customHeight="1" x14ac:dyDescent="0.3">
      <c r="A469" s="69"/>
      <c r="B469" s="69"/>
      <c r="C469" s="69"/>
      <c r="D469" s="69"/>
      <c r="E469" s="69"/>
      <c r="F469" s="69"/>
      <c r="G469" s="69"/>
      <c r="H469" s="69"/>
      <c r="I469" s="69"/>
      <c r="J469" s="69"/>
      <c r="K469" s="69"/>
      <c r="L469" s="69"/>
      <c r="M469" s="69"/>
      <c r="N469" s="69"/>
      <c r="O469" s="69"/>
      <c r="P469" s="69"/>
      <c r="Q469" s="69"/>
      <c r="R469" s="69"/>
      <c r="S469" s="69"/>
    </row>
    <row r="470" spans="1:19" ht="19.95" customHeight="1" x14ac:dyDescent="0.3">
      <c r="A470" s="69"/>
      <c r="B470" s="69"/>
      <c r="C470" s="69"/>
      <c r="D470" s="69"/>
      <c r="E470" s="69"/>
      <c r="F470" s="69"/>
      <c r="G470" s="69"/>
      <c r="H470" s="69"/>
      <c r="I470" s="69"/>
      <c r="J470" s="69"/>
      <c r="K470" s="69"/>
      <c r="L470" s="69"/>
      <c r="M470" s="69"/>
      <c r="N470" s="69"/>
      <c r="O470" s="69"/>
      <c r="P470" s="69"/>
      <c r="Q470" s="69"/>
      <c r="R470" s="69"/>
      <c r="S470" s="69"/>
    </row>
    <row r="471" spans="1:19" ht="19.95" customHeight="1" x14ac:dyDescent="0.3">
      <c r="A471" s="69"/>
      <c r="B471" s="69"/>
      <c r="C471" s="69"/>
      <c r="D471" s="69"/>
      <c r="E471" s="69"/>
      <c r="F471" s="69"/>
      <c r="G471" s="69"/>
      <c r="H471" s="69"/>
      <c r="I471" s="69"/>
      <c r="J471" s="69"/>
      <c r="K471" s="69"/>
      <c r="L471" s="69"/>
      <c r="M471" s="69"/>
      <c r="N471" s="69"/>
      <c r="O471" s="69"/>
      <c r="P471" s="69"/>
      <c r="Q471" s="69"/>
      <c r="R471" s="69"/>
      <c r="S471" s="69"/>
    </row>
    <row r="472" spans="1:19" ht="19.95" customHeight="1" x14ac:dyDescent="0.3">
      <c r="A472" s="69"/>
      <c r="B472" s="69"/>
      <c r="C472" s="69"/>
      <c r="D472" s="69"/>
      <c r="E472" s="69"/>
      <c r="F472" s="69"/>
      <c r="G472" s="69"/>
      <c r="H472" s="69"/>
      <c r="I472" s="69"/>
      <c r="J472" s="69"/>
      <c r="K472" s="69"/>
      <c r="L472" s="69"/>
      <c r="M472" s="69"/>
      <c r="N472" s="69"/>
      <c r="O472" s="69"/>
      <c r="P472" s="69"/>
      <c r="Q472" s="69"/>
      <c r="R472" s="69"/>
      <c r="S472" s="69"/>
    </row>
    <row r="473" spans="1:19" ht="19.95" customHeight="1" x14ac:dyDescent="0.3">
      <c r="A473" s="69"/>
      <c r="B473" s="69"/>
      <c r="C473" s="69"/>
      <c r="D473" s="69"/>
      <c r="E473" s="69"/>
      <c r="F473" s="69"/>
      <c r="G473" s="69"/>
      <c r="H473" s="69"/>
      <c r="I473" s="69"/>
      <c r="J473" s="69"/>
      <c r="K473" s="69"/>
      <c r="L473" s="69"/>
      <c r="M473" s="69"/>
      <c r="N473" s="69"/>
      <c r="O473" s="69"/>
      <c r="P473" s="69"/>
      <c r="Q473" s="69"/>
      <c r="R473" s="69"/>
      <c r="S473" s="69"/>
    </row>
    <row r="474" spans="1:19" ht="19.95" customHeight="1" x14ac:dyDescent="0.3">
      <c r="A474" s="69"/>
      <c r="B474" s="69"/>
      <c r="C474" s="69"/>
      <c r="D474" s="69"/>
      <c r="E474" s="69"/>
      <c r="F474" s="69"/>
      <c r="G474" s="69"/>
      <c r="H474" s="69"/>
      <c r="I474" s="69"/>
      <c r="J474" s="69"/>
      <c r="K474" s="69"/>
      <c r="L474" s="69"/>
      <c r="M474" s="69"/>
      <c r="N474" s="69"/>
      <c r="O474" s="69"/>
      <c r="P474" s="69"/>
      <c r="Q474" s="69"/>
      <c r="R474" s="69"/>
      <c r="S474" s="69"/>
    </row>
    <row r="475" spans="1:19" ht="19.95" customHeight="1" x14ac:dyDescent="0.3">
      <c r="A475" s="69"/>
      <c r="B475" s="69"/>
      <c r="C475" s="69"/>
      <c r="D475" s="69"/>
      <c r="E475" s="69"/>
      <c r="F475" s="69"/>
      <c r="G475" s="69"/>
      <c r="H475" s="69"/>
      <c r="I475" s="69"/>
      <c r="J475" s="69"/>
      <c r="K475" s="69"/>
      <c r="L475" s="69"/>
      <c r="M475" s="69"/>
      <c r="N475" s="69"/>
      <c r="O475" s="69"/>
      <c r="P475" s="69"/>
      <c r="Q475" s="69"/>
      <c r="R475" s="69"/>
      <c r="S475" s="69"/>
    </row>
    <row r="476" spans="1:19" ht="19.95" customHeight="1" x14ac:dyDescent="0.3">
      <c r="A476" s="69"/>
      <c r="B476" s="69"/>
      <c r="C476" s="69"/>
      <c r="D476" s="69"/>
      <c r="E476" s="69"/>
      <c r="F476" s="69"/>
      <c r="G476" s="69"/>
      <c r="H476" s="69"/>
      <c r="I476" s="69"/>
      <c r="J476" s="69"/>
      <c r="K476" s="69"/>
      <c r="L476" s="69"/>
      <c r="M476" s="69"/>
      <c r="N476" s="69"/>
      <c r="O476" s="69"/>
      <c r="P476" s="69"/>
      <c r="Q476" s="69"/>
      <c r="R476" s="69"/>
      <c r="S476" s="69"/>
    </row>
    <row r="477" spans="1:19" ht="19.95" customHeight="1" x14ac:dyDescent="0.3">
      <c r="A477" s="69"/>
      <c r="B477" s="69"/>
      <c r="C477" s="69"/>
      <c r="D477" s="69"/>
      <c r="E477" s="69"/>
      <c r="F477" s="69"/>
      <c r="G477" s="69"/>
      <c r="H477" s="69"/>
      <c r="I477" s="69"/>
      <c r="J477" s="69"/>
      <c r="K477" s="69"/>
      <c r="L477" s="69"/>
      <c r="M477" s="69"/>
      <c r="N477" s="69"/>
      <c r="O477" s="69"/>
      <c r="P477" s="69"/>
      <c r="Q477" s="69"/>
      <c r="R477" s="69"/>
      <c r="S477" s="69"/>
    </row>
    <row r="478" spans="1:19" ht="19.95" customHeight="1" x14ac:dyDescent="0.3">
      <c r="A478" s="69"/>
      <c r="B478" s="69"/>
      <c r="C478" s="69"/>
      <c r="D478" s="69"/>
      <c r="E478" s="69"/>
      <c r="F478" s="69"/>
      <c r="G478" s="69"/>
      <c r="H478" s="69"/>
      <c r="I478" s="69"/>
      <c r="J478" s="69"/>
      <c r="K478" s="69"/>
      <c r="L478" s="69"/>
      <c r="M478" s="69"/>
      <c r="N478" s="69"/>
      <c r="O478" s="69"/>
      <c r="P478" s="69"/>
      <c r="Q478" s="69"/>
      <c r="R478" s="69"/>
      <c r="S478" s="69"/>
    </row>
    <row r="479" spans="1:19" ht="19.95" customHeight="1" x14ac:dyDescent="0.3">
      <c r="A479" s="69"/>
      <c r="B479" s="69"/>
      <c r="C479" s="69"/>
      <c r="D479" s="69"/>
      <c r="E479" s="69"/>
      <c r="F479" s="69"/>
      <c r="G479" s="69"/>
      <c r="H479" s="69"/>
      <c r="I479" s="69"/>
      <c r="J479" s="69"/>
      <c r="K479" s="69"/>
      <c r="L479" s="69"/>
      <c r="M479" s="69"/>
      <c r="N479" s="69"/>
      <c r="O479" s="69"/>
      <c r="P479" s="69"/>
      <c r="Q479" s="69"/>
      <c r="R479" s="69"/>
      <c r="S479" s="69"/>
    </row>
    <row r="480" spans="1:19" ht="19.95" customHeight="1" x14ac:dyDescent="0.3">
      <c r="A480" s="69"/>
      <c r="B480" s="69"/>
      <c r="C480" s="69"/>
      <c r="D480" s="69"/>
      <c r="E480" s="69"/>
      <c r="F480" s="69"/>
      <c r="G480" s="69"/>
      <c r="H480" s="69"/>
      <c r="I480" s="69"/>
      <c r="J480" s="69"/>
      <c r="K480" s="69"/>
      <c r="L480" s="69"/>
      <c r="M480" s="69"/>
      <c r="N480" s="69"/>
      <c r="O480" s="69"/>
      <c r="P480" s="69"/>
      <c r="Q480" s="69"/>
      <c r="R480" s="69"/>
      <c r="S480" s="69"/>
    </row>
    <row r="481" spans="1:19" ht="19.95" customHeight="1" x14ac:dyDescent="0.3">
      <c r="A481" s="69"/>
      <c r="B481" s="69"/>
      <c r="C481" s="69"/>
      <c r="D481" s="69"/>
      <c r="E481" s="69"/>
      <c r="F481" s="69"/>
      <c r="G481" s="69"/>
      <c r="H481" s="69"/>
      <c r="I481" s="69"/>
      <c r="J481" s="69"/>
      <c r="K481" s="69"/>
      <c r="L481" s="69"/>
      <c r="M481" s="69"/>
      <c r="N481" s="69"/>
      <c r="O481" s="69"/>
      <c r="P481" s="69"/>
      <c r="Q481" s="69"/>
      <c r="R481" s="69"/>
      <c r="S481" s="69"/>
    </row>
    <row r="482" spans="1:19" ht="19.95" customHeight="1" x14ac:dyDescent="0.3">
      <c r="A482" s="69"/>
      <c r="B482" s="69"/>
      <c r="C482" s="69"/>
      <c r="D482" s="69"/>
      <c r="E482" s="69"/>
      <c r="F482" s="69"/>
      <c r="G482" s="69"/>
      <c r="H482" s="69"/>
      <c r="I482" s="69"/>
      <c r="J482" s="69"/>
      <c r="K482" s="69"/>
      <c r="L482" s="69"/>
      <c r="M482" s="69"/>
      <c r="N482" s="69"/>
      <c r="O482" s="69"/>
      <c r="P482" s="69"/>
      <c r="Q482" s="69"/>
      <c r="R482" s="69"/>
      <c r="S482" s="69"/>
    </row>
    <row r="483" spans="1:19" ht="19.95" customHeight="1" x14ac:dyDescent="0.3">
      <c r="A483" s="69"/>
      <c r="B483" s="69"/>
      <c r="C483" s="69"/>
      <c r="D483" s="69"/>
      <c r="E483" s="69"/>
      <c r="F483" s="69"/>
      <c r="G483" s="69"/>
      <c r="H483" s="69"/>
      <c r="I483" s="69"/>
      <c r="J483" s="69"/>
      <c r="K483" s="69"/>
      <c r="L483" s="69"/>
      <c r="M483" s="69"/>
      <c r="N483" s="69"/>
      <c r="O483" s="69"/>
      <c r="P483" s="69"/>
      <c r="Q483" s="69"/>
      <c r="R483" s="69"/>
      <c r="S483" s="69"/>
    </row>
    <row r="484" spans="1:19" ht="19.95" customHeight="1" x14ac:dyDescent="0.3">
      <c r="A484" s="69"/>
      <c r="B484" s="69"/>
      <c r="C484" s="69"/>
      <c r="D484" s="69"/>
      <c r="E484" s="69"/>
      <c r="F484" s="69"/>
      <c r="G484" s="69"/>
      <c r="H484" s="69"/>
      <c r="I484" s="69"/>
      <c r="J484" s="69"/>
      <c r="K484" s="69"/>
      <c r="L484" s="69"/>
      <c r="M484" s="69"/>
      <c r="N484" s="69"/>
      <c r="O484" s="69"/>
      <c r="P484" s="69"/>
      <c r="Q484" s="69"/>
      <c r="R484" s="69"/>
      <c r="S484" s="69"/>
    </row>
    <row r="485" spans="1:19" ht="19.95" customHeight="1" x14ac:dyDescent="0.3">
      <c r="A485" s="69"/>
      <c r="B485" s="69"/>
      <c r="C485" s="69"/>
      <c r="D485" s="69"/>
      <c r="E485" s="69"/>
      <c r="F485" s="69"/>
      <c r="G485" s="69"/>
      <c r="H485" s="69"/>
      <c r="I485" s="69"/>
      <c r="J485" s="69"/>
      <c r="K485" s="69"/>
      <c r="L485" s="69"/>
      <c r="M485" s="69"/>
      <c r="N485" s="69"/>
      <c r="O485" s="69"/>
      <c r="P485" s="69"/>
      <c r="Q485" s="69"/>
      <c r="R485" s="69"/>
      <c r="S485" s="69"/>
    </row>
    <row r="486" spans="1:19" ht="19.95" customHeight="1" x14ac:dyDescent="0.3">
      <c r="A486" s="69"/>
      <c r="B486" s="69"/>
      <c r="C486" s="69"/>
      <c r="D486" s="69"/>
      <c r="E486" s="69"/>
      <c r="F486" s="69"/>
      <c r="G486" s="69"/>
      <c r="H486" s="69"/>
      <c r="I486" s="69"/>
      <c r="J486" s="69"/>
      <c r="K486" s="69"/>
      <c r="L486" s="69"/>
      <c r="M486" s="69"/>
      <c r="N486" s="69"/>
      <c r="O486" s="69"/>
      <c r="P486" s="69"/>
      <c r="Q486" s="69"/>
      <c r="R486" s="69"/>
      <c r="S486" s="69"/>
    </row>
    <row r="487" spans="1:19" ht="19.95" customHeight="1" x14ac:dyDescent="0.3">
      <c r="A487" s="69"/>
      <c r="B487" s="69"/>
      <c r="C487" s="69"/>
      <c r="D487" s="69"/>
      <c r="E487" s="69"/>
      <c r="F487" s="69"/>
      <c r="G487" s="69"/>
      <c r="H487" s="69"/>
      <c r="I487" s="69"/>
      <c r="J487" s="69"/>
      <c r="K487" s="69"/>
      <c r="L487" s="69"/>
      <c r="M487" s="69"/>
      <c r="N487" s="69"/>
      <c r="O487" s="69"/>
      <c r="P487" s="69"/>
      <c r="Q487" s="69"/>
      <c r="R487" s="69"/>
      <c r="S487" s="69"/>
    </row>
    <row r="488" spans="1:19" ht="19.95" customHeight="1" x14ac:dyDescent="0.3">
      <c r="A488" s="69"/>
      <c r="B488" s="69"/>
      <c r="C488" s="69"/>
      <c r="D488" s="69"/>
      <c r="E488" s="69"/>
      <c r="F488" s="69"/>
      <c r="G488" s="69"/>
      <c r="H488" s="69"/>
      <c r="I488" s="69"/>
      <c r="J488" s="69"/>
      <c r="K488" s="69"/>
      <c r="L488" s="69"/>
      <c r="M488" s="69"/>
      <c r="N488" s="69"/>
      <c r="O488" s="69"/>
      <c r="P488" s="69"/>
      <c r="Q488" s="69"/>
      <c r="R488" s="69"/>
      <c r="S488" s="69"/>
    </row>
    <row r="489" spans="1:19" ht="19.95" customHeight="1" x14ac:dyDescent="0.3">
      <c r="A489" s="97" t="s">
        <v>304</v>
      </c>
      <c r="B489" s="97"/>
      <c r="C489" s="97"/>
      <c r="D489" s="97"/>
      <c r="E489" s="97"/>
      <c r="F489" s="97"/>
      <c r="G489" s="97"/>
      <c r="H489" s="97"/>
      <c r="I489" s="97"/>
      <c r="J489" s="97"/>
      <c r="K489" s="97"/>
      <c r="L489" s="97"/>
      <c r="M489" s="97"/>
      <c r="N489" s="97"/>
      <c r="O489" s="97"/>
      <c r="P489" s="97"/>
      <c r="Q489" s="97"/>
      <c r="R489" s="97"/>
      <c r="S489" s="97"/>
    </row>
    <row r="490" spans="1:19" ht="19.95" customHeight="1" x14ac:dyDescent="0.3">
      <c r="A490" s="69"/>
      <c r="B490" s="69"/>
      <c r="C490" s="69"/>
      <c r="D490" s="69"/>
      <c r="E490" s="69"/>
      <c r="F490" s="69"/>
      <c r="G490" s="69"/>
      <c r="H490" s="69"/>
      <c r="I490" s="69"/>
      <c r="J490" s="69"/>
      <c r="K490" s="69"/>
      <c r="L490" s="69"/>
      <c r="M490" s="69"/>
      <c r="N490" s="69"/>
      <c r="O490" s="69"/>
      <c r="P490" s="69"/>
      <c r="Q490" s="69"/>
      <c r="R490" s="69"/>
      <c r="S490" s="69"/>
    </row>
    <row r="491" spans="1:19" ht="19.95" customHeight="1" x14ac:dyDescent="0.3">
      <c r="A491" s="69"/>
      <c r="B491" s="69"/>
      <c r="C491" s="69"/>
      <c r="D491" s="69"/>
      <c r="E491" s="69"/>
      <c r="F491" s="69"/>
      <c r="G491" s="69"/>
      <c r="H491" s="69"/>
      <c r="I491" s="69"/>
      <c r="J491" s="69"/>
      <c r="K491" s="69"/>
      <c r="L491" s="69"/>
      <c r="M491" s="69"/>
      <c r="N491" s="69"/>
      <c r="O491" s="69"/>
      <c r="P491" s="69"/>
      <c r="Q491" s="69"/>
      <c r="R491" s="69"/>
      <c r="S491" s="69"/>
    </row>
    <row r="492" spans="1:19" ht="19.95" customHeight="1" x14ac:dyDescent="0.3">
      <c r="A492" s="69"/>
      <c r="B492" s="69"/>
      <c r="C492" s="69"/>
      <c r="D492" s="69"/>
      <c r="E492" s="69"/>
      <c r="F492" s="69"/>
      <c r="G492" s="69"/>
      <c r="H492" s="69"/>
      <c r="I492" s="69"/>
      <c r="J492" s="69"/>
      <c r="K492" s="69"/>
      <c r="L492" s="69"/>
      <c r="M492" s="69"/>
      <c r="N492" s="69"/>
      <c r="O492" s="69"/>
      <c r="P492" s="69"/>
      <c r="Q492" s="69"/>
      <c r="R492" s="69"/>
      <c r="S492" s="69"/>
    </row>
    <row r="493" spans="1:19" ht="19.95" customHeight="1" x14ac:dyDescent="0.3">
      <c r="A493" s="69"/>
      <c r="B493" s="69"/>
      <c r="C493" s="69"/>
      <c r="D493" s="69"/>
      <c r="E493" s="69"/>
      <c r="F493" s="69"/>
      <c r="G493" s="69"/>
      <c r="H493" s="69"/>
      <c r="I493" s="69"/>
      <c r="J493" s="69"/>
      <c r="K493" s="69"/>
      <c r="L493" s="69"/>
      <c r="M493" s="69"/>
      <c r="N493" s="69"/>
      <c r="O493" s="69"/>
      <c r="P493" s="69"/>
      <c r="Q493" s="69"/>
      <c r="R493" s="69"/>
      <c r="S493" s="69"/>
    </row>
    <row r="494" spans="1:19" ht="19.95" customHeight="1" x14ac:dyDescent="0.3">
      <c r="A494" s="69"/>
      <c r="B494" s="69"/>
      <c r="C494" s="69"/>
      <c r="D494" s="69"/>
      <c r="E494" s="69"/>
      <c r="F494" s="69"/>
      <c r="G494" s="69"/>
      <c r="H494" s="69"/>
      <c r="I494" s="69"/>
      <c r="J494" s="69"/>
      <c r="K494" s="69"/>
      <c r="L494" s="69"/>
      <c r="M494" s="69"/>
      <c r="N494" s="69"/>
      <c r="O494" s="69"/>
      <c r="P494" s="69"/>
      <c r="Q494" s="69"/>
      <c r="R494" s="69"/>
      <c r="S494" s="69"/>
    </row>
    <row r="495" spans="1:19" ht="19.95" customHeight="1" x14ac:dyDescent="0.3">
      <c r="A495" s="69"/>
      <c r="B495" s="69"/>
      <c r="C495" s="69"/>
      <c r="D495" s="69"/>
      <c r="E495" s="69"/>
      <c r="F495" s="69"/>
      <c r="G495" s="69"/>
      <c r="H495" s="69"/>
      <c r="I495" s="69"/>
      <c r="J495" s="69"/>
      <c r="K495" s="69"/>
      <c r="L495" s="69"/>
      <c r="M495" s="69"/>
      <c r="N495" s="69"/>
      <c r="O495" s="69"/>
      <c r="P495" s="69"/>
      <c r="Q495" s="69"/>
      <c r="R495" s="69"/>
      <c r="S495" s="69"/>
    </row>
    <row r="496" spans="1:19" ht="19.95" customHeight="1" x14ac:dyDescent="0.3">
      <c r="A496" s="69"/>
      <c r="B496" s="69"/>
      <c r="C496" s="69"/>
      <c r="D496" s="69"/>
      <c r="E496" s="69"/>
      <c r="F496" s="69"/>
      <c r="G496" s="69"/>
      <c r="H496" s="69"/>
      <c r="I496" s="69"/>
      <c r="J496" s="69"/>
      <c r="K496" s="69"/>
      <c r="L496" s="69"/>
      <c r="M496" s="69"/>
      <c r="N496" s="69"/>
      <c r="O496" s="69"/>
      <c r="P496" s="69"/>
      <c r="Q496" s="69"/>
      <c r="R496" s="69"/>
      <c r="S496" s="69"/>
    </row>
    <row r="497" spans="1:19" ht="19.95" customHeight="1" x14ac:dyDescent="0.3">
      <c r="A497" s="69"/>
      <c r="B497" s="69"/>
      <c r="C497" s="69"/>
      <c r="D497" s="69"/>
      <c r="E497" s="69"/>
      <c r="F497" s="69"/>
      <c r="G497" s="69"/>
      <c r="H497" s="69"/>
      <c r="I497" s="69"/>
      <c r="J497" s="69"/>
      <c r="K497" s="69"/>
      <c r="L497" s="69"/>
      <c r="M497" s="69"/>
      <c r="N497" s="69"/>
      <c r="O497" s="69"/>
      <c r="P497" s="69"/>
      <c r="Q497" s="69"/>
      <c r="R497" s="69"/>
      <c r="S497" s="69"/>
    </row>
    <row r="498" spans="1:19" ht="19.95" customHeight="1" x14ac:dyDescent="0.3">
      <c r="A498" s="69"/>
      <c r="B498" s="69"/>
      <c r="C498" s="69"/>
      <c r="D498" s="69"/>
      <c r="E498" s="69"/>
      <c r="F498" s="69"/>
      <c r="G498" s="69"/>
      <c r="H498" s="69"/>
      <c r="I498" s="69"/>
      <c r="J498" s="69"/>
      <c r="K498" s="69"/>
      <c r="L498" s="69"/>
      <c r="M498" s="69"/>
      <c r="N498" s="69"/>
      <c r="O498" s="69"/>
      <c r="P498" s="69"/>
      <c r="Q498" s="69"/>
      <c r="R498" s="69"/>
      <c r="S498" s="69"/>
    </row>
    <row r="499" spans="1:19" ht="19.95" customHeight="1" x14ac:dyDescent="0.3">
      <c r="A499" s="69"/>
      <c r="B499" s="69"/>
      <c r="C499" s="69"/>
      <c r="D499" s="69"/>
      <c r="E499" s="69"/>
      <c r="F499" s="69"/>
      <c r="G499" s="69"/>
      <c r="H499" s="69"/>
      <c r="I499" s="69"/>
      <c r="J499" s="69"/>
      <c r="K499" s="69"/>
      <c r="L499" s="69"/>
      <c r="M499" s="69"/>
      <c r="N499" s="69"/>
      <c r="O499" s="69"/>
      <c r="P499" s="69"/>
      <c r="Q499" s="69"/>
      <c r="R499" s="69"/>
      <c r="S499" s="69"/>
    </row>
    <row r="500" spans="1:19" ht="19.95" customHeight="1" x14ac:dyDescent="0.3">
      <c r="A500" s="69"/>
      <c r="B500" s="69"/>
      <c r="C500" s="69"/>
      <c r="D500" s="69"/>
      <c r="E500" s="69"/>
      <c r="F500" s="69"/>
      <c r="G500" s="69"/>
      <c r="H500" s="69"/>
      <c r="I500" s="69"/>
      <c r="J500" s="69"/>
      <c r="K500" s="69"/>
      <c r="L500" s="69"/>
      <c r="M500" s="69"/>
      <c r="N500" s="69"/>
      <c r="O500" s="69"/>
      <c r="P500" s="69"/>
      <c r="Q500" s="69"/>
      <c r="R500" s="69"/>
      <c r="S500" s="69"/>
    </row>
    <row r="501" spans="1:19" ht="19.95" customHeight="1" x14ac:dyDescent="0.3">
      <c r="A501" s="69"/>
      <c r="B501" s="69"/>
      <c r="C501" s="69"/>
      <c r="D501" s="69"/>
      <c r="E501" s="69"/>
      <c r="F501" s="69"/>
      <c r="G501" s="69"/>
      <c r="H501" s="69"/>
      <c r="I501" s="69"/>
      <c r="J501" s="69"/>
      <c r="K501" s="69"/>
      <c r="L501" s="69"/>
      <c r="M501" s="69"/>
      <c r="N501" s="69"/>
      <c r="O501" s="69"/>
      <c r="P501" s="69"/>
      <c r="Q501" s="69"/>
      <c r="R501" s="69"/>
      <c r="S501" s="69"/>
    </row>
    <row r="502" spans="1:19" ht="19.95" customHeight="1" x14ac:dyDescent="0.3">
      <c r="A502" s="69"/>
      <c r="B502" s="69"/>
      <c r="C502" s="69"/>
      <c r="D502" s="69"/>
      <c r="E502" s="69"/>
      <c r="F502" s="69"/>
      <c r="G502" s="69"/>
      <c r="H502" s="69"/>
      <c r="I502" s="69"/>
      <c r="J502" s="69"/>
      <c r="K502" s="69"/>
      <c r="L502" s="69"/>
      <c r="M502" s="69"/>
      <c r="N502" s="69"/>
      <c r="O502" s="69"/>
      <c r="P502" s="69"/>
      <c r="Q502" s="69"/>
      <c r="R502" s="69"/>
      <c r="S502" s="69"/>
    </row>
    <row r="503" spans="1:19" ht="19.95" customHeight="1" x14ac:dyDescent="0.3">
      <c r="A503" s="69"/>
      <c r="B503" s="69"/>
      <c r="C503" s="69"/>
      <c r="D503" s="69"/>
      <c r="E503" s="69"/>
      <c r="F503" s="69"/>
      <c r="G503" s="69"/>
      <c r="H503" s="69"/>
      <c r="I503" s="69"/>
      <c r="J503" s="69"/>
      <c r="K503" s="69"/>
      <c r="L503" s="69"/>
      <c r="M503" s="69"/>
      <c r="N503" s="69"/>
      <c r="O503" s="69"/>
      <c r="P503" s="69"/>
      <c r="Q503" s="69"/>
      <c r="R503" s="69"/>
      <c r="S503" s="69"/>
    </row>
    <row r="504" spans="1:19" ht="19.95" customHeight="1" x14ac:dyDescent="0.3">
      <c r="A504" s="69"/>
      <c r="B504" s="69"/>
      <c r="C504" s="69"/>
      <c r="D504" s="69"/>
      <c r="E504" s="69"/>
      <c r="F504" s="69"/>
      <c r="G504" s="69"/>
      <c r="H504" s="69"/>
      <c r="I504" s="69"/>
      <c r="J504" s="69"/>
      <c r="K504" s="69"/>
      <c r="L504" s="69"/>
      <c r="M504" s="69"/>
      <c r="N504" s="69"/>
      <c r="O504" s="69"/>
      <c r="P504" s="69"/>
      <c r="Q504" s="69"/>
      <c r="R504" s="69"/>
      <c r="S504" s="69"/>
    </row>
    <row r="505" spans="1:19" ht="19.95" customHeight="1" x14ac:dyDescent="0.3">
      <c r="A505" s="69"/>
      <c r="B505" s="69"/>
      <c r="C505" s="69"/>
      <c r="D505" s="69"/>
      <c r="E505" s="69"/>
      <c r="F505" s="69"/>
      <c r="G505" s="69"/>
      <c r="H505" s="69"/>
      <c r="I505" s="69"/>
      <c r="J505" s="69"/>
      <c r="K505" s="69"/>
      <c r="L505" s="69"/>
      <c r="M505" s="69"/>
      <c r="N505" s="69"/>
      <c r="O505" s="69"/>
      <c r="P505" s="69"/>
      <c r="Q505" s="69"/>
      <c r="R505" s="69"/>
      <c r="S505" s="69"/>
    </row>
    <row r="506" spans="1:19" ht="19.95" customHeight="1" x14ac:dyDescent="0.3">
      <c r="A506" s="69"/>
      <c r="B506" s="69"/>
      <c r="C506" s="69"/>
      <c r="D506" s="69"/>
      <c r="E506" s="69"/>
      <c r="F506" s="69"/>
      <c r="G506" s="69"/>
      <c r="H506" s="69"/>
      <c r="I506" s="69"/>
      <c r="J506" s="69"/>
      <c r="K506" s="69"/>
      <c r="L506" s="69"/>
      <c r="M506" s="69"/>
      <c r="N506" s="69"/>
      <c r="O506" s="69"/>
      <c r="P506" s="69"/>
      <c r="Q506" s="69"/>
      <c r="R506" s="69"/>
      <c r="S506" s="69"/>
    </row>
    <row r="507" spans="1:19" ht="19.95" customHeight="1" x14ac:dyDescent="0.3">
      <c r="A507" s="69"/>
      <c r="B507" s="69"/>
      <c r="C507" s="69"/>
      <c r="D507" s="69"/>
      <c r="E507" s="69"/>
      <c r="F507" s="69"/>
      <c r="G507" s="69"/>
      <c r="H507" s="69"/>
      <c r="I507" s="69"/>
      <c r="J507" s="69"/>
      <c r="K507" s="69"/>
      <c r="L507" s="69"/>
      <c r="M507" s="69"/>
      <c r="N507" s="69"/>
      <c r="O507" s="69"/>
      <c r="P507" s="69"/>
      <c r="Q507" s="69"/>
      <c r="R507" s="69"/>
      <c r="S507" s="69"/>
    </row>
    <row r="508" spans="1:19" ht="19.95" customHeight="1" x14ac:dyDescent="0.3">
      <c r="A508" s="69"/>
      <c r="B508" s="69"/>
      <c r="C508" s="69"/>
      <c r="D508" s="69"/>
      <c r="E508" s="69"/>
      <c r="F508" s="69"/>
      <c r="G508" s="69"/>
      <c r="H508" s="69"/>
      <c r="I508" s="69"/>
      <c r="J508" s="69"/>
      <c r="K508" s="69"/>
      <c r="L508" s="69"/>
      <c r="M508" s="69"/>
      <c r="N508" s="69"/>
      <c r="O508" s="69"/>
      <c r="P508" s="69"/>
      <c r="Q508" s="69"/>
      <c r="R508" s="69"/>
      <c r="S508" s="69"/>
    </row>
    <row r="509" spans="1:19" ht="19.95" customHeight="1" x14ac:dyDescent="0.3">
      <c r="A509" s="69"/>
      <c r="B509" s="69"/>
      <c r="C509" s="69"/>
      <c r="D509" s="69"/>
      <c r="E509" s="69"/>
      <c r="F509" s="69"/>
      <c r="G509" s="69"/>
      <c r="H509" s="69"/>
      <c r="I509" s="69"/>
      <c r="J509" s="69"/>
      <c r="K509" s="69"/>
      <c r="L509" s="69"/>
      <c r="M509" s="69"/>
      <c r="N509" s="69"/>
      <c r="O509" s="69"/>
      <c r="P509" s="69"/>
      <c r="Q509" s="69"/>
      <c r="R509" s="69"/>
      <c r="S509" s="69"/>
    </row>
    <row r="510" spans="1:19" ht="19.95" customHeight="1" x14ac:dyDescent="0.3">
      <c r="A510" s="69"/>
      <c r="B510" s="69"/>
      <c r="C510" s="69"/>
      <c r="D510" s="69"/>
      <c r="E510" s="69"/>
      <c r="F510" s="69"/>
      <c r="G510" s="69"/>
      <c r="H510" s="69"/>
      <c r="I510" s="69"/>
      <c r="J510" s="69"/>
      <c r="K510" s="69"/>
      <c r="L510" s="69"/>
      <c r="M510" s="69"/>
      <c r="N510" s="69"/>
      <c r="O510" s="69"/>
      <c r="P510" s="69"/>
      <c r="Q510" s="69"/>
      <c r="R510" s="69"/>
      <c r="S510" s="69"/>
    </row>
    <row r="511" spans="1:19" ht="19.95" customHeight="1" x14ac:dyDescent="0.3">
      <c r="A511" s="69"/>
      <c r="B511" s="69"/>
      <c r="C511" s="69"/>
      <c r="D511" s="69"/>
      <c r="E511" s="69"/>
      <c r="F511" s="69"/>
      <c r="G511" s="69"/>
      <c r="H511" s="69"/>
      <c r="I511" s="69"/>
      <c r="J511" s="69"/>
      <c r="K511" s="69"/>
      <c r="L511" s="69"/>
      <c r="M511" s="69"/>
      <c r="N511" s="69"/>
      <c r="O511" s="69"/>
      <c r="P511" s="69"/>
      <c r="Q511" s="69"/>
      <c r="R511" s="69"/>
      <c r="S511" s="69"/>
    </row>
    <row r="512" spans="1:19" ht="19.95" customHeight="1" x14ac:dyDescent="0.3">
      <c r="A512" s="97" t="s">
        <v>305</v>
      </c>
      <c r="B512" s="97"/>
      <c r="C512" s="97"/>
      <c r="D512" s="97"/>
      <c r="E512" s="97"/>
      <c r="F512" s="97"/>
      <c r="G512" s="97"/>
      <c r="H512" s="97"/>
      <c r="I512" s="97"/>
      <c r="J512" s="97"/>
      <c r="K512" s="97"/>
      <c r="L512" s="97"/>
      <c r="M512" s="97"/>
      <c r="N512" s="97"/>
      <c r="O512" s="97"/>
      <c r="P512" s="97"/>
      <c r="Q512" s="97"/>
      <c r="R512" s="97"/>
      <c r="S512" s="97"/>
    </row>
    <row r="513" spans="1:19" ht="19.95" customHeight="1" x14ac:dyDescent="0.3">
      <c r="A513" s="69"/>
      <c r="B513" s="69"/>
      <c r="C513" s="69"/>
      <c r="D513" s="69"/>
      <c r="E513" s="69"/>
      <c r="F513" s="69"/>
      <c r="G513" s="69"/>
      <c r="H513" s="69"/>
      <c r="I513" s="69"/>
      <c r="J513" s="69"/>
      <c r="K513" s="69"/>
      <c r="L513" s="69"/>
      <c r="M513" s="69"/>
      <c r="N513" s="69"/>
      <c r="O513" s="69"/>
      <c r="P513" s="69"/>
      <c r="Q513" s="69"/>
      <c r="R513" s="69"/>
      <c r="S513" s="69"/>
    </row>
    <row r="514" spans="1:19" ht="19.95" customHeight="1" x14ac:dyDescent="0.3">
      <c r="A514" s="69"/>
      <c r="B514" s="69"/>
      <c r="C514" s="69"/>
      <c r="D514" s="69"/>
      <c r="E514" s="69"/>
      <c r="F514" s="69"/>
      <c r="G514" s="69"/>
      <c r="H514" s="69"/>
      <c r="I514" s="69"/>
      <c r="J514" s="69"/>
      <c r="K514" s="69"/>
      <c r="L514" s="69"/>
      <c r="M514" s="69"/>
      <c r="N514" s="69"/>
      <c r="O514" s="69"/>
      <c r="P514" s="69"/>
      <c r="Q514" s="69"/>
      <c r="R514" s="69"/>
      <c r="S514" s="69"/>
    </row>
    <row r="515" spans="1:19" ht="19.95" customHeight="1" x14ac:dyDescent="0.3">
      <c r="A515" s="69"/>
      <c r="B515" s="69"/>
      <c r="C515" s="69"/>
      <c r="D515" s="69"/>
      <c r="E515" s="69"/>
      <c r="F515" s="69"/>
      <c r="G515" s="69"/>
      <c r="H515" s="69"/>
      <c r="I515" s="69"/>
      <c r="J515" s="69"/>
      <c r="K515" s="69"/>
      <c r="L515" s="69"/>
      <c r="M515" s="69"/>
      <c r="N515" s="69"/>
      <c r="O515" s="69"/>
      <c r="P515" s="69"/>
      <c r="Q515" s="69"/>
      <c r="R515" s="69"/>
      <c r="S515" s="69"/>
    </row>
    <row r="516" spans="1:19" ht="19.95" customHeight="1" x14ac:dyDescent="0.3">
      <c r="A516" s="69"/>
      <c r="B516" s="69"/>
      <c r="C516" s="69"/>
      <c r="D516" s="69"/>
      <c r="E516" s="69"/>
      <c r="F516" s="69"/>
      <c r="G516" s="69"/>
      <c r="H516" s="69"/>
      <c r="I516" s="69"/>
      <c r="J516" s="69"/>
      <c r="K516" s="69"/>
      <c r="L516" s="69"/>
      <c r="M516" s="69"/>
      <c r="N516" s="69"/>
      <c r="O516" s="69"/>
      <c r="P516" s="69"/>
      <c r="Q516" s="69"/>
      <c r="R516" s="69"/>
      <c r="S516" s="69"/>
    </row>
    <row r="517" spans="1:19" ht="19.95" customHeight="1" x14ac:dyDescent="0.3">
      <c r="A517" s="69"/>
      <c r="B517" s="69"/>
      <c r="C517" s="69"/>
      <c r="D517" s="69"/>
      <c r="E517" s="69"/>
      <c r="F517" s="69"/>
      <c r="G517" s="69"/>
      <c r="H517" s="69"/>
      <c r="I517" s="69"/>
      <c r="J517" s="69"/>
      <c r="K517" s="69"/>
      <c r="L517" s="69"/>
      <c r="M517" s="69"/>
      <c r="N517" s="69"/>
      <c r="O517" s="69"/>
      <c r="P517" s="69"/>
      <c r="Q517" s="69"/>
      <c r="R517" s="69"/>
      <c r="S517" s="69"/>
    </row>
    <row r="518" spans="1:19" ht="19.95" customHeight="1" x14ac:dyDescent="0.3">
      <c r="A518" s="69"/>
      <c r="B518" s="69"/>
      <c r="C518" s="69"/>
      <c r="D518" s="69"/>
      <c r="E518" s="69"/>
      <c r="F518" s="69"/>
      <c r="G518" s="69"/>
      <c r="H518" s="69"/>
      <c r="I518" s="69"/>
      <c r="J518" s="69"/>
      <c r="K518" s="69"/>
      <c r="L518" s="69"/>
      <c r="M518" s="69"/>
      <c r="N518" s="69"/>
      <c r="O518" s="69"/>
      <c r="P518" s="69"/>
      <c r="Q518" s="69"/>
      <c r="R518" s="69"/>
      <c r="S518" s="69"/>
    </row>
    <row r="519" spans="1:19" ht="19.95" customHeight="1" x14ac:dyDescent="0.3">
      <c r="A519" s="69"/>
      <c r="B519" s="69"/>
      <c r="C519" s="69"/>
      <c r="D519" s="69"/>
      <c r="E519" s="69"/>
      <c r="F519" s="69"/>
      <c r="G519" s="69"/>
      <c r="H519" s="69"/>
      <c r="I519" s="69"/>
      <c r="J519" s="69"/>
      <c r="K519" s="69"/>
      <c r="L519" s="69"/>
      <c r="M519" s="69"/>
      <c r="N519" s="69"/>
      <c r="O519" s="69"/>
      <c r="P519" s="69"/>
      <c r="Q519" s="69"/>
      <c r="R519" s="69"/>
      <c r="S519" s="69"/>
    </row>
    <row r="520" spans="1:19" ht="19.95" customHeight="1" x14ac:dyDescent="0.3">
      <c r="A520" s="69"/>
      <c r="B520" s="69"/>
      <c r="C520" s="69"/>
      <c r="D520" s="69"/>
      <c r="E520" s="69"/>
      <c r="F520" s="69"/>
      <c r="G520" s="69"/>
      <c r="H520" s="69"/>
      <c r="I520" s="69"/>
      <c r="J520" s="69"/>
      <c r="K520" s="69"/>
      <c r="L520" s="69"/>
      <c r="M520" s="69"/>
      <c r="N520" s="69"/>
      <c r="O520" s="69"/>
      <c r="P520" s="69"/>
      <c r="Q520" s="69"/>
      <c r="R520" s="69"/>
      <c r="S520" s="69"/>
    </row>
    <row r="521" spans="1:19" ht="19.95" customHeight="1" x14ac:dyDescent="0.3">
      <c r="A521" s="69"/>
      <c r="B521" s="69"/>
      <c r="C521" s="69"/>
      <c r="D521" s="69"/>
      <c r="E521" s="69"/>
      <c r="F521" s="69"/>
      <c r="G521" s="69"/>
      <c r="H521" s="69"/>
      <c r="I521" s="69"/>
      <c r="J521" s="69"/>
      <c r="K521" s="69"/>
      <c r="L521" s="69"/>
      <c r="M521" s="69"/>
      <c r="N521" s="69"/>
      <c r="O521" s="69"/>
      <c r="P521" s="69"/>
      <c r="Q521" s="69"/>
      <c r="R521" s="69"/>
      <c r="S521" s="69"/>
    </row>
    <row r="522" spans="1:19" ht="19.95" customHeight="1" x14ac:dyDescent="0.3">
      <c r="A522" s="69"/>
      <c r="B522" s="69"/>
      <c r="C522" s="69"/>
      <c r="D522" s="69"/>
      <c r="E522" s="69"/>
      <c r="F522" s="69"/>
      <c r="G522" s="69"/>
      <c r="H522" s="69"/>
      <c r="I522" s="69"/>
      <c r="J522" s="69"/>
      <c r="K522" s="69"/>
      <c r="L522" s="69"/>
      <c r="M522" s="69"/>
      <c r="N522" s="69"/>
      <c r="O522" s="69"/>
      <c r="P522" s="69"/>
      <c r="Q522" s="69"/>
      <c r="R522" s="69"/>
      <c r="S522" s="69"/>
    </row>
    <row r="523" spans="1:19" ht="19.95" customHeight="1" x14ac:dyDescent="0.3">
      <c r="A523" s="69"/>
      <c r="B523" s="69"/>
      <c r="C523" s="69"/>
      <c r="D523" s="69"/>
      <c r="E523" s="69"/>
      <c r="F523" s="69"/>
      <c r="G523" s="69"/>
      <c r="H523" s="69"/>
      <c r="I523" s="69"/>
      <c r="J523" s="69"/>
      <c r="K523" s="69"/>
      <c r="L523" s="69"/>
      <c r="M523" s="69"/>
      <c r="N523" s="69"/>
      <c r="O523" s="69"/>
      <c r="P523" s="69"/>
      <c r="Q523" s="69"/>
      <c r="R523" s="69"/>
      <c r="S523" s="69"/>
    </row>
    <row r="524" spans="1:19" ht="19.95" customHeight="1" x14ac:dyDescent="0.3">
      <c r="A524" s="69"/>
      <c r="B524" s="69"/>
      <c r="C524" s="69"/>
      <c r="D524" s="69"/>
      <c r="E524" s="69"/>
      <c r="F524" s="69"/>
      <c r="G524" s="69"/>
      <c r="H524" s="69"/>
      <c r="I524" s="69"/>
      <c r="J524" s="69"/>
      <c r="K524" s="69"/>
      <c r="L524" s="69"/>
      <c r="M524" s="69"/>
      <c r="N524" s="69"/>
      <c r="O524" s="69"/>
      <c r="P524" s="69"/>
      <c r="Q524" s="69"/>
      <c r="R524" s="69"/>
      <c r="S524" s="69"/>
    </row>
    <row r="525" spans="1:19" ht="19.95" customHeight="1" x14ac:dyDescent="0.3">
      <c r="A525" s="69"/>
      <c r="B525" s="69"/>
      <c r="C525" s="69"/>
      <c r="D525" s="69"/>
      <c r="E525" s="69"/>
      <c r="F525" s="69"/>
      <c r="G525" s="69"/>
      <c r="H525" s="69"/>
      <c r="I525" s="69"/>
      <c r="J525" s="69"/>
      <c r="K525" s="69"/>
      <c r="L525" s="69"/>
      <c r="M525" s="69"/>
      <c r="N525" s="69"/>
      <c r="O525" s="69"/>
      <c r="P525" s="69"/>
      <c r="Q525" s="69"/>
      <c r="R525" s="69"/>
      <c r="S525" s="69"/>
    </row>
    <row r="526" spans="1:19" ht="19.95" customHeight="1" x14ac:dyDescent="0.3">
      <c r="A526" s="69"/>
      <c r="B526" s="69"/>
      <c r="C526" s="69"/>
      <c r="D526" s="69"/>
      <c r="E526" s="69"/>
      <c r="F526" s="69"/>
      <c r="G526" s="69"/>
      <c r="H526" s="69"/>
      <c r="I526" s="69"/>
      <c r="J526" s="69"/>
      <c r="K526" s="69"/>
      <c r="L526" s="69"/>
      <c r="M526" s="69"/>
      <c r="N526" s="69"/>
      <c r="O526" s="69"/>
      <c r="P526" s="69"/>
      <c r="Q526" s="69"/>
      <c r="R526" s="69"/>
      <c r="S526" s="69"/>
    </row>
    <row r="527" spans="1:19" ht="19.95" customHeight="1" x14ac:dyDescent="0.3">
      <c r="A527" s="69"/>
      <c r="B527" s="69"/>
      <c r="C527" s="69"/>
      <c r="D527" s="69"/>
      <c r="E527" s="69"/>
      <c r="F527" s="69"/>
      <c r="G527" s="69"/>
      <c r="H527" s="69"/>
      <c r="I527" s="69"/>
      <c r="J527" s="69"/>
      <c r="K527" s="69"/>
      <c r="L527" s="69"/>
      <c r="M527" s="69"/>
      <c r="N527" s="69"/>
      <c r="O527" s="69"/>
      <c r="P527" s="69"/>
      <c r="Q527" s="69"/>
      <c r="R527" s="69"/>
      <c r="S527" s="69"/>
    </row>
    <row r="528" spans="1:19" ht="19.95" customHeight="1" x14ac:dyDescent="0.3">
      <c r="A528" s="69"/>
      <c r="B528" s="69"/>
      <c r="C528" s="69"/>
      <c r="D528" s="69"/>
      <c r="E528" s="69"/>
      <c r="F528" s="69"/>
      <c r="G528" s="69"/>
      <c r="H528" s="69"/>
      <c r="I528" s="69"/>
      <c r="J528" s="69"/>
      <c r="K528" s="69"/>
      <c r="L528" s="69"/>
      <c r="M528" s="69"/>
      <c r="N528" s="69"/>
      <c r="O528" s="69"/>
      <c r="P528" s="69"/>
      <c r="Q528" s="69"/>
      <c r="R528" s="69"/>
      <c r="S528" s="69"/>
    </row>
    <row r="529" spans="1:19" ht="19.95" customHeight="1" x14ac:dyDescent="0.3">
      <c r="A529" s="69"/>
      <c r="B529" s="69"/>
      <c r="C529" s="69"/>
      <c r="D529" s="69"/>
      <c r="E529" s="69"/>
      <c r="F529" s="69"/>
      <c r="G529" s="69"/>
      <c r="H529" s="69"/>
      <c r="I529" s="69"/>
      <c r="J529" s="69"/>
      <c r="K529" s="69"/>
      <c r="L529" s="69"/>
      <c r="M529" s="69"/>
      <c r="N529" s="69"/>
      <c r="O529" s="69"/>
      <c r="P529" s="69"/>
      <c r="Q529" s="69"/>
      <c r="R529" s="69"/>
      <c r="S529" s="69"/>
    </row>
    <row r="530" spans="1:19" ht="19.95" customHeight="1" x14ac:dyDescent="0.3">
      <c r="A530" s="69"/>
      <c r="B530" s="69"/>
      <c r="C530" s="69"/>
      <c r="D530" s="69"/>
      <c r="E530" s="69"/>
      <c r="F530" s="69"/>
      <c r="G530" s="69"/>
      <c r="H530" s="69"/>
      <c r="I530" s="69"/>
      <c r="J530" s="69"/>
      <c r="K530" s="69"/>
      <c r="L530" s="69"/>
      <c r="M530" s="69"/>
      <c r="N530" s="69"/>
      <c r="O530" s="69"/>
      <c r="P530" s="69"/>
      <c r="Q530" s="69"/>
      <c r="R530" s="69"/>
      <c r="S530" s="69"/>
    </row>
    <row r="531" spans="1:19" ht="19.95" customHeight="1" x14ac:dyDescent="0.3">
      <c r="A531" s="69"/>
      <c r="B531" s="69"/>
      <c r="C531" s="69"/>
      <c r="D531" s="69"/>
      <c r="E531" s="69"/>
      <c r="F531" s="69"/>
      <c r="G531" s="69"/>
      <c r="H531" s="69"/>
      <c r="I531" s="69"/>
      <c r="J531" s="69"/>
      <c r="K531" s="69"/>
      <c r="L531" s="69"/>
      <c r="M531" s="69"/>
      <c r="N531" s="69"/>
      <c r="O531" s="69"/>
      <c r="P531" s="69"/>
      <c r="Q531" s="69"/>
      <c r="R531" s="69"/>
      <c r="S531" s="69"/>
    </row>
    <row r="532" spans="1:19" ht="19.95" customHeight="1" x14ac:dyDescent="0.3">
      <c r="A532" s="69"/>
      <c r="B532" s="69"/>
      <c r="C532" s="69"/>
      <c r="D532" s="69"/>
      <c r="E532" s="69"/>
      <c r="F532" s="69"/>
      <c r="G532" s="69"/>
      <c r="H532" s="69"/>
      <c r="I532" s="69"/>
      <c r="J532" s="69"/>
      <c r="K532" s="69"/>
      <c r="L532" s="69"/>
      <c r="M532" s="69"/>
      <c r="N532" s="69"/>
      <c r="O532" s="69"/>
      <c r="P532" s="69"/>
      <c r="Q532" s="69"/>
      <c r="R532" s="69"/>
      <c r="S532" s="69"/>
    </row>
    <row r="533" spans="1:19" ht="19.95" customHeight="1" x14ac:dyDescent="0.3">
      <c r="A533" s="69"/>
      <c r="B533" s="69"/>
      <c r="C533" s="69"/>
      <c r="D533" s="69"/>
      <c r="E533" s="69"/>
      <c r="F533" s="69"/>
      <c r="G533" s="69"/>
      <c r="H533" s="69"/>
      <c r="I533" s="69"/>
      <c r="J533" s="69"/>
      <c r="K533" s="69"/>
      <c r="L533" s="69"/>
      <c r="M533" s="69"/>
      <c r="N533" s="69"/>
      <c r="O533" s="69"/>
      <c r="P533" s="69"/>
      <c r="Q533" s="69"/>
      <c r="R533" s="69"/>
      <c r="S533" s="69"/>
    </row>
    <row r="534" spans="1:19" ht="19.95" customHeight="1" x14ac:dyDescent="0.3">
      <c r="A534" s="69"/>
      <c r="B534" s="69"/>
      <c r="C534" s="69"/>
      <c r="D534" s="69"/>
      <c r="E534" s="69"/>
      <c r="F534" s="69"/>
      <c r="G534" s="69"/>
      <c r="H534" s="69"/>
      <c r="I534" s="69"/>
      <c r="J534" s="69"/>
      <c r="K534" s="69"/>
      <c r="L534" s="69"/>
      <c r="M534" s="69"/>
      <c r="N534" s="69"/>
      <c r="O534" s="69"/>
      <c r="P534" s="69"/>
      <c r="Q534" s="69"/>
      <c r="R534" s="69"/>
      <c r="S534" s="69"/>
    </row>
    <row r="535" spans="1:19" ht="19.95" customHeight="1" x14ac:dyDescent="0.3">
      <c r="A535" s="97" t="s">
        <v>306</v>
      </c>
      <c r="B535" s="97"/>
      <c r="C535" s="97"/>
      <c r="D535" s="97"/>
      <c r="E535" s="97"/>
      <c r="F535" s="97"/>
      <c r="G535" s="97"/>
      <c r="H535" s="97"/>
      <c r="I535" s="97"/>
      <c r="J535" s="97"/>
      <c r="K535" s="97"/>
      <c r="L535" s="97"/>
      <c r="M535" s="97"/>
      <c r="N535" s="97"/>
      <c r="O535" s="97"/>
      <c r="P535" s="97"/>
      <c r="Q535" s="97"/>
      <c r="R535" s="97"/>
      <c r="S535" s="97"/>
    </row>
    <row r="536" spans="1:19" ht="19.95" customHeight="1" x14ac:dyDescent="0.3">
      <c r="A536" s="69"/>
      <c r="B536" s="69"/>
      <c r="C536" s="69"/>
      <c r="D536" s="69"/>
      <c r="E536" s="69"/>
      <c r="F536" s="69"/>
      <c r="G536" s="69"/>
      <c r="H536" s="69"/>
      <c r="I536" s="69"/>
      <c r="J536" s="69"/>
      <c r="K536" s="69"/>
      <c r="L536" s="69"/>
      <c r="M536" s="69"/>
      <c r="N536" s="69"/>
      <c r="O536" s="69"/>
      <c r="P536" s="69"/>
      <c r="Q536" s="69"/>
      <c r="R536" s="69"/>
      <c r="S536" s="69"/>
    </row>
    <row r="537" spans="1:19" ht="19.95" customHeight="1" x14ac:dyDescent="0.3">
      <c r="A537" s="69"/>
      <c r="B537" s="69"/>
      <c r="C537" s="69"/>
      <c r="D537" s="69"/>
      <c r="E537" s="69"/>
      <c r="F537" s="69"/>
      <c r="G537" s="69"/>
      <c r="H537" s="69"/>
      <c r="I537" s="69"/>
      <c r="J537" s="69"/>
      <c r="K537" s="69"/>
      <c r="L537" s="69"/>
      <c r="M537" s="69"/>
      <c r="N537" s="69"/>
      <c r="O537" s="69"/>
      <c r="P537" s="69"/>
      <c r="Q537" s="69"/>
      <c r="R537" s="69"/>
      <c r="S537" s="69"/>
    </row>
    <row r="538" spans="1:19" ht="19.95" customHeight="1" x14ac:dyDescent="0.3">
      <c r="A538" s="69"/>
      <c r="B538" s="69"/>
      <c r="C538" s="69"/>
      <c r="D538" s="69"/>
      <c r="E538" s="69"/>
      <c r="F538" s="69"/>
      <c r="G538" s="69"/>
      <c r="H538" s="69"/>
      <c r="I538" s="69"/>
      <c r="J538" s="69"/>
      <c r="K538" s="69"/>
      <c r="L538" s="69"/>
      <c r="M538" s="69"/>
      <c r="N538" s="69"/>
      <c r="O538" s="69"/>
      <c r="P538" s="69"/>
      <c r="Q538" s="69"/>
      <c r="R538" s="69"/>
      <c r="S538" s="69"/>
    </row>
    <row r="539" spans="1:19" ht="19.95" customHeight="1" x14ac:dyDescent="0.3">
      <c r="A539" s="69"/>
      <c r="B539" s="69"/>
      <c r="C539" s="69"/>
      <c r="D539" s="69"/>
      <c r="E539" s="69"/>
      <c r="F539" s="69"/>
      <c r="G539" s="69"/>
      <c r="H539" s="69"/>
      <c r="I539" s="69"/>
      <c r="J539" s="69"/>
      <c r="K539" s="69"/>
      <c r="L539" s="69"/>
      <c r="M539" s="69"/>
      <c r="N539" s="69"/>
      <c r="O539" s="69"/>
      <c r="P539" s="69"/>
      <c r="Q539" s="69"/>
      <c r="R539" s="69"/>
      <c r="S539" s="69"/>
    </row>
    <row r="540" spans="1:19" ht="19.95" customHeight="1" x14ac:dyDescent="0.3">
      <c r="A540" s="69"/>
      <c r="B540" s="69"/>
      <c r="C540" s="69"/>
      <c r="D540" s="69"/>
      <c r="E540" s="69"/>
      <c r="F540" s="69"/>
      <c r="G540" s="69"/>
      <c r="H540" s="69"/>
      <c r="I540" s="69"/>
      <c r="J540" s="69"/>
      <c r="K540" s="69"/>
      <c r="L540" s="69"/>
      <c r="M540" s="69"/>
      <c r="N540" s="69"/>
      <c r="O540" s="69"/>
      <c r="P540" s="69"/>
      <c r="Q540" s="69"/>
      <c r="R540" s="69"/>
      <c r="S540" s="69"/>
    </row>
    <row r="541" spans="1:19" ht="19.95" customHeight="1" x14ac:dyDescent="0.3">
      <c r="A541" s="69"/>
      <c r="B541" s="69"/>
      <c r="C541" s="69"/>
      <c r="D541" s="69"/>
      <c r="E541" s="69"/>
      <c r="F541" s="69"/>
      <c r="G541" s="69"/>
      <c r="H541" s="69"/>
      <c r="I541" s="69"/>
      <c r="J541" s="69"/>
      <c r="K541" s="69"/>
      <c r="L541" s="69"/>
      <c r="M541" s="69"/>
      <c r="N541" s="69"/>
      <c r="O541" s="69"/>
      <c r="P541" s="69"/>
      <c r="Q541" s="69"/>
      <c r="R541" s="69"/>
      <c r="S541" s="69"/>
    </row>
    <row r="542" spans="1:19" ht="19.95" customHeight="1" x14ac:dyDescent="0.3">
      <c r="A542" s="69"/>
      <c r="B542" s="69"/>
      <c r="C542" s="69"/>
      <c r="D542" s="69"/>
      <c r="E542" s="69"/>
      <c r="F542" s="69"/>
      <c r="G542" s="69"/>
      <c r="H542" s="69"/>
      <c r="I542" s="69"/>
      <c r="J542" s="69"/>
      <c r="K542" s="69"/>
      <c r="L542" s="69"/>
      <c r="M542" s="69"/>
      <c r="N542" s="69"/>
      <c r="O542" s="69"/>
      <c r="P542" s="69"/>
      <c r="Q542" s="69"/>
      <c r="R542" s="69"/>
      <c r="S542" s="69"/>
    </row>
    <row r="543" spans="1:19" ht="19.95" customHeight="1" x14ac:dyDescent="0.3">
      <c r="A543" s="69"/>
      <c r="B543" s="69"/>
      <c r="C543" s="69"/>
      <c r="D543" s="69"/>
      <c r="E543" s="69"/>
      <c r="F543" s="69"/>
      <c r="G543" s="69"/>
      <c r="H543" s="69"/>
      <c r="I543" s="69"/>
      <c r="J543" s="69"/>
      <c r="K543" s="69"/>
      <c r="L543" s="69"/>
      <c r="M543" s="69"/>
      <c r="N543" s="69"/>
      <c r="O543" s="69"/>
      <c r="P543" s="69"/>
      <c r="Q543" s="69"/>
      <c r="R543" s="69"/>
      <c r="S543" s="69"/>
    </row>
    <row r="544" spans="1:19" ht="19.95" customHeight="1" x14ac:dyDescent="0.3">
      <c r="A544" s="69"/>
      <c r="B544" s="69"/>
      <c r="C544" s="69"/>
      <c r="D544" s="69"/>
      <c r="E544" s="69"/>
      <c r="F544" s="69"/>
      <c r="G544" s="69"/>
      <c r="H544" s="69"/>
      <c r="I544" s="69"/>
      <c r="J544" s="69"/>
      <c r="K544" s="69"/>
      <c r="L544" s="69"/>
      <c r="M544" s="69"/>
      <c r="N544" s="69"/>
      <c r="O544" s="69"/>
      <c r="P544" s="69"/>
      <c r="Q544" s="69"/>
      <c r="R544" s="69"/>
      <c r="S544" s="69"/>
    </row>
    <row r="545" spans="1:19" ht="19.95" customHeight="1" x14ac:dyDescent="0.3">
      <c r="A545" s="69"/>
      <c r="B545" s="69"/>
      <c r="C545" s="69"/>
      <c r="D545" s="69"/>
      <c r="E545" s="69"/>
      <c r="F545" s="69"/>
      <c r="G545" s="69"/>
      <c r="H545" s="69"/>
      <c r="I545" s="69"/>
      <c r="J545" s="69"/>
      <c r="K545" s="69"/>
      <c r="L545" s="69"/>
      <c r="M545" s="69"/>
      <c r="N545" s="69"/>
      <c r="O545" s="69"/>
      <c r="P545" s="69"/>
      <c r="Q545" s="69"/>
      <c r="R545" s="69"/>
      <c r="S545" s="69"/>
    </row>
    <row r="546" spans="1:19" ht="19.95" customHeight="1" x14ac:dyDescent="0.3">
      <c r="A546" s="69"/>
      <c r="B546" s="69"/>
      <c r="C546" s="69"/>
      <c r="D546" s="69"/>
      <c r="E546" s="69"/>
      <c r="F546" s="69"/>
      <c r="G546" s="69"/>
      <c r="H546" s="69"/>
      <c r="I546" s="69"/>
      <c r="J546" s="69"/>
      <c r="K546" s="69"/>
      <c r="L546" s="69"/>
      <c r="M546" s="69"/>
      <c r="N546" s="69"/>
      <c r="O546" s="69"/>
      <c r="P546" s="69"/>
      <c r="Q546" s="69"/>
      <c r="R546" s="69"/>
      <c r="S546" s="69"/>
    </row>
    <row r="547" spans="1:19" ht="19.95" customHeight="1" x14ac:dyDescent="0.3">
      <c r="A547" s="69"/>
      <c r="B547" s="69"/>
      <c r="C547" s="69"/>
      <c r="D547" s="69"/>
      <c r="E547" s="69"/>
      <c r="F547" s="69"/>
      <c r="G547" s="69"/>
      <c r="H547" s="69"/>
      <c r="I547" s="69"/>
      <c r="J547" s="69"/>
      <c r="K547" s="69"/>
      <c r="L547" s="69"/>
      <c r="M547" s="69"/>
      <c r="N547" s="69"/>
      <c r="O547" s="69"/>
      <c r="P547" s="69"/>
      <c r="Q547" s="69"/>
      <c r="R547" s="69"/>
      <c r="S547" s="69"/>
    </row>
    <row r="548" spans="1:19" ht="19.95" customHeight="1" x14ac:dyDescent="0.3">
      <c r="A548" s="69"/>
      <c r="B548" s="69"/>
      <c r="C548" s="69"/>
      <c r="D548" s="69"/>
      <c r="E548" s="69"/>
      <c r="F548" s="69"/>
      <c r="G548" s="69"/>
      <c r="H548" s="69"/>
      <c r="I548" s="69"/>
      <c r="J548" s="69"/>
      <c r="K548" s="69"/>
      <c r="L548" s="69"/>
      <c r="M548" s="69"/>
      <c r="N548" s="69"/>
      <c r="O548" s="69"/>
      <c r="P548" s="69"/>
      <c r="Q548" s="69"/>
      <c r="R548" s="69"/>
      <c r="S548" s="69"/>
    </row>
    <row r="549" spans="1:19" ht="19.95" customHeight="1" x14ac:dyDescent="0.3">
      <c r="A549" s="69"/>
      <c r="B549" s="69"/>
      <c r="C549" s="69"/>
      <c r="D549" s="69"/>
      <c r="E549" s="69"/>
      <c r="F549" s="69"/>
      <c r="G549" s="69"/>
      <c r="H549" s="69"/>
      <c r="I549" s="69"/>
      <c r="J549" s="69"/>
      <c r="K549" s="69"/>
      <c r="L549" s="69"/>
      <c r="M549" s="69"/>
      <c r="N549" s="69"/>
      <c r="O549" s="69"/>
      <c r="P549" s="69"/>
      <c r="Q549" s="69"/>
      <c r="R549" s="69"/>
      <c r="S549" s="69"/>
    </row>
    <row r="550" spans="1:19" ht="19.95" customHeight="1" x14ac:dyDescent="0.3">
      <c r="A550" s="69"/>
      <c r="B550" s="69"/>
      <c r="C550" s="69"/>
      <c r="D550" s="69"/>
      <c r="E550" s="69"/>
      <c r="F550" s="69"/>
      <c r="G550" s="69"/>
      <c r="H550" s="69"/>
      <c r="I550" s="69"/>
      <c r="J550" s="69"/>
      <c r="K550" s="69"/>
      <c r="L550" s="69"/>
      <c r="M550" s="69"/>
      <c r="N550" s="69"/>
      <c r="O550" s="69"/>
      <c r="P550" s="69"/>
      <c r="Q550" s="69"/>
      <c r="R550" s="69"/>
      <c r="S550" s="69"/>
    </row>
    <row r="551" spans="1:19" ht="19.95" customHeight="1" x14ac:dyDescent="0.3">
      <c r="A551" s="69"/>
      <c r="B551" s="69"/>
      <c r="C551" s="69"/>
      <c r="D551" s="69"/>
      <c r="E551" s="69"/>
      <c r="F551" s="69"/>
      <c r="G551" s="69"/>
      <c r="H551" s="69"/>
      <c r="I551" s="69"/>
      <c r="J551" s="69"/>
      <c r="K551" s="69"/>
      <c r="L551" s="69"/>
      <c r="M551" s="69"/>
      <c r="N551" s="69"/>
      <c r="O551" s="69"/>
      <c r="P551" s="69"/>
      <c r="Q551" s="69"/>
      <c r="R551" s="69"/>
      <c r="S551" s="69"/>
    </row>
    <row r="552" spans="1:19" ht="19.95" customHeight="1" x14ac:dyDescent="0.3">
      <c r="A552" s="69"/>
      <c r="B552" s="69"/>
      <c r="C552" s="69"/>
      <c r="D552" s="69"/>
      <c r="E552" s="69"/>
      <c r="F552" s="69"/>
      <c r="G552" s="69"/>
      <c r="H552" s="69"/>
      <c r="I552" s="69"/>
      <c r="J552" s="69"/>
      <c r="K552" s="69"/>
      <c r="L552" s="69"/>
      <c r="M552" s="69"/>
      <c r="N552" s="69"/>
      <c r="O552" s="69"/>
      <c r="P552" s="69"/>
      <c r="Q552" s="69"/>
      <c r="R552" s="69"/>
      <c r="S552" s="69"/>
    </row>
    <row r="553" spans="1:19" ht="19.95" customHeight="1" x14ac:dyDescent="0.3">
      <c r="A553" s="69"/>
      <c r="B553" s="69"/>
      <c r="C553" s="69"/>
      <c r="D553" s="69"/>
      <c r="E553" s="69"/>
      <c r="F553" s="69"/>
      <c r="G553" s="69"/>
      <c r="H553" s="69"/>
      <c r="I553" s="69"/>
      <c r="J553" s="69"/>
      <c r="K553" s="69"/>
      <c r="L553" s="69"/>
      <c r="M553" s="69"/>
      <c r="N553" s="69"/>
      <c r="O553" s="69"/>
      <c r="P553" s="69"/>
      <c r="Q553" s="69"/>
      <c r="R553" s="69"/>
      <c r="S553" s="69"/>
    </row>
    <row r="554" spans="1:19" ht="19.95" customHeight="1" x14ac:dyDescent="0.3">
      <c r="A554" s="69"/>
      <c r="B554" s="69"/>
      <c r="C554" s="69"/>
      <c r="D554" s="69"/>
      <c r="E554" s="69"/>
      <c r="F554" s="69"/>
      <c r="G554" s="69"/>
      <c r="H554" s="69"/>
      <c r="I554" s="69"/>
      <c r="J554" s="69"/>
      <c r="K554" s="69"/>
      <c r="L554" s="69"/>
      <c r="M554" s="69"/>
      <c r="N554" s="69"/>
      <c r="O554" s="69"/>
      <c r="P554" s="69"/>
      <c r="Q554" s="69"/>
      <c r="R554" s="69"/>
      <c r="S554" s="69"/>
    </row>
    <row r="555" spans="1:19" ht="19.95" customHeight="1" x14ac:dyDescent="0.3">
      <c r="A555" s="69"/>
      <c r="B555" s="69"/>
      <c r="C555" s="69"/>
      <c r="D555" s="69"/>
      <c r="E555" s="69"/>
      <c r="F555" s="69"/>
      <c r="G555" s="69"/>
      <c r="H555" s="69"/>
      <c r="I555" s="69"/>
      <c r="J555" s="69"/>
      <c r="K555" s="69"/>
      <c r="L555" s="69"/>
      <c r="M555" s="69"/>
      <c r="N555" s="69"/>
      <c r="O555" s="69"/>
      <c r="P555" s="69"/>
      <c r="Q555" s="69"/>
      <c r="R555" s="69"/>
      <c r="S555" s="69"/>
    </row>
    <row r="556" spans="1:19" ht="19.95" customHeight="1" x14ac:dyDescent="0.3">
      <c r="A556" s="69"/>
      <c r="B556" s="69"/>
      <c r="C556" s="69"/>
      <c r="D556" s="69"/>
      <c r="E556" s="69"/>
      <c r="F556" s="69"/>
      <c r="G556" s="69"/>
      <c r="H556" s="69"/>
      <c r="I556" s="69"/>
      <c r="J556" s="69"/>
      <c r="K556" s="69"/>
      <c r="L556" s="69"/>
      <c r="M556" s="69"/>
      <c r="N556" s="69"/>
      <c r="O556" s="69"/>
      <c r="P556" s="69"/>
      <c r="Q556" s="69"/>
      <c r="R556" s="69"/>
      <c r="S556" s="69"/>
    </row>
    <row r="557" spans="1:19" ht="19.95" customHeight="1" x14ac:dyDescent="0.3">
      <c r="A557" s="69"/>
      <c r="B557" s="69"/>
      <c r="C557" s="69"/>
      <c r="D557" s="69"/>
      <c r="E557" s="69"/>
      <c r="F557" s="69"/>
      <c r="G557" s="69"/>
      <c r="H557" s="69"/>
      <c r="I557" s="69"/>
      <c r="J557" s="69"/>
      <c r="K557" s="69"/>
      <c r="L557" s="69"/>
      <c r="M557" s="69"/>
      <c r="N557" s="69"/>
      <c r="O557" s="69"/>
      <c r="P557" s="69"/>
      <c r="Q557" s="69"/>
      <c r="R557" s="69"/>
      <c r="S557" s="69"/>
    </row>
    <row r="558" spans="1:19" ht="19.95" customHeight="1" x14ac:dyDescent="0.3">
      <c r="A558" s="97" t="s">
        <v>307</v>
      </c>
      <c r="B558" s="97"/>
      <c r="C558" s="97"/>
      <c r="D558" s="97"/>
      <c r="E558" s="97"/>
      <c r="F558" s="97"/>
      <c r="G558" s="97"/>
      <c r="H558" s="97"/>
      <c r="I558" s="97"/>
      <c r="J558" s="97"/>
      <c r="K558" s="97"/>
      <c r="L558" s="97"/>
      <c r="M558" s="97"/>
      <c r="N558" s="97"/>
      <c r="O558" s="97"/>
      <c r="P558" s="97"/>
      <c r="Q558" s="97"/>
      <c r="R558" s="97"/>
      <c r="S558" s="97"/>
    </row>
    <row r="559" spans="1:19" ht="19.95" customHeight="1" x14ac:dyDescent="0.3">
      <c r="A559" s="69"/>
      <c r="B559" s="69"/>
      <c r="C559" s="69"/>
      <c r="D559" s="69"/>
      <c r="E559" s="69"/>
      <c r="F559" s="69"/>
      <c r="G559" s="69"/>
      <c r="H559" s="69"/>
      <c r="I559" s="69"/>
      <c r="J559" s="69"/>
      <c r="K559" s="69"/>
      <c r="L559" s="69"/>
      <c r="M559" s="69"/>
      <c r="N559" s="69"/>
      <c r="O559" s="69"/>
      <c r="P559" s="69"/>
      <c r="Q559" s="69"/>
      <c r="R559" s="69"/>
      <c r="S559" s="69"/>
    </row>
    <row r="560" spans="1:19" ht="19.95" customHeight="1" x14ac:dyDescent="0.3">
      <c r="A560" s="69"/>
      <c r="B560" s="69"/>
      <c r="C560" s="69"/>
      <c r="D560" s="69"/>
      <c r="E560" s="69"/>
      <c r="F560" s="69"/>
      <c r="G560" s="69"/>
      <c r="H560" s="69"/>
      <c r="I560" s="69"/>
      <c r="J560" s="69"/>
      <c r="K560" s="69"/>
      <c r="L560" s="69"/>
      <c r="M560" s="69"/>
      <c r="N560" s="69"/>
      <c r="O560" s="69"/>
      <c r="P560" s="69"/>
      <c r="Q560" s="69"/>
      <c r="R560" s="69"/>
      <c r="S560" s="69"/>
    </row>
    <row r="561" spans="1:19" ht="19.95" customHeight="1" x14ac:dyDescent="0.3">
      <c r="A561" s="69"/>
      <c r="B561" s="69"/>
      <c r="C561" s="69"/>
      <c r="D561" s="69"/>
      <c r="E561" s="69"/>
      <c r="F561" s="69"/>
      <c r="G561" s="69"/>
      <c r="H561" s="69"/>
      <c r="I561" s="69"/>
      <c r="J561" s="69"/>
      <c r="K561" s="69"/>
      <c r="L561" s="69"/>
      <c r="M561" s="69"/>
      <c r="N561" s="69"/>
      <c r="O561" s="69"/>
      <c r="P561" s="69"/>
      <c r="Q561" s="69"/>
      <c r="R561" s="69"/>
      <c r="S561" s="69"/>
    </row>
    <row r="562" spans="1:19" ht="19.95" customHeight="1" x14ac:dyDescent="0.3">
      <c r="A562" s="69"/>
      <c r="B562" s="69"/>
      <c r="C562" s="69"/>
      <c r="D562" s="69"/>
      <c r="E562" s="69"/>
      <c r="F562" s="69"/>
      <c r="G562" s="69"/>
      <c r="H562" s="69"/>
      <c r="I562" s="69"/>
      <c r="J562" s="69"/>
      <c r="K562" s="69"/>
      <c r="L562" s="69"/>
      <c r="M562" s="69"/>
      <c r="N562" s="69"/>
      <c r="O562" s="69"/>
      <c r="P562" s="69"/>
      <c r="Q562" s="69"/>
      <c r="R562" s="69"/>
      <c r="S562" s="69"/>
    </row>
    <row r="563" spans="1:19" ht="19.95" customHeight="1" x14ac:dyDescent="0.3">
      <c r="A563" s="69"/>
      <c r="B563" s="69"/>
      <c r="C563" s="69"/>
      <c r="D563" s="69"/>
      <c r="E563" s="69"/>
      <c r="F563" s="69"/>
      <c r="G563" s="69"/>
      <c r="H563" s="69"/>
      <c r="I563" s="69"/>
      <c r="J563" s="69"/>
      <c r="K563" s="69"/>
      <c r="L563" s="69"/>
      <c r="M563" s="69"/>
      <c r="N563" s="69"/>
      <c r="O563" s="69"/>
      <c r="P563" s="69"/>
      <c r="Q563" s="69"/>
      <c r="R563" s="69"/>
      <c r="S563" s="69"/>
    </row>
    <row r="564" spans="1:19" ht="19.95" customHeight="1" x14ac:dyDescent="0.3">
      <c r="A564" s="69"/>
      <c r="B564" s="69"/>
      <c r="C564" s="69"/>
      <c r="D564" s="69"/>
      <c r="E564" s="69"/>
      <c r="F564" s="69"/>
      <c r="G564" s="69"/>
      <c r="H564" s="69"/>
      <c r="I564" s="69"/>
      <c r="J564" s="69"/>
      <c r="K564" s="69"/>
      <c r="L564" s="69"/>
      <c r="M564" s="69"/>
      <c r="N564" s="69"/>
      <c r="O564" s="69"/>
      <c r="P564" s="69"/>
      <c r="Q564" s="69"/>
      <c r="R564" s="69"/>
      <c r="S564" s="69"/>
    </row>
    <row r="565" spans="1:19" ht="19.95" customHeight="1" x14ac:dyDescent="0.3">
      <c r="A565" s="69"/>
      <c r="B565" s="69"/>
      <c r="C565" s="69"/>
      <c r="D565" s="69"/>
      <c r="E565" s="69"/>
      <c r="F565" s="69"/>
      <c r="G565" s="69"/>
      <c r="H565" s="69"/>
      <c r="I565" s="69"/>
      <c r="J565" s="69"/>
      <c r="K565" s="69"/>
      <c r="L565" s="69"/>
      <c r="M565" s="69"/>
      <c r="N565" s="69"/>
      <c r="O565" s="69"/>
      <c r="P565" s="69"/>
      <c r="Q565" s="69"/>
      <c r="R565" s="69"/>
      <c r="S565" s="69"/>
    </row>
    <row r="566" spans="1:19" ht="19.95" customHeight="1" x14ac:dyDescent="0.3">
      <c r="A566" s="69"/>
      <c r="B566" s="69"/>
      <c r="C566" s="69"/>
      <c r="D566" s="69"/>
      <c r="E566" s="69"/>
      <c r="F566" s="69"/>
      <c r="G566" s="69"/>
      <c r="H566" s="69"/>
      <c r="I566" s="69"/>
      <c r="J566" s="69"/>
      <c r="K566" s="69"/>
      <c r="L566" s="69"/>
      <c r="M566" s="69"/>
      <c r="N566" s="69"/>
      <c r="O566" s="69"/>
      <c r="P566" s="69"/>
      <c r="Q566" s="69"/>
      <c r="R566" s="69"/>
      <c r="S566" s="69"/>
    </row>
    <row r="567" spans="1:19" ht="19.95" customHeight="1" x14ac:dyDescent="0.3">
      <c r="A567" s="69"/>
      <c r="B567" s="69"/>
      <c r="C567" s="69"/>
      <c r="D567" s="69"/>
      <c r="E567" s="69"/>
      <c r="F567" s="69"/>
      <c r="G567" s="69"/>
      <c r="H567" s="69"/>
      <c r="I567" s="69"/>
      <c r="J567" s="69"/>
      <c r="K567" s="69"/>
      <c r="L567" s="69"/>
      <c r="M567" s="69"/>
      <c r="N567" s="69"/>
      <c r="O567" s="69"/>
      <c r="P567" s="69"/>
      <c r="Q567" s="69"/>
      <c r="R567" s="69"/>
      <c r="S567" s="69"/>
    </row>
    <row r="568" spans="1:19" ht="19.95" customHeight="1" x14ac:dyDescent="0.3">
      <c r="A568" s="69"/>
      <c r="B568" s="69"/>
      <c r="C568" s="69"/>
      <c r="D568" s="69"/>
      <c r="E568" s="69"/>
      <c r="F568" s="69"/>
      <c r="G568" s="69"/>
      <c r="H568" s="69"/>
      <c r="I568" s="69"/>
      <c r="J568" s="69"/>
      <c r="K568" s="69"/>
      <c r="L568" s="69"/>
      <c r="M568" s="69"/>
      <c r="N568" s="69"/>
      <c r="O568" s="69"/>
      <c r="P568" s="69"/>
      <c r="Q568" s="69"/>
      <c r="R568" s="69"/>
      <c r="S568" s="69"/>
    </row>
    <row r="569" spans="1:19" ht="19.95" customHeight="1" x14ac:dyDescent="0.3">
      <c r="A569" s="69"/>
      <c r="B569" s="69"/>
      <c r="C569" s="69"/>
      <c r="D569" s="69"/>
      <c r="E569" s="69"/>
      <c r="F569" s="69"/>
      <c r="G569" s="69"/>
      <c r="H569" s="69"/>
      <c r="I569" s="69"/>
      <c r="J569" s="69"/>
      <c r="K569" s="69"/>
      <c r="L569" s="69"/>
      <c r="M569" s="69"/>
      <c r="N569" s="69"/>
      <c r="O569" s="69"/>
      <c r="P569" s="69"/>
      <c r="Q569" s="69"/>
      <c r="R569" s="69"/>
      <c r="S569" s="69"/>
    </row>
    <row r="570" spans="1:19" ht="19.95" customHeight="1" x14ac:dyDescent="0.3">
      <c r="A570" s="69"/>
      <c r="B570" s="69"/>
      <c r="C570" s="69"/>
      <c r="D570" s="69"/>
      <c r="E570" s="69"/>
      <c r="F570" s="69"/>
      <c r="G570" s="69"/>
      <c r="H570" s="69"/>
      <c r="I570" s="69"/>
      <c r="J570" s="69"/>
      <c r="K570" s="69"/>
      <c r="L570" s="69"/>
      <c r="M570" s="69"/>
      <c r="N570" s="69"/>
      <c r="O570" s="69"/>
      <c r="P570" s="69"/>
      <c r="Q570" s="69"/>
      <c r="R570" s="69"/>
      <c r="S570" s="69"/>
    </row>
    <row r="571" spans="1:19" ht="19.95" customHeight="1" x14ac:dyDescent="0.3">
      <c r="A571" s="69"/>
      <c r="B571" s="69"/>
      <c r="C571" s="69"/>
      <c r="D571" s="69"/>
      <c r="E571" s="69"/>
      <c r="F571" s="69"/>
      <c r="G571" s="69"/>
      <c r="H571" s="69"/>
      <c r="I571" s="69"/>
      <c r="J571" s="69"/>
      <c r="K571" s="69"/>
      <c r="L571" s="69"/>
      <c r="M571" s="69"/>
      <c r="N571" s="69"/>
      <c r="O571" s="69"/>
      <c r="P571" s="69"/>
      <c r="Q571" s="69"/>
      <c r="R571" s="69"/>
      <c r="S571" s="69"/>
    </row>
    <row r="572" spans="1:19" ht="19.95" customHeight="1" x14ac:dyDescent="0.3">
      <c r="A572" s="69"/>
      <c r="B572" s="69"/>
      <c r="C572" s="69"/>
      <c r="D572" s="69"/>
      <c r="E572" s="69"/>
      <c r="F572" s="69"/>
      <c r="G572" s="69"/>
      <c r="H572" s="69"/>
      <c r="I572" s="69"/>
      <c r="J572" s="69"/>
      <c r="K572" s="69"/>
      <c r="L572" s="69"/>
      <c r="M572" s="69"/>
      <c r="N572" s="69"/>
      <c r="O572" s="69"/>
      <c r="P572" s="69"/>
      <c r="Q572" s="69"/>
      <c r="R572" s="69"/>
      <c r="S572" s="69"/>
    </row>
    <row r="573" spans="1:19" ht="19.95" customHeight="1" x14ac:dyDescent="0.3">
      <c r="A573" s="69"/>
      <c r="B573" s="69"/>
      <c r="C573" s="69"/>
      <c r="D573" s="69"/>
      <c r="E573" s="69"/>
      <c r="F573" s="69"/>
      <c r="G573" s="69"/>
      <c r="H573" s="69"/>
      <c r="I573" s="69"/>
      <c r="J573" s="69"/>
      <c r="K573" s="69"/>
      <c r="L573" s="69"/>
      <c r="M573" s="69"/>
      <c r="N573" s="69"/>
      <c r="O573" s="69"/>
      <c r="P573" s="69"/>
      <c r="Q573" s="69"/>
      <c r="R573" s="69"/>
      <c r="S573" s="69"/>
    </row>
    <row r="574" spans="1:19" ht="19.95" customHeight="1" x14ac:dyDescent="0.3">
      <c r="A574" s="69"/>
      <c r="B574" s="69"/>
      <c r="C574" s="69"/>
      <c r="D574" s="69"/>
      <c r="E574" s="69"/>
      <c r="F574" s="69"/>
      <c r="G574" s="69"/>
      <c r="H574" s="69"/>
      <c r="I574" s="69"/>
      <c r="J574" s="69"/>
      <c r="K574" s="69"/>
      <c r="L574" s="69"/>
      <c r="M574" s="69"/>
      <c r="N574" s="69"/>
      <c r="O574" s="69"/>
      <c r="P574" s="69"/>
      <c r="Q574" s="69"/>
      <c r="R574" s="69"/>
      <c r="S574" s="69"/>
    </row>
    <row r="575" spans="1:19" ht="19.95" customHeight="1" x14ac:dyDescent="0.3">
      <c r="A575" s="69"/>
      <c r="B575" s="69"/>
      <c r="C575" s="69"/>
      <c r="D575" s="69"/>
      <c r="E575" s="69"/>
      <c r="F575" s="69"/>
      <c r="G575" s="69"/>
      <c r="H575" s="69"/>
      <c r="I575" s="69"/>
      <c r="J575" s="69"/>
      <c r="K575" s="69"/>
      <c r="L575" s="69"/>
      <c r="M575" s="69"/>
      <c r="N575" s="69"/>
      <c r="O575" s="69"/>
      <c r="P575" s="69"/>
      <c r="Q575" s="69"/>
      <c r="R575" s="69"/>
      <c r="S575" s="69"/>
    </row>
    <row r="576" spans="1:19" ht="19.95" customHeight="1" x14ac:dyDescent="0.3">
      <c r="A576" s="69"/>
      <c r="B576" s="69"/>
      <c r="C576" s="69"/>
      <c r="D576" s="69"/>
      <c r="E576" s="69"/>
      <c r="F576" s="69"/>
      <c r="G576" s="69"/>
      <c r="H576" s="69"/>
      <c r="I576" s="69"/>
      <c r="J576" s="69"/>
      <c r="K576" s="69"/>
      <c r="L576" s="69"/>
      <c r="M576" s="69"/>
      <c r="N576" s="69"/>
      <c r="O576" s="69"/>
      <c r="P576" s="69"/>
      <c r="Q576" s="69"/>
      <c r="R576" s="69"/>
      <c r="S576" s="69"/>
    </row>
    <row r="577" spans="1:19" ht="19.95" customHeight="1" x14ac:dyDescent="0.3">
      <c r="A577" s="69"/>
      <c r="B577" s="69"/>
      <c r="C577" s="69"/>
      <c r="D577" s="69"/>
      <c r="E577" s="69"/>
      <c r="F577" s="69"/>
      <c r="G577" s="69"/>
      <c r="H577" s="69"/>
      <c r="I577" s="69"/>
      <c r="J577" s="69"/>
      <c r="K577" s="69"/>
      <c r="L577" s="69"/>
      <c r="M577" s="69"/>
      <c r="N577" s="69"/>
      <c r="O577" s="69"/>
      <c r="P577" s="69"/>
      <c r="Q577" s="69"/>
      <c r="R577" s="69"/>
      <c r="S577" s="69"/>
    </row>
    <row r="578" spans="1:19" ht="19.95" customHeight="1" x14ac:dyDescent="0.3">
      <c r="A578" s="69"/>
      <c r="B578" s="69"/>
      <c r="C578" s="69"/>
      <c r="D578" s="69"/>
      <c r="E578" s="69"/>
      <c r="F578" s="69"/>
      <c r="G578" s="69"/>
      <c r="H578" s="69"/>
      <c r="I578" s="69"/>
      <c r="J578" s="69"/>
      <c r="K578" s="69"/>
      <c r="L578" s="69"/>
      <c r="M578" s="69"/>
      <c r="N578" s="69"/>
      <c r="O578" s="69"/>
      <c r="P578" s="69"/>
      <c r="Q578" s="69"/>
      <c r="R578" s="69"/>
      <c r="S578" s="69"/>
    </row>
    <row r="579" spans="1:19" ht="19.95" customHeight="1" x14ac:dyDescent="0.3">
      <c r="A579" s="69"/>
      <c r="B579" s="69"/>
      <c r="C579" s="69"/>
      <c r="D579" s="69"/>
      <c r="E579" s="69"/>
      <c r="F579" s="69"/>
      <c r="G579" s="69"/>
      <c r="H579" s="69"/>
      <c r="I579" s="69"/>
      <c r="J579" s="69"/>
      <c r="K579" s="69"/>
      <c r="L579" s="69"/>
      <c r="M579" s="69"/>
      <c r="N579" s="69"/>
      <c r="O579" s="69"/>
      <c r="P579" s="69"/>
      <c r="Q579" s="69"/>
      <c r="R579" s="69"/>
      <c r="S579" s="69"/>
    </row>
    <row r="580" spans="1:19" ht="19.95" customHeight="1" x14ac:dyDescent="0.3">
      <c r="A580" s="69"/>
      <c r="B580" s="69"/>
      <c r="C580" s="69"/>
      <c r="D580" s="69"/>
      <c r="E580" s="69"/>
      <c r="F580" s="69"/>
      <c r="G580" s="69"/>
      <c r="H580" s="69"/>
      <c r="I580" s="69"/>
      <c r="J580" s="69"/>
      <c r="K580" s="69"/>
      <c r="L580" s="69"/>
      <c r="M580" s="69"/>
      <c r="N580" s="69"/>
      <c r="O580" s="69"/>
      <c r="P580" s="69"/>
      <c r="Q580" s="69"/>
      <c r="R580" s="69"/>
      <c r="S580" s="69"/>
    </row>
    <row r="581" spans="1:19" ht="19.95" customHeight="1" x14ac:dyDescent="0.3">
      <c r="A581" s="97" t="s">
        <v>308</v>
      </c>
      <c r="B581" s="97"/>
      <c r="C581" s="97"/>
      <c r="D581" s="97"/>
      <c r="E581" s="97"/>
      <c r="F581" s="97"/>
      <c r="G581" s="97"/>
      <c r="H581" s="97"/>
      <c r="I581" s="97"/>
      <c r="J581" s="97"/>
      <c r="K581" s="97"/>
      <c r="L581" s="97"/>
      <c r="M581" s="97"/>
      <c r="N581" s="97"/>
      <c r="O581" s="97"/>
      <c r="P581" s="97"/>
      <c r="Q581" s="97"/>
      <c r="R581" s="97"/>
      <c r="S581" s="97"/>
    </row>
    <row r="582" spans="1:19" ht="19.95" customHeight="1" x14ac:dyDescent="0.3">
      <c r="A582" s="69"/>
      <c r="B582" s="69"/>
      <c r="C582" s="69"/>
      <c r="D582" s="69"/>
      <c r="E582" s="69"/>
      <c r="F582" s="69"/>
      <c r="G582" s="69"/>
      <c r="H582" s="69"/>
      <c r="I582" s="69"/>
      <c r="J582" s="69"/>
      <c r="K582" s="69"/>
      <c r="L582" s="69"/>
      <c r="M582" s="69"/>
      <c r="N582" s="69"/>
      <c r="O582" s="69"/>
      <c r="P582" s="69"/>
      <c r="Q582" s="69"/>
      <c r="R582" s="69"/>
      <c r="S582" s="69"/>
    </row>
    <row r="583" spans="1:19" ht="19.95" customHeight="1" x14ac:dyDescent="0.3">
      <c r="A583" s="69"/>
      <c r="B583" s="69"/>
      <c r="C583" s="69"/>
      <c r="D583" s="69"/>
      <c r="E583" s="69"/>
      <c r="F583" s="69"/>
      <c r="G583" s="69"/>
      <c r="H583" s="69"/>
      <c r="I583" s="69"/>
      <c r="J583" s="69"/>
      <c r="K583" s="69"/>
      <c r="L583" s="69"/>
      <c r="M583" s="69"/>
      <c r="N583" s="69"/>
      <c r="O583" s="69"/>
      <c r="P583" s="69"/>
      <c r="Q583" s="69"/>
      <c r="R583" s="69"/>
      <c r="S583" s="69"/>
    </row>
    <row r="584" spans="1:19" ht="19.95" customHeight="1" x14ac:dyDescent="0.3">
      <c r="A584" s="69"/>
      <c r="B584" s="69"/>
      <c r="C584" s="69"/>
      <c r="D584" s="69"/>
      <c r="E584" s="69"/>
      <c r="F584" s="69"/>
      <c r="G584" s="69"/>
      <c r="H584" s="69"/>
      <c r="I584" s="69"/>
      <c r="J584" s="69"/>
      <c r="K584" s="69"/>
      <c r="L584" s="69"/>
      <c r="M584" s="69"/>
      <c r="N584" s="69"/>
      <c r="O584" s="69"/>
      <c r="P584" s="69"/>
      <c r="Q584" s="69"/>
      <c r="R584" s="69"/>
      <c r="S584" s="69"/>
    </row>
    <row r="585" spans="1:19" ht="19.95" customHeight="1" x14ac:dyDescent="0.3">
      <c r="A585" s="69"/>
      <c r="B585" s="69"/>
      <c r="C585" s="69"/>
      <c r="D585" s="69"/>
      <c r="E585" s="69"/>
      <c r="F585" s="69"/>
      <c r="G585" s="69"/>
      <c r="H585" s="69"/>
      <c r="I585" s="69"/>
      <c r="J585" s="69"/>
      <c r="K585" s="69"/>
      <c r="L585" s="69"/>
      <c r="M585" s="69"/>
      <c r="N585" s="69"/>
      <c r="O585" s="69"/>
      <c r="P585" s="69"/>
      <c r="Q585" s="69"/>
      <c r="R585" s="69"/>
      <c r="S585" s="69"/>
    </row>
    <row r="586" spans="1:19" ht="19.95" customHeight="1" x14ac:dyDescent="0.3">
      <c r="A586" s="69"/>
      <c r="B586" s="69"/>
      <c r="C586" s="69"/>
      <c r="D586" s="69"/>
      <c r="E586" s="69"/>
      <c r="F586" s="69"/>
      <c r="G586" s="69"/>
      <c r="H586" s="69"/>
      <c r="I586" s="69"/>
      <c r="J586" s="69"/>
      <c r="K586" s="69"/>
      <c r="L586" s="69"/>
      <c r="M586" s="69"/>
      <c r="N586" s="69"/>
      <c r="O586" s="69"/>
      <c r="P586" s="69"/>
      <c r="Q586" s="69"/>
      <c r="R586" s="69"/>
      <c r="S586" s="69"/>
    </row>
    <row r="587" spans="1:19" ht="19.95" customHeight="1" x14ac:dyDescent="0.3">
      <c r="A587" s="69"/>
      <c r="B587" s="69"/>
      <c r="C587" s="69"/>
      <c r="D587" s="69"/>
      <c r="E587" s="69"/>
      <c r="F587" s="69"/>
      <c r="G587" s="69"/>
      <c r="H587" s="69"/>
      <c r="I587" s="69"/>
      <c r="J587" s="69"/>
      <c r="K587" s="69"/>
      <c r="L587" s="69"/>
      <c r="M587" s="69"/>
      <c r="N587" s="69"/>
      <c r="O587" s="69"/>
      <c r="P587" s="69"/>
      <c r="Q587" s="69"/>
      <c r="R587" s="69"/>
      <c r="S587" s="69"/>
    </row>
    <row r="588" spans="1:19" ht="19.95" customHeight="1" x14ac:dyDescent="0.3">
      <c r="A588" s="69"/>
      <c r="B588" s="69"/>
      <c r="C588" s="69"/>
      <c r="D588" s="69"/>
      <c r="E588" s="69"/>
      <c r="F588" s="69"/>
      <c r="G588" s="69"/>
      <c r="H588" s="69"/>
      <c r="I588" s="69"/>
      <c r="J588" s="69"/>
      <c r="K588" s="69"/>
      <c r="L588" s="69"/>
      <c r="M588" s="69"/>
      <c r="N588" s="69"/>
      <c r="O588" s="69"/>
      <c r="P588" s="69"/>
      <c r="Q588" s="69"/>
      <c r="R588" s="69"/>
      <c r="S588" s="69"/>
    </row>
    <row r="589" spans="1:19" ht="19.95" customHeight="1" x14ac:dyDescent="0.3">
      <c r="A589" s="69"/>
      <c r="B589" s="69"/>
      <c r="C589" s="69"/>
      <c r="D589" s="69"/>
      <c r="E589" s="69"/>
      <c r="F589" s="69"/>
      <c r="G589" s="69"/>
      <c r="H589" s="69"/>
      <c r="I589" s="69"/>
      <c r="J589" s="69"/>
      <c r="K589" s="69"/>
      <c r="L589" s="69"/>
      <c r="M589" s="69"/>
      <c r="N589" s="69"/>
      <c r="O589" s="69"/>
      <c r="P589" s="69"/>
      <c r="Q589" s="69"/>
      <c r="R589" s="69"/>
      <c r="S589" s="69"/>
    </row>
    <row r="590" spans="1:19" ht="19.95" customHeight="1" x14ac:dyDescent="0.3">
      <c r="A590" s="69"/>
      <c r="B590" s="69"/>
      <c r="C590" s="69"/>
      <c r="D590" s="69"/>
      <c r="E590" s="69"/>
      <c r="F590" s="69"/>
      <c r="G590" s="69"/>
      <c r="H590" s="69"/>
      <c r="I590" s="69"/>
      <c r="J590" s="69"/>
      <c r="K590" s="69"/>
      <c r="L590" s="69"/>
      <c r="M590" s="69"/>
      <c r="N590" s="69"/>
      <c r="O590" s="69"/>
      <c r="P590" s="69"/>
      <c r="Q590" s="69"/>
      <c r="R590" s="69"/>
      <c r="S590" s="69"/>
    </row>
    <row r="591" spans="1:19" ht="19.95" customHeight="1" x14ac:dyDescent="0.3">
      <c r="A591" s="69"/>
      <c r="B591" s="69"/>
      <c r="C591" s="69"/>
      <c r="D591" s="69"/>
      <c r="E591" s="69"/>
      <c r="F591" s="69"/>
      <c r="G591" s="69"/>
      <c r="H591" s="69"/>
      <c r="I591" s="69"/>
      <c r="J591" s="69"/>
      <c r="K591" s="69"/>
      <c r="L591" s="69"/>
      <c r="M591" s="69"/>
      <c r="N591" s="69"/>
      <c r="O591" s="69"/>
      <c r="P591" s="69"/>
      <c r="Q591" s="69"/>
      <c r="R591" s="69"/>
      <c r="S591" s="69"/>
    </row>
    <row r="592" spans="1:19" ht="19.95" customHeight="1" x14ac:dyDescent="0.3">
      <c r="A592" s="69"/>
      <c r="B592" s="69"/>
      <c r="C592" s="69"/>
      <c r="D592" s="69"/>
      <c r="E592" s="69"/>
      <c r="F592" s="69"/>
      <c r="G592" s="69"/>
      <c r="H592" s="69"/>
      <c r="I592" s="69"/>
      <c r="J592" s="69"/>
      <c r="K592" s="69"/>
      <c r="L592" s="69"/>
      <c r="M592" s="69"/>
      <c r="N592" s="69"/>
      <c r="O592" s="69"/>
      <c r="P592" s="69"/>
      <c r="Q592" s="69"/>
      <c r="R592" s="69"/>
      <c r="S592" s="69"/>
    </row>
    <row r="593" spans="1:19" ht="19.95" customHeight="1" x14ac:dyDescent="0.3">
      <c r="A593" s="69"/>
      <c r="B593" s="69"/>
      <c r="C593" s="69"/>
      <c r="D593" s="69"/>
      <c r="E593" s="69"/>
      <c r="F593" s="69"/>
      <c r="G593" s="69"/>
      <c r="H593" s="69"/>
      <c r="I593" s="69"/>
      <c r="J593" s="69"/>
      <c r="K593" s="69"/>
      <c r="L593" s="69"/>
      <c r="M593" s="69"/>
      <c r="N593" s="69"/>
      <c r="O593" s="69"/>
      <c r="P593" s="69"/>
      <c r="Q593" s="69"/>
      <c r="R593" s="69"/>
      <c r="S593" s="69"/>
    </row>
    <row r="594" spans="1:19" ht="19.95" customHeight="1" x14ac:dyDescent="0.3">
      <c r="A594" s="69"/>
      <c r="B594" s="69"/>
      <c r="C594" s="69"/>
      <c r="D594" s="69"/>
      <c r="E594" s="69"/>
      <c r="F594" s="69"/>
      <c r="G594" s="69"/>
      <c r="H594" s="69"/>
      <c r="I594" s="69"/>
      <c r="J594" s="69"/>
      <c r="K594" s="69"/>
      <c r="L594" s="69"/>
      <c r="M594" s="69"/>
      <c r="N594" s="69"/>
      <c r="O594" s="69"/>
      <c r="P594" s="69"/>
      <c r="Q594" s="69"/>
      <c r="R594" s="69"/>
      <c r="S594" s="69"/>
    </row>
    <row r="595" spans="1:19" ht="19.95" customHeight="1" x14ac:dyDescent="0.3">
      <c r="A595" s="69"/>
      <c r="B595" s="69"/>
      <c r="C595" s="69"/>
      <c r="D595" s="69"/>
      <c r="E595" s="69"/>
      <c r="F595" s="69"/>
      <c r="G595" s="69"/>
      <c r="H595" s="69"/>
      <c r="I595" s="69"/>
      <c r="J595" s="69"/>
      <c r="K595" s="69"/>
      <c r="L595" s="69"/>
      <c r="M595" s="69"/>
      <c r="N595" s="69"/>
      <c r="O595" s="69"/>
      <c r="P595" s="69"/>
      <c r="Q595" s="69"/>
      <c r="R595" s="69"/>
      <c r="S595" s="69"/>
    </row>
    <row r="596" spans="1:19" ht="19.95" customHeight="1" x14ac:dyDescent="0.3">
      <c r="A596" s="69"/>
      <c r="B596" s="69"/>
      <c r="C596" s="69"/>
      <c r="D596" s="69"/>
      <c r="E596" s="69"/>
      <c r="F596" s="69"/>
      <c r="G596" s="69"/>
      <c r="H596" s="69"/>
      <c r="I596" s="69"/>
      <c r="J596" s="69"/>
      <c r="K596" s="69"/>
      <c r="L596" s="69"/>
      <c r="M596" s="69"/>
      <c r="N596" s="69"/>
      <c r="O596" s="69"/>
      <c r="P596" s="69"/>
      <c r="Q596" s="69"/>
      <c r="R596" s="69"/>
      <c r="S596" s="69"/>
    </row>
    <row r="597" spans="1:19" ht="19.95" customHeight="1" x14ac:dyDescent="0.3">
      <c r="A597" s="69"/>
      <c r="B597" s="69"/>
      <c r="C597" s="69"/>
      <c r="D597" s="69"/>
      <c r="E597" s="69"/>
      <c r="F597" s="69"/>
      <c r="G597" s="69"/>
      <c r="H597" s="69"/>
      <c r="I597" s="69"/>
      <c r="J597" s="69"/>
      <c r="K597" s="69"/>
      <c r="L597" s="69"/>
      <c r="M597" s="69"/>
      <c r="N597" s="69"/>
      <c r="O597" s="69"/>
      <c r="P597" s="69"/>
      <c r="Q597" s="69"/>
      <c r="R597" s="69"/>
      <c r="S597" s="69"/>
    </row>
    <row r="598" spans="1:19" ht="19.95" customHeight="1" x14ac:dyDescent="0.3">
      <c r="A598" s="69"/>
      <c r="B598" s="69"/>
      <c r="C598" s="69"/>
      <c r="D598" s="69"/>
      <c r="E598" s="69"/>
      <c r="F598" s="69"/>
      <c r="G598" s="69"/>
      <c r="H598" s="69"/>
      <c r="I598" s="69"/>
      <c r="J598" s="69"/>
      <c r="K598" s="69"/>
      <c r="L598" s="69"/>
      <c r="M598" s="69"/>
      <c r="N598" s="69"/>
      <c r="O598" s="69"/>
      <c r="P598" s="69"/>
      <c r="Q598" s="69"/>
      <c r="R598" s="69"/>
      <c r="S598" s="69"/>
    </row>
    <row r="599" spans="1:19" ht="19.95" customHeight="1" x14ac:dyDescent="0.3">
      <c r="A599" s="69"/>
      <c r="B599" s="69"/>
      <c r="C599" s="69"/>
      <c r="D599" s="69"/>
      <c r="E599" s="69"/>
      <c r="F599" s="69"/>
      <c r="G599" s="69"/>
      <c r="H599" s="69"/>
      <c r="I599" s="69"/>
      <c r="J599" s="69"/>
      <c r="K599" s="69"/>
      <c r="L599" s="69"/>
      <c r="M599" s="69"/>
      <c r="N599" s="69"/>
      <c r="O599" s="69"/>
      <c r="P599" s="69"/>
      <c r="Q599" s="69"/>
      <c r="R599" s="69"/>
      <c r="S599" s="69"/>
    </row>
    <row r="600" spans="1:19" ht="19.95" customHeight="1" x14ac:dyDescent="0.3">
      <c r="A600" s="69"/>
      <c r="B600" s="69"/>
      <c r="C600" s="69"/>
      <c r="D600" s="69"/>
      <c r="E600" s="69"/>
      <c r="F600" s="69"/>
      <c r="G600" s="69"/>
      <c r="H600" s="69"/>
      <c r="I600" s="69"/>
      <c r="J600" s="69"/>
      <c r="K600" s="69"/>
      <c r="L600" s="69"/>
      <c r="M600" s="69"/>
      <c r="N600" s="69"/>
      <c r="O600" s="69"/>
      <c r="P600" s="69"/>
      <c r="Q600" s="69"/>
      <c r="R600" s="69"/>
      <c r="S600" s="69"/>
    </row>
    <row r="601" spans="1:19" ht="19.95" customHeight="1" x14ac:dyDescent="0.3">
      <c r="A601" s="69"/>
      <c r="B601" s="69"/>
      <c r="C601" s="69"/>
      <c r="D601" s="69"/>
      <c r="E601" s="69"/>
      <c r="F601" s="69"/>
      <c r="G601" s="69"/>
      <c r="H601" s="69"/>
      <c r="I601" s="69"/>
      <c r="J601" s="69"/>
      <c r="K601" s="69"/>
      <c r="L601" s="69"/>
      <c r="M601" s="69"/>
      <c r="N601" s="69"/>
      <c r="O601" s="69"/>
      <c r="P601" s="69"/>
      <c r="Q601" s="69"/>
      <c r="R601" s="69"/>
      <c r="S601" s="69"/>
    </row>
    <row r="602" spans="1:19" ht="19.95" customHeight="1" x14ac:dyDescent="0.3">
      <c r="A602" s="69"/>
      <c r="B602" s="69"/>
      <c r="C602" s="69"/>
      <c r="D602" s="69"/>
      <c r="E602" s="69"/>
      <c r="F602" s="69"/>
      <c r="G602" s="69"/>
      <c r="H602" s="69"/>
      <c r="I602" s="69"/>
      <c r="J602" s="69"/>
      <c r="K602" s="69"/>
      <c r="L602" s="69"/>
      <c r="M602" s="69"/>
      <c r="N602" s="69"/>
      <c r="O602" s="69"/>
      <c r="P602" s="69"/>
      <c r="Q602" s="69"/>
      <c r="R602" s="69"/>
      <c r="S602" s="69"/>
    </row>
    <row r="603" spans="1:19" ht="19.95" customHeight="1" x14ac:dyDescent="0.3">
      <c r="A603" s="69"/>
      <c r="B603" s="69"/>
      <c r="C603" s="69"/>
      <c r="D603" s="69"/>
      <c r="E603" s="69"/>
      <c r="F603" s="69"/>
      <c r="G603" s="69"/>
      <c r="H603" s="69"/>
      <c r="I603" s="69"/>
      <c r="J603" s="69"/>
      <c r="K603" s="69"/>
      <c r="L603" s="69"/>
      <c r="M603" s="69"/>
      <c r="N603" s="69"/>
      <c r="O603" s="69"/>
      <c r="P603" s="69"/>
      <c r="Q603" s="69"/>
      <c r="R603" s="69"/>
      <c r="S603" s="69"/>
    </row>
    <row r="604" spans="1:19" ht="19.95" customHeight="1" x14ac:dyDescent="0.3">
      <c r="A604" s="97" t="s">
        <v>309</v>
      </c>
      <c r="B604" s="97"/>
      <c r="C604" s="97"/>
      <c r="D604" s="97"/>
      <c r="E604" s="97"/>
      <c r="F604" s="97"/>
      <c r="G604" s="97"/>
      <c r="H604" s="97"/>
      <c r="I604" s="97"/>
      <c r="J604" s="97"/>
      <c r="K604" s="97"/>
      <c r="L604" s="97"/>
      <c r="M604" s="97"/>
      <c r="N604" s="97"/>
      <c r="O604" s="97"/>
      <c r="P604" s="97"/>
      <c r="Q604" s="97"/>
      <c r="R604" s="97"/>
      <c r="S604" s="97"/>
    </row>
    <row r="605" spans="1:19" ht="19.95" customHeight="1" x14ac:dyDescent="0.3">
      <c r="A605" s="69"/>
      <c r="B605" s="69"/>
      <c r="C605" s="69"/>
      <c r="D605" s="69"/>
      <c r="E605" s="69"/>
      <c r="F605" s="69"/>
      <c r="G605" s="69"/>
      <c r="H605" s="69"/>
      <c r="I605" s="69"/>
      <c r="J605" s="69"/>
      <c r="K605" s="69"/>
      <c r="L605" s="69"/>
      <c r="M605" s="69"/>
      <c r="N605" s="69"/>
      <c r="O605" s="69"/>
      <c r="P605" s="69"/>
      <c r="Q605" s="69"/>
      <c r="R605" s="69"/>
      <c r="S605" s="69"/>
    </row>
    <row r="606" spans="1:19" ht="19.95" customHeight="1" x14ac:dyDescent="0.3">
      <c r="A606" s="69"/>
      <c r="B606" s="69"/>
      <c r="C606" s="69"/>
      <c r="D606" s="69"/>
      <c r="E606" s="69"/>
      <c r="F606" s="69"/>
      <c r="G606" s="69"/>
      <c r="H606" s="69"/>
      <c r="I606" s="69"/>
      <c r="J606" s="69"/>
      <c r="K606" s="69"/>
      <c r="L606" s="69"/>
      <c r="M606" s="69"/>
      <c r="N606" s="69"/>
      <c r="O606" s="69"/>
      <c r="P606" s="69"/>
      <c r="Q606" s="69"/>
      <c r="R606" s="69"/>
      <c r="S606" s="69"/>
    </row>
    <row r="607" spans="1:19" ht="19.95" customHeight="1" x14ac:dyDescent="0.3">
      <c r="A607" s="69"/>
      <c r="B607" s="69"/>
      <c r="C607" s="69"/>
      <c r="D607" s="69"/>
      <c r="E607" s="69"/>
      <c r="F607" s="69"/>
      <c r="G607" s="69"/>
      <c r="H607" s="69"/>
      <c r="I607" s="69"/>
      <c r="J607" s="69"/>
      <c r="K607" s="69"/>
      <c r="L607" s="69"/>
      <c r="M607" s="69"/>
      <c r="N607" s="69"/>
      <c r="O607" s="69"/>
      <c r="P607" s="69"/>
      <c r="Q607" s="69"/>
      <c r="R607" s="69"/>
      <c r="S607" s="69"/>
    </row>
    <row r="608" spans="1:19" ht="19.95" customHeight="1" x14ac:dyDescent="0.3">
      <c r="A608" s="69"/>
      <c r="B608" s="69"/>
      <c r="C608" s="69"/>
      <c r="D608" s="69"/>
      <c r="E608" s="69"/>
      <c r="F608" s="69"/>
      <c r="G608" s="69"/>
      <c r="H608" s="69"/>
      <c r="I608" s="69"/>
      <c r="J608" s="69"/>
      <c r="K608" s="69"/>
      <c r="L608" s="69"/>
      <c r="M608" s="69"/>
      <c r="N608" s="69"/>
      <c r="O608" s="69"/>
      <c r="P608" s="69"/>
      <c r="Q608" s="69"/>
      <c r="R608" s="69"/>
      <c r="S608" s="69"/>
    </row>
    <row r="609" spans="1:19" ht="19.95" customHeight="1" x14ac:dyDescent="0.3">
      <c r="A609" s="69"/>
      <c r="B609" s="69"/>
      <c r="C609" s="69"/>
      <c r="D609" s="69"/>
      <c r="E609" s="69"/>
      <c r="F609" s="69"/>
      <c r="G609" s="69"/>
      <c r="H609" s="69"/>
      <c r="I609" s="69"/>
      <c r="J609" s="69"/>
      <c r="K609" s="69"/>
      <c r="L609" s="69"/>
      <c r="M609" s="69"/>
      <c r="N609" s="69"/>
      <c r="O609" s="69"/>
      <c r="P609" s="69"/>
      <c r="Q609" s="69"/>
      <c r="R609" s="69"/>
      <c r="S609" s="69"/>
    </row>
    <row r="610" spans="1:19" ht="19.95" customHeight="1" x14ac:dyDescent="0.3">
      <c r="A610" s="69"/>
      <c r="B610" s="69"/>
      <c r="C610" s="69"/>
      <c r="D610" s="69"/>
      <c r="E610" s="69"/>
      <c r="F610" s="69"/>
      <c r="G610" s="69"/>
      <c r="H610" s="69"/>
      <c r="I610" s="69"/>
      <c r="J610" s="69"/>
      <c r="K610" s="69"/>
      <c r="L610" s="69"/>
      <c r="M610" s="69"/>
      <c r="N610" s="69"/>
      <c r="O610" s="69"/>
      <c r="P610" s="69"/>
      <c r="Q610" s="69"/>
      <c r="R610" s="69"/>
      <c r="S610" s="69"/>
    </row>
    <row r="611" spans="1:19" ht="19.95" customHeight="1" x14ac:dyDescent="0.3">
      <c r="A611" s="69"/>
      <c r="B611" s="69"/>
      <c r="C611" s="69"/>
      <c r="D611" s="69"/>
      <c r="E611" s="69"/>
      <c r="F611" s="69"/>
      <c r="G611" s="69"/>
      <c r="H611" s="69"/>
      <c r="I611" s="69"/>
      <c r="J611" s="69"/>
      <c r="K611" s="69"/>
      <c r="L611" s="69"/>
      <c r="M611" s="69"/>
      <c r="N611" s="69"/>
      <c r="O611" s="69"/>
      <c r="P611" s="69"/>
      <c r="Q611" s="69"/>
      <c r="R611" s="69"/>
      <c r="S611" s="69"/>
    </row>
    <row r="612" spans="1:19" ht="19.95" customHeight="1" x14ac:dyDescent="0.3">
      <c r="A612" s="69"/>
      <c r="B612" s="69"/>
      <c r="C612" s="69"/>
      <c r="D612" s="69"/>
      <c r="E612" s="69"/>
      <c r="F612" s="69"/>
      <c r="G612" s="69"/>
      <c r="H612" s="69"/>
      <c r="I612" s="69"/>
      <c r="J612" s="69"/>
      <c r="K612" s="69"/>
      <c r="L612" s="69"/>
      <c r="M612" s="69"/>
      <c r="N612" s="69"/>
      <c r="O612" s="69"/>
      <c r="P612" s="69"/>
      <c r="Q612" s="69"/>
      <c r="R612" s="69"/>
      <c r="S612" s="69"/>
    </row>
    <row r="613" spans="1:19" ht="19.95" customHeight="1" x14ac:dyDescent="0.3">
      <c r="A613" s="69"/>
      <c r="B613" s="69"/>
      <c r="C613" s="69"/>
      <c r="D613" s="69"/>
      <c r="E613" s="69"/>
      <c r="F613" s="69"/>
      <c r="G613" s="69"/>
      <c r="H613" s="69"/>
      <c r="I613" s="69"/>
      <c r="J613" s="69"/>
      <c r="K613" s="69"/>
      <c r="L613" s="69"/>
      <c r="M613" s="69"/>
      <c r="N613" s="69"/>
      <c r="O613" s="69"/>
      <c r="P613" s="69"/>
      <c r="Q613" s="69"/>
      <c r="R613" s="69"/>
      <c r="S613" s="69"/>
    </row>
    <row r="614" spans="1:19" ht="19.95" customHeight="1" x14ac:dyDescent="0.3">
      <c r="A614" s="69"/>
      <c r="B614" s="69"/>
      <c r="C614" s="69"/>
      <c r="D614" s="69"/>
      <c r="E614" s="69"/>
      <c r="F614" s="69"/>
      <c r="G614" s="69"/>
      <c r="H614" s="69"/>
      <c r="I614" s="69"/>
      <c r="J614" s="69"/>
      <c r="K614" s="69"/>
      <c r="L614" s="69"/>
      <c r="M614" s="69"/>
      <c r="N614" s="69"/>
      <c r="O614" s="69"/>
      <c r="P614" s="69"/>
      <c r="Q614" s="69"/>
      <c r="R614" s="69"/>
      <c r="S614" s="69"/>
    </row>
    <row r="615" spans="1:19" ht="19.95" customHeight="1" x14ac:dyDescent="0.3">
      <c r="A615" s="69"/>
      <c r="B615" s="69"/>
      <c r="C615" s="69"/>
      <c r="D615" s="69"/>
      <c r="E615" s="69"/>
      <c r="F615" s="69"/>
      <c r="G615" s="69"/>
      <c r="H615" s="69"/>
      <c r="I615" s="69"/>
      <c r="J615" s="69"/>
      <c r="K615" s="69"/>
      <c r="L615" s="69"/>
      <c r="M615" s="69"/>
      <c r="N615" s="69"/>
      <c r="O615" s="69"/>
      <c r="P615" s="69"/>
      <c r="Q615" s="69"/>
      <c r="R615" s="69"/>
      <c r="S615" s="69"/>
    </row>
    <row r="616" spans="1:19" ht="19.95" customHeight="1" x14ac:dyDescent="0.3">
      <c r="A616" s="69"/>
      <c r="B616" s="69"/>
      <c r="C616" s="69"/>
      <c r="D616" s="69"/>
      <c r="E616" s="69"/>
      <c r="F616" s="69"/>
      <c r="G616" s="69"/>
      <c r="H616" s="69"/>
      <c r="I616" s="69"/>
      <c r="J616" s="69"/>
      <c r="K616" s="69"/>
      <c r="L616" s="69"/>
      <c r="M616" s="69"/>
      <c r="N616" s="69"/>
      <c r="O616" s="69"/>
      <c r="P616" s="69"/>
      <c r="Q616" s="69"/>
      <c r="R616" s="69"/>
      <c r="S616" s="69"/>
    </row>
    <row r="617" spans="1:19" ht="19.95" customHeight="1" x14ac:dyDescent="0.3">
      <c r="A617" s="69"/>
      <c r="B617" s="69"/>
      <c r="C617" s="69"/>
      <c r="D617" s="69"/>
      <c r="E617" s="69"/>
      <c r="F617" s="69"/>
      <c r="G617" s="69"/>
      <c r="H617" s="69"/>
      <c r="I617" s="69"/>
      <c r="J617" s="69"/>
      <c r="K617" s="69"/>
      <c r="L617" s="69"/>
      <c r="M617" s="69"/>
      <c r="N617" s="69"/>
      <c r="O617" s="69"/>
      <c r="P617" s="69"/>
      <c r="Q617" s="69"/>
      <c r="R617" s="69"/>
      <c r="S617" s="69"/>
    </row>
    <row r="618" spans="1:19" ht="19.95" customHeight="1" x14ac:dyDescent="0.3">
      <c r="A618" s="69"/>
      <c r="B618" s="69"/>
      <c r="C618" s="69"/>
      <c r="D618" s="69"/>
      <c r="E618" s="69"/>
      <c r="F618" s="69"/>
      <c r="G618" s="69"/>
      <c r="H618" s="69"/>
      <c r="I618" s="69"/>
      <c r="J618" s="69"/>
      <c r="K618" s="69"/>
      <c r="L618" s="69"/>
      <c r="M618" s="69"/>
      <c r="N618" s="69"/>
      <c r="O618" s="69"/>
      <c r="P618" s="69"/>
      <c r="Q618" s="69"/>
      <c r="R618" s="69"/>
      <c r="S618" s="69"/>
    </row>
    <row r="619" spans="1:19" ht="19.95" customHeight="1" x14ac:dyDescent="0.3">
      <c r="A619" s="69"/>
      <c r="B619" s="69"/>
      <c r="C619" s="69"/>
      <c r="D619" s="69"/>
      <c r="E619" s="69"/>
      <c r="F619" s="69"/>
      <c r="G619" s="69"/>
      <c r="H619" s="69"/>
      <c r="I619" s="69"/>
      <c r="J619" s="69"/>
      <c r="K619" s="69"/>
      <c r="L619" s="69"/>
      <c r="M619" s="69"/>
      <c r="N619" s="69"/>
      <c r="O619" s="69"/>
      <c r="P619" s="69"/>
      <c r="Q619" s="69"/>
      <c r="R619" s="69"/>
      <c r="S619" s="69"/>
    </row>
    <row r="620" spans="1:19" ht="19.95" customHeight="1" x14ac:dyDescent="0.3">
      <c r="A620" s="69"/>
      <c r="B620" s="69"/>
      <c r="C620" s="69"/>
      <c r="D620" s="69"/>
      <c r="E620" s="69"/>
      <c r="F620" s="69"/>
      <c r="G620" s="69"/>
      <c r="H620" s="69"/>
      <c r="I620" s="69"/>
      <c r="J620" s="69"/>
      <c r="K620" s="69"/>
      <c r="L620" s="69"/>
      <c r="M620" s="69"/>
      <c r="N620" s="69"/>
      <c r="O620" s="69"/>
      <c r="P620" s="69"/>
      <c r="Q620" s="69"/>
      <c r="R620" s="69"/>
      <c r="S620" s="69"/>
    </row>
    <row r="621" spans="1:19" ht="19.95" customHeight="1" x14ac:dyDescent="0.3">
      <c r="A621" s="69"/>
      <c r="B621" s="69"/>
      <c r="C621" s="69"/>
      <c r="D621" s="69"/>
      <c r="E621" s="69"/>
      <c r="F621" s="69"/>
      <c r="G621" s="69"/>
      <c r="H621" s="69"/>
      <c r="I621" s="69"/>
      <c r="J621" s="69"/>
      <c r="K621" s="69"/>
      <c r="L621" s="69"/>
      <c r="M621" s="69"/>
      <c r="N621" s="69"/>
      <c r="O621" s="69"/>
      <c r="P621" s="69"/>
      <c r="Q621" s="69"/>
      <c r="R621" s="69"/>
      <c r="S621" s="69"/>
    </row>
    <row r="622" spans="1:19" ht="19.95" customHeight="1" x14ac:dyDescent="0.3">
      <c r="A622" s="69"/>
      <c r="B622" s="69"/>
      <c r="C622" s="69"/>
      <c r="D622" s="69"/>
      <c r="E622" s="69"/>
      <c r="F622" s="69"/>
      <c r="G622" s="69"/>
      <c r="H622" s="69"/>
      <c r="I622" s="69"/>
      <c r="J622" s="69"/>
      <c r="K622" s="69"/>
      <c r="L622" s="69"/>
      <c r="M622" s="69"/>
      <c r="N622" s="69"/>
      <c r="O622" s="69"/>
      <c r="P622" s="69"/>
      <c r="Q622" s="69"/>
      <c r="R622" s="69"/>
      <c r="S622" s="69"/>
    </row>
    <row r="623" spans="1:19" ht="19.95" customHeight="1" x14ac:dyDescent="0.3">
      <c r="A623" s="69"/>
      <c r="B623" s="69"/>
      <c r="C623" s="69"/>
      <c r="D623" s="69"/>
      <c r="E623" s="69"/>
      <c r="F623" s="69"/>
      <c r="G623" s="69"/>
      <c r="H623" s="69"/>
      <c r="I623" s="69"/>
      <c r="J623" s="69"/>
      <c r="K623" s="69"/>
      <c r="L623" s="69"/>
      <c r="M623" s="69"/>
      <c r="N623" s="69"/>
      <c r="O623" s="69"/>
      <c r="P623" s="69"/>
      <c r="Q623" s="69"/>
      <c r="R623" s="69"/>
      <c r="S623" s="69"/>
    </row>
    <row r="624" spans="1:19" ht="19.95" customHeight="1" x14ac:dyDescent="0.3">
      <c r="A624" s="69"/>
      <c r="B624" s="69"/>
      <c r="C624" s="69"/>
      <c r="D624" s="69"/>
      <c r="E624" s="69"/>
      <c r="F624" s="69"/>
      <c r="G624" s="69"/>
      <c r="H624" s="69"/>
      <c r="I624" s="69"/>
      <c r="J624" s="69"/>
      <c r="K624" s="69"/>
      <c r="L624" s="69"/>
      <c r="M624" s="69"/>
      <c r="N624" s="69"/>
      <c r="O624" s="69"/>
      <c r="P624" s="69"/>
      <c r="Q624" s="69"/>
      <c r="R624" s="69"/>
      <c r="S624" s="69"/>
    </row>
    <row r="625" spans="1:19" ht="19.95" customHeight="1" x14ac:dyDescent="0.3">
      <c r="A625" s="69"/>
      <c r="B625" s="69"/>
      <c r="C625" s="69"/>
      <c r="D625" s="69"/>
      <c r="E625" s="69"/>
      <c r="F625" s="69"/>
      <c r="G625" s="69"/>
      <c r="H625" s="69"/>
      <c r="I625" s="69"/>
      <c r="J625" s="69"/>
      <c r="K625" s="69"/>
      <c r="L625" s="69"/>
      <c r="M625" s="69"/>
      <c r="N625" s="69"/>
      <c r="O625" s="69"/>
      <c r="P625" s="69"/>
      <c r="Q625" s="69"/>
      <c r="R625" s="69"/>
      <c r="S625" s="69"/>
    </row>
  </sheetData>
  <mergeCells count="30">
    <mergeCell ref="A512:S512"/>
    <mergeCell ref="A535:S535"/>
    <mergeCell ref="A558:S558"/>
    <mergeCell ref="A581:S581"/>
    <mergeCell ref="A604:S604"/>
    <mergeCell ref="A397:S397"/>
    <mergeCell ref="A420:S420"/>
    <mergeCell ref="A443:S443"/>
    <mergeCell ref="A466:S466"/>
    <mergeCell ref="A489:S489"/>
    <mergeCell ref="A282:S282"/>
    <mergeCell ref="A305:S305"/>
    <mergeCell ref="A328:S328"/>
    <mergeCell ref="A351:S351"/>
    <mergeCell ref="A374:S374"/>
    <mergeCell ref="A167:S167"/>
    <mergeCell ref="A190:S190"/>
    <mergeCell ref="A213:S213"/>
    <mergeCell ref="A236:S236"/>
    <mergeCell ref="A259:S259"/>
    <mergeCell ref="A52:S52"/>
    <mergeCell ref="A75:S75"/>
    <mergeCell ref="A98:S98"/>
    <mergeCell ref="A121:S121"/>
    <mergeCell ref="A144:S144"/>
    <mergeCell ref="A1:S1"/>
    <mergeCell ref="A2:S2"/>
    <mergeCell ref="A3:S3"/>
    <mergeCell ref="A6:S6"/>
    <mergeCell ref="A29:S29"/>
  </mergeCells>
  <pageMargins left="0.25" right="0.25" top="0.25" bottom="0.25" header="0.3" footer="0.3"/>
  <pageSetup paperSize="9" scale="86" fitToHeight="0" orientation="landscape"/>
  <rowBreaks count="26" manualBreakCount="26">
    <brk id="28" max="18" man="1"/>
    <brk id="51" max="18" man="1"/>
    <brk id="74" max="18" man="1"/>
    <brk id="97" max="18" man="1"/>
    <brk id="120" max="18" man="1"/>
    <brk id="143" max="18" man="1"/>
    <brk id="166" max="18" man="1"/>
    <brk id="189" max="18" man="1"/>
    <brk id="212" max="18" man="1"/>
    <brk id="235" max="18" man="1"/>
    <brk id="258" max="18" man="1"/>
    <brk id="281" max="18" man="1"/>
    <brk id="304" max="18" man="1"/>
    <brk id="327" max="18" man="1"/>
    <brk id="350" max="18" man="1"/>
    <brk id="373" max="18" man="1"/>
    <brk id="396" max="18" man="1"/>
    <brk id="419" max="18" man="1"/>
    <brk id="442" max="18" man="1"/>
    <brk id="465" max="18" man="1"/>
    <brk id="488" max="18" man="1"/>
    <brk id="511" max="18" man="1"/>
    <brk id="534" max="18" man="1"/>
    <brk id="557" max="18" man="1"/>
    <brk id="580" max="18" man="1"/>
    <brk id="603" max="18"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Overview</vt:lpstr>
      <vt:lpstr>KOHC</vt:lpstr>
      <vt:lpstr>LUCK</vt:lpstr>
      <vt:lpstr>DGKC</vt:lpstr>
      <vt:lpstr>MLCF</vt:lpstr>
      <vt:lpstr>FCCL</vt:lpstr>
      <vt:lpstr>Industry Averages</vt:lpstr>
      <vt:lpstr>Charts</vt:lpstr>
      <vt:lpstr>Charts!Print_Area</vt:lpstr>
      <vt:lpstr>DGKC!Print_Area</vt:lpstr>
      <vt:lpstr>FCCL!Print_Area</vt:lpstr>
      <vt:lpstr>'Industry Averages'!Print_Area</vt:lpstr>
      <vt:lpstr>KOHC!Print_Area</vt:lpstr>
      <vt:lpstr>LUCK!Print_Area</vt:lpstr>
      <vt:lpstr>MLCF!Print_Area</vt:lpstr>
      <vt:lpstr>Overview!Print_Area</vt:lpstr>
      <vt:lpstr>Charts!Print_Titles</vt:lpstr>
      <vt:lpstr>'Industry Averages'!Print_Titles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Raahin Tajuddin</cp:lastModifiedBy>
  <dcterms:modified xsi:type="dcterms:W3CDTF">2026-10-26T04:45:53Z</dcterms:modified>
</cp:coreProperties>
</file>