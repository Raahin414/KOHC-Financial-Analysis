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f4560547948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19bf9630c984ff0"/>
    <x:sheet xmlns:r="http://schemas.openxmlformats.org/officeDocument/2006/relationships" name="KOHC" sheetId="2" r:id="R865ae52c2d024044"/>
    <x:sheet xmlns:r="http://schemas.openxmlformats.org/officeDocument/2006/relationships" name="LUCK" sheetId="3" r:id="Rc8a4ef5c1cb14e1a"/>
    <x:sheet xmlns:r="http://schemas.openxmlformats.org/officeDocument/2006/relationships" name="DGKC" sheetId="4" r:id="Rcd91cef9e8834586"/>
    <x:sheet xmlns:r="http://schemas.openxmlformats.org/officeDocument/2006/relationships" name="MLCF" sheetId="5" r:id="R31208e064ab44e82"/>
    <x:sheet xmlns:r="http://schemas.openxmlformats.org/officeDocument/2006/relationships" name="FCCL" sheetId="6" r:id="R4f7278a85bab48f0"/>
    <x:sheet xmlns:r="http://schemas.openxmlformats.org/officeDocument/2006/relationships" name="Industry Averages" sheetId="7" r:id="Rf417e57163074f26"/>
    <x:sheet xmlns:r="http://schemas.openxmlformats.org/officeDocument/2006/relationships" name="Charts" sheetId="8" r:id="Rbea9660af14c49ad"/>
  </x:sheets>
</x:workbook>
</file>

<file path=xl/sharedStrings.xml><?xml version="1.0" encoding="utf-8"?>
<x:sst xmlns:x="http://schemas.openxmlformats.org/spreadsheetml/2006/main">
  <x:si>
    <x:t xml:space="preserve">Financial Ratio Analysis of Kohat Cement Company Limited and Its Competitors</x:t>
  </x:si>
  <x:si>
    <x:t xml:space="preserve">Five-year analysis, FY2021 - FY2025</x:t>
  </x:si>
  <x:si>
    <x:t xml:space="preserve">Course</x:t>
  </x:si>
  <x:si>
    <x:t xml:space="preserve">Introduction to Business Finance</x:t>
  </x:si>
  <x:si>
    <x:t xml:space="preserve">Institution</x:t>
  </x:si>
  <x:si>
    <x:t xml:space="preserve">IBA Karachi</x:t>
  </x:si>
  <x:si>
    <x:t xml:space="preserve">Instructor</x:t>
  </x:si>
  <x:si>
    <x:t xml:space="preserve">Dr. Noureen Ayaz</x:t>
  </x:si>
  <x:si>
    <x:t xml:space="preserve">Group members</x:t>
  </x:si>
  <x:si>
    <x:t xml:space="preserve">Companies analysed</x:t>
  </x:si>
  <x:si>
    <x:t xml:space="preserve">Symbol</x:t>
  </x:si>
  <x:si>
    <x:t xml:space="preserve">Company</x:t>
  </x:si>
  <x:si>
    <x:t xml:space="preserve">Role</x:t>
  </x:si>
  <x:si>
    <x:t xml:space="preserve">Statements used</x:t>
  </x:si>
  <x:si>
    <x:t xml:space="preserve">Sheet</x:t>
  </x:si>
  <x:si>
    <x:t xml:space="preserve">KOHC</x:t>
  </x:si>
  <x:si>
    <x:t xml:space="preserve">Kohat Cement Company Limited</x:t>
  </x:si>
  <x:si>
    <x:t xml:space="preserve">Main company</x:t>
  </x:si>
  <x:si>
    <x:t xml:space="preserve">Standalone</x:t>
  </x:si>
  <x:si>
    <x:t xml:space="preserve">Open KOHC</x:t>
  </x:si>
  <x:si>
    <x:t xml:space="preserve">LUCK</x:t>
  </x:si>
  <x:si>
    <x:t xml:space="preserve">Lucky Cement Limited</x:t>
  </x:si>
  <x:si>
    <x:t xml:space="preserve">Competitor 1</x:t>
  </x:si>
  <x:si>
    <x:t xml:space="preserve">Unconsolidated</x:t>
  </x:si>
  <x:si>
    <x:t xml:space="preserve">Open LUCK</x:t>
  </x:si>
  <x:si>
    <x:t xml:space="preserve">DGKC</x:t>
  </x:si>
  <x:si>
    <x:t xml:space="preserve">D.G. Khan Cement Company Limited</x:t>
  </x:si>
  <x:si>
    <x:t xml:space="preserve">Competitor 2</x:t>
  </x:si>
  <x:si>
    <x:t xml:space="preserve">Open DGKC</x:t>
  </x:si>
  <x:si>
    <x:t xml:space="preserve">MLCF</x:t>
  </x:si>
  <x:si>
    <x:t xml:space="preserve">Maple Leaf Cement Factory Limited</x:t>
  </x:si>
  <x:si>
    <x:t xml:space="preserve">Competitor 3</x:t>
  </x:si>
  <x:si>
    <x:t xml:space="preserve">Open MLCF</x:t>
  </x:si>
  <x:si>
    <x:t xml:space="preserve">FCCL</x:t>
  </x:si>
  <x:si>
    <x:t xml:space="preserve">Fauji Cement Company Limited</x:t>
  </x:si>
  <x:si>
    <x:t xml:space="preserve">Competitor 4</x:t>
  </x:si>
  <x:si>
    <x:t xml:space="preserve">Open FCCL</x:t>
  </x:si>
  <x:si>
    <x:t xml:space="preserve">Open Industry Averages</x:t>
  </x:si>
  <x:si>
    <x:t xml:space="preserve">Open Charts</x:t>
  </x:si>
  <x:si>
    <x:t xml:space="preserve">Methodology</x:t>
  </x:si>
  <x:si>
    <x:t xml:space="preserve">- The same ratio definitions are applied to all five companies; the industry average is the simple average of the five companies (KOHC included).</x:t>
  </x:si>
  <x:si>
    <x:t xml:space="preserve">- Ratios comparing an annual flow with a balance use average balances: (opening + closing) / 2. FY2020 closing balances come from the FY2021 annual reports.</x:t>
  </x:si>
  <x:si>
    <x:t xml:space="preserve">- Liquidity and leverage ratios use year-end balances. Inventories = stores, spares and loose tools + stock-in-trade.</x:t>
  </x:si>
  <x:si>
    <x:t xml:space="preserve">- EBIT = profit before levies and taxation + finance cost. EBITDA = EBIT + depreciation and amortisation. Interest expense excludes bank charges.</x:t>
  </x:si>
  <x:si>
    <x:t xml:space="preserve">- Interest-bearing debt = long-term financing + lease liabilities + short-term borrowings + current portions.</x:t>
  </x:si>
  <x:si>
    <x:t xml:space="preserve">- Each year is taken from the latest audited presentation (restated comparatives where restated).</x:t>
  </x:si>
  <x:si>
    <x:t xml:space="preserve">- n/m = not meaningful (for example P/E when EPS is negative); such values are excluded from industry averages, never treated as zero.</x:t>
  </x:si>
  <x:si>
    <x:t xml:space="preserve">NOPAT tax rate where the effective rate is not meaningful (outside 0%-60%)</x:t>
  </x:si>
  <x:si>
    <x:t xml:space="preserve">FY2021</x:t>
  </x:si>
  <x:si>
    <x:t xml:space="preserve">FY2022</x:t>
  </x:si>
  <x:si>
    <x:t xml:space="preserve">FY2023</x:t>
  </x:si>
  <x:si>
    <x:t xml:space="preserve">FY2024</x:t>
  </x:si>
  <x:si>
    <x:t xml:space="preserve">FY2025</x:t>
  </x:si>
  <x:si>
    <x:t xml:space="preserve">Corporate tax 29% + super tax 10%</x:t>
  </x:si>
  <x:si>
    <x:t xml:space="preserve">n/a</x:t>
  </x:si>
  <x:si>
    <x:t xml:space="preserve">Applied only to DGKC FY2023 and FY2024. Rates per DGKC audited tax reconciliations (FY2024 AR p205; FY2025 AR p210) and FY2023 AR p114.</x:t>
  </x:si>
  <x:si>
    <x:t xml:space="preserve">References</x:t>
  </x:si>
  <x:si>
    <x:t xml:space="preserve">Audited annual reports FY2021-FY2025 of Kohat Cement, Lucky Cement, D.G. Khan Cement, Maple Leaf Cement and Fauji Cement (as supplied).</x:t>
  </x:si>
  <x:si>
    <x:t xml:space="preserve">AI use: prepared with assistance from an AI tool (Claude); disclosed in line with the course AI policy.</x:t>
  </x:si>
  <x:si>
    <x:t xml:space="preserve">Kohat Cement Company Limited (KOHC)</x:t>
  </x:si>
  <x:si>
    <x:t xml:space="preserve">Main company  |  Standalone audited financial statements  |  Years ended 30 June  |  PKR million unless stated</x:t>
  </x:si>
  <x:si>
    <x:t xml:space="preserve">*FY2020 = opening balances / comparative figures from the FY2021 annual report (used for FY2021 averages and growth rates).</x:t>
  </x:si>
  <x:si>
    <x:t xml:space="preserve">1. Balance Sheet (PKR million)</x:t>
  </x:si>
  <x:si>
    <x:t xml:space="preserve">Particulars</x:t>
  </x:si>
  <x:si>
    <x:t xml:space="preserve">FY2020*</x:t>
  </x:si>
  <x:si>
    <x:t xml:space="preserve">Non-current assets</x:t>
  </x:si>
  <x:si>
    <x:t xml:space="preserve">Property, plant and equipment</x:t>
  </x:si>
  <x:si>
    <x:t xml:space="preserve">   of which: capital work-in-progress</x:t>
  </x:si>
  <x:si>
    <x:t xml:space="preserve">Right-of-use assets</x:t>
  </x:si>
  <x:si>
    <x:t xml:space="preserve">Intangible assets</x:t>
  </x:si>
  <x:si>
    <x:t xml:space="preserve">Investment property</x:t>
  </x:si>
  <x:si>
    <x:t xml:space="preserve">Long-term investments</x:t>
  </x:si>
  <x:si>
    <x:t xml:space="preserve">Other non-current assets</x:t>
  </x:si>
  <x:si>
    <x:t xml:space="preserve">Total non-current assets</x:t>
  </x:si>
  <x:si>
    <x:t xml:space="preserve">Current assets</x:t>
  </x:si>
  <x:si>
    <x:t xml:space="preserve">Stores, spares and loose tools</x:t>
  </x:si>
  <x:si>
    <x:t xml:space="preserve">Stock-in-trade</x:t>
  </x:si>
  <x:si>
    <x:t xml:space="preserve">Trade debts</x:t>
  </x:si>
  <x:si>
    <x:t xml:space="preserve">Short-term investments</x:t>
  </x:si>
  <x:si>
    <x:t xml:space="preserve">Cash and bank balances</x:t>
  </x:si>
  <x:si>
    <x:t xml:space="preserve">Other current assets</x:t>
  </x:si>
  <x:si>
    <x:t xml:space="preserve">Total current assets</x:t>
  </x:si>
  <x:si>
    <x:t xml:space="preserve">TOTAL ASSETS</x:t>
  </x:si>
  <x:si>
    <x:t xml:space="preserve">Equity</x:t>
  </x:si>
  <x:si>
    <x:t xml:space="preserve">Share capital</x:t>
  </x:si>
  <x:si>
    <x:t xml:space="preserve">Reserves and retained earnings</x:t>
  </x:si>
  <x:si>
    <x:t xml:space="preserve">Total equity</x:t>
  </x:si>
  <x:si>
    <x:t xml:space="preserve">Non-current liabilities</x:t>
  </x:si>
  <x:si>
    <x:t xml:space="preserve">Long-term financing</x:t>
  </x:si>
  <x:si>
    <x:t xml:space="preserve">Lease liabilities</x:t>
  </x:si>
  <x:si>
    <x:t xml:space="preserve">Deferred government grant</x:t>
  </x:si>
  <x:si>
    <x:t xml:space="preserve">Deferred taxation</x:t>
  </x:si>
  <x:si>
    <x:t xml:space="preserve">Other non-current liabilities</x:t>
  </x:si>
  <x:si>
    <x:t xml:space="preserve">Total non-current liabilities</x:t>
  </x:si>
  <x:si>
    <x:t xml:space="preserve">Current liabilities</x:t>
  </x:si>
  <x:si>
    <x:t xml:space="preserve">Trade and other payables</x:t>
  </x:si>
  <x:si>
    <x:t xml:space="preserve">Contract liabilities</x:t>
  </x:si>
  <x:si>
    <x:t xml:space="preserve">Accrued mark-up</x:t>
  </x:si>
  <x:si>
    <x:t xml:space="preserve">Short-term borrowings</x:t>
  </x:si>
  <x:si>
    <x:t xml:space="preserve">Current portion of long-term financing</x:t>
  </x:si>
  <x:si>
    <x:t xml:space="preserve">Current portion of lease liabilities</x:t>
  </x:si>
  <x:si>
    <x:t xml:space="preserve">Current portion of deferred grant</x:t>
  </x:si>
  <x:si>
    <x:t xml:space="preserve">Unclaimed / unpaid dividends</x:t>
  </x:si>
  <x:si>
    <x:t xml:space="preserve">Taxation - net</x:t>
  </x:si>
  <x:si>
    <x:t xml:space="preserve">Other current liabilities</x:t>
  </x:si>
  <x:si>
    <x:t xml:space="preserve">Total current liabilities</x:t>
  </x:si>
  <x:si>
    <x:t xml:space="preserve">Total liabilities</x:t>
  </x:si>
  <x:si>
    <x:t xml:space="preserve">TOTAL EQUITY AND LIABILITIES</x:t>
  </x:si>
  <x:si>
    <x:t xml:space="preserve">Supporting balances</x:t>
  </x:si>
  <x:si>
    <x:t xml:space="preserve">Trade creditors (payables note)</x:t>
  </x:si>
  <x:si>
    <x:t xml:space="preserve">Operating fixed assets (PPE - CWIP)</x:t>
  </x:si>
  <x:si>
    <x:t xml:space="preserve">Inventories (stores + stock-in-trade)</x:t>
  </x:si>
  <x:si>
    <x:t xml:space="preserve">Interest-bearing debt</x:t>
  </x:si>
  <x:si>
    <x:t xml:space="preserve">Long-term interest-bearing debt</x:t>
  </x:si>
  <x:si>
    <x:t xml:space="preserve">Net debt (IBD - cash and bank)</x:t>
  </x:si>
  <x:si>
    <x:t xml:space="preserve">Invested capital (IBD + equity)</x:t>
  </x:si>
  <x:si>
    <x:t xml:space="preserve">Operating current assets</x:t>
  </x:si>
  <x:si>
    <x:t xml:space="preserve">Operating current liabilities</x:t>
  </x:si>
  <x:si>
    <x:t xml:space="preserve">2. Income Statement (PKR million)</x:t>
  </x:si>
  <x:si>
    <x:t xml:space="preserve">Net sales</x:t>
  </x:si>
  <x:si>
    <x:t xml:space="preserve">Cost of sales</x:t>
  </x:si>
  <x:si>
    <x:t xml:space="preserve">Gross profit</x:t>
  </x:si>
  <x:si>
    <x:t xml:space="preserve">Selling and distribution expenses</x:t>
  </x:si>
  <x:si>
    <x:t xml:space="preserve">Administrative expenses</x:t>
  </x:si>
  <x:si>
    <x:t xml:space="preserve">Impairment loss on financial assets</x:t>
  </x:si>
  <x:si>
    <x:t xml:space="preserve">Other operating expenses</x:t>
  </x:si>
  <x:si>
    <x:t xml:space="preserve">Operating profit</x:t>
  </x:si>
  <x:si>
    <x:t xml:space="preserve">Other income</x:t>
  </x:si>
  <x:si>
    <x:t xml:space="preserve">Finance income</x:t>
  </x:si>
  <x:si>
    <x:t xml:space="preserve">Share of profit of associate</x:t>
  </x:si>
  <x:si>
    <x:t xml:space="preserve">Finance cost</x:t>
  </x:si>
  <x:si>
    <x:t xml:space="preserve">Profit before levies and taxation</x:t>
  </x:si>
  <x:si>
    <x:t xml:space="preserve">Levies (final / minimum tax)</x:t>
  </x:si>
  <x:si>
    <x:t xml:space="preserve">Income tax</x:t>
  </x:si>
  <x:si>
    <x:t xml:space="preserve">Net profit after tax</x:t>
  </x:si>
  <x:si>
    <x:t xml:space="preserve">Supporting figures</x:t>
  </x:si>
  <x:si>
    <x:t xml:space="preserve">Depreciation and amortisation</x:t>
  </x:si>
  <x:si>
    <x:t xml:space="preserve">EBIT</x:t>
  </x:si>
  <x:si>
    <x:t xml:space="preserve">EBITDA</x:t>
  </x:si>
  <x:si>
    <x:t xml:space="preserve">Bank charges and other non-interest finance cost</x:t>
  </x:si>
  <x:si>
    <x:t xml:space="preserve">Interest expense</x:t>
  </x:si>
  <x:si>
    <x:t xml:space="preserve">Effective tax rate</x:t>
  </x:si>
  <x:si>
    <x:t xml:space="preserve">Tax rate applied to NOPAT</x:t>
  </x:si>
  <x:si>
    <x:t xml:space="preserve">NOPAT = EBIT x (1 - tax rate)</x:t>
  </x:si>
  <x:si>
    <x:t xml:space="preserve">3. Cash Flow Statement (PKR million)</x:t>
  </x:si>
  <x:si>
    <x:t xml:space="preserve">Cash generated from operations</x:t>
  </x:si>
  <x:si>
    <x:t xml:space="preserve">Net cash from operating activities</x:t>
  </x:si>
  <x:si>
    <x:t xml:space="preserve">Net cash from investing activities</x:t>
  </x:si>
  <x:si>
    <x:t xml:space="preserve">Net cash from financing activities</x:t>
  </x:si>
  <x:si>
    <x:t xml:space="preserve">Purchase of property, plant and equipment</x:t>
  </x:si>
  <x:si>
    <x:t xml:space="preserve">Finance cost paid</x:t>
  </x:si>
  <x:si>
    <x:t xml:space="preserve">Dividends paid</x:t>
  </x:si>
  <x:si>
    <x:t xml:space="preserve">4. Market Data</x:t>
  </x:si>
  <x:si>
    <x:t xml:space="preserve">Par value per share (Rs)</x:t>
  </x:si>
  <x:si>
    <x:t xml:space="preserve">Shares outstanding at year-end (million)</x:t>
  </x:si>
  <x:si>
    <x:t xml:space="preserve">Weighted average shares (million)</x:t>
  </x:si>
  <x:si>
    <x:t xml:space="preserve">Cash dividend per share for the year (Rs)</x:t>
  </x:si>
  <x:si>
    <x:t xml:space="preserve">5. Ratio Analysis</x:t>
  </x:si>
  <x:si>
    <x:t xml:space="preserve">Ratio</x:t>
  </x:si>
  <x:si>
    <x:t xml:space="preserve">Formula</x:t>
  </x:si>
  <x:si>
    <x:t xml:space="preserve">Liquidity</x:t>
  </x:si>
  <x:si>
    <x:t xml:space="preserve">1. Current ratio</x:t>
  </x:si>
  <x:si>
    <x:t xml:space="preserve">Current Assets / Current Liabilities</x:t>
  </x:si>
  <x:si>
    <x:t xml:space="preserve">2. Quick ratio</x:t>
  </x:si>
  <x:si>
    <x:t xml:space="preserve">(Current Assets - Inventories) / Current Liabilities</x:t>
  </x:si>
  <x:si>
    <x:t xml:space="preserve">3. Cash ratio</x:t>
  </x:si>
  <x:si>
    <x:t xml:space="preserve">Cash and Bank / Current Liabilities</x:t>
  </x:si>
  <x:si>
    <x:t xml:space="preserve">4. Net working capital (PKR m)</x:t>
  </x:si>
  <x:si>
    <x:t xml:space="preserve">Current Assets - Current Liabilities</x:t>
  </x:si>
  <x:si>
    <x:t xml:space="preserve">5. Net operating working capital (PKR m)</x:t>
  </x:si>
  <x:si>
    <x:t xml:space="preserve">Operating CA - Operating CL</x:t>
  </x:si>
  <x:si>
    <x:t xml:space="preserve">Asset Management</x:t>
  </x:si>
  <x:si>
    <x:t xml:space="preserve">6. Inventory turnover</x:t>
  </x:si>
  <x:si>
    <x:t xml:space="preserve">COGS / Average Inventory</x:t>
  </x:si>
  <x:si>
    <x:t xml:space="preserve">7. Receivables turnover</x:t>
  </x:si>
  <x:si>
    <x:t xml:space="preserve">Net Sales / Average Trade Debts</x:t>
  </x:si>
  <x:si>
    <x:t xml:space="preserve">8. Payables turnover</x:t>
  </x:si>
  <x:si>
    <x:t xml:space="preserve">COGS / Average Trade Creditors</x:t>
  </x:si>
  <x:si>
    <x:t xml:space="preserve">9. Days inventory outstanding</x:t>
  </x:si>
  <x:si>
    <x:t xml:space="preserve">365 / Inventory Turnover</x:t>
  </x:si>
  <x:si>
    <x:t xml:space="preserve">10. Days sales outstanding</x:t>
  </x:si>
  <x:si>
    <x:t xml:space="preserve">365 / Receivables Turnover</x:t>
  </x:si>
  <x:si>
    <x:t xml:space="preserve">11. Days payables outstanding</x:t>
  </x:si>
  <x:si>
    <x:t xml:space="preserve">365 / Payables Turnover</x:t>
  </x:si>
  <x:si>
    <x:t xml:space="preserve">12. Operating cycle (days)</x:t>
  </x:si>
  <x:si>
    <x:t xml:space="preserve">DIO + DSO</x:t>
  </x:si>
  <x:si>
    <x:t xml:space="preserve">13. Cash conversion cycle (days)</x:t>
  </x:si>
  <x:si>
    <x:t xml:space="preserve">DIO + DSO - DPO</x:t>
  </x:si>
  <x:si>
    <x:t xml:space="preserve">14. Total asset turnover</x:t>
  </x:si>
  <x:si>
    <x:t xml:space="preserve">Net Sales / Average Total Assets</x:t>
  </x:si>
  <x:si>
    <x:t xml:space="preserve">15. Fixed asset turnover</x:t>
  </x:si>
  <x:si>
    <x:t xml:space="preserve">Net Sales / Average Operating Fixed Assets</x:t>
  </x:si>
  <x:si>
    <x:t xml:space="preserve">Debt Management</x:t>
  </x:si>
  <x:si>
    <x:t xml:space="preserve">16. Debt ratio</x:t>
  </x:si>
  <x:si>
    <x:t xml:space="preserve">Total Liabilities / Total Assets</x:t>
  </x:si>
  <x:si>
    <x:t xml:space="preserve">17. Debt-to-equity</x:t>
  </x:si>
  <x:si>
    <x:t xml:space="preserve">Total Liabilities / Total Equity</x:t>
  </x:si>
  <x:si>
    <x:t xml:space="preserve">18. Total debt-to-capital</x:t>
  </x:si>
  <x:si>
    <x:t xml:space="preserve">Interest-bearing Debt / (IBD + Equity)</x:t>
  </x:si>
  <x:si>
    <x:t xml:space="preserve">19. Long-term debt ratio</x:t>
  </x:si>
  <x:si>
    <x:t xml:space="preserve">Long-term IBD / Total Assets</x:t>
  </x:si>
  <x:si>
    <x:t xml:space="preserve">20. Times interest earned</x:t>
  </x:si>
  <x:si>
    <x:t xml:space="preserve">EBIT / Interest Expense</x:t>
  </x:si>
  <x:si>
    <x:t xml:space="preserve">21. Net debt / EBITDA</x:t>
  </x:si>
  <x:si>
    <x:t xml:space="preserve">(IBD - Cash and Bank) / EBITDA</x:t>
  </x:si>
  <x:si>
    <x:t xml:space="preserve">Profitability</x:t>
  </x:si>
  <x:si>
    <x:t xml:space="preserve">22. Gross profit margin</x:t>
  </x:si>
  <x:si>
    <x:t xml:space="preserve">Gross Profit / Net Sales</x:t>
  </x:si>
  <x:si>
    <x:t xml:space="preserve">23. Operating margin</x:t>
  </x:si>
  <x:si>
    <x:t xml:space="preserve">Operating Profit / Net Sales</x:t>
  </x:si>
  <x:si>
    <x:t xml:space="preserve">24. Net profit margin</x:t>
  </x:si>
  <x:si>
    <x:t xml:space="preserve">Net Profit / Net Sales</x:t>
  </x:si>
  <x:si>
    <x:t xml:space="preserve">25. Return on assets</x:t>
  </x:si>
  <x:si>
    <x:t xml:space="preserve">Net Profit / Average Total Assets</x:t>
  </x:si>
  <x:si>
    <x:t xml:space="preserve">26. Return on equity</x:t>
  </x:si>
  <x:si>
    <x:t xml:space="preserve">Net Profit / Average Equity</x:t>
  </x:si>
  <x:si>
    <x:t xml:space="preserve">27. Return on invested capital</x:t>
  </x:si>
  <x:si>
    <x:t xml:space="preserve">NOPAT / Average Invested Capital</x:t>
  </x:si>
  <x:si>
    <x:t xml:space="preserve">28. Basic earning power</x:t>
  </x:si>
  <x:si>
    <x:t xml:space="preserve">EBIT / Average Total Assets</x:t>
  </x:si>
  <x:si>
    <x:t xml:space="preserve">29. EBITDA margin</x:t>
  </x:si>
  <x:si>
    <x:t xml:space="preserve">EBITDA / Net Sales</x:t>
  </x:si>
  <x:si>
    <x:t xml:space="preserve">Market Value</x:t>
  </x:si>
  <x:si>
    <x:t xml:space="preserve">30. Book value per share (Rs)</x:t>
  </x:si>
  <x:si>
    <x:t xml:space="preserve">Total Equity / Shares Outstanding</x:t>
  </x:si>
  <x:si>
    <x:t xml:space="preserve">31. Market-to-book ratio</x:t>
  </x:si>
  <x:si>
    <x:t xml:space="preserve">Share Price / BVPS</x:t>
  </x:si>
  <x:si>
    <x:t xml:space="preserve">32. Earnings per share (Rs)</x:t>
  </x:si>
  <x:si>
    <x:t xml:space="preserve">Net Profit / Weighted Average Shares</x:t>
  </x:si>
  <x:si>
    <x:t xml:space="preserve">33. Price-to-earnings ratio</x:t>
  </x:si>
  <x:si>
    <x:t xml:space="preserve">Share Price / EPS</x:t>
  </x:si>
  <x:si>
    <x:t xml:space="preserve">34. Dividend yield</x:t>
  </x:si>
  <x:si>
    <x:t xml:space="preserve">DPS / Share Price</x:t>
  </x:si>
  <x:si>
    <x:t xml:space="preserve">35. Dividend payout ratio</x:t>
  </x:si>
  <x:si>
    <x:t xml:space="preserve">DPS / EPS</x:t>
  </x:si>
  <x:si>
    <x:t xml:space="preserve">Cash Flow</x:t>
  </x:si>
  <x:si>
    <x:t xml:space="preserve">36. Operating cash flow ratio</x:t>
  </x:si>
  <x:si>
    <x:t xml:space="preserve">CFO / Average Current Liabilities</x:t>
  </x:si>
  <x:si>
    <x:t xml:space="preserve">6. Vertical Analysis (common-size)</x:t>
  </x:si>
  <x:si>
    <x:t xml:space="preserve">Balance sheet - % of total assets</x:t>
  </x:si>
  <x:si>
    <x:t xml:space="preserve">Inventories</x:t>
  </x:si>
  <x:si>
    <x:t xml:space="preserve">Income statement - % of net sales</x:t>
  </x:si>
  <x:si>
    <x:t xml:space="preserve">Operating expenses</x:t>
  </x:si>
  <x:si>
    <x:t xml:space="preserve">Levies and income tax</x:t>
  </x:si>
  <x:si>
    <x:t xml:space="preserve">7. Horizontal Analysis (year-on-year change)</x:t>
  </x:si>
  <x:si>
    <x:t xml:space="preserve">Growth over previous year (%)</x:t>
  </x:si>
  <x:si>
    <x:t xml:space="preserve">Total assets</x:t>
  </x:si>
  <x:si>
    <x:t xml:space="preserve">n/m = not meaningful (negative or zero base). Negative amounts are shown in brackets.</x:t>
  </x:si>
  <x:si>
    <x:t xml:space="preserve">Lucky Cement Limited (LUCK)</x:t>
  </x:si>
  <x:si>
    <x:t xml:space="preserve">Competitor 1  |  Unconsolidated audited financial statements  |  Years ended 30 June  |  PKR million unless stated</x:t>
  </x:si>
  <x:si>
    <x:t xml:space="preserve">D.G. Khan Cement Company Limited (DGKC)</x:t>
  </x:si>
  <x:si>
    <x:t xml:space="preserve">Competitor 2  |  Unconsolidated audited financial statements  |  Years ended 30 June  |  PKR million unless stated</x:t>
  </x:si>
  <x:si>
    <x:t xml:space="preserve">Maple Leaf Cement Factory Limited (MLCF)</x:t>
  </x:si>
  <x:si>
    <x:t xml:space="preserve">Competitor 3  |  Unconsolidated audited financial statements  |  Years ended 30 June  |  PKR million unless stated</x:t>
  </x:si>
  <x:si>
    <x:t xml:space="preserve">Fauji Cement Company Limited (FCCL)</x:t>
  </x:si>
  <x:si>
    <x:t xml:space="preserve">Competitor 4  |  Standalone audited financial statements  |  Years ended 30 June  |  PKR million unless stated</x:t>
  </x:si>
  <x:si>
    <x:t xml:space="preserve">Industry Averages - five-company comparison</x:t>
  </x:si>
  <x:si>
    <x:t xml:space="preserve">Five-company average = arithmetic mean of KOHC, LUCK, DGKC, MLCF and FCCL. All values link to the company sheets.</x:t>
  </x:si>
  <x:si>
    <x:t xml:space="preserve">LIQUIDITY</x:t>
  </x:si>
  <x:si>
    <x:t xml:space="preserve">KOHC - Kohat Cement</x:t>
  </x:si>
  <x:si>
    <x:t xml:space="preserve">LUCK - Lucky Cement</x:t>
  </x:si>
  <x:si>
    <x:t xml:space="preserve">DGKC - D.G. Khan Cement</x:t>
  </x:si>
  <x:si>
    <x:t xml:space="preserve">MLCF - Maple Leaf Cement</x:t>
  </x:si>
  <x:si>
    <x:t xml:space="preserve">FCCL - Fauji Cement</x:t>
  </x:si>
  <x:si>
    <x:t xml:space="preserve">Five-company average</x:t>
  </x:si>
  <x:si>
    <x:t xml:space="preserve">Absolute amounts; average is descriptive only.</x:t>
  </x:si>
  <x:si>
    <x:t xml:space="preserve">ASSET MANAGEMENT</x:t>
  </x:si>
  <x:si>
    <x:t xml:space="preserve">DEBT MANAGEMENT</x:t>
  </x:si>
  <x:si>
    <x:t xml:space="preserve">PROFITABILITY</x:t>
  </x:si>
  <x:si>
    <x:t xml:space="preserve">MARKET VALUE</x:t>
  </x:si>
  <x:si>
    <x:t xml:space="preserve">Per-share values are on different share bases; average is descriptive only.</x:t>
  </x:si>
  <x:si>
    <x:t xml:space="preserve">FY2023 average excludes DGKC (EPS negative: n/m).</x:t>
  </x:si>
  <x:si>
    <x:t xml:space="preserve">CASH FLOW</x:t>
  </x:si>
  <x:si>
    <x:t xml:space="preserve">Charts - KOHC against competitors and the five-company average, FY2021-FY2025</x:t>
  </x:si>
  <x:si>
    <x:t xml:space="preserve">Kohat Cement in dark green; five-company average as a dashed charcoal line. All series are linked to the Industry Averages sheet.</x:t>
  </x:si>
</x:sst>
</file>

<file path=xl/styles.xml><?xml version="1.0" encoding="utf-8"?>
<x:styleSheet xmlns:x="http://schemas.openxmlformats.org/spreadsheetml/2006/main">
  <x:numFmts count="11">
    <x:numFmt numFmtId="164" formatCode="General"/>
    <x:numFmt numFmtId="165" formatCode="0%"/>
    <x:numFmt numFmtId="166" formatCode="#,##0;\(#,##0\);\-"/>
    <x:numFmt numFmtId="167" formatCode="0.0%;\(0.0%\)"/>
    <x:numFmt numFmtId="168" formatCode="#,##0.00;\(#,##0.00\)"/>
    <x:numFmt numFmtId="169" formatCode="#,##0.0"/>
    <x:numFmt numFmtId="170" formatCode="0.00\x;\(0.00&quot;x)&quot;"/>
    <x:numFmt numFmtId="171" formatCode="0;\(0\)"/>
    <x:numFmt numFmtId="172" formatCode="0.0"/>
    <x:numFmt numFmtId="173" formatCode="0"/>
    <x:numFmt numFmtId="174" formatCode="0.00"/>
  </x:numFmts>
  <x:fonts count="18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color rgb="FF1E4D3A"/>
      <x:name val="Cambria"/>
    </x:font>
    <x:font>
      <x:sz val="12"/>
      <x:color rgb="FF595959"/>
      <x:name val="Cambria"/>
    </x:font>
    <x:font>
      <x:b/>
      <x:sz val="10"/>
      <x:color rgb="FF262626"/>
      <x:name val="Calibri"/>
    </x:font>
    <x:font>
      <x:b/>
      <x:sz val="12"/>
      <x:color rgb="FFFFFFFF"/>
      <x:name val="Cambria"/>
    </x:font>
    <x:font>
      <x:u val="single"/>
      <x:sz val="10"/>
      <x:color rgb="FF1F5C99"/>
      <x:name val="Calibri"/>
    </x:font>
    <x:font>
      <x:sz val="10"/>
      <x:color rgb="FF262626"/>
      <x:name val="Calibri"/>
    </x:font>
    <x:font>
      <x:i/>
      <x:sz val="9"/>
      <x:color rgb="FF595959"/>
      <x:name val="Calibri"/>
    </x:font>
    <x:font>
      <x:i/>
      <x:sz val="10"/>
      <x:color rgb="FF595959"/>
      <x:name val="Calibri"/>
    </x:font>
    <x:font>
      <x:b/>
      <x:sz val="10"/>
      <x:color rgb="FF1E4D3A"/>
      <x:name val="Calibri"/>
    </x:font>
    <x:font>
      <x:sz val="9"/>
      <x:color rgb="FF595959"/>
      <x:name val="Calibri"/>
    </x:font>
    <x:font>
      <x:b/>
      <x:sz val="12"/>
      <x:color rgb="FF1E4D3A"/>
      <x:name val="Cambria"/>
    </x:font>
    <x:font>
      <x:b/>
      <x:sz val="18"/>
      <x:color rgb="FF000000"/>
      <x:name val="Calibri"/>
      <x:family val="2"/>
    </x:font>
    <x:font>
      <x:sz val="10"/>
      <x:color rgb="FF000000"/>
      <x:name val="Calibri"/>
      <x:family val="2"/>
    </x:font>
    <x:font>
      <x:b/>
      <x:sz val="10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1E4D3A"/>
      </x:patternFill>
    </x:fill>
    <x:fill>
      <x:patternFill patternType="solid">
        <x:fgColor rgb="FFDCE6D7"/>
      </x:patternFill>
    </x:fill>
    <x:fill>
      <x:patternFill patternType="solid">
        <x:fgColor rgb="FFEEF3EC"/>
      </x:patternFill>
    </x:fill>
    <x:fill>
      <x:patternFill patternType="solid">
        <x:fgColor rgb="FFF2F2F2"/>
      </x:patternFill>
    </x:fill>
  </x:fills>
  <x:borders count="8">
    <x:border diagonalUp="0" diagonalDown="0">
      <x:left/>
      <x:right/>
      <x:top/>
      <x:bottom/>
      <x:diagonal/>
    </x:border>
    <x:border diagonalUp="0" diagonalDown="0">
      <x:left style="thin">
        <x:color rgb="FFC9CFC6"/>
      </x:left>
      <x:right style="thin">
        <x:color rgb="FFC9CFC6"/>
      </x:right>
      <x:top style="thin">
        <x:color rgb="FFC9CFC6"/>
      </x:top>
      <x:bottom style="thin">
        <x:color rgb="FFC9CFC6"/>
      </x:bottom>
      <x:diagonal/>
    </x:border>
    <x:border diagonalUp="0" diagonalDown="0">
      <x:left style="thin">
        <x:color rgb="FFC9CFC6"/>
      </x:left>
      <x:right style="thin">
        <x:color rgb="FFC9CFC6"/>
      </x:right>
      <x:top style="hair">
        <x:color rgb="FFC9CFC6"/>
      </x:top>
      <x:bottom style="hair">
        <x:color rgb="FFC9CFC6"/>
      </x:bottom>
      <x:diagonal/>
    </x:border>
    <x:border diagonalUp="0" diagonalDown="0">
      <x:left style="thin">
        <x:color rgb="FFC9CFC6"/>
      </x:left>
      <x:right/>
      <x:top style="thin">
        <x:color rgb="FFC9CFC6"/>
      </x:top>
      <x:bottom style="thin">
        <x:color rgb="FFC9CFC6"/>
      </x:bottom>
      <x:diagonal/>
    </x:border>
    <x:border diagonalUp="0" diagonalDown="0">
      <x:left/>
      <x:right style="thin">
        <x:color rgb="FFC9CFC6"/>
      </x:right>
      <x:top style="thin">
        <x:color rgb="FFC9CFC6"/>
      </x:top>
      <x:bottom style="thin">
        <x:color rgb="FFC9CFC6"/>
      </x:bottom>
      <x:diagonal/>
    </x:border>
    <x:border diagonalUp="0" diagonalDown="0">
      <x:left style="thin">
        <x:color rgb="FFC9CFC6"/>
      </x:left>
      <x:right/>
      <x:top style="hair">
        <x:color rgb="FFC9CFC6"/>
      </x:top>
      <x:bottom style="hair">
        <x:color rgb="FFC9CFC6"/>
      </x:bottom>
      <x:diagonal/>
    </x:border>
    <x:border diagonalUp="0" diagonalDown="0">
      <x:left/>
      <x:right style="thin">
        <x:color rgb="FFC9CFC6"/>
      </x:right>
      <x:top style="hair">
        <x:color rgb="FFC9CFC6"/>
      </x:top>
      <x:bottom style="hair">
        <x:color rgb="FFC9CFC6"/>
      </x:bottom>
      <x:diagonal/>
    </x:border>
    <x:border diagonalUp="0" diagonalDown="0">
      <x:left/>
      <x:right/>
      <x:top style="thin">
        <x:color rgb="FFC9CFC6"/>
      </x:top>
      <x:bottom style="thin">
        <x:color rgb="FFC9CFC6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62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0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7" fillId="2" borderId="0" xfId="0" applyFont="1" applyBorder="0" applyAlignment="0" applyProtection="0">
      <x:alignment horizontal="general" vertical="bottom" wrapText="0" shrinkToFit="0"/>
      <x:protection locked="1" hidden="0"/>
    </x:xf>
    <x:xf numFmtId="164" fontId="0" fillId="2" borderId="0" xfId="0" applyFont="0" applyBorder="0" applyAlignment="0" applyProtection="0">
      <x:alignment horizontal="general" vertical="bottom" wrapText="0" shrinkToFit="0"/>
      <x:protection locked="1" hidden="0"/>
    </x:xf>
    <x:xf numFmtId="164" fontId="6" fillId="3" borderId="1" xfId="0" applyFont="1" applyBorder="1" applyAlignment="0" applyProtection="0">
      <x:alignment horizontal="general" vertical="bottom" wrapText="0" shrinkToFit="0"/>
      <x:protection locked="1" hidden="0"/>
    </x:xf>
    <x:xf numFmtId="164" fontId="6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9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0" fillId="0" borderId="0" xfId="0" applyFont="1" applyBorder="1" applyAlignment="1" applyProtection="0">
      <x:alignment horizontal="general" vertical="top" wrapText="1" shrinkToFit="0"/>
      <x:protection locked="1" hidden="0"/>
    </x:xf>
    <x:xf numFmtId="164" fontId="6" fillId="3" borderId="0" xfId="0" applyFont="1" applyBorder="0" applyAlignment="1" applyProtection="0">
      <x:alignment horizontal="center" vertical="bottom" wrapText="0" shrinkToFit="0"/>
      <x:protection locked="1" hidden="0"/>
    </x:xf>
    <x:xf numFmtId="165" fontId="0" fillId="0" borderId="0" xfId="0" applyFont="0" applyBorder="0" applyAlignment="1" applyProtection="0">
      <x:alignment horizontal="center" vertical="bottom" wrapText="0" shrinkToFit="0"/>
      <x:protection locked="1" hidden="0"/>
    </x:xf>
    <x:xf numFmtId="164" fontId="10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1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3" borderId="3" xfId="0" applyFont="1" applyBorder="1" applyAlignment="1" applyProtection="0">
      <x:alignment horizontal="left" vertical="center" wrapText="0" shrinkToFit="0"/>
      <x:protection locked="1" hidden="0"/>
    </x:xf>
    <x:xf numFmtId="164" fontId="6" fillId="3" borderId="4" xfId="0" applyFont="1" applyBorder="1" applyAlignment="1" applyProtection="0">
      <x:alignment horizontal="left" vertical="center" wrapText="0" shrinkToFit="0"/>
      <x:protection locked="1" hidden="0"/>
    </x:xf>
    <x:xf numFmtId="164" fontId="6" fillId="3" borderId="1" xfId="0" applyFont="1" applyBorder="1" applyAlignment="1" applyProtection="0">
      <x:alignment horizontal="center" vertical="center" wrapText="0" shrinkToFit="0"/>
      <x:protection locked="1" hidden="0"/>
    </x:xf>
    <x:xf numFmtId="164" fontId="12" fillId="4" borderId="0" xfId="0" applyFont="1" applyBorder="0" applyAlignment="0" applyProtection="0">
      <x:alignment horizontal="general" vertical="bottom" wrapText="0" shrinkToFit="0"/>
      <x:protection locked="1" hidden="0"/>
    </x:xf>
    <x:xf numFmtId="164" fontId="0" fillId="4" borderId="0" xfId="0" applyFont="0" applyBorder="0" applyAlignment="0" applyProtection="0">
      <x:alignment horizontal="general" vertical="bottom" wrapText="0" shrinkToFit="0"/>
      <x:protection locked="1" hidden="0"/>
    </x:xf>
    <x:xf numFmtId="164" fontId="9" fillId="0" borderId="5" xfId="0" applyFont="1" applyBorder="1" applyAlignment="0" applyProtection="0">
      <x:alignment horizontal="general" vertical="bottom" wrapText="0" shrinkToFit="0"/>
      <x:protection locked="1" hidden="0"/>
    </x:xf>
    <x:xf numFmtId="164" fontId="0" fillId="0" borderId="6" xfId="0" applyFont="0" applyBorder="1" applyAlignment="0" applyProtection="0">
      <x:alignment horizontal="general" vertical="bottom" wrapText="0" shrinkToFit="0"/>
      <x:protection locked="1" hidden="0"/>
    </x:xf>
    <x:xf numFmtId="166" fontId="9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6" fillId="5" borderId="5" xfId="0" applyFont="1" applyBorder="1" applyAlignment="0" applyProtection="0">
      <x:alignment horizontal="general" vertical="bottom" wrapText="0" shrinkToFit="0"/>
      <x:protection locked="1" hidden="0"/>
    </x:xf>
    <x:xf numFmtId="164" fontId="0" fillId="5" borderId="6" xfId="0" applyFont="0" applyBorder="1" applyAlignment="0" applyProtection="0">
      <x:alignment horizontal="general" vertical="bottom" wrapText="0" shrinkToFit="0"/>
      <x:protection locked="1" hidden="0"/>
    </x:xf>
    <x:xf numFmtId="166" fontId="6" fillId="5" borderId="2" xfId="0" applyFont="1" applyBorder="1" applyAlignment="0" applyProtection="0">
      <x:alignment horizontal="general" vertical="bottom" wrapText="0" shrinkToFit="0"/>
      <x:protection locked="1" hidden="0"/>
    </x:xf>
    <x:xf numFmtId="164" fontId="0" fillId="5" borderId="2" xfId="0" applyFont="0" applyBorder="1" applyAlignment="0" applyProtection="0">
      <x:alignment horizontal="general" vertical="bottom" wrapText="0" shrinkToFit="0"/>
      <x:protection locked="1" hidden="0"/>
    </x:xf>
    <x:xf numFmtId="167" fontId="9" fillId="0" borderId="2" xfId="0" applyFont="1" applyBorder="1" applyAlignment="0" applyProtection="0">
      <x:alignment horizontal="general" vertical="bottom" wrapText="0" shrinkToFit="0"/>
      <x:protection locked="1" hidden="0"/>
    </x:xf>
    <x:xf numFmtId="168" fontId="9" fillId="0" borderId="2" xfId="0" applyFont="1" applyBorder="1" applyAlignment="0" applyProtection="0">
      <x:alignment horizontal="general" vertical="bottom" wrapText="0" shrinkToFit="0"/>
      <x:protection locked="1" hidden="0"/>
    </x:xf>
    <x:xf numFmtId="169" fontId="9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6" fillId="3" borderId="1" xfId="0" applyFont="1" applyBorder="1" applyAlignment="1" applyProtection="0">
      <x:alignment horizontal="left" vertical="center" wrapText="0" shrinkToFit="0"/>
      <x:protection locked="1" hidden="0"/>
    </x:xf>
    <x:xf numFmtId="164" fontId="0" fillId="0" borderId="2" xfId="0" applyFont="1" applyBorder="1" applyAlignment="0" applyProtection="0">
      <x:alignment horizontal="general" vertical="bottom" wrapText="0" shrinkToFit="0"/>
      <x:protection locked="1" hidden="0"/>
    </x:xf>
    <x:xf numFmtId="164" fontId="13" fillId="0" borderId="2" xfId="0" applyFont="1" applyBorder="1" applyAlignment="0" applyProtection="0">
      <x:alignment horizontal="general" vertical="bottom" wrapText="0" shrinkToFit="0"/>
      <x:protection locked="1" hidden="0"/>
    </x:xf>
    <x:xf numFmtId="170" fontId="0" fillId="0" borderId="2" xfId="0" applyFont="0" applyBorder="1" applyAlignment="1" applyProtection="0">
      <x:alignment horizontal="right" vertical="bottom" wrapText="0" shrinkToFit="0"/>
      <x:protection locked="1" hidden="0"/>
    </x:xf>
    <x:xf numFmtId="166" fontId="0" fillId="0" borderId="2" xfId="0" applyFont="0" applyBorder="1" applyAlignment="1" applyProtection="0">
      <x:alignment horizontal="right" vertical="bottom" wrapText="0" shrinkToFit="0"/>
      <x:protection locked="1" hidden="0"/>
    </x:xf>
    <x:xf numFmtId="171" fontId="0" fillId="0" borderId="2" xfId="0" applyFont="0" applyBorder="1" applyAlignment="1" applyProtection="0">
      <x:alignment horizontal="right" vertical="bottom" wrapText="0" shrinkToFit="0"/>
      <x:protection locked="1" hidden="0"/>
    </x:xf>
    <x:xf numFmtId="167" fontId="0" fillId="0" borderId="2" xfId="0" applyFont="0" applyBorder="1" applyAlignment="1" applyProtection="0">
      <x:alignment horizontal="right" vertical="bottom" wrapText="0" shrinkToFit="0"/>
      <x:protection locked="1" hidden="0"/>
    </x:xf>
    <x:xf numFmtId="168" fontId="0" fillId="0" borderId="2" xfId="0" applyFont="0" applyBorder="1" applyAlignment="1" applyProtection="0">
      <x:alignment horizontal="right" vertical="bottom" wrapText="0" shrinkToFit="0"/>
      <x:protection locked="1" hidden="0"/>
    </x:xf>
    <x:xf numFmtId="164" fontId="6" fillId="3" borderId="1" xfId="0" applyFont="1" applyBorder="1" applyAlignment="1" applyProtection="0">
      <x:alignment horizontal="left" vertical="bottom" wrapText="0" shrinkToFit="0"/>
      <x:protection locked="1" hidden="0"/>
    </x:xf>
    <x:xf numFmtId="164" fontId="6" fillId="3" borderId="1" xfId="0" applyFont="1" applyBorder="1" applyAlignment="1" applyProtection="0">
      <x:alignment horizontal="center" vertical="bottom" wrapText="0" shrinkToFit="0"/>
      <x:protection locked="1" hidden="0"/>
    </x:xf>
    <x:xf numFmtId="167" fontId="0" fillId="0" borderId="2" xfId="0" applyFont="0" applyBorder="1" applyAlignment="0" applyProtection="0">
      <x:alignment horizontal="general" vertical="bottom" wrapText="0" shrinkToFit="0"/>
      <x:protection locked="1" hidden="0"/>
    </x:xf>
    <x:xf numFmtId="164" fontId="13" fillId="4" borderId="0" xfId="0" applyFont="1" applyBorder="0" applyAlignment="0" applyProtection="0">
      <x:alignment horizontal="general" vertical="bottom" wrapText="0" shrinkToFit="0"/>
      <x:protection locked="1" hidden="0"/>
    </x:xf>
    <x:xf numFmtId="170" fontId="6" fillId="0" borderId="2" xfId="0" applyFont="1" applyBorder="1" applyAlignment="1" applyProtection="0">
      <x:alignment horizontal="right" vertical="bottom" wrapText="0" shrinkToFit="0"/>
      <x:protection locked="1" hidden="0"/>
    </x:xf>
    <x:xf numFmtId="170" fontId="9" fillId="0" borderId="2" xfId="0" applyFont="1" applyBorder="1" applyAlignment="1" applyProtection="0">
      <x:alignment horizontal="right" vertical="bottom" wrapText="0" shrinkToFit="0"/>
      <x:protection locked="1" hidden="0"/>
    </x:xf>
    <x:xf numFmtId="164" fontId="6" fillId="5" borderId="7" xfId="0" applyFont="1" applyBorder="1" applyAlignment="0" applyProtection="0">
      <x:alignment horizontal="general" vertical="bottom" wrapText="0" shrinkToFit="0"/>
      <x:protection locked="1" hidden="0"/>
    </x:xf>
    <x:xf numFmtId="164" fontId="0" fillId="5" borderId="7" xfId="0" applyFont="0" applyBorder="1" applyAlignment="0" applyProtection="0">
      <x:alignment horizontal="general" vertical="bottom" wrapText="0" shrinkToFit="0"/>
      <x:protection locked="1" hidden="0"/>
    </x:xf>
    <x:xf numFmtId="170" fontId="6" fillId="5" borderId="7" xfId="0" applyFont="1" applyBorder="1" applyAlignment="1" applyProtection="0">
      <x:alignment horizontal="right" vertical="bottom" wrapText="0" shrinkToFit="0"/>
      <x:protection locked="1" hidden="0"/>
    </x:xf>
    <x:xf numFmtId="166" fontId="6" fillId="0" borderId="2" xfId="0" applyFont="1" applyBorder="1" applyAlignment="1" applyProtection="0">
      <x:alignment horizontal="right" vertical="bottom" wrapText="0" shrinkToFit="0"/>
      <x:protection locked="1" hidden="0"/>
    </x:xf>
    <x:xf numFmtId="166" fontId="9" fillId="0" borderId="2" xfId="0" applyFont="1" applyBorder="1" applyAlignment="1" applyProtection="0">
      <x:alignment horizontal="right" vertical="bottom" wrapText="0" shrinkToFit="0"/>
      <x:protection locked="1" hidden="0"/>
    </x:xf>
    <x:xf numFmtId="166" fontId="6" fillId="5" borderId="7" xfId="0" applyFont="1" applyBorder="1" applyAlignment="1" applyProtection="0">
      <x:alignment horizontal="right" vertical="bottom" wrapText="0" shrinkToFit="0"/>
      <x:protection locked="1" hidden="0"/>
    </x:xf>
    <x:xf numFmtId="171" fontId="6" fillId="0" borderId="2" xfId="0" applyFont="1" applyBorder="1" applyAlignment="1" applyProtection="0">
      <x:alignment horizontal="right" vertical="bottom" wrapText="0" shrinkToFit="0"/>
      <x:protection locked="1" hidden="0"/>
    </x:xf>
    <x:xf numFmtId="171" fontId="9" fillId="0" borderId="2" xfId="0" applyFont="1" applyBorder="1" applyAlignment="1" applyProtection="0">
      <x:alignment horizontal="right" vertical="bottom" wrapText="0" shrinkToFit="0"/>
      <x:protection locked="1" hidden="0"/>
    </x:xf>
    <x:xf numFmtId="171" fontId="6" fillId="5" borderId="7" xfId="0" applyFont="1" applyBorder="1" applyAlignment="1" applyProtection="0">
      <x:alignment horizontal="right" vertical="bottom" wrapText="0" shrinkToFit="0"/>
      <x:protection locked="1" hidden="0"/>
    </x:xf>
    <x:xf numFmtId="167" fontId="6" fillId="0" borderId="2" xfId="0" applyFont="1" applyBorder="1" applyAlignment="1" applyProtection="0">
      <x:alignment horizontal="right" vertical="bottom" wrapText="0" shrinkToFit="0"/>
      <x:protection locked="1" hidden="0"/>
    </x:xf>
    <x:xf numFmtId="167" fontId="9" fillId="0" borderId="2" xfId="0" applyFont="1" applyBorder="1" applyAlignment="1" applyProtection="0">
      <x:alignment horizontal="right" vertical="bottom" wrapText="0" shrinkToFit="0"/>
      <x:protection locked="1" hidden="0"/>
    </x:xf>
    <x:xf numFmtId="167" fontId="6" fillId="5" borderId="7" xfId="0" applyFont="1" applyBorder="1" applyAlignment="1" applyProtection="0">
      <x:alignment horizontal="right" vertical="bottom" wrapText="0" shrinkToFit="0"/>
      <x:protection locked="1" hidden="0"/>
    </x:xf>
    <x:xf numFmtId="168" fontId="6" fillId="0" borderId="2" xfId="0" applyFont="1" applyBorder="1" applyAlignment="1" applyProtection="0">
      <x:alignment horizontal="right" vertical="bottom" wrapText="0" shrinkToFit="0"/>
      <x:protection locked="1" hidden="0"/>
    </x:xf>
    <x:xf numFmtId="168" fontId="9" fillId="0" borderId="2" xfId="0" applyFont="1" applyBorder="1" applyAlignment="1" applyProtection="0">
      <x:alignment horizontal="right" vertical="bottom" wrapText="0" shrinkToFit="0"/>
      <x:protection locked="1" hidden="0"/>
    </x:xf>
    <x:xf numFmtId="168" fontId="6" fillId="5" borderId="7" xfId="0" applyFont="1" applyBorder="1" applyAlignment="1" applyProtection="0">
      <x:alignment horizontal="right" vertical="bottom" wrapText="0" shrinkToFit="0"/>
      <x:protection locked="1" hidden="0"/>
    </x:xf>
    <x:xf numFmtId="164" fontId="14" fillId="0" borderId="0" xfId="0" applyFont="1" applyBorder="0" applyAlignment="0" applyProtection="0">
      <x:alignment horizontal="general" vertical="bottom" wrapText="0" shrinkToFit="0"/>
      <x:protection locked="1" hidden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08D57"/>
      <x:rgbColor rgb="FF800080"/>
      <x:rgbColor rgb="FF008080"/>
      <x:rgbColor rgb="FFC9CFC6"/>
      <x:rgbColor rgb="FF878787"/>
      <x:rgbColor rgb="FF8FA98A"/>
      <x:rgbColor rgb="FFA35D5D"/>
      <x:rgbColor rgb="FFEEF3EC"/>
      <x:rgbColor rgb="FFF2F2F2"/>
      <x:rgbColor rgb="FF660066"/>
      <x:rgbColor rgb="FFFF8080"/>
      <x:rgbColor rgb="FF1F5C99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DCE6D7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5F7F99"/>
      <x:rgbColor rgb="FF8C8C8C"/>
      <x:rgbColor rgb="FF1E4D3A"/>
      <x:rgbColor rgb="FF339966"/>
      <x:rgbColor rgb="FF003300"/>
      <x:rgbColor rgb="FF333300"/>
      <x:rgbColor rgb="FF993300"/>
      <x:rgbColor rgb="FF993366"/>
      <x:rgbColor rgb="FF595959"/>
      <x:rgbColor rgb="FF262626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19c38463c343bf" /><Relationship Type="http://schemas.openxmlformats.org/officeDocument/2006/relationships/theme" Target="/xl/theme/theme1.xml" Id="Rcc4b03d664e34ee1" /><Relationship Type="http://schemas.openxmlformats.org/officeDocument/2006/relationships/sharedStrings" Target="/xl/sharedStrings.xml" Id="Re64eed9e80bb4826" /><Relationship Type="http://schemas.openxmlformats.org/officeDocument/2006/relationships/worksheet" Target="/xl/worksheets/sheet1.xml" Id="R319bf9630c984ff0" /><Relationship Type="http://schemas.openxmlformats.org/officeDocument/2006/relationships/worksheet" Target="/xl/worksheets/sheet2.xml" Id="R865ae52c2d024044" /><Relationship Type="http://schemas.openxmlformats.org/officeDocument/2006/relationships/worksheet" Target="/xl/worksheets/sheet3.xml" Id="Rc8a4ef5c1cb14e1a" /><Relationship Type="http://schemas.openxmlformats.org/officeDocument/2006/relationships/worksheet" Target="/xl/worksheets/sheet4.xml" Id="Rcd91cef9e8834586" /><Relationship Type="http://schemas.openxmlformats.org/officeDocument/2006/relationships/worksheet" Target="/xl/worksheets/sheet5.xml" Id="R31208e064ab44e82" /><Relationship Type="http://schemas.openxmlformats.org/officeDocument/2006/relationships/worksheet" Target="/xl/worksheets/sheet6.xml" Id="R4f7278a85bab48f0" /><Relationship Type="http://schemas.openxmlformats.org/officeDocument/2006/relationships/worksheet" Target="/xl/worksheets/sheet7.xml" Id="Rf417e57163074f26" /><Relationship Type="http://schemas.openxmlformats.org/officeDocument/2006/relationships/worksheet" Target="/xl/worksheets/sheet8.xml" Id="Rbea9660af14c49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49485cc8634468" /><Relationship Type="http://schemas.openxmlformats.org/officeDocument/2006/relationships/chart" Target="/xl/drawings/charts/chart2.xml" Id="Rc1b670e4eca2466c" /><Relationship Type="http://schemas.openxmlformats.org/officeDocument/2006/relationships/chart" Target="/xl/drawings/charts/chart3.xml" Id="R48a79f63166e4d86" /><Relationship Type="http://schemas.openxmlformats.org/officeDocument/2006/relationships/chart" Target="/xl/drawings/charts/chart4.xml" Id="Rbf321187863c4d33" /><Relationship Type="http://schemas.openxmlformats.org/officeDocument/2006/relationships/chart" Target="/xl/drawings/charts/chart5.xml" Id="R93b9ffbc289547a4" /><Relationship Type="http://schemas.openxmlformats.org/officeDocument/2006/relationships/chart" Target="/xl/drawings/charts/chart6.xml" Id="R41ca123a375f4b6e" /><Relationship Type="http://schemas.openxmlformats.org/officeDocument/2006/relationships/chart" Target="/xl/drawings/charts/chart7.xml" Id="R5b46fae359af4b6f" /><Relationship Type="http://schemas.openxmlformats.org/officeDocument/2006/relationships/chart" Target="/xl/drawings/charts/chart8.xml" Id="Rb356cf20bfc74e64" /><Relationship Type="http://schemas.openxmlformats.org/officeDocument/2006/relationships/chart" Target="/xl/drawings/charts/chart9.xml" Id="R2ddb3085fa8b4770" /><Relationship Type="http://schemas.openxmlformats.org/officeDocument/2006/relationships/chart" Target="/xl/drawings/charts/chart10.xml" Id="R54015599ed914605" /><Relationship Type="http://schemas.openxmlformats.org/officeDocument/2006/relationships/chart" Target="/xl/drawings/charts/chart11.xml" Id="R69f9b0aa72474bbf" /><Relationship Type="http://schemas.openxmlformats.org/officeDocument/2006/relationships/chart" Target="/xl/drawings/charts/chart12.xml" Id="Rf316fa677c284001" /><Relationship Type="http://schemas.openxmlformats.org/officeDocument/2006/relationships/chart" Target="/xl/drawings/charts/chart13.xml" Id="R46e13c2319e040f2" /><Relationship Type="http://schemas.openxmlformats.org/officeDocument/2006/relationships/chart" Target="/xl/drawings/charts/chart14.xml" Id="Rb2a956c0c21043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Current ratio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Averages'!$C$7:$G$7</c:f>
              <c:numCache>
                <c:formatCode>0.00\x;\(0.00"x)"</c:formatCode>
                <c:ptCount val="5"/>
                <c:pt idx="0">
                  <c:v>1.3006446691415</c:v>
                </c:pt>
                <c:pt idx="1">
                  <c:v>1.87350852761098</c:v>
                </c:pt>
                <c:pt idx="2">
                  <c:v>2.31157051545922</c:v>
                </c:pt>
                <c:pt idx="3">
                  <c:v>2.903159053016</c:v>
                </c:pt>
                <c:pt idx="4">
                  <c:v>3.31124868717277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Averages'!$C$8:$G$8</c:f>
              <c:numCache>
                <c:formatCode>0.00\x;\(0.00"x)"</c:formatCode>
                <c:ptCount val="5"/>
                <c:pt idx="0">
                  <c:v>1.33860794589382</c:v>
                </c:pt>
                <c:pt idx="1">
                  <c:v>1.47607663003743</c:v>
                </c:pt>
                <c:pt idx="2">
                  <c:v>1.29007163332686</c:v>
                </c:pt>
                <c:pt idx="3">
                  <c:v>1.26322223547432</c:v>
                </c:pt>
                <c:pt idx="4">
                  <c:v>1.71461438759042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Averages'!$C$9:$G$9</c:f>
              <c:numCache>
                <c:formatCode>0.00\x;\(0.00"x)"</c:formatCode>
                <c:ptCount val="5"/>
                <c:pt idx="0">
                  <c:v>0.91452508864509</c:v>
                </c:pt>
                <c:pt idx="1">
                  <c:v>0.8855287714771</c:v>
                </c:pt>
                <c:pt idx="2">
                  <c:v>0.801767490573856</c:v>
                </c:pt>
                <c:pt idx="3">
                  <c:v>1.29618593125484</c:v>
                </c:pt>
                <c:pt idx="4">
                  <c:v>1.84895179329796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Averages'!$C$10:$G$10</c:f>
              <c:numCache>
                <c:formatCode>0.00\x;\(0.00"x)"</c:formatCode>
                <c:ptCount val="5"/>
                <c:pt idx="0">
                  <c:v>1.47809885681825</c:v>
                </c:pt>
                <c:pt idx="1">
                  <c:v>1.25495574089454</c:v>
                </c:pt>
                <c:pt idx="2">
                  <c:v>1.37154722155463</c:v>
                </c:pt>
                <c:pt idx="3">
                  <c:v>1.44467824151244</c:v>
                </c:pt>
                <c:pt idx="4">
                  <c:v>1.53244113036455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Averages'!$C$11:$G$11</c:f>
              <c:numCache>
                <c:formatCode>0.00\x;\(0.00"x)"</c:formatCode>
                <c:ptCount val="5"/>
                <c:pt idx="0">
                  <c:v>2.01862288296847</c:v>
                </c:pt>
                <c:pt idx="1">
                  <c:v>1.05596889487181</c:v>
                </c:pt>
                <c:pt idx="2">
                  <c:v>0.81211137558007</c:v>
                </c:pt>
                <c:pt idx="3">
                  <c:v>0.959747731167301</c:v>
                </c:pt>
                <c:pt idx="4">
                  <c:v>1.32101408284104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Averages'!$C$12:$G$12</c:f>
              <c:numCache>
                <c:formatCode>0.00\x;\(0.00"x)"</c:formatCode>
                <c:ptCount val="5"/>
                <c:pt idx="0">
                  <c:v>1.41009988869343</c:v>
                </c:pt>
                <c:pt idx="1">
                  <c:v>1.30920771297837</c:v>
                </c:pt>
                <c:pt idx="2">
                  <c:v>1.31741364729893</c:v>
                </c:pt>
                <c:pt idx="3">
                  <c:v>1.57339863848498</c:v>
                </c:pt>
                <c:pt idx="4">
                  <c:v>1.94565401625335</c:v>
                </c:pt>
              </c:numCache>
            </c:numRef>
          </c:val>
          <c:smooth val="0"/>
        </c:ser>
        <c:axId val="27635638"/>
        <c:axId val="54570150"/>
      </c:lineChart>
      <c:catAx>
        <c:axId val="27635638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54570150"/>
        <c:crosses val="autoZero"/>
        <c:lblAlgn val="ctr"/>
        <c:noMultiLvlLbl val="0"/>
        <c:lblOffset val="100"/>
      </c:catAx>
      <c:valAx>
        <c:axId val="5457015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7635638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Quick ratio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Averages'!$C$15:$G$15</c:f>
              <c:numCache>
                <c:formatCode>0.00\x;\(0.00"x)"</c:formatCode>
                <c:ptCount val="5"/>
                <c:pt idx="0">
                  <c:v>0.748160438555549</c:v>
                </c:pt>
                <c:pt idx="1">
                  <c:v>1.27580701104523</c:v>
                </c:pt>
                <c:pt idx="2">
                  <c:v>1.53921103006347</c:v>
                </c:pt>
                <c:pt idx="3">
                  <c:v>2.22005933992124</c:v>
                </c:pt>
                <c:pt idx="4">
                  <c:v>2.66770037843409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Averages'!$C$16:$G$16</c:f>
              <c:numCache>
                <c:formatCode>0.00\x;\(0.00"x)"</c:formatCode>
                <c:ptCount val="5"/>
                <c:pt idx="0">
                  <c:v>0.890008861006851</c:v>
                </c:pt>
                <c:pt idx="1">
                  <c:v>0.870760919192086</c:v>
                </c:pt>
                <c:pt idx="2">
                  <c:v>0.854122265624264</c:v>
                </c:pt>
                <c:pt idx="3">
                  <c:v>0.836983116317007</c:v>
                </c:pt>
                <c:pt idx="4">
                  <c:v>1.2939267138362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Averages'!$C$17:$G$17</c:f>
              <c:numCache>
                <c:formatCode>0.00\x;\(0.00"x)"</c:formatCode>
                <c:ptCount val="5"/>
                <c:pt idx="0">
                  <c:v>0.527188307782106</c:v>
                </c:pt>
                <c:pt idx="1">
                  <c:v>0.390933907896653</c:v>
                </c:pt>
                <c:pt idx="2">
                  <c:v>0.334899361674459</c:v>
                </c:pt>
                <c:pt idx="3">
                  <c:v>0.667717649230271</c:v>
                </c:pt>
                <c:pt idx="4">
                  <c:v>1.05795876796347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Averages'!$C$18:$G$18</c:f>
              <c:numCache>
                <c:formatCode>0.00\x;\(0.00"x)"</c:formatCode>
                <c:ptCount val="5"/>
                <c:pt idx="0">
                  <c:v>0.439716919103873</c:v>
                </c:pt>
                <c:pt idx="1">
                  <c:v>0.294735241062234</c:v>
                </c:pt>
                <c:pt idx="2">
                  <c:v>0.520456125218709</c:v>
                </c:pt>
                <c:pt idx="3">
                  <c:v>0.609426706384626</c:v>
                </c:pt>
                <c:pt idx="4">
                  <c:v>0.807882825955099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Averages'!$C$19:$G$19</c:f>
              <c:numCache>
                <c:formatCode>0.00\x;\(0.00"x)"</c:formatCode>
                <c:ptCount val="5"/>
                <c:pt idx="0">
                  <c:v>1.13579884676847</c:v>
                </c:pt>
                <c:pt idx="1">
                  <c:v>0.470784210605693</c:v>
                </c:pt>
                <c:pt idx="2">
                  <c:v>0.281217108733133</c:v>
                </c:pt>
                <c:pt idx="3">
                  <c:v>0.342046389887807</c:v>
                </c:pt>
                <c:pt idx="4">
                  <c:v>0.677533807673649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Averages'!$C$20:$G$20</c:f>
              <c:numCache>
                <c:formatCode>0.00\x;\(0.00"x)"</c:formatCode>
                <c:ptCount val="5"/>
                <c:pt idx="0">
                  <c:v>0.74817467464337</c:v>
                </c:pt>
                <c:pt idx="1">
                  <c:v>0.660604257960379</c:v>
                </c:pt>
                <c:pt idx="2">
                  <c:v>0.705981178262807</c:v>
                </c:pt>
                <c:pt idx="3">
                  <c:v>0.935246640348189</c:v>
                </c:pt>
                <c:pt idx="4">
                  <c:v>1.3010004987725</c:v>
                </c:pt>
              </c:numCache>
            </c:numRef>
          </c:val>
          <c:smooth val="0"/>
        </c:ser>
        <c:axId val="62998004"/>
        <c:axId val="92341897"/>
      </c:lineChart>
      <c:catAx>
        <c:axId val="62998004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2341897"/>
        <c:crosses val="autoZero"/>
        <c:lblAlgn val="ctr"/>
        <c:noMultiLvlLbl val="0"/>
        <c:lblOffset val="100"/>
      </c:catAx>
      <c:valAx>
        <c:axId val="92341897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62998004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Inventory turnover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Averages'!$C$49:$G$49</c:f>
              <c:numCache>
                <c:formatCode>0.00\x;\(0.00"x)"</c:formatCode>
                <c:ptCount val="5"/>
                <c:pt idx="0">
                  <c:v>4.85709860132552</c:v>
                </c:pt>
                <c:pt idx="1">
                  <c:v>4.68113172157169</c:v>
                </c:pt>
                <c:pt idx="2">
                  <c:v>4.27537914377139</c:v>
                </c:pt>
                <c:pt idx="3">
                  <c:v>3.59573696451106</c:v>
                </c:pt>
                <c:pt idx="4">
                  <c:v>3.02488062644293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Averages'!$C$50:$G$50</c:f>
              <c:numCache>
                <c:formatCode>0.00\x;\(0.00"x)"</c:formatCode>
                <c:ptCount val="5"/>
                <c:pt idx="0">
                  <c:v>3.81360731271393</c:v>
                </c:pt>
                <c:pt idx="1">
                  <c:v>3.65773312605942</c:v>
                </c:pt>
                <c:pt idx="2">
                  <c:v>3.62348183877679</c:v>
                </c:pt>
                <c:pt idx="3">
                  <c:v>3.54016995509484</c:v>
                </c:pt>
                <c:pt idx="4">
                  <c:v>3.42609495259003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Averages'!$C$51:$G$51</c:f>
              <c:numCache>
                <c:formatCode>0.00\x;\(0.00"x)"</c:formatCode>
                <c:ptCount val="5"/>
                <c:pt idx="0">
                  <c:v>2.62675275317262</c:v>
                </c:pt>
                <c:pt idx="1">
                  <c:v>2.47976124990186</c:v>
                </c:pt>
                <c:pt idx="2">
                  <c:v>2.43529649769567</c:v>
                </c:pt>
                <c:pt idx="3">
                  <c:v>2.58320109518317</c:v>
                </c:pt>
                <c:pt idx="4">
                  <c:v>2.62034488003617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Averages'!$C$52:$G$52</c:f>
              <c:numCache>
                <c:formatCode>0.00\x;\(0.00"x)"</c:formatCode>
                <c:ptCount val="5"/>
                <c:pt idx="0">
                  <c:v>2.55035611541996</c:v>
                </c:pt>
                <c:pt idx="1">
                  <c:v>2.64188275831957</c:v>
                </c:pt>
                <c:pt idx="2">
                  <c:v>2.99164399918963</c:v>
                </c:pt>
                <c:pt idx="3">
                  <c:v>3.10135659956581</c:v>
                </c:pt>
                <c:pt idx="4">
                  <c:v>2.78657328770557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Averages'!$C$53:$G$53</c:f>
              <c:numCache>
                <c:formatCode>0.00\x;\(0.00"x)"</c:formatCode>
                <c:ptCount val="5"/>
                <c:pt idx="0">
                  <c:v>3.59339944597693</c:v>
                </c:pt>
                <c:pt idx="1">
                  <c:v>3.67982855098634</c:v>
                </c:pt>
                <c:pt idx="2">
                  <c:v>3.09819418332208</c:v>
                </c:pt>
                <c:pt idx="3">
                  <c:v>3.42677554120655</c:v>
                </c:pt>
                <c:pt idx="4">
                  <c:v>3.16088303158461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Averages'!$C$54:$G$54</c:f>
              <c:numCache>
                <c:formatCode>0.00\x;\(0.00"x)"</c:formatCode>
                <c:ptCount val="5"/>
                <c:pt idx="0">
                  <c:v>3.48824284572179</c:v>
                </c:pt>
                <c:pt idx="1">
                  <c:v>3.42806748136778</c:v>
                </c:pt>
                <c:pt idx="2">
                  <c:v>3.28479913255111</c:v>
                </c:pt>
                <c:pt idx="3">
                  <c:v>3.24944803111229</c:v>
                </c:pt>
                <c:pt idx="4">
                  <c:v>3.00375535567186</c:v>
                </c:pt>
              </c:numCache>
            </c:numRef>
          </c:val>
          <c:smooth val="0"/>
        </c:ser>
        <c:axId val="33173049"/>
        <c:axId val="69956908"/>
      </c:lineChart>
      <c:catAx>
        <c:axId val="33173049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69956908"/>
        <c:crosses val="autoZero"/>
        <c:lblAlgn val="ctr"/>
        <c:noMultiLvlLbl val="0"/>
        <c:lblOffset val="100"/>
      </c:catAx>
      <c:valAx>
        <c:axId val="69956908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33173049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Total asset turnover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Averages'!$C$113:$G$113</c:f>
              <c:numCache>
                <c:formatCode>0.00\x;\(0.00"x)"</c:formatCode>
                <c:ptCount val="5"/>
                <c:pt idx="0">
                  <c:v>0.709201162184322</c:v>
                </c:pt>
                <c:pt idx="1">
                  <c:v>0.827742872777826</c:v>
                </c:pt>
                <c:pt idx="2">
                  <c:v>0.838099135080987</c:v>
                </c:pt>
                <c:pt idx="3">
                  <c:v>0.713233660767222</c:v>
                </c:pt>
                <c:pt idx="4">
                  <c:v>0.59752332567838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Averages'!$C$114:$G$114</c:f>
              <c:numCache>
                <c:formatCode>0.00\x;\(0.00"x)"</c:formatCode>
                <c:ptCount val="5"/>
                <c:pt idx="0">
                  <c:v>0.4307524710052</c:v>
                </c:pt>
                <c:pt idx="1">
                  <c:v>0.475161414703049</c:v>
                </c:pt>
                <c:pt idx="2">
                  <c:v>0.481518447947511</c:v>
                </c:pt>
                <c:pt idx="3">
                  <c:v>0.515883137230506</c:v>
                </c:pt>
                <c:pt idx="4">
                  <c:v>0.497285016007073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Averages'!$C$115:$G$115</c:f>
              <c:numCache>
                <c:formatCode>0.00\x;\(0.00"x)"</c:formatCode>
                <c:ptCount val="5"/>
                <c:pt idx="0">
                  <c:v>0.337321560534536</c:v>
                </c:pt>
                <c:pt idx="1">
                  <c:v>0.422972810539046</c:v>
                </c:pt>
                <c:pt idx="2">
                  <c:v>0.479098752485976</c:v>
                </c:pt>
                <c:pt idx="3">
                  <c:v>0.483624524919549</c:v>
                </c:pt>
                <c:pt idx="4">
                  <c:v>0.505735568791429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Averages'!$C$116:$G$116</c:f>
              <c:numCache>
                <c:formatCode>0.00\x;\(0.00"x)"</c:formatCode>
                <c:ptCount val="5"/>
                <c:pt idx="0">
                  <c:v>0.537445089680758</c:v>
                </c:pt>
                <c:pt idx="1">
                  <c:v>0.653667659193026</c:v>
                </c:pt>
                <c:pt idx="2">
                  <c:v>0.7221331478724</c:v>
                </c:pt>
                <c:pt idx="3">
                  <c:v>0.70292648738789</c:v>
                </c:pt>
                <c:pt idx="4">
                  <c:v>0.631133150533057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Averages'!$C$117:$G$117</c:f>
              <c:numCache>
                <c:formatCode>0.00\x;\(0.00"x)"</c:formatCode>
                <c:ptCount val="5"/>
                <c:pt idx="0">
                  <c:v>0.767348359149403</c:v>
                </c:pt>
                <c:pt idx="1">
                  <c:v>0.734253873771959</c:v>
                </c:pt>
                <c:pt idx="2">
                  <c:v>0.539105892277301</c:v>
                </c:pt>
                <c:pt idx="3">
                  <c:v>0.558715954752081</c:v>
                </c:pt>
                <c:pt idx="4">
                  <c:v>0.576736892706269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Averages'!$C$118:$G$118</c:f>
              <c:numCache>
                <c:formatCode>0.00\x;\(0.00"x)"</c:formatCode>
                <c:ptCount val="5"/>
                <c:pt idx="0">
                  <c:v>0.556413728510844</c:v>
                </c:pt>
                <c:pt idx="1">
                  <c:v>0.622759726196981</c:v>
                </c:pt>
                <c:pt idx="2">
                  <c:v>0.611991075132835</c:v>
                </c:pt>
                <c:pt idx="3">
                  <c:v>0.594876753011449</c:v>
                </c:pt>
                <c:pt idx="4">
                  <c:v>0.561682790743242</c:v>
                </c:pt>
              </c:numCache>
            </c:numRef>
          </c:val>
          <c:smooth val="0"/>
        </c:ser>
        <c:axId val="50239881"/>
        <c:axId val="6123745"/>
      </c:lineChart>
      <c:catAx>
        <c:axId val="50239881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6123745"/>
        <c:crosses val="autoZero"/>
        <c:lblAlgn val="ctr"/>
        <c:noMultiLvlLbl val="0"/>
        <c:lblOffset val="100"/>
      </c:catAx>
      <c:valAx>
        <c:axId val="6123745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50239881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Cash conversion cycle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Averages'!$C$105:$G$105</c:f>
              <c:numCache>
                <c:formatCode>0;\(0\)</c:formatCode>
                <c:ptCount val="5"/>
                <c:pt idx="0">
                  <c:v>59.6633486432866</c:v>
                </c:pt>
                <c:pt idx="1">
                  <c:v>66.0721958356829</c:v>
                </c:pt>
                <c:pt idx="2">
                  <c:v>82.7888761630929</c:v>
                </c:pt>
                <c:pt idx="3">
                  <c:v>100.802345569594</c:v>
                </c:pt>
                <c:pt idx="4">
                  <c:v>108.04716265277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Averages'!$C$106:$G$106</c:f>
              <c:numCache>
                <c:formatCode>0;\(0\)</c:formatCode>
                <c:ptCount val="5"/>
                <c:pt idx="0">
                  <c:v>90.747889412039</c:v>
                </c:pt>
                <c:pt idx="1">
                  <c:v>94.3773346146923</c:v>
                </c:pt>
                <c:pt idx="2">
                  <c:v>95.2047392237072</c:v>
                </c:pt>
                <c:pt idx="3">
                  <c:v>93.0240183314101</c:v>
                </c:pt>
                <c:pt idx="4">
                  <c:v>95.6781307144595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Averages'!$C$107:$G$107</c:f>
              <c:numCache>
                <c:formatCode>0;\(0\)</c:formatCode>
                <c:ptCount val="5"/>
                <c:pt idx="0">
                  <c:v>97.3275579526058</c:v>
                </c:pt>
                <c:pt idx="1">
                  <c:v>113.970540653667</c:v>
                </c:pt>
                <c:pt idx="2">
                  <c:v>123.106329967047</c:v>
                </c:pt>
                <c:pt idx="3">
                  <c:v>108.899853687963</c:v>
                </c:pt>
                <c:pt idx="4">
                  <c:v>114.672872046844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Averages'!$C$108:$G$108</c:f>
              <c:numCache>
                <c:formatCode>0;\(0\)</c:formatCode>
                <c:ptCount val="5"/>
                <c:pt idx="0">
                  <c:v>119.403111209657</c:v>
                </c:pt>
                <c:pt idx="1">
                  <c:v>114.528806670718</c:v>
                </c:pt>
                <c:pt idx="2">
                  <c:v>99.2292617648487</c:v>
                </c:pt>
                <c:pt idx="3">
                  <c:v>98.7061764089086</c:v>
                </c:pt>
                <c:pt idx="4">
                  <c:v>112.100354994277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Averages'!$C$109:$G$109</c:f>
              <c:numCache>
                <c:formatCode>0;\(0\)</c:formatCode>
                <c:ptCount val="5"/>
                <c:pt idx="0">
                  <c:v>108.169786207472</c:v>
                </c:pt>
                <c:pt idx="1">
                  <c:v>95.4952772743396</c:v>
                </c:pt>
                <c:pt idx="2">
                  <c:v>113.533637114451</c:v>
                </c:pt>
                <c:pt idx="3">
                  <c:v>109.34104725925</c:v>
                </c:pt>
                <c:pt idx="4">
                  <c:v>125.888884995678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Averages'!$C$110:$G$110</c:f>
              <c:numCache>
                <c:formatCode>0;\(0\)</c:formatCode>
                <c:ptCount val="5"/>
                <c:pt idx="0">
                  <c:v>95.062338685012</c:v>
                </c:pt>
                <c:pt idx="1">
                  <c:v>96.8888310098198</c:v>
                </c:pt>
                <c:pt idx="2">
                  <c:v>102.772568846629</c:v>
                </c:pt>
                <c:pt idx="3">
                  <c:v>102.154688251425</c:v>
                </c:pt>
                <c:pt idx="4">
                  <c:v>111.277481080806</c:v>
                </c:pt>
              </c:numCache>
            </c:numRef>
          </c:val>
          <c:smooth val="0"/>
        </c:ser>
        <c:axId val="98595846"/>
        <c:axId val="56585890"/>
      </c:lineChart>
      <c:catAx>
        <c:axId val="98595846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56585890"/>
        <c:crosses val="autoZero"/>
        <c:lblAlgn val="ctr"/>
        <c:noMultiLvlLbl val="0"/>
        <c:lblOffset val="100"/>
      </c:catAx>
      <c:valAx>
        <c:axId val="5658589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days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8595846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Debt-to-equity (total liabilities / equity)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Averages'!$C$139:$G$139</c:f>
              <c:numCache>
                <c:formatCode>0.00\x;\(0.00"x)"</c:formatCode>
                <c:ptCount val="5"/>
                <c:pt idx="0">
                  <c:v>0.62381521838464</c:v>
                </c:pt>
                <c:pt idx="1">
                  <c:v>0.591070888969649</c:v>
                </c:pt>
                <c:pt idx="2">
                  <c:v>0.518859467612758</c:v>
                </c:pt>
                <c:pt idx="3">
                  <c:v>0.432048138369233</c:v>
                </c:pt>
                <c:pt idx="4">
                  <c:v>0.39284830485366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Averages'!$C$140:$G$140</c:f>
              <c:numCache>
                <c:formatCode>0.00\x;\(0.00"x)"</c:formatCode>
                <c:ptCount val="5"/>
                <c:pt idx="0">
                  <c:v>0.381340155602826</c:v>
                </c:pt>
                <c:pt idx="1">
                  <c:v>0.438944311358668</c:v>
                </c:pt>
                <c:pt idx="2">
                  <c:v>0.551173953651494</c:v>
                </c:pt>
                <c:pt idx="3">
                  <c:v>0.583757901605033</c:v>
                </c:pt>
                <c:pt idx="4">
                  <c:v>0.516385785036018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Averages'!$C$141:$G$141</c:f>
              <c:numCache>
                <c:formatCode>0.00\x;\(0.00"x)"</c:formatCode>
                <c:ptCount val="5"/>
                <c:pt idx="0">
                  <c:v>0.876683297569052</c:v>
                </c:pt>
                <c:pt idx="1">
                  <c:v>0.953171054328677</c:v>
                </c:pt>
                <c:pt idx="2">
                  <c:v>1.09858974156657</c:v>
                </c:pt>
                <c:pt idx="3">
                  <c:v>0.824525326056068</c:v>
                </c:pt>
                <c:pt idx="4">
                  <c:v>0.541439975827813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Averages'!$C$142:$G$142</c:f>
              <c:numCache>
                <c:formatCode>0.00\x;\(0.00"x)"</c:formatCode>
                <c:ptCount val="5"/>
                <c:pt idx="0">
                  <c:v>0.76437918786584</c:v>
                </c:pt>
                <c:pt idx="1">
                  <c:v>1.02702679046816</c:v>
                </c:pt>
                <c:pt idx="2">
                  <c:v>0.997361193882036</c:v>
                </c:pt>
                <c:pt idx="3">
                  <c:v>0.888510258152345</c:v>
                </c:pt>
                <c:pt idx="4">
                  <c:v>0.666717290597164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Averages'!$C$143:$G$143</c:f>
              <c:numCache>
                <c:formatCode>0.00\x;\(0.00"x)"</c:formatCode>
                <c:ptCount val="5"/>
                <c:pt idx="0">
                  <c:v>0.462996748837015</c:v>
                </c:pt>
                <c:pt idx="1">
                  <c:v>0.969273360133917</c:v>
                </c:pt>
                <c:pt idx="2">
                  <c:v>1.13006409118166</c:v>
                </c:pt>
                <c:pt idx="3">
                  <c:v>1.01142515128949</c:v>
                </c:pt>
                <c:pt idx="4">
                  <c:v>0.908638622593109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Averages'!$C$144:$G$144</c:f>
              <c:numCache>
                <c:formatCode>0.00\x;\(0.00"x)"</c:formatCode>
                <c:ptCount val="5"/>
                <c:pt idx="0">
                  <c:v>0.621842921651874</c:v>
                </c:pt>
                <c:pt idx="1">
                  <c:v>0.795897281051814</c:v>
                </c:pt>
                <c:pt idx="2">
                  <c:v>0.859209689578905</c:v>
                </c:pt>
                <c:pt idx="3">
                  <c:v>0.748053355094434</c:v>
                </c:pt>
                <c:pt idx="4">
                  <c:v>0.605205995781553</c:v>
                </c:pt>
              </c:numCache>
            </c:numRef>
          </c:val>
          <c:smooth val="0"/>
        </c:ser>
        <c:axId val="16173815"/>
        <c:axId val="46017902"/>
      </c:lineChart>
      <c:catAx>
        <c:axId val="16173815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6017902"/>
        <c:crosses val="autoZero"/>
        <c:lblAlgn val="ctr"/>
        <c:noMultiLvlLbl val="0"/>
        <c:lblOffset val="100"/>
      </c:catAx>
      <c:valAx>
        <c:axId val="46017902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6173815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Times interest earned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Averages'!$C$163:$G$163</c:f>
              <c:numCache>
                <c:formatCode>0.00\x;\(0.00"x)"</c:formatCode>
                <c:ptCount val="5"/>
                <c:pt idx="0">
                  <c:v>11.0197069011817</c:v>
                </c:pt>
                <c:pt idx="1">
                  <c:v>18.3631524524966</c:v>
                </c:pt>
                <c:pt idx="2">
                  <c:v>16.398825279874</c:v>
                </c:pt>
                <c:pt idx="3">
                  <c:v>22.3677202242051</c:v>
                </c:pt>
                <c:pt idx="4">
                  <c:v>59.0989531983723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Averages'!$C$164:$G$164</c:f>
              <c:numCache>
                <c:formatCode>0.00\x;\(0.00"x)"</c:formatCode>
                <c:ptCount val="5"/>
                <c:pt idx="0">
                  <c:v>52.0422282633184</c:v>
                </c:pt>
                <c:pt idx="1">
                  <c:v>55.2973610769624</c:v>
                </c:pt>
                <c:pt idx="2">
                  <c:v>19.4279614358351</c:v>
                </c:pt>
                <c:pt idx="3">
                  <c:v>27.5346160130981</c:v>
                </c:pt>
                <c:pt idx="4">
                  <c:v>36.7208914917797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Averages'!$C$165:$G$165</c:f>
              <c:numCache>
                <c:formatCode>0.00\x;\(0.00"x)"</c:formatCode>
                <c:ptCount val="5"/>
                <c:pt idx="0">
                  <c:v>2.66527702176183</c:v>
                </c:pt>
                <c:pt idx="1">
                  <c:v>2.70574783399353</c:v>
                </c:pt>
                <c:pt idx="2">
                  <c:v>1.47749581990749</c:v>
                </c:pt>
                <c:pt idx="3">
                  <c:v>1.36782903372098</c:v>
                </c:pt>
                <c:pt idx="4">
                  <c:v>4.42132151660476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Averages'!$C$166:$G$166</c:f>
              <c:numCache>
                <c:formatCode>0.00\x;\(0.00"x)"</c:formatCode>
                <c:ptCount val="5"/>
                <c:pt idx="0">
                  <c:v>6.06900056519894</c:v>
                </c:pt>
                <c:pt idx="1">
                  <c:v>5.28071359891126</c:v>
                </c:pt>
                <c:pt idx="2">
                  <c:v>4.47284094403086</c:v>
                </c:pt>
                <c:pt idx="3">
                  <c:v>3.22278185736619</c:v>
                </c:pt>
                <c:pt idx="4">
                  <c:v>7.38704300057939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Averages'!$C$167:$G$167</c:f>
              <c:numCache>
                <c:formatCode>0.00\x;\(0.00"x)"</c:formatCode>
                <c:ptCount val="5"/>
                <c:pt idx="0">
                  <c:v>56.6409914017717</c:v>
                </c:pt>
                <c:pt idx="1">
                  <c:v>12.7907938313385</c:v>
                </c:pt>
                <c:pt idx="2">
                  <c:v>6.30345586918673</c:v>
                </c:pt>
                <c:pt idx="3">
                  <c:v>3.78208665618946</c:v>
                </c:pt>
                <c:pt idx="4">
                  <c:v>4.81077099148121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Averages'!$C$168:$G$168</c:f>
              <c:numCache>
                <c:formatCode>0.00\x;\(0.00"x)"</c:formatCode>
                <c:ptCount val="5"/>
                <c:pt idx="0">
                  <c:v>25.6874408306465</c:v>
                </c:pt>
                <c:pt idx="1">
                  <c:v>18.8875537587405</c:v>
                </c:pt>
                <c:pt idx="2">
                  <c:v>9.61611586976683</c:v>
                </c:pt>
                <c:pt idx="3">
                  <c:v>11.655006756916</c:v>
                </c:pt>
                <c:pt idx="4">
                  <c:v>22.4877960397635</c:v>
                </c:pt>
              </c:numCache>
            </c:numRef>
          </c:val>
          <c:smooth val="0"/>
        </c:ser>
        <c:axId val="61009893"/>
        <c:axId val="49895076"/>
      </c:lineChart>
      <c:catAx>
        <c:axId val="61009893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9895076"/>
        <c:crosses val="autoZero"/>
        <c:lblAlgn val="ctr"/>
        <c:noMultiLvlLbl val="0"/>
        <c:lblOffset val="100"/>
      </c:catAx>
      <c:valAx>
        <c:axId val="49895076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61009893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Gross profit margin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Averages'!$C$181:$G$181</c:f>
              <c:numCache>
                <c:formatCode>0.0%;\(0.0%\)</c:formatCode>
                <c:ptCount val="5"/>
                <c:pt idx="0">
                  <c:v>0.247963413008289</c:v>
                </c:pt>
                <c:pt idx="1">
                  <c:v>0.298439142135099</c:v>
                </c:pt>
                <c:pt idx="2">
                  <c:v>0.268043568189896</c:v>
                </c:pt>
                <c:pt idx="3">
                  <c:v>0.291258514674256</c:v>
                </c:pt>
                <c:pt idx="4">
                  <c:v>0.392202781754451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Averages'!$C$182:$G$182</c:f>
              <c:numCache>
                <c:formatCode>0.0%;\(0.0%\)</c:formatCode>
                <c:ptCount val="5"/>
                <c:pt idx="0">
                  <c:v>0.301170790554712</c:v>
                </c:pt>
                <c:pt idx="1">
                  <c:v>0.278096691443614</c:v>
                </c:pt>
                <c:pt idx="2">
                  <c:v>0.271940875956791</c:v>
                </c:pt>
                <c:pt idx="3">
                  <c:v>0.336480307963216</c:v>
                </c:pt>
                <c:pt idx="4">
                  <c:v>0.342816529820673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Averages'!$C$183:$G$183</c:f>
              <c:numCache>
                <c:formatCode>0.0%;\(0.0%\)</c:formatCode>
                <c:ptCount val="5"/>
                <c:pt idx="0">
                  <c:v>0.178947137394976</c:v>
                </c:pt>
                <c:pt idx="1">
                  <c:v>0.179662611359964</c:v>
                </c:pt>
                <c:pt idx="2">
                  <c:v>0.147048524585835</c:v>
                </c:pt>
                <c:pt idx="3">
                  <c:v>0.159425636084326</c:v>
                </c:pt>
                <c:pt idx="4">
                  <c:v>0.257406325473009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Averages'!$C$184:$G$184</c:f>
              <c:numCache>
                <c:formatCode>0.0%;\(0.0%\)</c:formatCode>
                <c:ptCount val="5"/>
                <c:pt idx="0">
                  <c:v>0.208307144452404</c:v>
                </c:pt>
                <c:pt idx="1">
                  <c:v>0.253000033677097</c:v>
                </c:pt>
                <c:pt idx="2">
                  <c:v>0.292763224717274</c:v>
                </c:pt>
                <c:pt idx="3">
                  <c:v>0.315478453823784</c:v>
                </c:pt>
                <c:pt idx="4">
                  <c:v>0.344444059904692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Averages'!$C$185:$G$185</c:f>
              <c:numCache>
                <c:formatCode>0.0%;\(0.0%\)</c:formatCode>
                <c:ptCount val="5"/>
                <c:pt idx="0">
                  <c:v>0.249859247254523</c:v>
                </c:pt>
                <c:pt idx="1">
                  <c:v>0.285079039888526</c:v>
                </c:pt>
                <c:pt idx="2">
                  <c:v>0.299966040482108</c:v>
                </c:pt>
                <c:pt idx="3">
                  <c:v>0.320899863502247</c:v>
                </c:pt>
                <c:pt idx="4">
                  <c:v>0.354908422029291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Averages'!$C$186:$G$186</c:f>
              <c:numCache>
                <c:formatCode>0.0%;\(0.0%\)</c:formatCode>
                <c:ptCount val="5"/>
                <c:pt idx="0">
                  <c:v>0.237249546532981</c:v>
                </c:pt>
                <c:pt idx="1">
                  <c:v>0.25885550370086</c:v>
                </c:pt>
                <c:pt idx="2">
                  <c:v>0.255952446786381</c:v>
                </c:pt>
                <c:pt idx="3">
                  <c:v>0.284708555209566</c:v>
                </c:pt>
                <c:pt idx="4">
                  <c:v>0.338355623796423</c:v>
                </c:pt>
              </c:numCache>
            </c:numRef>
          </c:val>
          <c:smooth val="0"/>
        </c:ser>
        <c:axId val="38108910"/>
        <c:axId val="21715401"/>
      </c:lineChart>
      <c:catAx>
        <c:axId val="3810891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1715401"/>
        <c:crosses val="autoZero"/>
        <c:lblAlgn val="ctr"/>
        <c:noMultiLvlLbl val="0"/>
        <c:lblOffset val="100"/>
      </c:catAx>
      <c:valAx>
        <c:axId val="21715401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% of net sales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38108910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Net profit margin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Averages'!$C$197:$G$197</c:f>
              <c:numCache>
                <c:formatCode>0.0%;\(0.0%\)</c:formatCode>
                <c:ptCount val="5"/>
                <c:pt idx="0">
                  <c:v>0.145381908989703</c:v>
                </c:pt>
                <c:pt idx="1">
                  <c:v>0.152820756957864</c:v>
                </c:pt>
                <c:pt idx="2">
                  <c:v>0.149550528713845</c:v>
                </c:pt>
                <c:pt idx="3">
                  <c:v>0.230115612198956</c:v>
                </c:pt>
                <c:pt idx="4">
                  <c:v>0.308377197075949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Averages'!$C$198:$G$198</c:f>
              <c:numCache>
                <c:formatCode>0.0%;\(0.0%\)</c:formatCode>
                <c:ptCount val="5"/>
                <c:pt idx="0">
                  <c:v>0.22354637821998</c:v>
                </c:pt>
                <c:pt idx="1">
                  <c:v>0.188654001660428</c:v>
                </c:pt>
                <c:pt idx="2">
                  <c:v>0.143227658251255</c:v>
                </c:pt>
                <c:pt idx="3">
                  <c:v>0.243716047132285</c:v>
                </c:pt>
                <c:pt idx="4">
                  <c:v>0.265775427577338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Averages'!$C$199:$G$199</c:f>
              <c:numCache>
                <c:formatCode>0.0%;\(0.0%\)</c:formatCode>
                <c:ptCount val="5"/>
                <c:pt idx="0">
                  <c:v>0.0824975298003511</c:v>
                </c:pt>
                <c:pt idx="1">
                  <c:v>0.0512049310019218</c:v>
                </c:pt>
                <c:pt idx="2">
                  <c:v>-0.0559520191956703</c:v>
                </c:pt>
                <c:pt idx="3">
                  <c:v>0.00821330659668307</c:v>
                </c:pt>
                <c:pt idx="4">
                  <c:v>0.12066652759857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Averages'!$C$200:$G$200</c:f>
              <c:numCache>
                <c:formatCode>0.0%;\(0.0%\)</c:formatCode>
                <c:ptCount val="5"/>
                <c:pt idx="0">
                  <c:v>0.17598221704521</c:v>
                </c:pt>
                <c:pt idx="1">
                  <c:v>0.0747396589363372</c:v>
                </c:pt>
                <c:pt idx="2">
                  <c:v>0.0723584415491524</c:v>
                </c:pt>
                <c:pt idx="3">
                  <c:v>0.0793429752098451</c:v>
                </c:pt>
                <c:pt idx="4">
                  <c:v>0.247110089479564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Averages'!$C$201:$G$201</c:f>
              <c:numCache>
                <c:formatCode>0.0%;\(0.0%\)</c:formatCode>
                <c:ptCount val="5"/>
                <c:pt idx="0">
                  <c:v>0.143022959023389</c:v>
                </c:pt>
                <c:pt idx="1">
                  <c:v>0.13112336204567</c:v>
                </c:pt>
                <c:pt idx="2">
                  <c:v>0.109295717266417</c:v>
                </c:pt>
                <c:pt idx="3">
                  <c:v>0.102755264255495</c:v>
                </c:pt>
                <c:pt idx="4">
                  <c:v>0.149806116097778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Averages'!$C$202:$G$202</c:f>
              <c:numCache>
                <c:formatCode>0.0%;\(0.0%\)</c:formatCode>
                <c:ptCount val="5"/>
                <c:pt idx="0">
                  <c:v>0.154086198615727</c:v>
                </c:pt>
                <c:pt idx="1">
                  <c:v>0.119708542120444</c:v>
                </c:pt>
                <c:pt idx="2">
                  <c:v>0.0836960653169999</c:v>
                </c:pt>
                <c:pt idx="3">
                  <c:v>0.132828641078653</c:v>
                </c:pt>
                <c:pt idx="4">
                  <c:v>0.21834707156584</c:v>
                </c:pt>
              </c:numCache>
            </c:numRef>
          </c:val>
          <c:smooth val="0"/>
        </c:ser>
        <c:axId val="51567052"/>
        <c:axId val="7056624"/>
      </c:lineChart>
      <c:catAx>
        <c:axId val="51567052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7056624"/>
        <c:crosses val="autoZero"/>
        <c:lblAlgn val="ctr"/>
        <c:noMultiLvlLbl val="0"/>
        <c:lblOffset val="100"/>
      </c:catAx>
      <c:valAx>
        <c:axId val="7056624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% of net sales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51567052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Return on assets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Averages'!$C$205:$G$205</c:f>
              <c:numCache>
                <c:formatCode>0.0%;\(0.0%\)</c:formatCode>
                <c:ptCount val="5"/>
                <c:pt idx="0">
                  <c:v>0.103105018816072</c:v>
                </c:pt>
                <c:pt idx="1">
                  <c:v>0.126496292384384</c:v>
                </c:pt>
                <c:pt idx="2">
                  <c:v>0.125338168765978</c:v>
                </c:pt>
                <c:pt idx="3">
                  <c:v>0.164126200488352</c:v>
                </c:pt>
                <c:pt idx="4">
                  <c:v>0.184262568360198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Averages'!$C$206:$G$206</c:f>
              <c:numCache>
                <c:formatCode>0.0%;\(0.0%\)</c:formatCode>
                <c:ptCount val="5"/>
                <c:pt idx="0">
                  <c:v>0.0962931548025193</c:v>
                </c:pt>
                <c:pt idx="1">
                  <c:v>0.0896411023183605</c:v>
                </c:pt>
                <c:pt idx="2">
                  <c:v>0.0689667597043006</c:v>
                </c:pt>
                <c:pt idx="3">
                  <c:v>0.125728998988021</c:v>
                </c:pt>
                <c:pt idx="4">
                  <c:v>0.132166137757083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Averages'!$C$207:$G$207</c:f>
              <c:numCache>
                <c:formatCode>0.0%;\(0.0%\)</c:formatCode>
                <c:ptCount val="5"/>
                <c:pt idx="0">
                  <c:v>0.0278281954924988</c:v>
                </c:pt>
                <c:pt idx="1">
                  <c:v>0.0216582935793408</c:v>
                </c:pt>
                <c:pt idx="2">
                  <c:v>-0.026806542595717</c:v>
                </c:pt>
                <c:pt idx="3">
                  <c:v>0.00397215650083945</c:v>
                </c:pt>
                <c:pt idx="4">
                  <c:v>0.0610253549691495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Averages'!$C$208:$G$208</c:f>
              <c:numCache>
                <c:formatCode>0.0%;\(0.0%\)</c:formatCode>
                <c:ptCount val="5"/>
                <c:pt idx="0">
                  <c:v>0.0945807784220815</c:v>
                </c:pt>
                <c:pt idx="1">
                  <c:v>0.0488548979058007</c:v>
                </c:pt>
                <c:pt idx="2">
                  <c:v>0.0522524291710305</c:v>
                </c:pt>
                <c:pt idx="3">
                  <c:v>0.0557722788631608</c:v>
                </c:pt>
                <c:pt idx="4">
                  <c:v>0.155959369301743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Averages'!$C$209:$G$209</c:f>
              <c:numCache>
                <c:formatCode>0.0%;\(0.0%\)</c:formatCode>
                <c:ptCount val="5"/>
                <c:pt idx="0">
                  <c:v>0.10974843292729</c:v>
                </c:pt>
                <c:pt idx="1">
                  <c:v>0.0962778365240362</c:v>
                </c:pt>
                <c:pt idx="2">
                  <c:v>0.0589219651789994</c:v>
                </c:pt>
                <c:pt idx="3">
                  <c:v>0.0574110055743115</c:v>
                </c:pt>
                <c:pt idx="4">
                  <c:v>0.0863987139066269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Averages'!$C$210:$G$210</c:f>
              <c:numCache>
                <c:formatCode>0.0%;\(0.0%\)</c:formatCode>
                <c:ptCount val="5"/>
                <c:pt idx="0">
                  <c:v>0.0863111160920924</c:v>
                </c:pt>
                <c:pt idx="1">
                  <c:v>0.0765856845423845</c:v>
                </c:pt>
                <c:pt idx="2">
                  <c:v>0.0557345560449183</c:v>
                </c:pt>
                <c:pt idx="3">
                  <c:v>0.0814021280829369</c:v>
                </c:pt>
                <c:pt idx="4">
                  <c:v>0.12396242885896</c:v>
                </c:pt>
              </c:numCache>
            </c:numRef>
          </c:val>
          <c:smooth val="0"/>
        </c:ser>
        <c:axId val="89134534"/>
        <c:axId val="21536710"/>
      </c:lineChart>
      <c:catAx>
        <c:axId val="89134534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1536710"/>
        <c:crosses val="autoZero"/>
        <c:lblAlgn val="ctr"/>
        <c:noMultiLvlLbl val="0"/>
        <c:lblOffset val="100"/>
      </c:catAx>
      <c:valAx>
        <c:axId val="215367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%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89134534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Return on equity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Averages'!$C$213:$G$213</c:f>
              <c:numCache>
                <c:formatCode>0.0%;\(0.0%\)</c:formatCode>
                <c:ptCount val="5"/>
                <c:pt idx="0">
                  <c:v>0.170817537532695</c:v>
                </c:pt>
                <c:pt idx="1">
                  <c:v>0.20312531536122</c:v>
                </c:pt>
                <c:pt idx="2">
                  <c:v>0.194490956803241</c:v>
                </c:pt>
                <c:pt idx="3">
                  <c:v>0.241340909650054</c:v>
                </c:pt>
                <c:pt idx="4">
                  <c:v>0.259982908981603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Averages'!$C$214:$G$214</c:f>
              <c:numCache>
                <c:formatCode>0.0%;\(0.0%\)</c:formatCode>
                <c:ptCount val="5"/>
                <c:pt idx="0">
                  <c:v>0.132497562117627</c:v>
                </c:pt>
                <c:pt idx="1">
                  <c:v>0.126570539984883</c:v>
                </c:pt>
                <c:pt idx="2">
                  <c:v>0.103237839294354</c:v>
                </c:pt>
                <c:pt idx="3">
                  <c:v>0.197150599971901</c:v>
                </c:pt>
                <c:pt idx="4">
                  <c:v>0.204479813042153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Averages'!$C$215:$G$215</c:f>
              <c:numCache>
                <c:formatCode>0.0%;\(0.0%\)</c:formatCode>
                <c:ptCount val="5"/>
                <c:pt idx="0">
                  <c:v>0.0531147457683849</c:v>
                </c:pt>
                <c:pt idx="1">
                  <c:v>0.0414534926799723</c:v>
                </c:pt>
                <c:pt idx="2">
                  <c:v>-0.0542236332058982</c:v>
                </c:pt>
                <c:pt idx="3">
                  <c:v>0.0077463112901142</c:v>
                </c:pt>
                <c:pt idx="4">
                  <c:v>0.1017512616015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Averages'!$C$216:$G$216</c:f>
              <c:numCache>
                <c:formatCode>0.0%;\(0.0%\)</c:formatCode>
                <c:ptCount val="5"/>
                <c:pt idx="0">
                  <c:v>0.181638186407717</c:v>
                </c:pt>
                <c:pt idx="1">
                  <c:v>0.0928621703772458</c:v>
                </c:pt>
                <c:pt idx="2">
                  <c:v>0.1051025416718</c:v>
                </c:pt>
                <c:pt idx="3">
                  <c:v>0.108122216174792</c:v>
                </c:pt>
                <c:pt idx="4">
                  <c:v>0.274608595434305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Averages'!$C$217:$G$217</c:f>
              <c:numCache>
                <c:formatCode>0.0%;\(0.0%\)</c:formatCode>
                <c:ptCount val="5"/>
                <c:pt idx="0">
                  <c:v>0.161158390214148</c:v>
                </c:pt>
                <c:pt idx="1">
                  <c:v>0.175592849662371</c:v>
                </c:pt>
                <c:pt idx="2">
                  <c:v>0.121057236550117</c:v>
                </c:pt>
                <c:pt idx="3">
                  <c:v>0.11868144080383</c:v>
                </c:pt>
                <c:pt idx="4">
                  <c:v>0.16903802023632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Averages'!$C$218:$G$218</c:f>
              <c:numCache>
                <c:formatCode>0.0%;\(0.0%\)</c:formatCode>
                <c:ptCount val="5"/>
                <c:pt idx="0">
                  <c:v>0.139845284408115</c:v>
                </c:pt>
                <c:pt idx="1">
                  <c:v>0.127920873613138</c:v>
                </c:pt>
                <c:pt idx="2">
                  <c:v>0.0939329882227227</c:v>
                </c:pt>
                <c:pt idx="3">
                  <c:v>0.134608295578138</c:v>
                </c:pt>
                <c:pt idx="4">
                  <c:v>0.201972119859176</c:v>
                </c:pt>
              </c:numCache>
            </c:numRef>
          </c:val>
          <c:smooth val="0"/>
        </c:ser>
        <c:axId val="32422502"/>
        <c:axId val="9154668"/>
      </c:lineChart>
      <c:catAx>
        <c:axId val="32422502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154668"/>
        <c:crosses val="autoZero"/>
        <c:lblAlgn val="ctr"/>
        <c:noMultiLvlLbl val="0"/>
        <c:lblOffset val="100"/>
      </c:catAx>
      <c:valAx>
        <c:axId val="9154668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%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32422502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KOHC earnings per share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0">
              <a:solidFill>
                <a:srgbClr val="1E4D3A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Averages'!$C$263:$G$263</c:f>
              <c:numCache>
                <c:formatCode>#,##0.00;\(#,##0.00\)</c:formatCode>
                <c:ptCount val="5"/>
                <c:pt idx="0">
                  <c:v>17.41254935240212</c:v>
                </c:pt>
                <c:pt idx="1">
                  <c:v>25.01368026116052</c:v>
                </c:pt>
                <c:pt idx="2">
                  <c:v>28.97895827586932</c:v>
                </c:pt>
                <c:pt idx="3">
                  <c:v>45.27427267861498</c:v>
                </c:pt>
                <c:pt idx="4">
                  <c:v>59.84205460086993</c:v>
                </c:pt>
              </c:numCache>
            </c:numRef>
          </c:val>
        </c:ser>
        <c:gapWidth val="150"/>
        <c:overlap val="0"/>
        <c:axId val="10535941"/>
        <c:axId val="22112770"/>
      </c:barChart>
      <c:catAx>
        <c:axId val="10535941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2112770"/>
        <c:crosses val="autoZero"/>
        <c:lblAlgn val="ctr"/>
        <c:noMultiLvlLbl val="0"/>
        <c:lblOffset val="100"/>
      </c:catAx>
      <c:valAx>
        <c:axId val="2211277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Rs per share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0535941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Market-to-book ratio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Averages'!$C$255:$G$255</c:f>
              <c:numCache>
                <c:formatCode>0.00\x;\(0.00"x)"</c:formatCode>
                <c:ptCount val="5"/>
                <c:pt idx="0">
                  <c:v>1.86630259587061</c:v>
                </c:pt>
                <c:pt idx="1">
                  <c:v>0.959328683281757</c:v>
                </c:pt>
                <c:pt idx="2">
                  <c:v>1.06848700210342</c:v>
                </c:pt>
                <c:pt idx="3">
                  <c:v>1.193701148247572</c:v>
                </c:pt>
                <c:pt idx="4">
                  <c:v>1.454474785051403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Averages'!$C$256:$G$256</c:f>
              <c:numCache>
                <c:formatCode>0.00\x;\(0.00"x)"</c:formatCode>
                <c:ptCount val="5"/>
                <c:pt idx="0">
                  <c:v>2.466557187528672</c:v>
                </c:pt>
                <c:pt idx="1">
                  <c:v>1.154828736856148</c:v>
                </c:pt>
                <c:pt idx="2">
                  <c:v>1.185209064075864</c:v>
                </c:pt>
                <c:pt idx="3">
                  <c:v>1.797980468184503</c:v>
                </c:pt>
                <c:pt idx="4">
                  <c:v>2.958475451138761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Averages'!$C$257:$G$257</c:f>
              <c:numCache>
                <c:formatCode>0.00\x;\(0.00"x)"</c:formatCode>
                <c:ptCount val="5"/>
                <c:pt idx="0">
                  <c:v>0.703109686803264</c:v>
                </c:pt>
                <c:pt idx="1">
                  <c:v>0.391635970753325</c:v>
                </c:pt>
                <c:pt idx="2">
                  <c:v>0.35012794187064</c:v>
                </c:pt>
                <c:pt idx="3">
                  <c:v>0.521427750983822</c:v>
                </c:pt>
                <c:pt idx="4">
                  <c:v>0.766208202948007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Averages'!$C$258:$G$258</c:f>
              <c:numCache>
                <c:formatCode>0.00\x;\(0.00"x)"</c:formatCode>
                <c:ptCount val="5"/>
                <c:pt idx="0">
                  <c:v>1.374448907866945</c:v>
                </c:pt>
                <c:pt idx="1">
                  <c:v>0.7281380679486422</c:v>
                </c:pt>
                <c:pt idx="2">
                  <c:v>0.6770382887724061</c:v>
                </c:pt>
                <c:pt idx="3">
                  <c:v>0.7565654630534934</c:v>
                </c:pt>
                <c:pt idx="4">
                  <c:v>1.235468920535663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Averages'!$C$259:$G$259</c:f>
              <c:numCache>
                <c:formatCode>0.00\x;\(0.00"x)"</c:formatCode>
                <c:ptCount val="5"/>
                <c:pt idx="0">
                  <c:v>1.363472829634</c:v>
                </c:pt>
                <c:pt idx="1">
                  <c:v>0.535107187266134</c:v>
                </c:pt>
                <c:pt idx="2">
                  <c:v>0.44258015488187</c:v>
                </c:pt>
                <c:pt idx="3">
                  <c:v>0.765607856515142</c:v>
                </c:pt>
                <c:pt idx="4">
                  <c:v>1.30017599980292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Averages'!$C$260:$G$260</c:f>
              <c:numCache>
                <c:formatCode>0.00\x;\(0.00"x)"</c:formatCode>
                <c:ptCount val="5"/>
                <c:pt idx="0">
                  <c:v>1.554778241540698</c:v>
                </c:pt>
                <c:pt idx="1">
                  <c:v>0.7538077292212013</c:v>
                </c:pt>
                <c:pt idx="2">
                  <c:v>0.7446884903408398</c:v>
                </c:pt>
                <c:pt idx="3">
                  <c:v>1.007056537396906</c:v>
                </c:pt>
                <c:pt idx="4">
                  <c:v>1.542960671895352</c:v>
                </c:pt>
              </c:numCache>
            </c:numRef>
          </c:val>
          <c:smooth val="0"/>
        </c:ser>
        <c:axId val="869809"/>
        <c:axId val="17798640"/>
      </c:lineChart>
      <c:catAx>
        <c:axId val="869809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7798640"/>
        <c:crosses val="autoZero"/>
        <c:lblAlgn val="ctr"/>
        <c:noMultiLvlLbl val="0"/>
        <c:lblOffset val="100"/>
      </c:catAx>
      <c:valAx>
        <c:axId val="1779864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869809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Operating cash flow ratio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"KOHC"</c:f>
              <c:strCache>
                <c:ptCount val="1"/>
                <c:pt idx="0">
                  <c:v>KOHC</c:v>
                </c:pt>
              </c:strCache>
            </c:strRef>
          </c:tx>
          <c:spPr>
            <a:solidFill xmlns:a="http://schemas.openxmlformats.org/drawingml/2006/main">
              <a:srgbClr val="1E4D3A"/>
            </a:solidFill>
            <a:ln xmlns:a="http://schemas.openxmlformats.org/drawingml/2006/main" w="31680">
              <a:solidFill>
                <a:srgbClr val="1E4D3A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rgbClr val="1E4D3A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Averages'!$C$297:$G$297</c:f>
              <c:numCache>
                <c:formatCode>0.00\x;\(0.00"x)"</c:formatCode>
                <c:ptCount val="5"/>
                <c:pt idx="0">
                  <c:v>0.734824170977452</c:v>
                </c:pt>
                <c:pt idx="1">
                  <c:v>0.959114346632539</c:v>
                </c:pt>
                <c:pt idx="2">
                  <c:v>0.458966568976193</c:v>
                </c:pt>
                <c:pt idx="3">
                  <c:v>0.632819816260917</c:v>
                </c:pt>
                <c:pt idx="4">
                  <c:v>0.824199105287403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"LUCK"</c:f>
              <c:strCache>
                <c:ptCount val="1"/>
                <c:pt idx="0">
                  <c:v>LUCK</c:v>
                </c:pt>
              </c:strCache>
            </c:strRef>
          </c:tx>
          <c:spPr>
            <a:solidFill xmlns:a="http://schemas.openxmlformats.org/drawingml/2006/main">
              <a:srgbClr val="8C8C8C"/>
            </a:solidFill>
            <a:ln xmlns:a="http://schemas.openxmlformats.org/drawingml/2006/main" w="12600">
              <a:solidFill>
                <a:srgbClr val="8C8C8C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Averages'!$C$298:$G$298</c:f>
              <c:numCache>
                <c:formatCode>0.00\x;\(0.00"x)"</c:formatCode>
                <c:ptCount val="5"/>
                <c:pt idx="0">
                  <c:v>0.421035455616251</c:v>
                </c:pt>
                <c:pt idx="1">
                  <c:v>0.509295483945394</c:v>
                </c:pt>
                <c:pt idx="2">
                  <c:v>0.607322098516666</c:v>
                </c:pt>
                <c:pt idx="3">
                  <c:v>0.54958491711693</c:v>
                </c:pt>
                <c:pt idx="4">
                  <c:v>0.488745939727159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"DGKC"</c:f>
              <c:strCache>
                <c:ptCount val="1"/>
                <c:pt idx="0">
                  <c:v>DGKC</c:v>
                </c:pt>
              </c:strCache>
            </c:strRef>
          </c:tx>
          <c:spPr>
            <a:solidFill xmlns:a="http://schemas.openxmlformats.org/drawingml/2006/main">
              <a:srgbClr val="B08D57"/>
            </a:solidFill>
            <a:ln xmlns:a="http://schemas.openxmlformats.org/drawingml/2006/main" w="12600">
              <a:solidFill>
                <a:srgbClr val="B08D57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Averages'!$C$299:$G$299</c:f>
              <c:numCache>
                <c:formatCode>0.00\x;\(0.00"x)"</c:formatCode>
                <c:ptCount val="5"/>
                <c:pt idx="0">
                  <c:v>0.158141879692495</c:v>
                </c:pt>
                <c:pt idx="1">
                  <c:v>-0.0910458862024993</c:v>
                </c:pt>
                <c:pt idx="2">
                  <c:v>0.13727106602143</c:v>
                </c:pt>
                <c:pt idx="3">
                  <c:v>0.149058904428072</c:v>
                </c:pt>
                <c:pt idx="4">
                  <c:v>0.345191346379392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"MLCF"</c:f>
              <c:strCache>
                <c:ptCount val="1"/>
                <c:pt idx="0">
                  <c:v>MLCF</c:v>
                </c:pt>
              </c:strCache>
            </c:strRef>
          </c:tx>
          <c:spPr>
            <a:solidFill xmlns:a="http://schemas.openxmlformats.org/drawingml/2006/main">
              <a:srgbClr val="5F7F99"/>
            </a:solidFill>
            <a:ln xmlns:a="http://schemas.openxmlformats.org/drawingml/2006/main" w="12600">
              <a:solidFill>
                <a:srgbClr val="5F7F99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Averages'!$C$300:$G$300</c:f>
              <c:numCache>
                <c:formatCode>0.00\x;\(0.00"x)"</c:formatCode>
                <c:ptCount val="5"/>
                <c:pt idx="0">
                  <c:v>0.489624661424373</c:v>
                </c:pt>
                <c:pt idx="1">
                  <c:v>0.602695475670932</c:v>
                </c:pt>
                <c:pt idx="2">
                  <c:v>1.24311336204933</c:v>
                </c:pt>
                <c:pt idx="3">
                  <c:v>0.545560096953936</c:v>
                </c:pt>
                <c:pt idx="4">
                  <c:v>0.921413038275278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"FCCL"</c:f>
              <c:strCache>
                <c:ptCount val="1"/>
                <c:pt idx="0">
                  <c:v>FCCL</c:v>
                </c:pt>
              </c:strCache>
            </c:strRef>
          </c:tx>
          <c:spPr>
            <a:solidFill xmlns:a="http://schemas.openxmlformats.org/drawingml/2006/main">
              <a:srgbClr val="A35D5D"/>
            </a:solidFill>
            <a:ln xmlns:a="http://schemas.openxmlformats.org/drawingml/2006/main" w="12600">
              <a:solidFill>
                <a:srgbClr val="A35D5D"/>
              </a:solidFill>
            </a:ln>
          </c:spPr>
          <c:marker>
            <c:symbol val="none"/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Averages'!$C$301:$G$301</c:f>
              <c:numCache>
                <c:formatCode>0.00\x;\(0.00"x)"</c:formatCode>
                <c:ptCount val="5"/>
                <c:pt idx="0">
                  <c:v>1.01178964474866</c:v>
                </c:pt>
                <c:pt idx="1">
                  <c:v>0.460268728977514</c:v>
                </c:pt>
                <c:pt idx="2">
                  <c:v>0.580747958252799</c:v>
                </c:pt>
                <c:pt idx="3">
                  <c:v>0.805191406423745</c:v>
                </c:pt>
                <c:pt idx="4">
                  <c:v>0.845633209446386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"Five-company average"</c:f>
              <c:strCache>
                <c:ptCount val="1"/>
                <c:pt idx="0">
                  <c:v>Five-company average</c:v>
                </c:pt>
              </c:strCache>
            </c:strRef>
          </c:tx>
          <c:spPr>
            <a:solidFill xmlns:a="http://schemas.openxmlformats.org/drawingml/2006/main">
              <a:srgbClr val="262626"/>
            </a:solidFill>
            <a:ln xmlns:a="http://schemas.openxmlformats.org/drawingml/2006/main" w="22320">
              <a:solidFill>
                <a:srgbClr val="262626"/>
              </a:solidFill>
              <a:prstDash val="dash"/>
            </a:ln>
          </c:spPr>
          <c:marker>
            <c:symbol val="circle"/>
            <c:size val="5"/>
            <c:spPr>
              <a:solidFill xmlns:a="http://schemas.openxmlformats.org/drawingml/2006/main">
                <a:srgbClr val="262626"/>
              </a:solidFill>
            </c:spPr>
          </c:marke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'Industry Averages'!$C$4:$G$4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'Industry Averages'!$C$302:$G$302</c:f>
              <c:numCache>
                <c:formatCode>0.00\x;\(0.00"x)"</c:formatCode>
                <c:ptCount val="5"/>
                <c:pt idx="0">
                  <c:v>0.563083162491846</c:v>
                </c:pt>
                <c:pt idx="1">
                  <c:v>0.488065629804776</c:v>
                </c:pt>
                <c:pt idx="2">
                  <c:v>0.605484210763285</c:v>
                </c:pt>
                <c:pt idx="3">
                  <c:v>0.53644302823672</c:v>
                </c:pt>
                <c:pt idx="4">
                  <c:v>0.685036527823124</c:v>
                </c:pt>
              </c:numCache>
            </c:numRef>
          </c:val>
          <c:smooth val="0"/>
        </c:ser>
        <c:axId val="90424753"/>
        <c:axId val="44344707"/>
      </c:lineChart>
      <c:catAx>
        <c:axId val="90424753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Financial year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4344707"/>
        <c:crosses val="autoZero"/>
        <c:lblAlgn val="ctr"/>
        <c:noMultiLvlLbl val="0"/>
        <c:lblOffset val="100"/>
      </c:catAx>
      <c:valAx>
        <c:axId val="44344707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times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.0" sourceLinked="0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0424753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b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</xdr:row>
      <xdr:rowOff>131040</xdr:rowOff>
    </xdr:from>
    <xdr:to>
      <xdr:col>10</xdr:col>
      <xdr:colOff>76320</xdr:colOff>
      <xdr:row>18</xdr:row>
      <xdr:rowOff>9000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49485cc8634468"/>
        </a:graphicData>
      </a:graphic>
    </xdr:graphicFrame>
    <xdr:clientData/>
  </xdr:twoCellAnchor>
  <xdr:twoCellAnchor>
    <xdr:from>
      <xdr:col>10</xdr:col>
      <xdr:colOff>0</xdr:colOff>
      <xdr:row>3</xdr:row>
      <xdr:rowOff>131040</xdr:rowOff>
    </xdr:from>
    <xdr:to>
      <xdr:col>19</xdr:col>
      <xdr:colOff>75960</xdr:colOff>
      <xdr:row>18</xdr:row>
      <xdr:rowOff>9000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b670e4eca2466c"/>
        </a:graphicData>
      </a:graphic>
    </xdr:graphicFrame>
    <xdr:clientData/>
  </xdr:twoCellAnchor>
  <xdr:twoCellAnchor>
    <xdr:from>
      <xdr:col>1</xdr:col>
      <xdr:colOff>0</xdr:colOff>
      <xdr:row>20</xdr:row>
      <xdr:rowOff>131040</xdr:rowOff>
    </xdr:from>
    <xdr:to>
      <xdr:col>10</xdr:col>
      <xdr:colOff>76320</xdr:colOff>
      <xdr:row>35</xdr:row>
      <xdr:rowOff>9000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a79f63166e4d86"/>
        </a:graphicData>
      </a:graphic>
    </xdr:graphicFrame>
    <xdr:clientData/>
  </xdr:twoCellAnchor>
  <xdr:twoCellAnchor>
    <xdr:from>
      <xdr:col>10</xdr:col>
      <xdr:colOff>0</xdr:colOff>
      <xdr:row>20</xdr:row>
      <xdr:rowOff>131040</xdr:rowOff>
    </xdr:from>
    <xdr:to>
      <xdr:col>19</xdr:col>
      <xdr:colOff>75960</xdr:colOff>
      <xdr:row>35</xdr:row>
      <xdr:rowOff>9000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321187863c4d33"/>
        </a:graphicData>
      </a:graphic>
    </xdr:graphicFrame>
    <xdr:clientData/>
  </xdr:twoCellAnchor>
  <xdr:twoCellAnchor>
    <xdr:from>
      <xdr:col>1</xdr:col>
      <xdr:colOff>0</xdr:colOff>
      <xdr:row>36</xdr:row>
      <xdr:rowOff>130680</xdr:rowOff>
    </xdr:from>
    <xdr:to>
      <xdr:col>10</xdr:col>
      <xdr:colOff>76320</xdr:colOff>
      <xdr:row>51</xdr:row>
      <xdr:rowOff>9000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b9ffbc289547a4"/>
        </a:graphicData>
      </a:graphic>
    </xdr:graphicFrame>
    <xdr:clientData/>
  </xdr:twoCellAnchor>
  <xdr:twoCellAnchor>
    <xdr:from>
      <xdr:col>1</xdr:col>
      <xdr:colOff>0</xdr:colOff>
      <xdr:row>53</xdr:row>
      <xdr:rowOff>130680</xdr:rowOff>
    </xdr:from>
    <xdr:to>
      <xdr:col>10</xdr:col>
      <xdr:colOff>76320</xdr:colOff>
      <xdr:row>68</xdr:row>
      <xdr:rowOff>9000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ca123a375f4b6e"/>
        </a:graphicData>
      </a:graphic>
    </xdr:graphicFrame>
    <xdr:clientData/>
  </xdr:twoCellAnchor>
  <xdr:twoCellAnchor>
    <xdr:from>
      <xdr:col>10</xdr:col>
      <xdr:colOff>0</xdr:colOff>
      <xdr:row>53</xdr:row>
      <xdr:rowOff>130680</xdr:rowOff>
    </xdr:from>
    <xdr:to>
      <xdr:col>19</xdr:col>
      <xdr:colOff>75960</xdr:colOff>
      <xdr:row>68</xdr:row>
      <xdr:rowOff>9000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46fae359af4b6f"/>
        </a:graphicData>
      </a:graphic>
    </xdr:graphicFrame>
    <xdr:clientData/>
  </xdr:twoCellAnchor>
  <xdr:twoCellAnchor>
    <xdr:from>
      <xdr:col>1</xdr:col>
      <xdr:colOff>0</xdr:colOff>
      <xdr:row>70</xdr:row>
      <xdr:rowOff>131040</xdr:rowOff>
    </xdr:from>
    <xdr:to>
      <xdr:col>10</xdr:col>
      <xdr:colOff>76320</xdr:colOff>
      <xdr:row>85</xdr:row>
      <xdr:rowOff>9000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56cf20bfc74e64"/>
        </a:graphicData>
      </a:graphic>
    </xdr:graphicFrame>
    <xdr:clientData/>
  </xdr:twoCellAnchor>
  <xdr:twoCellAnchor>
    <xdr:from>
      <xdr:col>10</xdr:col>
      <xdr:colOff>0</xdr:colOff>
      <xdr:row>70</xdr:row>
      <xdr:rowOff>131040</xdr:rowOff>
    </xdr:from>
    <xdr:to>
      <xdr:col>19</xdr:col>
      <xdr:colOff>75960</xdr:colOff>
      <xdr:row>85</xdr:row>
      <xdr:rowOff>9000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db3085fa8b4770"/>
        </a:graphicData>
      </a:graphic>
    </xdr:graphicFrame>
    <xdr:clientData/>
  </xdr:twoCellAnchor>
  <xdr:twoCellAnchor>
    <xdr:from>
      <xdr:col>1</xdr:col>
      <xdr:colOff>0</xdr:colOff>
      <xdr:row>86</xdr:row>
      <xdr:rowOff>131040</xdr:rowOff>
    </xdr:from>
    <xdr:to>
      <xdr:col>10</xdr:col>
      <xdr:colOff>76320</xdr:colOff>
      <xdr:row>101</xdr:row>
      <xdr:rowOff>9000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015599ed914605"/>
        </a:graphicData>
      </a:graphic>
    </xdr:graphicFrame>
    <xdr:clientData/>
  </xdr:twoCellAnchor>
  <xdr:twoCellAnchor>
    <xdr:from>
      <xdr:col>10</xdr:col>
      <xdr:colOff>0</xdr:colOff>
      <xdr:row>86</xdr:row>
      <xdr:rowOff>131040</xdr:rowOff>
    </xdr:from>
    <xdr:to>
      <xdr:col>19</xdr:col>
      <xdr:colOff>75960</xdr:colOff>
      <xdr:row>101</xdr:row>
      <xdr:rowOff>9000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f9b0aa72474bbf"/>
        </a:graphicData>
      </a:graphic>
    </xdr:graphicFrame>
    <xdr:clientData/>
  </xdr:twoCellAnchor>
  <xdr:twoCellAnchor>
    <xdr:from>
      <xdr:col>1</xdr:col>
      <xdr:colOff>0</xdr:colOff>
      <xdr:row>103</xdr:row>
      <xdr:rowOff>130680</xdr:rowOff>
    </xdr:from>
    <xdr:to>
      <xdr:col>10</xdr:col>
      <xdr:colOff>76320</xdr:colOff>
      <xdr:row>118</xdr:row>
      <xdr:rowOff>9000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16fa677c284001"/>
        </a:graphicData>
      </a:graphic>
    </xdr:graphicFrame>
    <xdr:clientData/>
  </xdr:twoCellAnchor>
  <xdr:twoCellAnchor>
    <xdr:from>
      <xdr:col>10</xdr:col>
      <xdr:colOff>0</xdr:colOff>
      <xdr:row>103</xdr:row>
      <xdr:rowOff>130680</xdr:rowOff>
    </xdr:from>
    <xdr:to>
      <xdr:col>19</xdr:col>
      <xdr:colOff>75960</xdr:colOff>
      <xdr:row>118</xdr:row>
      <xdr:rowOff>9000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e13c2319e040f2"/>
        </a:graphicData>
      </a:graphic>
    </xdr:graphicFrame>
    <xdr:clientData/>
  </xdr:twoCellAnchor>
  <xdr:twoCellAnchor>
    <xdr:from>
      <xdr:col>1</xdr:col>
      <xdr:colOff>0</xdr:colOff>
      <xdr:row>120</xdr:row>
      <xdr:rowOff>130680</xdr:rowOff>
    </xdr:from>
    <xdr:to>
      <xdr:col>10</xdr:col>
      <xdr:colOff>76320</xdr:colOff>
      <xdr:row>135</xdr:row>
      <xdr:rowOff>9000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a956c0c210437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KOHC_Financial_Analysis_FINAL.xlsx" TargetMode="External" Id="R8207d543f2d249b6" /><Relationship Type="http://schemas.openxmlformats.org/officeDocument/2006/relationships/hyperlink" Target="KOHC_Financial_Analysis_FINAL.xlsx" TargetMode="External" Id="Rf843580b8c394e45" /><Relationship Type="http://schemas.openxmlformats.org/officeDocument/2006/relationships/hyperlink" Target="KOHC_Financial_Analysis_FINAL.xlsx" TargetMode="External" Id="R8804f2ac133946c1" /><Relationship Type="http://schemas.openxmlformats.org/officeDocument/2006/relationships/hyperlink" Target="KOHC_Financial_Analysis_FINAL.xlsx" TargetMode="External" Id="R93878d2988684257" /><Relationship Type="http://schemas.openxmlformats.org/officeDocument/2006/relationships/hyperlink" Target="KOHC_Financial_Analysis_FINAL.xlsx" TargetMode="External" Id="Rf740c90b3b7f47c4" /><Relationship Type="http://schemas.openxmlformats.org/officeDocument/2006/relationships/hyperlink" Target="KOHC_Financial_Analysis_FINAL.xlsx" TargetMode="External" Id="Reedba8db4c294284" /><Relationship Type="http://schemas.openxmlformats.org/officeDocument/2006/relationships/hyperlink" Target="KOHC_Financial_Analysis_FINAL.xlsx" TargetMode="External" Id="Re9f5622357f242f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e57cd1b2a86b4e65" /></Relationships>
</file>

<file path=xl/worksheets/sheet1.xml><?xml version="1.0" encoding="utf-8"?>
<x:worksheet xmlns:x="http://schemas.openxmlformats.org/spreadsheetml/2006/main">
  <x:sheetPr>
    <x:tabColor rgb="FF1E4D3A"/>
  </x:sheetPr>
  <x:sheetViews>
    <x:sheetView showGridLines="0" workbookViewId="0"/>
  </x:sheetViews>
  <x:sheetFormatPr defaultColWidth="8.6796875" defaultRowHeight="15"/>
  <x:cols>
    <x:col min="1" max="1" width="26" hidden="0" customWidth="1"/>
    <x:col min="2" max="2" width="40" hidden="0" customWidth="1"/>
    <x:col min="3" max="7" width="14" hidden="0" customWidth="1"/>
    <x:col min="8" max="8" width="10" hidden="0" customWidth="1"/>
  </x:cols>
  <x:sheetData>
    <x:row r="1" ht="19.700000762939453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 t="s">
        <x:v>3</x:v>
      </x:c>
    </x:row>
    <x:row r="5" ht="15" hidden="0">
      <x:c r="A5" s="3" t="s">
        <x:v>4</x:v>
      </x:c>
      <x:c r="B5" s="4" t="s">
        <x:v>5</x:v>
      </x:c>
    </x:row>
    <x:row r="6" ht="15" hidden="0">
      <x:c r="A6" s="3" t="s">
        <x:v>6</x:v>
      </x:c>
      <x:c r="B6" s="4" t="s">
        <x:v>7</x:v>
      </x:c>
    </x:row>
    <x:row r="7" ht="15" hidden="0">
      <x:c r="A7" s="3" t="s">
        <x:v>8</x:v>
      </x:c>
    </x:row>
    <x:row r="9" ht="19.5" hidden="0" customHeight="1">
      <x:c r="A9" s="5" t="s">
        <x:v>9</x:v>
      </x:c>
      <x:c r="B9" s="6"/>
      <x:c r="C9" s="6"/>
      <x:c r="D9" s="6"/>
      <x:c r="E9" s="6"/>
      <x:c r="F9" s="6"/>
      <x:c r="G9" s="6"/>
    </x:row>
    <x:row r="10" ht="15" hidden="0">
      <x:c r="A10" s="7" t="s">
        <x:v>10</x:v>
      </x:c>
      <x:c r="B10" s="7" t="s">
        <x:v>11</x:v>
      </x:c>
      <x:c r="C10" s="7" t="s">
        <x:v>12</x:v>
      </x:c>
      <x:c r="D10" s="7" t="s">
        <x:v>13</x:v>
      </x:c>
      <x:c r="E10" s="7" t="s">
        <x:v>14</x:v>
      </x:c>
    </x:row>
    <x:row r="11" ht="15" hidden="0">
      <x:c r="A11" s="8" t="s">
        <x:v>15</x:v>
      </x:c>
      <x:c r="B11" s="8" t="s">
        <x:v>16</x:v>
      </x:c>
      <x:c r="C11" s="8" t="s">
        <x:v>17</x:v>
      </x:c>
      <x:c r="D11" s="8" t="s">
        <x:v>18</x:v>
      </x:c>
      <x:c r="E11" s="9" t="s">
        <x:v>19</x:v>
      </x:c>
    </x:row>
    <x:row r="12" ht="15" hidden="0">
      <x:c r="A12" s="10" t="s">
        <x:v>20</x:v>
      </x:c>
      <x:c r="B12" s="10" t="s">
        <x:v>21</x:v>
      </x:c>
      <x:c r="C12" s="10" t="s">
        <x:v>22</x:v>
      </x:c>
      <x:c r="D12" s="10" t="s">
        <x:v>23</x:v>
      </x:c>
      <x:c r="E12" s="9" t="s">
        <x:v>24</x:v>
      </x:c>
    </x:row>
    <x:row r="13" ht="15" hidden="0">
      <x:c r="A13" s="10" t="s">
        <x:v>25</x:v>
      </x:c>
      <x:c r="B13" s="10" t="s">
        <x:v>26</x:v>
      </x:c>
      <x:c r="C13" s="10" t="s">
        <x:v>27</x:v>
      </x:c>
      <x:c r="D13" s="10" t="s">
        <x:v>23</x:v>
      </x:c>
      <x:c r="E13" s="9" t="s">
        <x:v>28</x:v>
      </x:c>
    </x:row>
    <x:row r="14" ht="15" hidden="0">
      <x:c r="A14" s="10" t="s">
        <x:v>29</x:v>
      </x:c>
      <x:c r="B14" s="10" t="s">
        <x:v>30</x:v>
      </x:c>
      <x:c r="C14" s="10" t="s">
        <x:v>31</x:v>
      </x:c>
      <x:c r="D14" s="10" t="s">
        <x:v>23</x:v>
      </x:c>
      <x:c r="E14" s="9" t="s">
        <x:v>32</x:v>
      </x:c>
    </x:row>
    <x:row r="15" ht="15" hidden="0">
      <x:c r="A15" s="10" t="s">
        <x:v>33</x:v>
      </x:c>
      <x:c r="B15" s="10" t="s">
        <x:v>34</x:v>
      </x:c>
      <x:c r="C15" s="10" t="s">
        <x:v>35</x:v>
      </x:c>
      <x:c r="D15" s="10" t="s">
        <x:v>18</x:v>
      </x:c>
      <x:c r="E15" s="9" t="s">
        <x:v>36</x:v>
      </x:c>
    </x:row>
    <x:row r="16" ht="15" hidden="0">
      <x:c r="E16" s="11" t="s">
        <x:v>37</x:v>
      </x:c>
    </x:row>
    <x:row r="17" ht="15" hidden="0">
      <x:c r="E17" s="11" t="s">
        <x:v>38</x:v>
      </x:c>
    </x:row>
    <x:row r="19" ht="19.5" hidden="0" customHeight="1">
      <x:c r="A19" s="5" t="s">
        <x:v>39</x:v>
      </x:c>
      <x:c r="B19" s="6"/>
      <x:c r="C19" s="6"/>
      <x:c r="D19" s="6"/>
      <x:c r="E19" s="6"/>
      <x:c r="F19" s="6"/>
      <x:c r="G19" s="6"/>
    </x:row>
    <x:row r="20" ht="27.75" hidden="0" customHeight="1">
      <x:c r="A20" s="12" t="s">
        <x:v>40</x:v>
      </x:c>
      <x:c r="B20" s="12"/>
      <x:c r="C20" s="12"/>
      <x:c r="D20" s="12"/>
      <x:c r="E20" s="12"/>
      <x:c r="F20" s="12"/>
      <x:c r="G20" s="12"/>
    </x:row>
    <x:row r="21" ht="27.75" hidden="0" customHeight="1">
      <x:c r="A21" s="12" t="s">
        <x:v>41</x:v>
      </x:c>
      <x:c r="B21" s="12"/>
      <x:c r="C21" s="12"/>
      <x:c r="D21" s="12"/>
      <x:c r="E21" s="12"/>
      <x:c r="F21" s="12"/>
      <x:c r="G21" s="12"/>
    </x:row>
    <x:row r="22" ht="27.75" hidden="0" customHeight="1">
      <x:c r="A22" s="12" t="s">
        <x:v>42</x:v>
      </x:c>
      <x:c r="B22" s="12"/>
      <x:c r="C22" s="12"/>
      <x:c r="D22" s="12"/>
      <x:c r="E22" s="12"/>
      <x:c r="F22" s="12"/>
      <x:c r="G22" s="12"/>
    </x:row>
    <x:row r="23" ht="27.75" hidden="0" customHeight="1">
      <x:c r="A23" s="12" t="s">
        <x:v>43</x:v>
      </x:c>
      <x:c r="B23" s="12"/>
      <x:c r="C23" s="12"/>
      <x:c r="D23" s="12"/>
      <x:c r="E23" s="12"/>
      <x:c r="F23" s="12"/>
      <x:c r="G23" s="12"/>
    </x:row>
    <x:row r="24" ht="27.75" hidden="0" customHeight="1">
      <x:c r="A24" s="12" t="s">
        <x:v>44</x:v>
      </x:c>
      <x:c r="B24" s="12"/>
      <x:c r="C24" s="12"/>
      <x:c r="D24" s="12"/>
      <x:c r="E24" s="12"/>
      <x:c r="F24" s="12"/>
      <x:c r="G24" s="12"/>
    </x:row>
    <x:row r="25" ht="27.75" hidden="0" customHeight="1">
      <x:c r="A25" s="12" t="s">
        <x:v>45</x:v>
      </x:c>
      <x:c r="B25" s="12"/>
      <x:c r="C25" s="12"/>
      <x:c r="D25" s="12"/>
      <x:c r="E25" s="12"/>
      <x:c r="F25" s="12"/>
      <x:c r="G25" s="12"/>
    </x:row>
    <x:row r="26" ht="27.75" hidden="0" customHeight="1">
      <x:c r="A26" s="12" t="str">
        <x:v>- Market ratios use the actual PSX close and the share basis in force at each FY-end. KOHC remains Rs 10 through June 2025; LUCK changes to Rs 2 in April 2025. EPS, BVPS and DPS use compatible bases.</x:v>
      </x:c>
      <x:c r="B26" s="12"/>
      <x:c r="C26" s="12"/>
      <x:c r="D26" s="12"/>
      <x:c r="E26" s="12"/>
      <x:c r="F26" s="12"/>
      <x:c r="G26" s="12"/>
    </x:row>
    <x:row r="27" ht="27.75" hidden="0" customHeight="1">
      <x:c r="A27" s="12" t="s">
        <x:v>46</x:v>
      </x:c>
      <x:c r="B27" s="12"/>
      <x:c r="C27" s="12"/>
      <x:c r="D27" s="12"/>
      <x:c r="E27" s="12"/>
      <x:c r="F27" s="12"/>
      <x:c r="G27" s="12"/>
    </x:row>
    <x:row r="29" ht="15" hidden="0">
      <x:c r="A29" s="3" t="s">
        <x:v>47</x:v>
      </x:c>
      <x:c r="C29" s="13" t="s">
        <x:v>48</x:v>
      </x:c>
      <x:c r="D29" s="13" t="s">
        <x:v>49</x:v>
      </x:c>
      <x:c r="E29" s="13" t="s">
        <x:v>50</x:v>
      </x:c>
      <x:c r="F29" s="13" t="s">
        <x:v>51</x:v>
      </x:c>
      <x:c r="G29" s="13" t="s">
        <x:v>52</x:v>
      </x:c>
    </x:row>
    <x:row r="30" ht="15" hidden="0">
      <x:c r="A30" t="s">
        <x:v>53</x:v>
      </x:c>
      <x:c r="C30" s="14" t="n">
        <x:v>0.29</x:v>
      </x:c>
      <x:c r="D30" s="14" t="s">
        <x:v>54</x:v>
      </x:c>
      <x:c r="E30" s="14" t="n">
        <x:v>0.39</x:v>
      </x:c>
      <x:c r="F30" s="14" t="n">
        <x:v>0.39</x:v>
      </x:c>
      <x:c r="G30" s="14" t="n">
        <x:v>0.39</x:v>
      </x:c>
    </x:row>
    <x:row r="31" ht="15" hidden="0">
      <x:c r="A31" s="15" t="s">
        <x:v>55</x:v>
      </x:c>
    </x:row>
    <x:row r="33" ht="19.5" hidden="0" customHeight="1">
      <x:c r="A33" s="5" t="s">
        <x:v>56</x:v>
      </x:c>
      <x:c r="B33" s="6"/>
      <x:c r="C33" s="6"/>
      <x:c r="D33" s="6"/>
      <x:c r="E33" s="6"/>
      <x:c r="F33" s="6"/>
      <x:c r="G33" s="6"/>
    </x:row>
    <x:row r="34" ht="27.75" hidden="0" customHeight="1">
      <x:c r="A34" s="12" t="s">
        <x:v>57</x:v>
      </x:c>
      <x:c r="B34" s="12"/>
      <x:c r="C34" s="12"/>
      <x:c r="D34" s="12"/>
      <x:c r="E34" s="12"/>
      <x:c r="F34" s="12"/>
      <x:c r="G34" s="12"/>
    </x:row>
    <x:row r="35" ht="27.75" hidden="0" customHeight="1">
      <x:c r="A35" s="12" t="str">
        <x:v>Year-end prices: official PSX historical CLOSE records (30-Jun-2021, 30-Jun-2022, 27-Jun-2023, 28-Jun-2024 and 30-Jun-2025). Corporate actions and annual-report cross-checks are in the revised audit workbook.</x:v>
      </x:c>
      <x:c r="B35" s="12"/>
      <x:c r="C35" s="12"/>
      <x:c r="D35" s="12"/>
      <x:c r="E35" s="12"/>
      <x:c r="F35" s="12"/>
      <x:c r="G35" s="12"/>
    </x:row>
    <x:row r="36" ht="27.75" hidden="0" customHeight="1">
      <x:c r="A36" s="12" t="str">
        <x:v>Source evidence and market-basis exceptions: KOHC_Financial_Analysis_Audit_REVISED.xlsx. FCCL FY2023 EPS uses full-year bonus treatment; its published weighted share count remains unreconciled.</x:v>
      </x:c>
      <x:c r="B36" s="12"/>
      <x:c r="C36" s="12"/>
      <x:c r="D36" s="12"/>
      <x:c r="E36" s="12"/>
      <x:c r="F36" s="12"/>
      <x:c r="G36" s="12"/>
    </x:row>
    <x:row r="37" ht="27.75" hidden="0" customHeight="1">
      <x:c r="A37" s="12" t="s">
        <x:v>58</x:v>
      </x:c>
      <x:c r="B37" s="12"/>
      <x:c r="C37" s="12"/>
      <x:c r="D37" s="12"/>
      <x:c r="E37" s="12"/>
      <x:c r="F37" s="12"/>
      <x:c r="G37" s="12"/>
    </x:row>
  </x:sheetData>
  <x:mergeCells>
    <x:mergeCell ref="A20:G20"/>
    <x:mergeCell ref="A21:G21"/>
    <x:mergeCell ref="A22:G22"/>
    <x:mergeCell ref="A23:G23"/>
    <x:mergeCell ref="A24:G24"/>
    <x:mergeCell ref="A25:G25"/>
    <x:mergeCell ref="A26:G26"/>
    <x:mergeCell ref="A27:G27"/>
    <x:mergeCell ref="A34:G34"/>
    <x:mergeCell ref="A35:G35"/>
    <x:mergeCell ref="A36:G36"/>
    <x:mergeCell ref="A37:G37"/>
  </x:mergeCells>
  <x:hyperlinks>
    <x:hyperlink xmlns:r="http://schemas.openxmlformats.org/officeDocument/2006/relationships" ref="E11" r:id="R8207d543f2d249b6"/>
    <x:hyperlink xmlns:r="http://schemas.openxmlformats.org/officeDocument/2006/relationships" ref="E12" r:id="Rf843580b8c394e45"/>
    <x:hyperlink xmlns:r="http://schemas.openxmlformats.org/officeDocument/2006/relationships" ref="E13" r:id="R8804f2ac133946c1"/>
    <x:hyperlink xmlns:r="http://schemas.openxmlformats.org/officeDocument/2006/relationships" ref="E14" r:id="R93878d2988684257"/>
    <x:hyperlink xmlns:r="http://schemas.openxmlformats.org/officeDocument/2006/relationships" ref="E15" r:id="Rf740c90b3b7f47c4"/>
    <x:hyperlink xmlns:r="http://schemas.openxmlformats.org/officeDocument/2006/relationships" ref="E16" r:id="Reedba8db4c294284"/>
    <x:hyperlink xmlns:r="http://schemas.openxmlformats.org/officeDocument/2006/relationships" ref="E17" r:id="Re9f5622357f242fb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E4D3A"/>
  </x:sheetPr>
  <x:sheetViews>
    <x:sheetView showGridLines="0" workbookViewId="0">
      <x:pane xSplit="2" ySplit="5" topLeftCell="C6" activePane="bottomRight" state="frozen"/>
    </x:sheetView>
  </x:sheetViews>
  <x:sheetFormatPr defaultColWidth="8.6796875" defaultRowHeight="15"/>
  <x:cols>
    <x:col min="1" max="1" width="44" hidden="0" customWidth="1"/>
    <x:col min="2" max="2" width="36" hidden="0" customWidth="1"/>
    <x:col min="3" max="8" width="12" hidden="0" customWidth="1"/>
  </x:cols>
  <x:sheetData>
    <x:row r="1" ht="19.700000762939453" hidden="0">
      <x:c r="A1" s="1" t="s">
        <x:v>59</x:v>
      </x:c>
    </x:row>
    <x:row r="2" ht="15" hidden="0">
      <x:c r="A2" s="16" t="s">
        <x:v>60</x:v>
      </x:c>
    </x:row>
    <x:row r="3" ht="15" hidden="0">
      <x:c r="A3" s="15" t="s">
        <x:v>61</x:v>
      </x:c>
    </x:row>
    <x:row r="6" ht="19.5" hidden="0" customHeight="1">
      <x:c r="A6" s="5" t="s">
        <x:v>62</x:v>
      </x:c>
      <x:c r="B6" s="6"/>
      <x:c r="C6" s="6"/>
      <x:c r="D6" s="6"/>
      <x:c r="E6" s="6"/>
      <x:c r="F6" s="6"/>
      <x:c r="G6" s="6"/>
      <x:c r="H6" s="6"/>
    </x:row>
    <x:row r="7" ht="16.5" hidden="0" customHeight="1">
      <x:c r="A7" s="17" t="s">
        <x:v>63</x:v>
      </x:c>
      <x:c r="B7" s="18"/>
      <x:c r="C7" s="19" t="s">
        <x:v>48</x:v>
      </x:c>
      <x:c r="D7" s="19" t="s">
        <x:v>49</x:v>
      </x:c>
      <x:c r="E7" s="19" t="s">
        <x:v>50</x:v>
      </x:c>
      <x:c r="F7" s="19" t="s">
        <x:v>51</x:v>
      </x:c>
      <x:c r="G7" s="19" t="s">
        <x:v>52</x:v>
      </x:c>
      <x:c r="H7" s="19" t="s">
        <x:v>64</x:v>
      </x:c>
    </x:row>
    <x:row r="8" ht="15" hidden="0">
      <x:c r="A8" s="20" t="s">
        <x:v>65</x:v>
      </x:c>
      <x:c r="B8" s="21"/>
      <x:c r="C8" s="21"/>
      <x:c r="D8" s="21"/>
      <x:c r="E8" s="21"/>
      <x:c r="F8" s="21"/>
      <x:c r="G8" s="21"/>
      <x:c r="H8" s="21"/>
    </x:row>
    <x:row r="9" ht="15" hidden="0">
      <x:c r="A9" s="22" t="s">
        <x:v>66</x:v>
      </x:c>
      <x:c r="B9" s="23"/>
      <x:c r="C9" s="24" t="n">
        <x:v>22027.544913</x:v>
      </x:c>
      <x:c r="D9" s="24" t="n">
        <x:v>21331.296362</x:v>
      </x:c>
      <x:c r="E9" s="24" t="n">
        <x:v>22229.434463</x:v>
      </x:c>
      <x:c r="F9" s="24" t="n">
        <x:v>22156.640533</x:v>
      </x:c>
      <x:c r="G9" s="24" t="n">
        <x:v>23359.980509</x:v>
      </x:c>
      <x:c r="H9" s="24" t="n">
        <x:v>22777.666271</x:v>
      </x:c>
    </x:row>
    <x:row r="10" ht="15" hidden="0">
      <x:c r="A10" s="22" t="s">
        <x:v>67</x:v>
      </x:c>
      <x:c r="B10" s="23"/>
      <x:c r="C10" s="24" t="n">
        <x:v>273.939559</x:v>
      </x:c>
      <x:c r="D10" s="24" t="n">
        <x:v>130.897947</x:v>
      </x:c>
      <x:c r="E10" s="24" t="n">
        <x:v>1943.019581</x:v>
      </x:c>
      <x:c r="F10" s="24" t="n">
        <x:v>999.326605</x:v>
      </x:c>
      <x:c r="G10" s="24" t="n">
        <x:v>2486.634755</x:v>
      </x:c>
      <x:c r="H10" s="24" t="n">
        <x:v>164.578022</x:v>
      </x:c>
    </x:row>
    <x:row r="11" ht="15" hidden="0">
      <x:c r="A11" s="22" t="s">
        <x:v>68</x:v>
      </x:c>
      <x:c r="B11" s="23"/>
      <x:c r="C11" s="24" t="n">
        <x:v>0</x:v>
      </x:c>
      <x:c r="D11" s="24" t="n">
        <x:v>0</x:v>
      </x:c>
      <x:c r="E11" s="24" t="n">
        <x:v>0</x:v>
      </x:c>
      <x:c r="F11" s="24" t="n">
        <x:v>0</x:v>
      </x:c>
      <x:c r="G11" s="24" t="n">
        <x:v>0</x:v>
      </x:c>
      <x:c r="H11" s="24" t="n">
        <x:v>0</x:v>
      </x:c>
    </x:row>
    <x:row r="12" ht="15" hidden="0">
      <x:c r="A12" s="22" t="s">
        <x:v>69</x:v>
      </x:c>
      <x:c r="B12" s="23"/>
      <x:c r="C12" s="24" t="n">
        <x:v>6.725911</x:v>
      </x:c>
      <x:c r="D12" s="24" t="n">
        <x:v>2.701357</x:v>
      </x:c>
      <x:c r="E12" s="24" t="n">
        <x:v>1.567709</x:v>
      </x:c>
      <x:c r="F12" s="24" t="n">
        <x:v>0.508226</x:v>
      </x:c>
      <x:c r="G12" s="24" t="n">
        <x:v>0.259742</x:v>
      </x:c>
      <x:c r="H12" s="24" t="n">
        <x:v>11.210982</x:v>
      </x:c>
    </x:row>
    <x:row r="13" ht="15" hidden="0">
      <x:c r="A13" s="22" t="s">
        <x:v>70</x:v>
      </x:c>
      <x:c r="B13" s="23"/>
      <x:c r="C13" s="24" t="n">
        <x:v>4134.086159</x:v>
      </x:c>
      <x:c r="D13" s="24" t="n">
        <x:v>4134.255209</x:v>
      </x:c>
      <x:c r="E13" s="24" t="n">
        <x:v>4324.910743</x:v>
      </x:c>
      <x:c r="F13" s="24" t="n">
        <x:v>4326.361559</x:v>
      </x:c>
      <x:c r="G13" s="24" t="n">
        <x:v>4326.361559</x:v>
      </x:c>
      <x:c r="H13" s="24" t="n">
        <x:v>3691.839635</x:v>
      </x:c>
    </x:row>
    <x:row r="14" ht="15" hidden="0">
      <x:c r="A14" s="22" t="s">
        <x:v>71</x:v>
      </x:c>
      <x:c r="B14" s="23"/>
      <x:c r="C14" s="24" t="n">
        <x:v>0</x:v>
      </x:c>
      <x:c r="D14" s="24" t="n">
        <x:v>0</x:v>
      </x:c>
      <x:c r="E14" s="24" t="n">
        <x:v>0</x:v>
      </x:c>
      <x:c r="F14" s="24" t="n">
        <x:v>0</x:v>
      </x:c>
      <x:c r="G14" s="24" t="n">
        <x:v>0</x:v>
      </x:c>
      <x:c r="H14" s="24" t="n">
        <x:v>0</x:v>
      </x:c>
    </x:row>
    <x:row r="15" ht="15" hidden="0">
      <x:c r="A15" s="22" t="s">
        <x:v>72</x:v>
      </x:c>
      <x:c r="B15" s="23"/>
      <x:c r="C15" s="24" t="n">
        <x:v>69.76574</x:v>
      </x:c>
      <x:c r="D15" s="24" t="n">
        <x:v>106.583469</x:v>
      </x:c>
      <x:c r="E15" s="24" t="n">
        <x:v>60.785981</x:v>
      </x:c>
      <x:c r="F15" s="24" t="n">
        <x:v>147.388106</x:v>
      </x:c>
      <x:c r="G15" s="24" t="n">
        <x:v>492.917464</x:v>
      </x:c>
      <x:c r="H15" s="24" t="n">
        <x:v>38.32664</x:v>
      </x:c>
    </x:row>
    <x:row r="16" ht="15" hidden="0">
      <x:c r="A16" s="25" t="s">
        <x:v>73</x:v>
      </x:c>
      <x:c r="B16" s="26"/>
      <x:c r="C16" s="27" t="n">
        <x:f aca="0">C9+C11+C12+C13+C14+C15</x:f>
        <x:v>26238.122723000004</x:v>
      </x:c>
      <x:c r="D16" s="27" t="n">
        <x:f aca="0">D9+D11+D12+D13+D14+D15</x:f>
        <x:v>25574.836397000003</x:v>
      </x:c>
      <x:c r="E16" s="27" t="n">
        <x:f aca="0">E9+E11+E12+E13+E14+E15</x:f>
        <x:v>26616.698896</x:v>
      </x:c>
      <x:c r="F16" s="27" t="n">
        <x:f aca="0">F9+F11+F12+F13+F14+F15</x:f>
        <x:v>26630.898424000003</x:v>
      </x:c>
      <x:c r="G16" s="27" t="n">
        <x:f aca="0">G9+G11+G12+G13+G14+G15</x:f>
        <x:v>28179.519274</x:v>
      </x:c>
      <x:c r="H16" s="27" t="n">
        <x:f aca="0">H9+H11+H12+H13+H14+H15</x:f>
        <x:v>26519.043528</x:v>
      </x:c>
    </x:row>
    <x:row r="17" ht="15" hidden="0">
      <x:c r="A17" s="20" t="s">
        <x:v>74</x:v>
      </x:c>
      <x:c r="B17" s="21"/>
      <x:c r="C17" s="21"/>
      <x:c r="D17" s="21"/>
      <x:c r="E17" s="21"/>
      <x:c r="F17" s="21"/>
      <x:c r="G17" s="21"/>
      <x:c r="H17" s="21"/>
    </x:row>
    <x:row r="18" ht="15" hidden="0">
      <x:c r="A18" s="22" t="s">
        <x:v>75</x:v>
      </x:c>
      <x:c r="B18" s="23"/>
      <x:c r="C18" s="24" t="n">
        <x:v>3070.769101</x:v>
      </x:c>
      <x:c r="D18" s="24" t="n">
        <x:v>4214.829636</x:v>
      </x:c>
      <x:c r="E18" s="24" t="n">
        <x:v>4713.129764</x:v>
      </x:c>
      <x:c r="F18" s="24" t="n">
        <x:v>5785.683486</x:v>
      </x:c>
      <x:c r="G18" s="24" t="n">
        <x:v>4991.311475</x:v>
      </x:c>
      <x:c r="H18" s="24" t="n">
        <x:v>2250.156437</x:v>
      </x:c>
    </x:row>
    <x:row r="19" ht="15" hidden="0">
      <x:c r="A19" s="22" t="s">
        <x:v>76</x:v>
      </x:c>
      <x:c r="B19" s="23"/>
      <x:c r="C19" s="24" t="n">
        <x:v>1112.776266</x:v>
      </x:c>
      <x:c r="D19" s="24" t="n">
        <x:v>1456.156782</x:v>
      </x:c>
      <x:c r="E19" s="24" t="n">
        <x:v>2942.861554</x:v>
      </x:c>
      <x:c r="F19" s="24" t="n">
        <x:v>1793.74244</x:v>
      </x:c>
      <x:c r="G19" s="24" t="n">
        <x:v>2513.556552</x:v>
      </x:c>
      <x:c r="H19" s="24" t="n">
        <x:v>1016.024223</x:v>
      </x:c>
    </x:row>
    <x:row r="20" ht="15" hidden="0">
      <x:c r="A20" s="22" t="s">
        <x:v>77</x:v>
      </x:c>
      <x:c r="B20" s="23"/>
      <x:c r="C20" s="24" t="n">
        <x:v>983.568223</x:v>
      </x:c>
      <x:c r="D20" s="24" t="n">
        <x:v>916.039469</x:v>
      </x:c>
      <x:c r="E20" s="24" t="n">
        <x:v>1205.553375</x:v>
      </x:c>
      <x:c r="F20" s="24" t="n">
        <x:v>2110.247902</x:v>
      </x:c>
      <x:c r="G20" s="24" t="n">
        <x:v>1692.217832</x:v>
      </x:c>
      <x:c r="H20" s="24" t="n">
        <x:v>494.315206</x:v>
      </x:c>
    </x:row>
    <x:row r="21" ht="15" hidden="0">
      <x:c r="A21" s="22" t="s">
        <x:v>78</x:v>
      </x:c>
      <x:c r="B21" s="23"/>
      <x:c r="C21" s="24" t="n">
        <x:v>2999.496423</x:v>
      </x:c>
      <x:c r="D21" s="24" t="n">
        <x:v>10124.095693</x:v>
      </x:c>
      <x:c r="E21" s="24" t="n">
        <x:v>12335.073816</x:v>
      </x:c>
      <x:c r="F21" s="24" t="n">
        <x:v>20279.745954</x:v>
      </x:c>
      <x:c r="G21" s="24" t="n">
        <x:v>26941.632205</x:v>
      </x:c>
      <x:c r="H21" s="24" t="n">
        <x:v>160.1306</x:v>
      </x:c>
    </x:row>
    <x:row r="22" ht="15" hidden="0">
      <x:c r="A22" s="22" t="s">
        <x:v>79</x:v>
      </x:c>
      <x:c r="B22" s="23"/>
      <x:c r="C22" s="24" t="n">
        <x:v>1197.729351</x:v>
      </x:c>
      <x:c r="D22" s="24" t="n">
        <x:v>480.765632</x:v>
      </x:c>
      <x:c r="E22" s="24" t="n">
        <x:v>933.537193</x:v>
      </x:c>
      <x:c r="F22" s="24" t="n">
        <x:v>1102.649172</x:v>
      </x:c>
      <x:c r="G22" s="24" t="n">
        <x:v>1450.702723</x:v>
      </x:c>
      <x:c r="H22" s="24" t="n">
        <x:v>891.606087</x:v>
      </x:c>
    </x:row>
    <x:row r="23" ht="15" hidden="0">
      <x:c r="A23" s="22" t="s">
        <x:v>80</x:v>
      </x:c>
      <x:c r="B23" s="23"/>
      <x:c r="C23" s="24" t="n">
        <x:v>484.45935</x:v>
      </x:c>
      <x:c r="D23" s="24" t="n">
        <x:v>583.944235</x:v>
      </x:c>
      <x:c r="E23" s="24" t="n">
        <x:v>783.220947</x:v>
      </x:c>
      <x:c r="F23" s="24" t="n">
        <x:v>1140.327819</x:v>
      </x:c>
      <x:c r="G23" s="24" t="n">
        <x:v>1025.371707</x:v>
      </x:c>
      <x:c r="H23" s="24" t="n">
        <x:v>425.391226</x:v>
      </x:c>
    </x:row>
    <x:row r="24" ht="15" hidden="0">
      <x:c r="A24" s="25" t="s">
        <x:v>81</x:v>
      </x:c>
      <x:c r="B24" s="26"/>
      <x:c r="C24" s="27" t="n">
        <x:f aca="0">C18+C19+C20+C21+C22+C23</x:f>
        <x:v>9848.798713999999</x:v>
      </x:c>
      <x:c r="D24" s="27" t="n">
        <x:f aca="0">D18+D19+D20+D21+D22+D23</x:f>
        <x:v>17775.831446999997</x:v>
      </x:c>
      <x:c r="E24" s="27" t="n">
        <x:f aca="0">E18+E19+E20+E21+E22+E23</x:f>
        <x:v>22913.376649</x:v>
      </x:c>
      <x:c r="F24" s="27" t="n">
        <x:f aca="0">F18+F19+F20+F21+F22+F23</x:f>
        <x:v>32212.396773</x:v>
      </x:c>
      <x:c r="G24" s="27" t="n">
        <x:f aca="0">G18+G19+G20+G21+G22+G23</x:f>
        <x:v>38614.792494</x:v>
      </x:c>
      <x:c r="H24" s="27" t="n">
        <x:f aca="0">H18+H19+H20+H21+H22+H23</x:f>
        <x:v>5237.623779</x:v>
      </x:c>
    </x:row>
    <x:row r="25" ht="15" hidden="0">
      <x:c r="A25" s="25" t="s">
        <x:v>82</x:v>
      </x:c>
      <x:c r="B25" s="26"/>
      <x:c r="C25" s="27" t="n">
        <x:f aca="0">C16+C24</x:f>
        <x:v>36086.921437000005</x:v>
      </x:c>
      <x:c r="D25" s="27" t="n">
        <x:f aca="0">D16+D24</x:f>
        <x:v>43350.667843999996</x:v>
      </x:c>
      <x:c r="E25" s="27" t="n">
        <x:f aca="0">E16+E24</x:f>
        <x:v>49530.075545</x:v>
      </x:c>
      <x:c r="F25" s="27" t="n">
        <x:f aca="0">F16+F24</x:f>
        <x:v>58843.295197</x:v>
      </x:c>
      <x:c r="G25" s="27" t="n">
        <x:f aca="0">G16+G24</x:f>
        <x:v>66794.311768</x:v>
      </x:c>
      <x:c r="H25" s="27" t="n">
        <x:f aca="0">H16+H24</x:f>
        <x:v>31756.667306999996</x:v>
      </x:c>
    </x:row>
    <x:row r="26" ht="15" hidden="0">
      <x:c r="A26" s="20" t="s">
        <x:v>83</x:v>
      </x:c>
      <x:c r="B26" s="21"/>
      <x:c r="C26" s="21"/>
      <x:c r="D26" s="21"/>
      <x:c r="E26" s="21"/>
      <x:c r="F26" s="21"/>
      <x:c r="G26" s="21"/>
      <x:c r="H26" s="21"/>
    </x:row>
    <x:row r="27" ht="15" hidden="0">
      <x:c r="A27" s="22" t="s">
        <x:v>84</x:v>
      </x:c>
      <x:c r="B27" s="23"/>
      <x:c r="C27" s="24" t="n">
        <x:v>2008.61297</x:v>
      </x:c>
      <x:c r="D27" s="24" t="n">
        <x:v>2008.61297</x:v>
      </x:c>
      <x:c r="E27" s="24" t="n">
        <x:v>2008.61297</x:v>
      </x:c>
      <x:c r="F27" s="24" t="n">
        <x:v>1958.61297</x:v>
      </x:c>
      <x:c r="G27" s="24" t="n">
        <x:v>1838.61297</x:v>
      </x:c>
      <x:c r="H27" s="24" t="n">
        <x:v>2008.61297</x:v>
      </x:c>
    </x:row>
    <x:row r="28" ht="15" hidden="0">
      <x:c r="A28" s="22" t="s">
        <x:v>85</x:v>
      </x:c>
      <x:c r="B28" s="23"/>
      <x:c r="C28" s="24" t="n">
        <x:v>20214.926401</x:v>
      </x:c>
      <x:c r="D28" s="24" t="n">
        <x:v>25237.607261</x:v>
      </x:c>
      <x:c r="E28" s="24" t="n">
        <x:v>30601.432002</x:v>
      </x:c>
      <x:c r="F28" s="24" t="n">
        <x:v>39131.692321</x:v>
      </x:c>
      <x:c r="G28" s="24" t="n">
        <x:v>46116.581817</x:v>
      </x:c>
      <x:c r="H28" s="24" t="n">
        <x:v>16718.060354</x:v>
      </x:c>
    </x:row>
    <x:row r="29" ht="15" hidden="0">
      <x:c r="A29" s="25" t="s">
        <x:v>86</x:v>
      </x:c>
      <x:c r="B29" s="26"/>
      <x:c r="C29" s="27" t="n">
        <x:f aca="0">C27+C28</x:f>
        <x:v>22223.539371</x:v>
      </x:c>
      <x:c r="D29" s="27" t="n">
        <x:f aca="0">D27+D28</x:f>
        <x:v>27246.220231</x:v>
      </x:c>
      <x:c r="E29" s="27" t="n">
        <x:f aca="0">E27+E28</x:f>
        <x:v>32610.044972</x:v>
      </x:c>
      <x:c r="F29" s="27" t="n">
        <x:f aca="0">F27+F28</x:f>
        <x:v>41090.305291000004</x:v>
      </x:c>
      <x:c r="G29" s="27" t="n">
        <x:f aca="0">G27+G28</x:f>
        <x:v>47955.194787</x:v>
      </x:c>
      <x:c r="H29" s="27" t="n">
        <x:f aca="0">H27+H28</x:f>
        <x:v>18726.673324</x:v>
      </x:c>
    </x:row>
    <x:row r="30" ht="15" hidden="0">
      <x:c r="A30" s="20" t="s">
        <x:v>87</x:v>
      </x:c>
      <x:c r="B30" s="21"/>
      <x:c r="C30" s="21"/>
      <x:c r="D30" s="21"/>
      <x:c r="E30" s="21"/>
      <x:c r="F30" s="21"/>
      <x:c r="G30" s="21"/>
      <x:c r="H30" s="21"/>
    </x:row>
    <x:row r="31" ht="15" hidden="0">
      <x:c r="A31" s="22" t="s">
        <x:v>88</x:v>
      </x:c>
      <x:c r="B31" s="23"/>
      <x:c r="C31" s="24" t="n">
        <x:v>4405.765306</x:v>
      </x:c>
      <x:c r="D31" s="24" t="n">
        <x:v>3179.400118</x:v>
      </x:c>
      <x:c r="E31" s="24" t="n">
        <x:v>2149.017375</x:v>
      </x:c>
      <x:c r="F31" s="24" t="n">
        <x:v>1118.642478</x:v>
      </x:c>
      <x:c r="G31" s="24" t="n">
        <x:v>1448.977799</x:v>
      </x:c>
      <x:c r="H31" s="24" t="n">
        <x:v>5439.226142</x:v>
      </x:c>
    </x:row>
    <x:row r="32" ht="15" hidden="0">
      <x:c r="A32" s="22" t="s">
        <x:v>89</x:v>
      </x:c>
      <x:c r="B32" s="23"/>
      <x:c r="C32" s="24" t="n">
        <x:v>0</x:v>
      </x:c>
      <x:c r="D32" s="24" t="n">
        <x:v>0</x:v>
      </x:c>
      <x:c r="E32" s="24" t="n">
        <x:v>0</x:v>
      </x:c>
      <x:c r="F32" s="24" t="n">
        <x:v>0</x:v>
      </x:c>
      <x:c r="G32" s="24" t="n">
        <x:v>0</x:v>
      </x:c>
      <x:c r="H32" s="24" t="n">
        <x:v>0</x:v>
      </x:c>
    </x:row>
    <x:row r="33" ht="15" hidden="0">
      <x:c r="A33" s="22" t="s">
        <x:v>90</x:v>
      </x:c>
      <x:c r="B33" s="23"/>
      <x:c r="C33" s="24" t="n">
        <x:v>1.328937</x:v>
      </x:c>
      <x:c r="D33" s="24" t="n">
        <x:v>0</x:v>
      </x:c>
      <x:c r="E33" s="24" t="n">
        <x:v>0</x:v>
      </x:c>
      <x:c r="F33" s="24" t="n">
        <x:v>0</x:v>
      </x:c>
      <x:c r="G33" s="24" t="n">
        <x:v>0</x:v>
      </x:c>
      <x:c r="H33" s="24" t="n">
        <x:v>0</x:v>
      </x:c>
    </x:row>
    <x:row r="34" ht="15" hidden="0">
      <x:c r="A34" s="22" t="s">
        <x:v>91</x:v>
      </x:c>
      <x:c r="B34" s="23"/>
      <x:c r="C34" s="24" t="n">
        <x:v>1857.649347</x:v>
      </x:c>
      <x:c r="D34" s="24" t="n">
        <x:v>3407.373618</x:v>
      </x:c>
      <x:c r="E34" s="24" t="n">
        <x:v>4823.158446</x:v>
      </x:c>
      <x:c r="F34" s="24" t="n">
        <x:v>5505.823994</x:v>
      </x:c>
      <x:c r="G34" s="24" t="n">
        <x:v>5688.11604</x:v>
      </x:c>
      <x:c r="H34" s="24" t="n">
        <x:v>1287.942113</x:v>
      </x:c>
    </x:row>
    <x:row r="35" ht="15" hidden="0">
      <x:c r="A35" s="22" t="s">
        <x:v>92</x:v>
      </x:c>
      <x:c r="B35" s="23"/>
      <x:c r="C35" s="24" t="n">
        <x:v>26.394536</x:v>
      </x:c>
      <x:c r="D35" s="24" t="n">
        <x:v>29.683198</x:v>
      </x:c>
      <x:c r="E35" s="24" t="n">
        <x:v>35.383341</x:v>
      </x:c>
      <x:c r="F35" s="24" t="n">
        <x:v>32.887203</x:v>
      </x:c>
      <x:c r="G35" s="24" t="n">
        <x:v>40.322031</x:v>
      </x:c>
      <x:c r="H35" s="24" t="n">
        <x:v>23.277456</x:v>
      </x:c>
    </x:row>
    <x:row r="36" ht="15" hidden="0">
      <x:c r="A36" s="25" t="s">
        <x:v>93</x:v>
      </x:c>
      <x:c r="B36" s="26"/>
      <x:c r="C36" s="27" t="n">
        <x:f aca="0">C31+C32+C33+C34+C35</x:f>
        <x:v>6291.138126</x:v>
      </x:c>
      <x:c r="D36" s="27" t="n">
        <x:f aca="0">D31+D32+D33+D34+D35</x:f>
        <x:v>6616.456934</x:v>
      </x:c>
      <x:c r="E36" s="27" t="n">
        <x:f aca="0">E31+E32+E33+E34+E35</x:f>
        <x:v>7007.5591620000005</x:v>
      </x:c>
      <x:c r="F36" s="27" t="n">
        <x:f aca="0">F31+F32+F33+F34+F35</x:f>
        <x:v>6657.353675</x:v>
      </x:c>
      <x:c r="G36" s="27" t="n">
        <x:f aca="0">G31+G32+G33+G34+G35</x:f>
        <x:v>7177.41587</x:v>
      </x:c>
      <x:c r="H36" s="27" t="n">
        <x:f aca="0">H31+H32+H33+H34+H35</x:f>
        <x:v>6750.445711</x:v>
      </x:c>
    </x:row>
    <x:row r="37" ht="15" hidden="0">
      <x:c r="A37" s="20" t="s">
        <x:v>94</x:v>
      </x:c>
      <x:c r="B37" s="21"/>
      <x:c r="C37" s="21"/>
      <x:c r="D37" s="21"/>
      <x:c r="E37" s="21"/>
      <x:c r="F37" s="21"/>
      <x:c r="G37" s="21"/>
      <x:c r="H37" s="21"/>
    </x:row>
    <x:row r="38" ht="15" hidden="0">
      <x:c r="A38" s="22" t="s">
        <x:v>95</x:v>
      </x:c>
      <x:c r="B38" s="23"/>
      <x:c r="C38" s="24" t="n">
        <x:v>4985.385529</x:v>
      </x:c>
      <x:c r="D38" s="24" t="n">
        <x:v>5525.221208</x:v>
      </x:c>
      <x:c r="E38" s="24" t="n">
        <x:v>5307.075353</x:v>
      </x:c>
      <x:c r="F38" s="24" t="n">
        <x:v>6223.153321</x:v>
      </x:c>
      <x:c r="G38" s="24" t="n">
        <x:v>7710.012398</x:v>
      </x:c>
      <x:c r="H38" s="24" t="n">
        <x:v>4293.205395</x:v>
      </x:c>
    </x:row>
    <x:row r="39" ht="15" hidden="0">
      <x:c r="A39" s="22" t="s">
        <x:v>96</x:v>
      </x:c>
      <x:c r="B39" s="23"/>
      <x:c r="C39" s="24" t="n">
        <x:v>137.0915</x:v>
      </x:c>
      <x:c r="D39" s="24" t="n">
        <x:v>264.984408</x:v>
      </x:c>
      <x:c r="E39" s="24" t="n">
        <x:v>253.135945</x:v>
      </x:c>
      <x:c r="F39" s="24" t="n">
        <x:v>113.418606</x:v>
      </x:c>
      <x:c r="G39" s="24" t="n">
        <x:v>144.300907</x:v>
      </x:c>
      <x:c r="H39" s="24" t="n">
        <x:v>126.582689</x:v>
      </x:c>
    </x:row>
    <x:row r="40" ht="15" hidden="0">
      <x:c r="A40" s="22" t="s">
        <x:v>97</x:v>
      </x:c>
      <x:c r="B40" s="23"/>
      <x:c r="C40" s="24" t="n">
        <x:v>122.613973</x:v>
      </x:c>
      <x:c r="D40" s="24" t="n">
        <x:v>142.171993</x:v>
      </x:c>
      <x:c r="E40" s="24" t="n">
        <x:v>192.67479</x:v>
      </x:c>
      <x:c r="F40" s="24" t="n">
        <x:v>0</x:v>
      </x:c>
      <x:c r="G40" s="24" t="n">
        <x:v>0</x:v>
      </x:c>
      <x:c r="H40" s="24" t="n">
        <x:v>208.766756</x:v>
      </x:c>
    </x:row>
    <x:row r="41" ht="15" hidden="0">
      <x:c r="A41" s="22" t="s">
        <x:v>98</x:v>
      </x:c>
      <x:c r="B41" s="23"/>
      <x:c r="C41" s="24" t="n">
        <x:v>498</x:v>
      </x:c>
      <x:c r="D41" s="24" t="n">
        <x:v>0</x:v>
      </x:c>
      <x:c r="E41" s="24" t="n">
        <x:v>0</x:v>
      </x:c>
      <x:c r="F41" s="24" t="n">
        <x:v>0.061253</x:v>
      </x:c>
      <x:c r="G41" s="24" t="n">
        <x:v>3.704884</x:v>
      </x:c>
      <x:c r="H41" s="24" t="n">
        <x:v>1301.6091</x:v>
      </x:c>
    </x:row>
    <x:row r="42" ht="15" hidden="0">
      <x:c r="A42" s="22" t="s">
        <x:v>99</x:v>
      </x:c>
      <x:c r="B42" s="23"/>
      <x:c r="C42" s="24" t="n">
        <x:v>1147.020843</x:v>
      </x:c>
      <x:c r="D42" s="24" t="n">
        <x:v>1071.912356</x:v>
      </x:c>
      <x:c r="E42" s="24" t="n">
        <x:v>1034.355873</x:v>
      </x:c>
      <x:c r="F42" s="24" t="n">
        <x:v>1169.295643</x:v>
      </x:c>
      <x:c r="G42" s="24" t="n">
        <x:v>837.359258</x:v>
      </x:c>
      <x:c r="H42" s="24" t="n">
        <x:v>248.496322</x:v>
      </x:c>
    </x:row>
    <x:row r="43" ht="15" hidden="0">
      <x:c r="A43" s="22" t="s">
        <x:v>100</x:v>
      </x:c>
      <x:c r="B43" s="23"/>
      <x:c r="C43" s="24" t="n">
        <x:v>0</x:v>
      </x:c>
      <x:c r="D43" s="24" t="n">
        <x:v>0</x:v>
      </x:c>
      <x:c r="E43" s="24" t="n">
        <x:v>0</x:v>
      </x:c>
      <x:c r="F43" s="24" t="n">
        <x:v>0</x:v>
      </x:c>
      <x:c r="G43" s="24" t="n">
        <x:v>0</x:v>
      </x:c>
      <x:c r="H43" s="24" t="n">
        <x:v>0</x:v>
      </x:c>
    </x:row>
    <x:row r="44" ht="15" hidden="0">
      <x:c r="A44" s="22" t="s">
        <x:v>101</x:v>
      </x:c>
      <x:c r="B44" s="23"/>
      <x:c r="C44" s="24" t="n">
        <x:v>0</x:v>
      </x:c>
      <x:c r="D44" s="24" t="n">
        <x:v>0</x:v>
      </x:c>
      <x:c r="E44" s="24" t="n">
        <x:v>0</x:v>
      </x:c>
      <x:c r="F44" s="24" t="n">
        <x:v>0</x:v>
      </x:c>
      <x:c r="G44" s="24" t="n">
        <x:v>0</x:v>
      </x:c>
      <x:c r="H44" s="24" t="n">
        <x:v>0</x:v>
      </x:c>
    </x:row>
    <x:row r="45" ht="15" hidden="0">
      <x:c r="A45" s="22" t="s">
        <x:v>102</x:v>
      </x:c>
      <x:c r="B45" s="23"/>
      <x:c r="C45" s="24" t="n">
        <x:v>46.197552</x:v>
      </x:c>
      <x:c r="D45" s="24" t="n">
        <x:v>45.648049</x:v>
      </x:c>
      <x:c r="E45" s="24" t="n">
        <x:v>45.47522</x:v>
      </x:c>
      <x:c r="F45" s="24" t="n">
        <x:v>45.338931</x:v>
      </x:c>
      <x:c r="G45" s="24" t="n">
        <x:v>42.181257</x:v>
      </x:c>
      <x:c r="H45" s="24" t="n">
        <x:v>48.014348</x:v>
      </x:c>
    </x:row>
    <x:row r="46" ht="15" hidden="0">
      <x:c r="A46" s="22" t="s">
        <x:v>103</x:v>
      </x:c>
      <x:c r="B46" s="23"/>
      <x:c r="C46" s="24" t="n">
        <x:v>635.934543</x:v>
      </x:c>
      <x:c r="D46" s="24" t="n">
        <x:v>2438.052665</x:v>
      </x:c>
      <x:c r="E46" s="24" t="n">
        <x:v>3079.75423</x:v>
      </x:c>
      <x:c r="F46" s="24" t="n">
        <x:v>3544.368477</x:v>
      </x:c>
      <x:c r="G46" s="24" t="n">
        <x:v>2924.142407</x:v>
      </x:c>
      <x:c r="H46" s="24" t="n">
        <x:v>52.873661</x:v>
      </x:c>
    </x:row>
    <x:row r="47" ht="15" hidden="0">
      <x:c r="A47" s="22" t="s">
        <x:v>104</x:v>
      </x:c>
      <x:c r="B47" s="23"/>
      <x:c r="C47" s="24" t="n">
        <x:v>0</x:v>
      </x:c>
      <x:c r="D47" s="24" t="n">
        <x:v>0</x:v>
      </x:c>
      <x:c r="E47" s="24" t="n">
        <x:v>0</x:v>
      </x:c>
      <x:c r="F47" s="24" t="n">
        <x:v>0</x:v>
      </x:c>
      <x:c r="G47" s="24" t="n">
        <x:v>0</x:v>
      </x:c>
      <x:c r="H47" s="24" t="n">
        <x:v>0</x:v>
      </x:c>
    </x:row>
    <x:row r="48" ht="15" hidden="0">
      <x:c r="A48" s="25" t="s">
        <x:v>105</x:v>
      </x:c>
      <x:c r="B48" s="26"/>
      <x:c r="C48" s="27" t="n">
        <x:f aca="0">C38+C39+C40+C41+C42+C43+C44+C45+C46+C47</x:f>
        <x:v>7572.24394</x:v>
      </x:c>
      <x:c r="D48" s="27" t="n">
        <x:f aca="0">D38+D39+D40+D41+D42+D43+D44+D45+D46+D47</x:f>
        <x:v>9487.990679</x:v>
      </x:c>
      <x:c r="E48" s="27" t="n">
        <x:f aca="0">E38+E39+E40+E41+E42+E43+E44+E45+E46+E47</x:f>
        <x:v>9912.471411</x:v>
      </x:c>
      <x:c r="F48" s="27" t="n">
        <x:f aca="0">F38+F39+F40+F41+F42+F43+F44+F45+F46+F47</x:f>
        <x:v>11095.636231</x:v>
      </x:c>
      <x:c r="G48" s="27" t="n">
        <x:f aca="0">G38+G39+G40+G41+G42+G43+G44+G45+G46+G47</x:f>
        <x:v>11661.701110999998</x:v>
      </x:c>
      <x:c r="H48" s="27" t="n">
        <x:f aca="0">H38+H39+H40+H41+H42+H43+H44+H45+H46+H47</x:f>
        <x:v>6279.548270999999</x:v>
      </x:c>
    </x:row>
    <x:row r="49" ht="15" hidden="0">
      <x:c r="A49" s="25" t="s">
        <x:v>106</x:v>
      </x:c>
      <x:c r="B49" s="26"/>
      <x:c r="C49" s="27" t="n">
        <x:f aca="0">C36+C48</x:f>
        <x:v>13863.382066</x:v>
      </x:c>
      <x:c r="D49" s="27" t="n">
        <x:f aca="0">D36+D48</x:f>
        <x:v>16104.447613</x:v>
      </x:c>
      <x:c r="E49" s="27" t="n">
        <x:f aca="0">E36+E48</x:f>
        <x:v>16920.030573</x:v>
      </x:c>
      <x:c r="F49" s="27" t="n">
        <x:f aca="0">F36+F48</x:f>
        <x:v>17752.989906000003</x:v>
      </x:c>
      <x:c r="G49" s="27" t="n">
        <x:f aca="0">G36+G48</x:f>
        <x:v>18839.116981</x:v>
      </x:c>
      <x:c r="H49" s="27" t="n">
        <x:f aca="0">H36+H48</x:f>
        <x:v>13029.993982</x:v>
      </x:c>
    </x:row>
    <x:row r="50" ht="15" hidden="0">
      <x:c r="A50" s="25" t="s">
        <x:v>107</x:v>
      </x:c>
      <x:c r="B50" s="26"/>
      <x:c r="C50" s="27" t="n">
        <x:f aca="0">C29+C49</x:f>
        <x:v>36086.921437</x:v>
      </x:c>
      <x:c r="D50" s="27" t="n">
        <x:f aca="0">D29+D49</x:f>
        <x:v>43350.667843999996</x:v>
      </x:c>
      <x:c r="E50" s="27" t="n">
        <x:f aca="0">E29+E49</x:f>
        <x:v>49530.075545</x:v>
      </x:c>
      <x:c r="F50" s="27" t="n">
        <x:f aca="0">F29+F49</x:f>
        <x:v>58843.29519700001</x:v>
      </x:c>
      <x:c r="G50" s="27" t="n">
        <x:f aca="0">G29+G49</x:f>
        <x:v>66794.311768</x:v>
      </x:c>
      <x:c r="H50" s="27" t="n">
        <x:f aca="0">H29+H49</x:f>
        <x:v>31756.667306</x:v>
      </x:c>
    </x:row>
    <x:row r="51" ht="15" hidden="0">
      <x:c r="A51" s="20" t="s">
        <x:v>108</x:v>
      </x:c>
      <x:c r="B51" s="21"/>
      <x:c r="C51" s="21"/>
      <x:c r="D51" s="21"/>
      <x:c r="E51" s="21"/>
      <x:c r="F51" s="21"/>
      <x:c r="G51" s="21"/>
      <x:c r="H51" s="21"/>
    </x:row>
    <x:row r="52" ht="15" hidden="0">
      <x:c r="A52" s="22" t="s">
        <x:v>109</x:v>
      </x:c>
      <x:c r="B52" s="23"/>
      <x:c r="C52" s="24" t="n">
        <x:v>1555.157545</x:v>
      </x:c>
      <x:c r="D52" s="24" t="n">
        <x:v>1281.559797</x:v>
      </x:c>
      <x:c r="E52" s="24" t="n">
        <x:v>674.674284</x:v>
      </x:c>
      <x:c r="F52" s="24" t="n">
        <x:v>1781.446871</x:v>
      </x:c>
      <x:c r="G52" s="24" t="n">
        <x:v>2107.135975</x:v>
      </x:c>
      <x:c r="H52" s="24" t="n">
        <x:v>1091.300971</x:v>
      </x:c>
    </x:row>
    <x:row r="53" ht="15" hidden="0">
      <x:c r="A53" s="22" t="s">
        <x:v>110</x:v>
      </x:c>
      <x:c r="B53" s="23"/>
      <x:c r="C53" s="24" t="n">
        <x:f aca="0">C9-C10</x:f>
        <x:v>21753.605354000003</x:v>
      </x:c>
      <x:c r="D53" s="24" t="n">
        <x:f aca="0">D9-D10</x:f>
        <x:v>21200.398415</x:v>
      </x:c>
      <x:c r="E53" s="24" t="n">
        <x:f aca="0">E9-E10</x:f>
        <x:v>20286.414882</x:v>
      </x:c>
      <x:c r="F53" s="24" t="n">
        <x:f aca="0">F9-F10</x:f>
        <x:v>21157.313928000003</x:v>
      </x:c>
      <x:c r="G53" s="24" t="n">
        <x:f aca="0">G9-G10</x:f>
        <x:v>20873.345754</x:v>
      </x:c>
      <x:c r="H53" s="24" t="n">
        <x:f aca="0">H9-H10</x:f>
        <x:v>22613.088248999997</x:v>
      </x:c>
    </x:row>
    <x:row r="54" ht="15" hidden="0">
      <x:c r="A54" s="22" t="s">
        <x:v>111</x:v>
      </x:c>
      <x:c r="B54" s="23"/>
      <x:c r="C54" s="24" t="n">
        <x:f aca="0">C18+C19</x:f>
        <x:v>4183.545367</x:v>
      </x:c>
      <x:c r="D54" s="24" t="n">
        <x:f aca="0">D18+D19</x:f>
        <x:v>5670.986418</x:v>
      </x:c>
      <x:c r="E54" s="24" t="n">
        <x:f aca="0">E18+E19</x:f>
        <x:v>7655.991318</x:v>
      </x:c>
      <x:c r="F54" s="24" t="n">
        <x:f aca="0">F18+F19</x:f>
        <x:v>7579.425926</x:v>
      </x:c>
      <x:c r="G54" s="24" t="n">
        <x:f aca="0">G18+G19</x:f>
        <x:v>7504.868027</x:v>
      </x:c>
      <x:c r="H54" s="24" t="n">
        <x:f aca="0">H18+H19</x:f>
        <x:v>3266.18066</x:v>
      </x:c>
    </x:row>
    <x:row r="55" ht="15" hidden="0">
      <x:c r="A55" s="22" t="s">
        <x:v>112</x:v>
      </x:c>
      <x:c r="B55" s="23"/>
      <x:c r="C55" s="24" t="n">
        <x:f aca="0">C31+C32+C41+C42+C43</x:f>
        <x:v>6050.7861490000005</x:v>
      </x:c>
      <x:c r="D55" s="24" t="n">
        <x:f aca="0">D31+D32+D41+D42+D43</x:f>
        <x:v>4251.312474</x:v>
      </x:c>
      <x:c r="E55" s="24" t="n">
        <x:f aca="0">E31+E32+E41+E42+E43</x:f>
        <x:v>3183.373248</x:v>
      </x:c>
      <x:c r="F55" s="24" t="n">
        <x:f aca="0">F31+F32+F41+F42+F43</x:f>
        <x:v>2287.999374</x:v>
      </x:c>
      <x:c r="G55" s="24" t="n">
        <x:f aca="0">G31+G32+G41+G42+G43</x:f>
        <x:v>2290.041941</x:v>
      </x:c>
      <x:c r="H55" s="24" t="n">
        <x:f aca="0">H31+H32+H41+H42+H43</x:f>
        <x:v>6989.331564</x:v>
      </x:c>
    </x:row>
    <x:row r="56" ht="15" hidden="0">
      <x:c r="A56" s="22" t="s">
        <x:v>113</x:v>
      </x:c>
      <x:c r="B56" s="23"/>
      <x:c r="C56" s="24" t="n">
        <x:f aca="0">C31+C32</x:f>
        <x:v>4405.765306</x:v>
      </x:c>
      <x:c r="D56" s="24" t="n">
        <x:f aca="0">D31+D32</x:f>
        <x:v>3179.400118</x:v>
      </x:c>
      <x:c r="E56" s="24" t="n">
        <x:f aca="0">E31+E32</x:f>
        <x:v>2149.017375</x:v>
      </x:c>
      <x:c r="F56" s="24" t="n">
        <x:f aca="0">F31+F32</x:f>
        <x:v>1118.642478</x:v>
      </x:c>
      <x:c r="G56" s="24" t="n">
        <x:f aca="0">G31+G32</x:f>
        <x:v>1448.977799</x:v>
      </x:c>
      <x:c r="H56" s="24" t="n">
        <x:f aca="0">H31+H32</x:f>
        <x:v>5439.226142</x:v>
      </x:c>
    </x:row>
    <x:row r="57" ht="15" hidden="0">
      <x:c r="A57" s="22" t="s">
        <x:v>114</x:v>
      </x:c>
      <x:c r="B57" s="23"/>
      <x:c r="C57" s="24" t="n">
        <x:f aca="0">C55-C22</x:f>
        <x:v>4853.0567980000005</x:v>
      </x:c>
      <x:c r="D57" s="24" t="n">
        <x:f aca="0">D55-D22</x:f>
        <x:v>3770.546842</x:v>
      </x:c>
      <x:c r="E57" s="24" t="n">
        <x:f aca="0">E55-E22</x:f>
        <x:v>2249.8360549999998</x:v>
      </x:c>
      <x:c r="F57" s="24" t="n">
        <x:f aca="0">F55-F22</x:f>
        <x:v>1185.350202</x:v>
      </x:c>
      <x:c r="G57" s="24" t="n">
        <x:f aca="0">G55-G22</x:f>
        <x:v>839.3392179999998</x:v>
      </x:c>
      <x:c r="H57" s="24" t="n">
        <x:f aca="0">H55-H22</x:f>
        <x:v>6097.725477</x:v>
      </x:c>
    </x:row>
    <x:row r="58" ht="15" hidden="0">
      <x:c r="A58" s="22" t="s">
        <x:v>115</x:v>
      </x:c>
      <x:c r="B58" s="23"/>
      <x:c r="C58" s="24" t="n">
        <x:f aca="0">C55+C29</x:f>
        <x:v>28274.32552</x:v>
      </x:c>
      <x:c r="D58" s="24" t="n">
        <x:f aca="0">D55+D29</x:f>
        <x:v>31497.532704999998</x:v>
      </x:c>
      <x:c r="E58" s="24" t="n">
        <x:f aca="0">E55+E29</x:f>
        <x:v>35793.41822</x:v>
      </x:c>
      <x:c r="F58" s="24" t="n">
        <x:f aca="0">F55+F29</x:f>
        <x:v>43378.304665</x:v>
      </x:c>
      <x:c r="G58" s="24" t="n">
        <x:f aca="0">G55+G29</x:f>
        <x:v>50245.236728</x:v>
      </x:c>
      <x:c r="H58" s="24" t="n">
        <x:f aca="0">H55+H29</x:f>
        <x:v>25716.004888</x:v>
      </x:c>
    </x:row>
    <x:row r="59" ht="15" hidden="0">
      <x:c r="A59" s="22" t="s">
        <x:v>116</x:v>
      </x:c>
      <x:c r="B59" s="23"/>
      <x:c r="C59" s="24" t="n">
        <x:f aca="0">C24-C22-C21</x:f>
        <x:v>5651.572939999998</x:v>
      </x:c>
      <x:c r="D59" s="24" t="n">
        <x:f aca="0">D24-D22-D21</x:f>
        <x:v>7170.970121999999</x:v>
      </x:c>
      <x:c r="E59" s="24" t="n">
        <x:f aca="0">E24-E22-E21</x:f>
        <x:v>9644.765640000001</x:v>
      </x:c>
      <x:c r="F59" s="24" t="n">
        <x:f aca="0">F24-F22-F21</x:f>
        <x:v>10830.001646999997</x:v>
      </x:c>
      <x:c r="G59" s="24" t="n">
        <x:f aca="0">G24-G22-G21</x:f>
        <x:v>10222.457565999997</x:v>
      </x:c>
      <x:c r="H59" s="24" t="n">
        <x:f aca="0">H24-H22-H21</x:f>
        <x:v>4185.887091999999</x:v>
      </x:c>
    </x:row>
    <x:row r="60" ht="15" hidden="0">
      <x:c r="A60" s="22" t="s">
        <x:v>117</x:v>
      </x:c>
      <x:c r="B60" s="23"/>
      <x:c r="C60" s="24" t="n">
        <x:f aca="0">C48-C41-C42-C43-C44-C40-C45</x:f>
        <x:v>5758.411572</x:v>
      </x:c>
      <x:c r="D60" s="24" t="n">
        <x:f aca="0">D48-D41-D42-D43-D44-D40-D45</x:f>
        <x:v>8228.258281</x:v>
      </x:c>
      <x:c r="E60" s="24" t="n">
        <x:f aca="0">E48-E41-E42-E43-E44-E40-E45</x:f>
        <x:v>8639.965528</x:v>
      </x:c>
      <x:c r="F60" s="24" t="n">
        <x:f aca="0">F48-F41-F42-F43-F44-F40-F45</x:f>
        <x:v>9880.940404</x:v>
      </x:c>
      <x:c r="G60" s="24" t="n">
        <x:f aca="0">G48-G41-G42-G43-G44-G40-G45</x:f>
        <x:v>10778.455711999997</x:v>
      </x:c>
      <x:c r="H60" s="24" t="n">
        <x:f aca="0">H48-H41-H42-H43-H44-H40-H45</x:f>
        <x:v>4472.661744999999</x:v>
      </x:c>
    </x:row>
    <x:row r="62" ht="19.5" hidden="0" customHeight="1">
      <x:c r="A62" s="5" t="s">
        <x:v>118</x:v>
      </x:c>
      <x:c r="B62" s="6"/>
      <x:c r="C62" s="6"/>
      <x:c r="D62" s="6"/>
      <x:c r="E62" s="6"/>
      <x:c r="F62" s="6"/>
      <x:c r="G62" s="6"/>
      <x:c r="H62" s="6"/>
    </x:row>
    <x:row r="63" ht="16.5" hidden="0" customHeight="1">
      <x:c r="A63" s="17" t="s">
        <x:v>63</x:v>
      </x:c>
      <x:c r="B63" s="18"/>
      <x:c r="C63" s="19" t="s">
        <x:v>48</x:v>
      </x:c>
      <x:c r="D63" s="19" t="s">
        <x:v>49</x:v>
      </x:c>
      <x:c r="E63" s="19" t="s">
        <x:v>50</x:v>
      </x:c>
      <x:c r="F63" s="19" t="s">
        <x:v>51</x:v>
      </x:c>
      <x:c r="G63" s="19" t="s">
        <x:v>52</x:v>
      </x:c>
      <x:c r="H63" s="19" t="s">
        <x:v>64</x:v>
      </x:c>
    </x:row>
    <x:row r="64" ht="15" hidden="0">
      <x:c r="A64" s="22" t="s">
        <x:v>119</x:v>
      </x:c>
      <x:c r="B64" s="23"/>
      <x:c r="C64" s="24" t="n">
        <x:v>24057.375992</x:v>
      </x:c>
      <x:c r="D64" s="24" t="n">
        <x:v>32876.949179</x:v>
      </x:c>
      <x:c r="E64" s="24" t="n">
        <x:v>38921.63535</x:v>
      </x:c>
      <x:c r="F64" s="24" t="n">
        <x:v>38647.767972</x:v>
      </x:c>
      <x:c r="G64" s="24" t="n">
        <x:v>37535.700372</x:v>
      </x:c>
      <x:c r="H64" s="24" t="n">
        <x:v>11300.24054</x:v>
      </x:c>
    </x:row>
    <x:row r="65" ht="15" hidden="0">
      <x:c r="A65" s="22" t="s">
        <x:v>120</x:v>
      </x:c>
      <x:c r="B65" s="23"/>
      <x:c r="C65" s="24" t="n">
        <x:v>-18092.026933</x:v>
      </x:c>
      <x:c r="D65" s="24" t="n">
        <x:v>-23065.18067</x:v>
      </x:c>
      <x:c r="E65" s="24" t="n">
        <x:v>-28488.941331</x:v>
      </x:c>
      <x:c r="F65" s="24" t="n">
        <x:v>-27391.276477</x:v>
      </x:c>
      <x:c r="G65" s="24" t="n">
        <x:v>-22814.094271</x:v>
      </x:c>
      <x:c r="H65" s="24" t="n">
        <x:v>-11324.560852</x:v>
      </x:c>
    </x:row>
    <x:row r="66" ht="15" hidden="0">
      <x:c r="A66" s="25" t="s">
        <x:v>121</x:v>
      </x:c>
      <x:c r="B66" s="26"/>
      <x:c r="C66" s="27" t="n">
        <x:f aca="0">C64+C65</x:f>
        <x:v>5965.349059</x:v>
      </x:c>
      <x:c r="D66" s="27" t="n">
        <x:f aca="0">D64+D65</x:f>
        <x:v>9811.768509000001</x:v>
      </x:c>
      <x:c r="E66" s="27" t="n">
        <x:f aca="0">E64+E65</x:f>
        <x:v>10432.694018999995</x:v>
      </x:c>
      <x:c r="F66" s="27" t="n">
        <x:f aca="0">F64+F65</x:f>
        <x:v>11256.491495000002</x:v>
      </x:c>
      <x:c r="G66" s="27" t="n">
        <x:f aca="0">G64+G65</x:f>
        <x:v>14721.606100999998</x:v>
      </x:c>
      <x:c r="H66" s="27" t="n">
        <x:f aca="0">H64+H65</x:f>
        <x:v>-24.32031199999983</x:v>
      </x:c>
    </x:row>
    <x:row r="67" ht="15" hidden="0">
      <x:c r="A67" s="22" t="s">
        <x:v>122</x:v>
      </x:c>
      <x:c r="B67" s="23"/>
      <x:c r="C67" s="24" t="n">
        <x:v>-94.165965</x:v>
      </x:c>
      <x:c r="D67" s="24" t="n">
        <x:v>-122.136736</x:v>
      </x:c>
      <x:c r="E67" s="24" t="n">
        <x:v>-176.123458</x:v>
      </x:c>
      <x:c r="F67" s="24" t="n">
        <x:v>-197.259359</x:v>
      </x:c>
      <x:c r="G67" s="24" t="n">
        <x:v>-225.600417</x:v>
      </x:c>
      <x:c r="H67" s="24" t="n">
        <x:v>-64.260434</x:v>
      </x:c>
    </x:row>
    <x:row r="68" ht="15" hidden="0">
      <x:c r="A68" s="22" t="s">
        <x:v>123</x:v>
      </x:c>
      <x:c r="B68" s="23"/>
      <x:c r="C68" s="24" t="n">
        <x:v>-313.52467</x:v>
      </x:c>
      <x:c r="D68" s="24" t="n">
        <x:v>-353.522846</x:v>
      </x:c>
      <x:c r="E68" s="24" t="n">
        <x:v>-396.230055</x:v>
      </x:c>
      <x:c r="F68" s="24" t="n">
        <x:v>-488.042831</x:v>
      </x:c>
      <x:c r="G68" s="24" t="n">
        <x:v>-695.553118</x:v>
      </x:c>
      <x:c r="H68" s="24" t="n">
        <x:v>-238.727603</x:v>
      </x:c>
    </x:row>
    <x:row r="69" ht="15" hidden="0">
      <x:c r="A69" s="22" t="s">
        <x:v>124</x:v>
      </x:c>
      <x:c r="B69" s="23"/>
      <x:c r="C69" s="24" t="n">
        <x:v>0</x:v>
      </x:c>
      <x:c r="D69" s="24" t="n">
        <x:v>0</x:v>
      </x:c>
      <x:c r="E69" s="24" t="n">
        <x:v>0</x:v>
      </x:c>
      <x:c r="F69" s="24" t="n">
        <x:v>2.010516</x:v>
      </x:c>
      <x:c r="G69" s="24" t="n">
        <x:v>-44.078565</x:v>
      </x:c>
      <x:c r="H69" s="24" t="n">
        <x:v>0</x:v>
      </x:c>
    </x:row>
    <x:row r="70" ht="15" hidden="0">
      <x:c r="A70" s="22" t="s">
        <x:v>125</x:v>
      </x:c>
      <x:c r="B70" s="23"/>
      <x:c r="C70" s="24" t="n">
        <x:v>-325.323074</x:v>
      </x:c>
      <x:c r="D70" s="24" t="n">
        <x:v>-563.052382</x:v>
      </x:c>
      <x:c r="E70" s="24" t="n">
        <x:v>-736.512959</x:v>
      </x:c>
      <x:c r="F70" s="24" t="n">
        <x:v>-571.950389</x:v>
      </x:c>
      <x:c r="G70" s="24" t="n">
        <x:v>-940.359065</x:v>
      </x:c>
      <x:c r="H70" s="24" t="n">
        <x:v>-16.45653</x:v>
      </x:c>
    </x:row>
    <x:row r="71" ht="15" hidden="0">
      <x:c r="A71" s="25" t="s">
        <x:v>126</x:v>
      </x:c>
      <x:c r="B71" s="26"/>
      <x:c r="C71" s="27" t="n">
        <x:f aca="0">C66+C67+C68+C69+C70</x:f>
        <x:v>5232.33535</x:v>
      </x:c>
      <x:c r="D71" s="27" t="n">
        <x:f aca="0">D66+D67+D68+D69+D70</x:f>
        <x:v>8773.056545000001</x:v>
      </x:c>
      <x:c r="E71" s="27" t="n">
        <x:f aca="0">E66+E67+E68+E69+E70</x:f>
        <x:v>9123.827546999995</x:v>
      </x:c>
      <x:c r="F71" s="27" t="n">
        <x:f aca="0">F66+F67+F68+F69+F70</x:f>
        <x:v>10001.249432000002</x:v>
      </x:c>
      <x:c r="G71" s="27" t="n">
        <x:f aca="0">G66+G67+G68+G69+G70</x:f>
        <x:v>12816.014935999998</x:v>
      </x:c>
      <x:c r="H71" s="27" t="n">
        <x:f aca="0">H66+H67+H68+H69+H70</x:f>
        <x:v>-343.7648789999998</x:v>
      </x:c>
    </x:row>
    <x:row r="72" ht="15" hidden="0">
      <x:c r="A72" s="22" t="s">
        <x:v>127</x:v>
      </x:c>
      <x:c r="B72" s="23"/>
      <x:c r="C72" s="24" t="n">
        <x:v>170.67467</x:v>
      </x:c>
      <x:c r="D72" s="24" t="n">
        <x:v>690.143396</x:v>
      </x:c>
      <x:c r="E72" s="24" t="n">
        <x:v>2085.808053</x:v>
      </x:c>
      <x:c r="F72" s="24" t="n">
        <x:v>4452.416513</x:v>
      </x:c>
      <x:c r="G72" s="24" t="n">
        <x:v>5280.719197</x:v>
      </x:c>
      <x:c r="H72" s="24" t="n">
        <x:v>196.152112</x:v>
      </x:c>
    </x:row>
    <x:row r="73" ht="15" hidden="0">
      <x:c r="A73" s="22" t="s">
        <x:v>128</x:v>
      </x:c>
      <x:c r="B73" s="23"/>
      <x:c r="C73" s="24" t="n">
        <x:v>0</x:v>
      </x:c>
      <x:c r="D73" s="24" t="n">
        <x:v>0</x:v>
      </x:c>
      <x:c r="E73" s="24" t="n">
        <x:v>0</x:v>
      </x:c>
      <x:c r="F73" s="24" t="n">
        <x:v>0</x:v>
      </x:c>
      <x:c r="G73" s="24" t="n">
        <x:v>0</x:v>
      </x:c>
      <x:c r="H73" s="24" t="n">
        <x:v>0</x:v>
      </x:c>
    </x:row>
    <x:row r="74" ht="15" hidden="0">
      <x:c r="A74" s="22" t="s">
        <x:v>129</x:v>
      </x:c>
      <x:c r="B74" s="23"/>
      <x:c r="C74" s="24" t="n">
        <x:v>0</x:v>
      </x:c>
      <x:c r="D74" s="24" t="n">
        <x:v>0</x:v>
      </x:c>
      <x:c r="E74" s="24" t="n">
        <x:v>0</x:v>
      </x:c>
      <x:c r="F74" s="24" t="n">
        <x:v>0</x:v>
      </x:c>
      <x:c r="G74" s="24" t="n">
        <x:v>0</x:v>
      </x:c>
      <x:c r="H74" s="24" t="n">
        <x:v>0</x:v>
      </x:c>
    </x:row>
    <x:row r="75" ht="15" hidden="0">
      <x:c r="A75" s="22" t="s">
        <x:v>130</x:v>
      </x:c>
      <x:c r="B75" s="23"/>
      <x:c r="C75" s="24" t="n">
        <x:v>-517.055413</x:v>
      </x:c>
      <x:c r="D75" s="24" t="n">
        <x:v>-537.710815</x:v>
      </x:c>
      <x:c r="E75" s="24" t="n">
        <x:v>-740.307772</x:v>
      </x:c>
      <x:c r="F75" s="24" t="n">
        <x:v>-677.380845</x:v>
      </x:c>
      <x:c r="G75" s="24" t="n">
        <x:v>-349.910716</x:v>
      </x:c>
      <x:c r="H75" s="24" t="n">
        <x:v>-409.702183</x:v>
      </x:c>
    </x:row>
    <x:row r="76" ht="15" hidden="0">
      <x:c r="A76" s="25" t="s">
        <x:v>131</x:v>
      </x:c>
      <x:c r="B76" s="26"/>
      <x:c r="C76" s="27" t="n">
        <x:f aca="0">C71+C72+C73+C74+C75</x:f>
        <x:v>4885.954607000001</x:v>
      </x:c>
      <x:c r="D76" s="27" t="n">
        <x:f aca="0">D71+D72+D73+D74+D75</x:f>
        <x:v>8925.489126</x:v>
      </x:c>
      <x:c r="E76" s="27" t="n">
        <x:f aca="0">E71+E72+E73+E74+E75</x:f>
        <x:v>10469.327827999996</x:v>
      </x:c>
      <x:c r="F76" s="27" t="n">
        <x:f aca="0">F71+F72+F73+F74+F75</x:f>
        <x:v>13776.285100000003</x:v>
      </x:c>
      <x:c r="G76" s="27" t="n">
        <x:f aca="0">G71+G72+G73+G74+G75</x:f>
        <x:v>17746.823417</x:v>
      </x:c>
      <x:c r="H76" s="27" t="n">
        <x:f aca="0">H71+H72+H73+H74+H75</x:f>
        <x:v>-557.3149499999997</x:v>
      </x:c>
    </x:row>
    <x:row r="77" ht="15" hidden="0">
      <x:c r="A77" s="22" t="s">
        <x:v>132</x:v>
      </x:c>
      <x:c r="B77" s="23"/>
      <x:c r="C77" s="24" t="n">
        <x:v>0</x:v>
      </x:c>
      <x:c r="D77" s="24" t="n">
        <x:v>0</x:v>
      </x:c>
      <x:c r="E77" s="24" t="n">
        <x:v>-343.981005</x:v>
      </x:c>
      <x:c r="F77" s="24" t="n">
        <x:v>-844.151365</x:v>
      </x:c>
      <x:c r="G77" s="24" t="n">
        <x:v>-58.631368</x:v>
      </x:c>
      <x:c r="H77" s="24" t="n">
        <x:v>0</x:v>
      </x:c>
    </x:row>
    <x:row r="78" ht="15" hidden="0">
      <x:c r="A78" s="22" t="s">
        <x:v>133</x:v>
      </x:c>
      <x:c r="B78" s="23"/>
      <x:c r="C78" s="24" t="n">
        <x:v>-1388.44736</x:v>
      </x:c>
      <x:c r="D78" s="24" t="n">
        <x:v>-3901.208866</x:v>
      </x:c>
      <x:c r="E78" s="24" t="n">
        <x:v>-4304.595678</x:v>
      </x:c>
      <x:c r="F78" s="24" t="n">
        <x:v>-4038.678948</x:v>
      </x:c>
      <x:c r="G78" s="24" t="n">
        <x:v>-6113.037978</x:v>
      </x:c>
      <x:c r="H78" s="24" t="n">
        <x:v>113.579251</x:v>
      </x:c>
    </x:row>
    <x:row r="79" ht="15" hidden="0">
      <x:c r="A79" s="25" t="s">
        <x:v>134</x:v>
      </x:c>
      <x:c r="B79" s="26"/>
      <x:c r="C79" s="27" t="n">
        <x:f aca="0">C76+C77+C78</x:f>
        <x:v>3497.5072470000005</x:v>
      </x:c>
      <x:c r="D79" s="27" t="n">
        <x:f aca="0">D76+D77+D78</x:f>
        <x:v>5024.28026</x:v>
      </x:c>
      <x:c r="E79" s="27" t="n">
        <x:f aca="0">E76+E77+E78</x:f>
        <x:v>5820.7511449999965</x:v>
      </x:c>
      <x:c r="F79" s="27" t="n">
        <x:f aca="0">F76+F77+F78</x:f>
        <x:v>8893.454787000002</x:v>
      </x:c>
      <x:c r="G79" s="27" t="n">
        <x:f aca="0">G76+G77+G78</x:f>
        <x:v>11575.154071</x:v>
      </x:c>
      <x:c r="H79" s="27" t="n">
        <x:f aca="0">H76+H77+H78</x:f>
        <x:v>-443.7356989999997</x:v>
      </x:c>
    </x:row>
    <x:row r="80" ht="15" hidden="0">
      <x:c r="A80" s="20" t="s">
        <x:v>135</x:v>
      </x:c>
      <x:c r="B80" s="21"/>
      <x:c r="C80" s="21"/>
      <x:c r="D80" s="21"/>
      <x:c r="E80" s="21"/>
      <x:c r="F80" s="21"/>
      <x:c r="G80" s="21"/>
      <x:c r="H80" s="21"/>
    </x:row>
    <x:row r="81" ht="15" hidden="0">
      <x:c r="A81" s="22" t="s">
        <x:v>136</x:v>
      </x:c>
      <x:c r="B81" s="23"/>
      <x:c r="C81" s="24" t="n">
        <x:v>1230.692701</x:v>
      </x:c>
      <x:c r="D81" s="24" t="n">
        <x:v>1118.109816</x:v>
      </x:c>
      <x:c r="E81" s="24" t="n">
        <x:v>1116.01339</x:v>
      </x:c>
      <x:c r="F81" s="24" t="n">
        <x:v>1182.787174</x:v>
      </x:c>
      <x:c r="G81" s="24" t="n">
        <x:v>1264.994747</x:v>
      </x:c>
      <x:c r="H81" s="24" t="n">
        <x:v>799.080284</x:v>
      </x:c>
    </x:row>
    <x:row r="82" ht="15" hidden="0">
      <x:c r="A82" s="22" t="s">
        <x:v>137</x:v>
      </x:c>
      <x:c r="B82" s="23"/>
      <x:c r="C82" s="24" t="n">
        <x:f aca="0">C76-C75</x:f>
        <x:v>5403.010020000001</x:v>
      </x:c>
      <x:c r="D82" s="24" t="n">
        <x:f aca="0">D76-D75</x:f>
        <x:v>9463.199941</x:v>
      </x:c>
      <x:c r="E82" s="24" t="n">
        <x:f aca="0">E76-E75</x:f>
        <x:v>11209.635599999996</x:v>
      </x:c>
      <x:c r="F82" s="24" t="n">
        <x:f aca="0">F76-F75</x:f>
        <x:v>14453.665945000002</x:v>
      </x:c>
      <x:c r="G82" s="24" t="n">
        <x:f aca="0">G76-G75</x:f>
        <x:v>18096.734132999998</x:v>
      </x:c>
      <x:c r="H82" s="24" t="n">
        <x:f aca="0">H76-H75</x:f>
        <x:v>-147.61276699999974</x:v>
      </x:c>
    </x:row>
    <x:row r="83" ht="15" hidden="0">
      <x:c r="A83" s="22" t="s">
        <x:v>138</x:v>
      </x:c>
      <x:c r="B83" s="23"/>
      <x:c r="C83" s="24" t="n">
        <x:f aca="0">C82+C81</x:f>
        <x:v>6633.702721000001</x:v>
      </x:c>
      <x:c r="D83" s="24" t="n">
        <x:f aca="0">D82+D81</x:f>
        <x:v>10581.309757</x:v>
      </x:c>
      <x:c r="E83" s="24" t="n">
        <x:f aca="0">E82+E81</x:f>
        <x:v>12325.648989999996</x:v>
      </x:c>
      <x:c r="F83" s="24" t="n">
        <x:f aca="0">F82+F81</x:f>
        <x:v>15636.453119000002</x:v>
      </x:c>
      <x:c r="G83" s="24" t="n">
        <x:f aca="0">G82+G81</x:f>
        <x:v>19361.72888</x:v>
      </x:c>
      <x:c r="H83" s="24" t="n">
        <x:f aca="0">H82+H81</x:f>
        <x:v>651.4675170000003</x:v>
      </x:c>
    </x:row>
    <x:row r="84" ht="15" hidden="0">
      <x:c r="A84" s="22" t="s">
        <x:v>139</x:v>
      </x:c>
      <x:c r="B84" s="23"/>
      <x:c r="C84" s="24" t="n">
        <x:v>26.751082</x:v>
      </x:c>
      <x:c r="D84" s="24" t="n">
        <x:v>22.374466</x:v>
      </x:c>
      <x:c r="E84" s="24" t="n">
        <x:v>56.744443</x:v>
      </x:c>
      <x:c r="F84" s="24" t="n">
        <x:v>31.19671</x:v>
      </x:c>
      <x:c r="G84" s="24" t="n">
        <x:v>43.699977</x:v>
      </x:c>
      <x:c r="H84" s="28"/>
    </x:row>
    <x:row r="85" ht="15" hidden="0">
      <x:c r="A85" s="22" t="s">
        <x:v>140</x:v>
      </x:c>
      <x:c r="B85" s="23"/>
      <x:c r="C85" s="24" t="n">
        <x:f aca="0">-C75-C84</x:f>
        <x:v>490.30433100000005</x:v>
      </x:c>
      <x:c r="D85" s="24" t="n">
        <x:f aca="0">-D75-D84</x:f>
        <x:v>515.336349</x:v>
      </x:c>
      <x:c r="E85" s="24" t="n">
        <x:f aca="0">-E75-E84</x:f>
        <x:v>683.563329</x:v>
      </x:c>
      <x:c r="F85" s="24" t="n">
        <x:f aca="0">-F75-F84</x:f>
        <x:v>646.184135</x:v>
      </x:c>
      <x:c r="G85" s="24" t="n">
        <x:f aca="0">-G75-G84</x:f>
        <x:v>306.210739</x:v>
      </x:c>
      <x:c r="H85" s="28"/>
    </x:row>
    <x:row r="86" ht="15" hidden="0">
      <x:c r="A86" s="22" t="s">
        <x:v>141</x:v>
      </x:c>
      <x:c r="B86" s="23"/>
      <x:c r="C86" s="29" t="n">
        <x:f aca="0">IF(C76&lt;=0,"n/m",-(C77+C78)/C76)</x:f>
        <x:v>0.28417115419181377</x:v>
      </x:c>
      <x:c r="D86" s="29" t="n">
        <x:f aca="0">IF(D76&lt;=0,"n/m",-(D77+D78)/D76)</x:f>
        <x:v>0.43708628299548946</x:v>
      </x:c>
      <x:c r="E86" s="29" t="n">
        <x:f aca="0">IF(E76&lt;=0,"n/m",-(E77+E78)/E76)</x:f>
        <x:v>0.44401863800343316</x:v>
      </x:c>
      <x:c r="F86" s="29" t="n">
        <x:f aca="0">IF(F76&lt;=0,"n/m",-(F77+F78)/F76)</x:f>
        <x:v>0.35443737390423197</x:v>
      </x:c>
      <x:c r="G86" s="29" t="n">
        <x:f aca="0">IF(G76&lt;=0,"n/m",-(G77+G78)/G76)</x:f>
        <x:v>0.34776191778006016</x:v>
      </x:c>
      <x:c r="H86" s="28"/>
    </x:row>
    <x:row r="87" ht="15" hidden="0">
      <x:c r="A87" s="22" t="s">
        <x:v>142</x:v>
      </x:c>
      <x:c r="B87" s="23"/>
      <x:c r="C87" s="29" t="n">
        <x:f aca="0">IF(AND(ISNUMBER(C86),C86&gt;=0,C86&lt;=0.6),C86,Overview!$C$30)</x:f>
        <x:v>0.28417115419181377</x:v>
      </x:c>
      <x:c r="D87" s="29" t="n">
        <x:f aca="0">IF(AND(ISNUMBER(D86),D86&gt;=0,D86&lt;=0.6),D86,Overview!$D$30)</x:f>
        <x:v>0.43708628299548946</x:v>
      </x:c>
      <x:c r="E87" s="29" t="n">
        <x:f aca="0">IF(AND(ISNUMBER(E86),E86&gt;=0,E86&lt;=0.6),E86,Overview!$E$30)</x:f>
        <x:v>0.44401863800343316</x:v>
      </x:c>
      <x:c r="F87" s="29" t="n">
        <x:f aca="0">IF(AND(ISNUMBER(F86),F86&gt;=0,F86&lt;=0.6),F86,Overview!$F$30)</x:f>
        <x:v>0.35443737390423197</x:v>
      </x:c>
      <x:c r="G87" s="29" t="n">
        <x:f aca="0">IF(AND(ISNUMBER(G86),G86&gt;=0,G86&lt;=0.6),G86,Overview!$G$30)</x:f>
        <x:v>0.34776191778006016</x:v>
      </x:c>
      <x:c r="H87" s="28"/>
    </x:row>
    <x:row r="88" ht="15" hidden="0">
      <x:c r="A88" s="22" t="s">
        <x:v>143</x:v>
      </x:c>
      <x:c r="B88" s="23"/>
      <x:c r="C88" s="24" t="n">
        <x:f aca="0">C82*(1-C87)</x:f>
        <x:v>3867.630426506666</x:v>
      </x:c>
      <x:c r="D88" s="24" t="n">
        <x:f aca="0">D82*(1-D87)</x:f>
        <x:v>5326.965053545176</x:v>
      </x:c>
      <x:c r="E88" s="24" t="n">
        <x:f aca="0">E82*(1-E87)</x:f>
        <x:v>6232.3484683731995</x:v>
      </x:c>
      <x:c r="F88" s="24" t="n">
        <x:f aca="0">F82*(1-F87)</x:f>
        <x:v>9330.746544165173</x:v>
      </x:c>
      <x:c r="G88" s="24" t="n">
        <x:f aca="0">G82*(1-G87)</x:f>
        <x:v>11803.379165352044</x:v>
      </x:c>
      <x:c r="H88" s="28"/>
    </x:row>
    <x:row r="90" ht="19.5" hidden="0" customHeight="1">
      <x:c r="A90" s="5" t="s">
        <x:v>144</x:v>
      </x:c>
      <x:c r="B90" s="6"/>
      <x:c r="C90" s="6"/>
      <x:c r="D90" s="6"/>
      <x:c r="E90" s="6"/>
      <x:c r="F90" s="6"/>
      <x:c r="G90" s="6"/>
      <x:c r="H90" s="6"/>
    </x:row>
    <x:row r="91" ht="16.5" hidden="0" customHeight="1">
      <x:c r="A91" s="17" t="s">
        <x:v>63</x:v>
      </x:c>
      <x:c r="B91" s="18"/>
      <x:c r="C91" s="19" t="s">
        <x:v>48</x:v>
      </x:c>
      <x:c r="D91" s="19" t="s">
        <x:v>49</x:v>
      </x:c>
      <x:c r="E91" s="19" t="s">
        <x:v>50</x:v>
      </x:c>
      <x:c r="F91" s="19" t="s">
        <x:v>51</x:v>
      </x:c>
      <x:c r="G91" s="19" t="s">
        <x:v>52</x:v>
      </x:c>
      <x:c r="H91" s="19" t="s">
        <x:v>64</x:v>
      </x:c>
    </x:row>
    <x:row r="92" ht="15" hidden="0">
      <x:c r="A92" s="22" t="s">
        <x:v>145</x:v>
      </x:c>
      <x:c r="B92" s="23"/>
      <x:c r="C92" s="24" t="n">
        <x:v>6012.030743</x:v>
      </x:c>
      <x:c r="D92" s="24" t="n">
        <x:v>9429.252992</x:v>
      </x:c>
      <x:c r="E92" s="24" t="n">
        <x:v>7862.593209</x:v>
      </x:c>
      <x:c r="F92" s="24" t="n">
        <x:v>11482.975487</x:v>
      </x:c>
      <x:c r="G92" s="24" t="n">
        <x:v>16574.725509</x:v>
      </x:c>
      <x:c r="H92" s="24" t="n">
        <x:v>246.219051</x:v>
      </x:c>
    </x:row>
    <x:row r="93" ht="15" hidden="0">
      <x:c r="A93" s="22" t="s">
        <x:v>146</x:v>
      </x:c>
      <x:c r="B93" s="23"/>
      <x:c r="C93" s="24" t="n">
        <x:v>5089.315864</x:v>
      </x:c>
      <x:c r="D93" s="24" t="n">
        <x:v>8181.35789</x:v>
      </x:c>
      <x:c r="E93" s="24" t="n">
        <x:v>4452.081761</x:v>
      </x:c>
      <x:c r="F93" s="24" t="n">
        <x:v>6647.173409</x:v>
      </x:c>
      <x:c r="G93" s="24" t="n">
        <x:v>9378.288538</x:v>
      </x:c>
      <x:c r="H93" s="24" t="n">
        <x:v>-502.39586</x:v>
      </x:c>
    </x:row>
    <x:row r="94" ht="15" hidden="0">
      <x:c r="A94" s="22" t="s">
        <x:v>147</x:v>
      </x:c>
      <x:c r="B94" s="23"/>
      <x:c r="C94" s="24" t="n">
        <x:v>-3950.178348</x:v>
      </x:c>
      <x:c r="D94" s="24" t="n">
        <x:v>-7092.988516</x:v>
      </x:c>
      <x:c r="E94" s="24" t="n">
        <x:v>-2470.515763</x:v>
      </x:c>
      <x:c r="F94" s="24" t="n">
        <x:v>-5030.324094</x:v>
      </x:c>
      <x:c r="G94" s="24" t="n">
        <x:v>-4398.59577</x:v>
      </x:c>
      <x:c r="H94" s="24" t="n">
        <x:v>-18.793346</x:v>
      </x:c>
    </x:row>
    <x:row r="95" ht="15" hidden="0">
      <x:c r="A95" s="22" t="s">
        <x:v>148</x:v>
      </x:c>
      <x:c r="B95" s="23"/>
      <x:c r="C95" s="24" t="n">
        <x:v>-943.014252</x:v>
      </x:c>
      <x:c r="D95" s="24" t="n">
        <x:v>-1805.333093</x:v>
      </x:c>
      <x:c r="E95" s="24" t="n">
        <x:v>-1528.794437</x:v>
      </x:c>
      <x:c r="F95" s="24" t="n">
        <x:v>-1447.737336</x:v>
      </x:c>
      <x:c r="G95" s="24" t="n">
        <x:v>-4631.639217</x:v>
      </x:c>
      <x:c r="H95" s="24" t="n">
        <x:v>838.90927</x:v>
      </x:c>
    </x:row>
    <x:row r="96" ht="15" hidden="0">
      <x:c r="A96" s="22" t="s">
        <x:v>149</x:v>
      </x:c>
      <x:c r="B96" s="23"/>
      <x:c r="C96" s="24" t="n">
        <x:v>-610.597045</x:v>
      </x:c>
      <x:c r="D96" s="24" t="n">
        <x:v>-461.84737</x:v>
      </x:c>
      <x:c r="E96" s="24" t="n">
        <x:v>-2015.897038</x:v>
      </x:c>
      <x:c r="F96" s="24" t="n">
        <x:v>-1107.284933</x:v>
      </x:c>
      <x:c r="G96" s="24" t="n">
        <x:v>-2398.919336</x:v>
      </x:c>
      <x:c r="H96" s="24" t="n">
        <x:v>-1704.778944</x:v>
      </x:c>
    </x:row>
    <x:row r="97" ht="15" hidden="0">
      <x:c r="A97" s="22" t="s">
        <x:v>150</x:v>
      </x:c>
      <x:c r="B97" s="23"/>
      <x:c r="C97" s="24" t="n">
        <x:v>-599.227218</x:v>
      </x:c>
      <x:c r="D97" s="24" t="n">
        <x:v>-514.171817</x:v>
      </x:c>
      <x:c r="E97" s="24" t="n">
        <x:v>-685.823997</x:v>
      </x:c>
      <x:c r="F97" s="24" t="n">
        <x:v>-731.073634</x:v>
      </x:c>
      <x:c r="G97" s="24" t="n">
        <x:v>-391.061821</x:v>
      </x:c>
      <x:c r="H97" s="24" t="n">
        <x:v>-302.106064</x:v>
      </x:c>
    </x:row>
    <x:row r="98" ht="15" hidden="0">
      <x:c r="A98" s="22" t="s">
        <x:v>151</x:v>
      </x:c>
      <x:c r="B98" s="23"/>
      <x:c r="C98" s="24" t="n">
        <x:v>-1.816796</x:v>
      </x:c>
      <x:c r="D98" s="24" t="n">
        <x:v>-0.549503</x:v>
      </x:c>
      <x:c r="E98" s="24" t="n">
        <x:v>-0.172829</x:v>
      </x:c>
      <x:c r="F98" s="24" t="n">
        <x:v>-0.136289</x:v>
      </x:c>
      <x:c r="G98" s="24" t="n">
        <x:v>-3.157674</x:v>
      </x:c>
      <x:c r="H98" s="24" t="n">
        <x:v>-499.290203</x:v>
      </x:c>
    </x:row>
    <x:row r="100" ht="19.5" hidden="0" customHeight="1">
      <x:c r="A100" s="5" t="s">
        <x:v>152</x:v>
      </x:c>
      <x:c r="B100" s="6"/>
      <x:c r="C100" s="6"/>
      <x:c r="D100" s="6"/>
      <x:c r="E100" s="6"/>
      <x:c r="F100" s="6"/>
      <x:c r="G100" s="6"/>
      <x:c r="H100" s="6"/>
    </x:row>
    <x:row r="101" ht="16.5" hidden="0" customHeight="1">
      <x:c r="A101" s="17" t="s">
        <x:v>63</x:v>
      </x:c>
      <x:c r="B101" s="18"/>
      <x:c r="C101" s="19" t="s">
        <x:v>48</x:v>
      </x:c>
      <x:c r="D101" s="19" t="s">
        <x:v>49</x:v>
      </x:c>
      <x:c r="E101" s="19" t="s">
        <x:v>50</x:v>
      </x:c>
      <x:c r="F101" s="19" t="s">
        <x:v>51</x:v>
      </x:c>
      <x:c r="G101" s="19" t="s">
        <x:v>52</x:v>
      </x:c>
    </x:row>
    <x:row r="102" ht="15" hidden="0">
      <x:c r="A102" s="22" t="s">
        <x:v>153</x:v>
      </x:c>
      <x:c r="B102" s="23"/>
      <x:c r="C102" s="30" t="n">
        <x:v>10</x:v>
      </x:c>
      <x:c r="D102" s="30" t="n">
        <x:v>10</x:v>
      </x:c>
      <x:c r="E102" s="30" t="n">
        <x:v>10</x:v>
      </x:c>
      <x:c r="F102" s="30" t="n">
        <x:v>10</x:v>
      </x:c>
      <x:c r="G102" s="30" t="n">
        <x:v>10</x:v>
      </x:c>
    </x:row>
    <x:row r="103" ht="15" hidden="0">
      <x:c r="A103" s="22" t="s">
        <x:v>154</x:v>
      </x:c>
      <x:c r="B103" s="23"/>
      <x:c r="C103" s="31" t="n">
        <x:f aca="0">C27/C102-C107</x:f>
        <x:v>200.86129699999998</x:v>
      </x:c>
      <x:c r="D103" s="31" t="n">
        <x:f aca="0">D27/D102-D107</x:f>
        <x:v>200.86129699999998</x:v>
      </x:c>
      <x:c r="E103" s="31" t="n">
        <x:f aca="0">E27/E102-E107</x:f>
        <x:v>200.86129699999998</x:v>
      </x:c>
      <x:c r="F103" s="31" t="n">
        <x:f aca="0">F27/F102-F107</x:f>
        <x:v>195.86129699999998</x:v>
      </x:c>
      <x:c r="G103" s="31" t="n">
        <x:f aca="0">G27/G102-G107</x:f>
        <x:v>183.86129699999998</x:v>
      </x:c>
    </x:row>
    <x:row r="104" ht="15" hidden="0">
      <x:c r="A104" s="22" t="s">
        <x:v>155</x:v>
      </x:c>
      <x:c r="B104" s="23"/>
      <x:c r="C104" s="31" t="n">
        <x:v>200.861297</x:v>
      </x:c>
      <x:c r="D104" s="31" t="n">
        <x:v>200.861297</x:v>
      </x:c>
      <x:c r="E104" s="31" t="n">
        <x:v>200.861297</x:v>
      </x:c>
      <x:c r="F104" s="31" t="n">
        <x:v>196.435067</x:v>
      </x:c>
      <x:c r="G104" s="31" t="n">
        <x:v>193.42842</x:v>
      </x:c>
    </x:row>
    <x:row r="105" ht="15" hidden="0">
      <x:c r="A105" s="22" t="str">
        <x:v>FY-end share price (Rs; last PSX close)</x:v>
      </x:c>
      <x:c r="B105" s="23"/>
      <x:c r="C105" s="30" t="n">
        <x:v>206.49</x:v>
      </x:c>
      <x:c r="D105" s="30" t="n">
        <x:v>130.13</x:v>
      </x:c>
      <x:c r="E105" s="30" t="n">
        <x:v>173.47</x:v>
      </x:c>
      <x:c r="F105" s="30" t="n">
        <x:v>250.43</x:v>
      </x:c>
      <x:c r="G105" s="30" t="n">
        <x:v>379.36</x:v>
      </x:c>
    </x:row>
    <x:row r="106" ht="15" hidden="0">
      <x:c r="A106" s="22" t="s">
        <x:v>156</x:v>
      </x:c>
      <x:c r="B106" s="23"/>
      <x:c r="C106" s="30" t="n">
        <x:v>0</x:v>
      </x:c>
      <x:c r="D106" s="30" t="n">
        <x:v>0</x:v>
      </x:c>
      <x:c r="E106" s="30" t="n">
        <x:v>0</x:v>
      </x:c>
      <x:c r="F106" s="30" t="n">
        <x:v>0</x:v>
      </x:c>
      <x:c r="G106" s="30" t="n">
        <x:v>0</x:v>
      </x:c>
    </x:row>
    <x:row r="107">
      <x:c r="A107" s="22" t="str">
        <x:v>Treasury shares excluded (million)</x:v>
      </x:c>
      <x:c r="B107" s="23"/>
      <x:c r="C107" s="30" t="n">
        <x:v>0</x:v>
      </x:c>
      <x:c r="D107" s="30" t="n">
        <x:v>0</x:v>
      </x:c>
      <x:c r="E107" s="30" t="n">
        <x:v>0</x:v>
      </x:c>
      <x:c r="F107" s="30" t="n">
        <x:v>0</x:v>
      </x:c>
      <x:c r="G107" s="30" t="n">
        <x:v>0</x:v>
      </x:c>
    </x:row>
    <x:row r="108" ht="19.5" hidden="0" customHeight="1">
      <x:c r="A108" s="5" t="s">
        <x:v>157</x:v>
      </x:c>
      <x:c r="B108" s="6"/>
      <x:c r="C108" s="6"/>
      <x:c r="D108" s="6"/>
      <x:c r="E108" s="6"/>
      <x:c r="F108" s="6"/>
      <x:c r="G108" s="6"/>
      <x:c r="H108" s="6"/>
    </x:row>
    <x:row r="109" ht="16.5" hidden="0" customHeight="1">
      <x:c r="A109" s="32" t="s">
        <x:v>158</x:v>
      </x:c>
      <x:c r="B109" s="32" t="s">
        <x:v>159</x:v>
      </x:c>
      <x:c r="C109" s="19" t="s">
        <x:v>48</x:v>
      </x:c>
      <x:c r="D109" s="19" t="s">
        <x:v>49</x:v>
      </x:c>
      <x:c r="E109" s="19" t="s">
        <x:v>50</x:v>
      </x:c>
      <x:c r="F109" s="19" t="s">
        <x:v>51</x:v>
      </x:c>
      <x:c r="G109" s="19" t="s">
        <x:v>52</x:v>
      </x:c>
    </x:row>
    <x:row r="110" ht="15" hidden="0">
      <x:c r="A110" s="20" t="s">
        <x:v>160</x:v>
      </x:c>
      <x:c r="B110" s="21"/>
      <x:c r="C110" s="21"/>
      <x:c r="D110" s="21"/>
      <x:c r="E110" s="21"/>
      <x:c r="F110" s="21"/>
      <x:c r="G110" s="21"/>
    </x:row>
    <x:row r="111" ht="15" hidden="0">
      <x:c r="A111" s="33" t="s">
        <x:v>161</x:v>
      </x:c>
      <x:c r="B111" s="34" t="s">
        <x:v>162</x:v>
      </x:c>
      <x:c r="C111" s="35" t="n">
        <x:f aca="0">C24/C48</x:f>
        <x:v>1.3006446691414961</x:v>
      </x:c>
      <x:c r="D111" s="35" t="n">
        <x:f aca="0">D24/D48</x:f>
        <x:v>1.8735085276109804</x:v>
      </x:c>
      <x:c r="E111" s="35" t="n">
        <x:f aca="0">E24/E48</x:f>
        <x:v>2.311570515459215</x:v>
      </x:c>
      <x:c r="F111" s="35" t="n">
        <x:f aca="0">F24/F48</x:f>
        <x:v>2.903159053016002</x:v>
      </x:c>
      <x:c r="G111" s="35" t="n">
        <x:f aca="0">G24/G48</x:f>
        <x:v>3.311248687172772</x:v>
      </x:c>
    </x:row>
    <x:row r="112" ht="15" hidden="0">
      <x:c r="A112" s="33" t="s">
        <x:v>163</x:v>
      </x:c>
      <x:c r="B112" s="34" t="s">
        <x:v>164</x:v>
      </x:c>
      <x:c r="C112" s="35" t="n">
        <x:f aca="0">(C24-C54)/C48</x:f>
        <x:v>0.748160438555549</x:v>
      </x:c>
      <x:c r="D112" s="35" t="n">
        <x:f aca="0">(D24-D54)/D48</x:f>
        <x:v>1.2758070110452304</x:v>
      </x:c>
      <x:c r="E112" s="35" t="n">
        <x:f aca="0">(E24-E54)/E48</x:f>
        <x:v>1.5392110300634694</x:v>
      </x:c>
      <x:c r="F112" s="35" t="n">
        <x:f aca="0">(F24-F54)/F48</x:f>
        <x:v>2.220059339921235</x:v>
      </x:c>
      <x:c r="G112" s="35" t="n">
        <x:f aca="0">(G24-G54)/G48</x:f>
        <x:v>2.6677003784340947</x:v>
      </x:c>
    </x:row>
    <x:row r="113" ht="15" hidden="0">
      <x:c r="A113" s="33" t="s">
        <x:v>165</x:v>
      </x:c>
      <x:c r="B113" s="34" t="s">
        <x:v>166</x:v>
      </x:c>
      <x:c r="C113" s="35" t="n">
        <x:f aca="0">C22/C48</x:f>
        <x:v>0.15817363525137568</x:v>
      </x:c>
      <x:c r="D113" s="35" t="n">
        <x:f aca="0">D22/D48</x:f>
        <x:v>0.05067096377572231</x:v>
      </x:c>
      <x:c r="E113" s="35" t="n">
        <x:f aca="0">E22/E48</x:f>
        <x:v>0.09417804645207263</x:v>
      </x:c>
      <x:c r="F113" s="35" t="n">
        <x:f aca="0">F22/F48</x:f>
        <x:v>0.09937683148978137</x:v>
      </x:c>
      <x:c r="G113" s="35" t="n">
        <x:f aca="0">G22/G48</x:f>
        <x:v>0.1243988942257843</x:v>
      </x:c>
    </x:row>
    <x:row r="114" ht="15" hidden="0">
      <x:c r="A114" s="33" t="s">
        <x:v>167</x:v>
      </x:c>
      <x:c r="B114" s="34" t="s">
        <x:v>168</x:v>
      </x:c>
      <x:c r="C114" s="36" t="n">
        <x:f aca="0">C24-C48</x:f>
        <x:v>2276.5547739999984</x:v>
      </x:c>
      <x:c r="D114" s="36" t="n">
        <x:f aca="0">D24-D48</x:f>
        <x:v>8287.840767999996</x:v>
      </x:c>
      <x:c r="E114" s="36" t="n">
        <x:f aca="0">E24-E48</x:f>
        <x:v>13000.905238000001</x:v>
      </x:c>
      <x:c r="F114" s="36" t="n">
        <x:f aca="0">F24-F48</x:f>
        <x:v>21116.760542</x:v>
      </x:c>
      <x:c r="G114" s="36" t="n">
        <x:f aca="0">G24-G48</x:f>
        <x:v>26953.091383000003</x:v>
      </x:c>
    </x:row>
    <x:row r="115" ht="15" hidden="0">
      <x:c r="A115" s="33" t="s">
        <x:v>169</x:v>
      </x:c>
      <x:c r="B115" s="34" t="s">
        <x:v>170</x:v>
      </x:c>
      <x:c r="C115" s="36" t="n">
        <x:f aca="0">C59-C60</x:f>
        <x:v>-106.83863200000178</x:v>
      </x:c>
      <x:c r="D115" s="36" t="n">
        <x:f aca="0">D59-D60</x:f>
        <x:v>-1057.2881590000015</x:v>
      </x:c>
      <x:c r="E115" s="36" t="n">
        <x:f aca="0">E59-E60</x:f>
        <x:v>1004.8001120000008</x:v>
      </x:c>
      <x:c r="F115" s="36" t="n">
        <x:f aca="0">F59-F60</x:f>
        <x:v>949.0612429999965</x:v>
      </x:c>
      <x:c r="G115" s="36" t="n">
        <x:f aca="0">G59-G60</x:f>
        <x:v>-555.9981459999999</x:v>
      </x:c>
    </x:row>
    <x:row r="116" ht="15" hidden="0">
      <x:c r="A116" s="20" t="s">
        <x:v>171</x:v>
      </x:c>
      <x:c r="B116" s="21"/>
      <x:c r="C116" s="21"/>
      <x:c r="D116" s="21"/>
      <x:c r="E116" s="21"/>
      <x:c r="F116" s="21"/>
      <x:c r="G116" s="21"/>
    </x:row>
    <x:row r="117" ht="15" hidden="0">
      <x:c r="A117" s="33" t="s">
        <x:v>172</x:v>
      </x:c>
      <x:c r="B117" s="34" t="s">
        <x:v>173</x:v>
      </x:c>
      <x:c r="C117" s="35" t="n">
        <x:f aca="0">-C65/AVERAGE(H54,C54)</x:f>
        <x:v>4.857098601325517</x:v>
      </x:c>
      <x:c r="D117" s="35" t="n">
        <x:f aca="0">-D65/AVERAGE(C54,D54)</x:f>
        <x:v>4.681131721571692</x:v>
      </x:c>
      <x:c r="E117" s="35" t="n">
        <x:f aca="0">-E65/AVERAGE(D54,E54)</x:f>
        <x:v>4.275379143771386</x:v>
      </x:c>
      <x:c r="F117" s="35" t="n">
        <x:f aca="0">-F65/AVERAGE(E54,F54)</x:f>
        <x:v>3.5957369645110586</x:v>
      </x:c>
      <x:c r="G117" s="35" t="n">
        <x:f aca="0">-G65/AVERAGE(F54,G54)</x:f>
        <x:v>3.024880626442934</x:v>
      </x:c>
    </x:row>
    <x:row r="118" ht="15" hidden="0">
      <x:c r="A118" s="33" t="s">
        <x:v>174</x:v>
      </x:c>
      <x:c r="B118" s="34" t="s">
        <x:v>175</x:v>
      </x:c>
      <x:c r="C118" s="35" t="n">
        <x:f aca="0">C64/AVERAGE(H20,C20)</x:f>
        <x:v>32.55652715218313</x:v>
      </x:c>
      <x:c r="D118" s="35" t="n">
        <x:f aca="0">D64/AVERAGE(C20,D20)</x:f>
        <x:v>34.61446204651397</x:v>
      </x:c>
      <x:c r="E118" s="35" t="n">
        <x:f aca="0">E64/AVERAGE(D20,E20)</x:f>
        <x:v>36.690956476472735</x:v>
      </x:c>
      <x:c r="F118" s="35" t="n">
        <x:f aca="0">F64/AVERAGE(E20,F20)</x:f>
        <x:v>23.311269128267483</x:v>
      </x:c>
      <x:c r="G118" s="35" t="n">
        <x:f aca="0">G64/AVERAGE(F20,G20)</x:f>
        <x:v>19.742821104933064</x:v>
      </x:c>
    </x:row>
    <x:row r="119" ht="15" hidden="0">
      <x:c r="A119" s="33" t="s">
        <x:v>176</x:v>
      </x:c>
      <x:c r="B119" s="34" t="s">
        <x:v>177</x:v>
      </x:c>
      <x:c r="C119" s="35" t="n">
        <x:f aca="0">-C65/AVERAGE(H52,C52)</x:f>
        <x:v>13.672632178905467</x:v>
      </x:c>
      <x:c r="D119" s="35" t="n">
        <x:f aca="0">-D65/AVERAGE(C52,D52)</x:f>
        <x:v>16.26188152658038</x:v>
      </x:c>
      <x:c r="E119" s="35" t="n">
        <x:f aca="0">-E65/AVERAGE(D52,E52)</x:f>
        <x:v>29.126311219807445</x:v>
      </x:c>
      <x:c r="F119" s="35" t="n">
        <x:f aca="0">-F65/AVERAGE(E52,F52)</x:f>
        <x:v>22.3044994512903</x:v>
      </x:c>
      <x:c r="G119" s="35" t="n">
        <x:f aca="0">-G65/AVERAGE(F52,G52)</x:f>
        <x:v>11.733886186566796</x:v>
      </x:c>
    </x:row>
    <x:row r="120" ht="15" hidden="0">
      <x:c r="A120" s="33" t="s">
        <x:v>178</x:v>
      </x:c>
      <x:c r="B120" s="34" t="s">
        <x:v>179</x:v>
      </x:c>
      <x:c r="C120" s="37" t="n">
        <x:f aca="0">365/C117</x:f>
        <x:v>75.14774353157878</x:v>
      </x:c>
      <x:c r="D120" s="37" t="n">
        <x:f aca="0">365/D117</x:f>
        <x:v>77.97259759173176</x:v>
      </x:c>
      <x:c r="E120" s="37" t="n">
        <x:f aca="0">365/E117</x:f>
        <x:v>85.37254538740795</x:v>
      </x:c>
      <x:c r="F120" s="37" t="n">
        <x:f aca="0">365/F117</x:f>
        <x:v>101.50909357454404</x:v>
      </x:c>
      <x:c r="G120" s="37" t="n">
        <x:f aca="0">365/G117</x:f>
        <x:v>120.66591878345184</x:v>
      </x:c>
    </x:row>
    <x:row r="121" ht="15" hidden="0">
      <x:c r="A121" s="33" t="s">
        <x:v>180</x:v>
      </x:c>
      <x:c r="B121" s="34" t="s">
        <x:v>181</x:v>
      </x:c>
      <x:c r="C121" s="37" t="n">
        <x:f aca="0">365/C118</x:f>
        <x:v>11.21126950346497</x:v>
      </x:c>
      <x:c r="D121" s="37" t="n">
        <x:f aca="0">365/D118</x:f>
        <x:v>10.544725482358297</x:v>
      </x:c>
      <x:c r="E121" s="37" t="n">
        <x:f aca="0">365/E118</x:f>
        <x:v>9.947955437848783</x:v>
      </x:c>
      <x:c r="F121" s="37" t="n">
        <x:f aca="0">365/F118</x:f>
        <x:v>15.65766316675557</x:v>
      </x:c>
      <x:c r="G121" s="37" t="n">
        <x:f aca="0">365/G118</x:f>
        <x:v>18.487732733839078</x:v>
      </x:c>
    </x:row>
    <x:row r="122" ht="15" hidden="0">
      <x:c r="A122" s="33" t="s">
        <x:v>182</x:v>
      </x:c>
      <x:c r="B122" s="34" t="s">
        <x:v>183</x:v>
      </x:c>
      <x:c r="C122" s="37" t="n">
        <x:f aca="0">365/C119</x:f>
        <x:v>26.695664391757177</x:v>
      </x:c>
      <x:c r="D122" s="37" t="n">
        <x:f aca="0">365/D119</x:f>
        <x:v>22.44512723840719</x:v>
      </x:c>
      <x:c r="E122" s="37" t="n">
        <x:f aca="0">365/E119</x:f>
        <x:v>12.531624662163898</x:v>
      </x:c>
      <x:c r="F122" s="37" t="n">
        <x:f aca="0">365/F119</x:f>
        <x:v>16.36441117170576</x:v>
      </x:c>
      <x:c r="G122" s="37" t="n">
        <x:f aca="0">365/G119</x:f>
        <x:v>31.10648886452127</x:v>
      </x:c>
    </x:row>
    <x:row r="123" ht="15" hidden="0">
      <x:c r="A123" s="33" t="s">
        <x:v>184</x:v>
      </x:c>
      <x:c r="B123" s="34" t="s">
        <x:v>185</x:v>
      </x:c>
      <x:c r="C123" s="37" t="n">
        <x:f aca="0">C120+C121</x:f>
        <x:v>86.35901303504376</x:v>
      </x:c>
      <x:c r="D123" s="37" t="n">
        <x:f aca="0">D120+D121</x:f>
        <x:v>88.51732307409006</x:v>
      </x:c>
      <x:c r="E123" s="37" t="n">
        <x:f aca="0">E120+E121</x:f>
        <x:v>95.32050082525674</x:v>
      </x:c>
      <x:c r="F123" s="37" t="n">
        <x:f aca="0">F120+F121</x:f>
        <x:v>117.16675674129961</x:v>
      </x:c>
      <x:c r="G123" s="37" t="n">
        <x:f aca="0">G120+G121</x:f>
        <x:v>139.1536515172909</x:v>
      </x:c>
    </x:row>
    <x:row r="124" ht="15" hidden="0">
      <x:c r="A124" s="33" t="s">
        <x:v>186</x:v>
      </x:c>
      <x:c r="B124" s="34" t="s">
        <x:v>187</x:v>
      </x:c>
      <x:c r="C124" s="37" t="n">
        <x:f aca="0">C120+C121-C122</x:f>
        <x:v>59.66334864328658</x:v>
      </x:c>
      <x:c r="D124" s="37" t="n">
        <x:f aca="0">D120+D121-D122</x:f>
        <x:v>66.07219583568286</x:v>
      </x:c>
      <x:c r="E124" s="37" t="n">
        <x:f aca="0">E120+E121-E122</x:f>
        <x:v>82.78887616309285</x:v>
      </x:c>
      <x:c r="F124" s="37" t="n">
        <x:f aca="0">F120+F121-F122</x:f>
        <x:v>100.80234556959385</x:v>
      </x:c>
      <x:c r="G124" s="37" t="n">
        <x:f aca="0">G120+G121-G122</x:f>
        <x:v>108.04716265276964</x:v>
      </x:c>
    </x:row>
    <x:row r="125" ht="15" hidden="0">
      <x:c r="A125" s="33" t="s">
        <x:v>188</x:v>
      </x:c>
      <x:c r="B125" s="34" t="s">
        <x:v>189</x:v>
      </x:c>
      <x:c r="C125" s="35" t="n">
        <x:f aca="0">C64/AVERAGE(H25,C25)</x:f>
        <x:v>0.7092011621843222</x:v>
      </x:c>
      <x:c r="D125" s="35" t="n">
        <x:f aca="0">D64/AVERAGE(C25,D25)</x:f>
        <x:v>0.8277428727778264</x:v>
      </x:c>
      <x:c r="E125" s="35" t="n">
        <x:f aca="0">E64/AVERAGE(D25,E25)</x:f>
        <x:v>0.838099135080987</x:v>
      </x:c>
      <x:c r="F125" s="35" t="n">
        <x:f aca="0">F64/AVERAGE(E25,F25)</x:f>
        <x:v>0.7132336607672219</x:v>
      </x:c>
      <x:c r="G125" s="35" t="n">
        <x:f aca="0">G64/AVERAGE(F25,G25)</x:f>
        <x:v>0.59752332567838</x:v>
      </x:c>
    </x:row>
    <x:row r="126" ht="15" hidden="0">
      <x:c r="A126" s="33" t="s">
        <x:v>190</x:v>
      </x:c>
      <x:c r="B126" s="34" t="s">
        <x:v>191</x:v>
      </x:c>
      <x:c r="C126" s="35" t="n">
        <x:f aca="0">C64/AVERAGE(H53,C53)</x:f>
        <x:v>1.0844791007988606</x:v>
      </x:c>
      <x:c r="D126" s="35" t="n">
        <x:f aca="0">D64/AVERAGE(C53,D53)</x:f>
        <x:v>1.5307978904973403</x:v>
      </x:c>
      <x:c r="E126" s="35" t="n">
        <x:f aca="0">E64/AVERAGE(D53,E53)</x:f>
        <x:v>1.876337672472641</x:v>
      </x:c>
      <x:c r="F126" s="35" t="n">
        <x:f aca="0">F64/AVERAGE(E53,F53)</x:f>
        <x:v>1.8650719460684553</x:v>
      </x:c>
      <x:c r="G126" s="35" t="n">
        <x:f aca="0">G64/AVERAGE(F53,G53)</x:f>
        <x:v>1.7861104563188661</x:v>
      </x:c>
    </x:row>
    <x:row r="127" ht="15" hidden="0">
      <x:c r="A127" s="20" t="s">
        <x:v>192</x:v>
      </x:c>
      <x:c r="B127" s="21"/>
      <x:c r="C127" s="21"/>
      <x:c r="D127" s="21"/>
      <x:c r="E127" s="21"/>
      <x:c r="F127" s="21"/>
      <x:c r="G127" s="21"/>
    </x:row>
    <x:row r="128" ht="15" hidden="0">
      <x:c r="A128" s="33" t="s">
        <x:v>193</x:v>
      </x:c>
      <x:c r="B128" s="34" t="s">
        <x:v>194</x:v>
      </x:c>
      <x:c r="C128" s="38" t="n">
        <x:f aca="0">C49/C25</x:f>
        <x:v>0.384166382555034</x:v>
      </x:c>
      <x:c r="D128" s="38" t="n">
        <x:f aca="0">D49/D25</x:f>
        <x:v>0.37149249167170456</x:v>
      </x:c>
      <x:c r="E128" s="38" t="n">
        <x:f aca="0">E49/E25</x:f>
        <x:v>0.3416112409848334</x:v>
      </x:c>
      <x:c r="F128" s="38" t="n">
        <x:f aca="0">F49/F25</x:f>
        <x:v>0.3016994518502951</x:v>
      </x:c>
      <x:c r="G128" s="38" t="n">
        <x:f aca="0">G49/G25</x:f>
        <x:v>0.28204672647028445</x:v>
      </x:c>
    </x:row>
    <x:row r="129" ht="15" hidden="0">
      <x:c r="A129" s="33" t="s">
        <x:v>195</x:v>
      </x:c>
      <x:c r="B129" s="34" t="s">
        <x:v>196</x:v>
      </x:c>
      <x:c r="C129" s="35" t="n">
        <x:f aca="0">C49/C29</x:f>
        <x:v>0.6238152183846396</x:v>
      </x:c>
      <x:c r="D129" s="35" t="n">
        <x:f aca="0">D49/D29</x:f>
        <x:v>0.5910708889696489</x:v>
      </x:c>
      <x:c r="E129" s="35" t="n">
        <x:f aca="0">E49/E29</x:f>
        <x:v>0.5188594676127575</x:v>
      </x:c>
      <x:c r="F129" s="35" t="n">
        <x:f aca="0">F49/F29</x:f>
        <x:v>0.4320481383692331</x:v>
      </x:c>
      <x:c r="G129" s="35" t="n">
        <x:f aca="0">G49/G29</x:f>
        <x:v>0.3928483048536595</x:v>
      </x:c>
    </x:row>
    <x:row r="130" ht="15" hidden="0">
      <x:c r="A130" s="33" t="s">
        <x:v>197</x:v>
      </x:c>
      <x:c r="B130" s="34" t="s">
        <x:v>198</x:v>
      </x:c>
      <x:c r="C130" s="38" t="n">
        <x:f aca="0">C55/(C55+C29)</x:f>
        <x:v>0.21400284667161887</x:v>
      </x:c>
      <x:c r="D130" s="38" t="n">
        <x:f aca="0">D55/(D55+D29)</x:f>
        <x:v>0.13497287275854264</x:v>
      </x:c>
      <x:c r="E130" s="38" t="n">
        <x:f aca="0">E55/(E55+E29)</x:f>
        <x:v>0.08893739146213345</x:v>
      </x:c>
      <x:c r="F130" s="38" t="n">
        <x:f aca="0">F55/(F55+F29)</x:f>
        <x:v>0.05274524653901662</x:v>
      </x:c>
      <x:c r="G130" s="38" t="n">
        <x:f aca="0">G55/(G55+G29)</x:f>
        <x:v>0.045577294289546766</x:v>
      </x:c>
    </x:row>
    <x:row r="131" ht="15" hidden="0">
      <x:c r="A131" s="33" t="s">
        <x:v>199</x:v>
      </x:c>
      <x:c r="B131" s="34" t="s">
        <x:v>200</x:v>
      </x:c>
      <x:c r="C131" s="38" t="n">
        <x:f aca="0">C56/C25</x:f>
        <x:v>0.1220875910318789</x:v>
      </x:c>
      <x:c r="D131" s="38" t="n">
        <x:f aca="0">D56/D25</x:f>
        <x:v>0.07334143338786069</x:v>
      </x:c>
      <x:c r="E131" s="38" t="n">
        <x:f aca="0">E56/E25</x:f>
        <x:v>0.04338813037035516</x:v>
      </x:c>
      <x:c r="F131" s="38" t="n">
        <x:f aca="0">F56/F25</x:f>
        <x:v>0.01901053423767185</x:v>
      </x:c>
      <x:c r="G131" s="38" t="n">
        <x:f aca="0">G56/G25</x:f>
        <x:v>0.02169313165517457</x:v>
      </x:c>
    </x:row>
    <x:row r="132" ht="15" hidden="0">
      <x:c r="A132" s="33" t="s">
        <x:v>201</x:v>
      </x:c>
      <x:c r="B132" s="34" t="s">
        <x:v>202</x:v>
      </x:c>
      <x:c r="C132" s="35" t="n">
        <x:f aca="0">IF(C85&lt;=0,"n/m",C82/C85)</x:f>
        <x:v>11.019706901181747</x:v>
      </x:c>
      <x:c r="D132" s="35" t="n">
        <x:f aca="0">IF(D85&lt;=0,"n/m",D82/D85)</x:f>
        <x:v>18.36315245249661</x:v>
      </x:c>
      <x:c r="E132" s="35" t="n">
        <x:f aca="0">IF(E85&lt;=0,"n/m",E82/E85)</x:f>
        <x:v>16.398825279873954</x:v>
      </x:c>
      <x:c r="F132" s="35" t="n">
        <x:f aca="0">IF(F85&lt;=0,"n/m",F82/F85)</x:f>
        <x:v>22.367720224205137</x:v>
      </x:c>
      <x:c r="G132" s="35" t="n">
        <x:f aca="0">IF(G85&lt;=0,"n/m",G82/G85)</x:f>
        <x:v>59.09895319837231</x:v>
      </x:c>
    </x:row>
    <x:row r="133" ht="15" hidden="0">
      <x:c r="A133" s="33" t="s">
        <x:v>203</x:v>
      </x:c>
      <x:c r="B133" s="34" t="s">
        <x:v>204</x:v>
      </x:c>
      <x:c r="C133" s="35" t="n">
        <x:f aca="0">IF(C83&lt;=0,"n/m",C57/C83)</x:f>
        <x:v>0.7315758637535726</x:v>
      </x:c>
      <x:c r="D133" s="35" t="n">
        <x:f aca="0">IF(D83&lt;=0,"n/m",D57/D83)</x:f>
        <x:v>0.3563402762598097</x:v>
      </x:c>
      <x:c r="E133" s="35" t="n">
        <x:f aca="0">IF(E83&lt;=0,"n/m",E57/E83)</x:f>
        <x:v>0.18253286758574166</x:v>
      </x:c>
      <x:c r="F133" s="35" t="n">
        <x:f aca="0">IF(F83&lt;=0,"n/m",F57/F83)</x:f>
        <x:v>0.07580684653859704</x:v>
      </x:c>
      <x:c r="G133" s="35" t="n">
        <x:f aca="0">IF(G83&lt;=0,"n/m",G57/G83)</x:f>
        <x:v>0.043350427185611946</x:v>
      </x:c>
    </x:row>
    <x:row r="134" ht="15" hidden="0">
      <x:c r="A134" s="20" t="s">
        <x:v>205</x:v>
      </x:c>
      <x:c r="B134" s="21"/>
      <x:c r="C134" s="21"/>
      <x:c r="D134" s="21"/>
      <x:c r="E134" s="21"/>
      <x:c r="F134" s="21"/>
      <x:c r="G134" s="21"/>
    </x:row>
    <x:row r="135" ht="15" hidden="0">
      <x:c r="A135" s="33" t="s">
        <x:v>206</x:v>
      </x:c>
      <x:c r="B135" s="34" t="s">
        <x:v>207</x:v>
      </x:c>
      <x:c r="C135" s="38" t="n">
        <x:f aca="0">C66/C64</x:f>
        <x:v>0.2479634130082893</x:v>
      </x:c>
      <x:c r="D135" s="38" t="n">
        <x:f aca="0">D66/D64</x:f>
        <x:v>0.2984391421350988</x:v>
      </x:c>
      <x:c r="E135" s="38" t="n">
        <x:f aca="0">E66/E64</x:f>
        <x:v>0.2680435681898961</x:v>
      </x:c>
      <x:c r="F135" s="38" t="n">
        <x:f aca="0">F66/F64</x:f>
        <x:v>0.29125851467425595</x:v>
      </x:c>
      <x:c r="G135" s="38" t="n">
        <x:f aca="0">G66/G64</x:f>
        <x:v>0.39220278175445145</x:v>
      </x:c>
    </x:row>
    <x:row r="136" ht="15" hidden="0">
      <x:c r="A136" s="33" t="s">
        <x:v>208</x:v>
      </x:c>
      <x:c r="B136" s="34" t="s">
        <x:v>209</x:v>
      </x:c>
      <x:c r="C136" s="38" t="n">
        <x:f aca="0">C71/C64</x:f>
        <x:v>0.2174940172918257</x:v>
      </x:c>
      <x:c r="D136" s="38" t="n">
        <x:f aca="0">D71/D64</x:f>
        <x:v>0.26684521417223683</x:v>
      </x:c>
      <x:c r="E136" s="38" t="n">
        <x:f aca="0">E71/E64</x:f>
        <x:v>0.23441531849714523</x:v>
      </x:c>
      <x:c r="F136" s="38" t="n">
        <x:f aca="0">F71/F64</x:f>
        <x:v>0.25877948344250634</x:v>
      </x:c>
      <x:c r="G136" s="38" t="n">
        <x:f aca="0">G71/G64</x:f>
        <x:v>0.34143534845456586</x:v>
      </x:c>
    </x:row>
    <x:row r="137" ht="15" hidden="0">
      <x:c r="A137" s="33" t="s">
        <x:v>210</x:v>
      </x:c>
      <x:c r="B137" s="34" t="s">
        <x:v>211</x:v>
      </x:c>
      <x:c r="C137" s="38" t="n">
        <x:f aca="0">C79/C64</x:f>
        <x:v>0.1453819089897026</x:v>
      </x:c>
      <x:c r="D137" s="38" t="n">
        <x:f aca="0">D79/D64</x:f>
        <x:v>0.15282075695786385</x:v>
      </x:c>
      <x:c r="E137" s="38" t="n">
        <x:f aca="0">E79/E64</x:f>
        <x:v>0.14955052871384544</x:v>
      </x:c>
      <x:c r="F137" s="38" t="n">
        <x:f aca="0">F79/F64</x:f>
        <x:v>0.23011561219895646</x:v>
      </x:c>
      <x:c r="G137" s="38" t="n">
        <x:f aca="0">G79/G64</x:f>
        <x:v>0.3083771970759486</x:v>
      </x:c>
    </x:row>
    <x:row r="138" ht="15" hidden="0">
      <x:c r="A138" s="33" t="s">
        <x:v>212</x:v>
      </x:c>
      <x:c r="B138" s="34" t="s">
        <x:v>213</x:v>
      </x:c>
      <x:c r="C138" s="38" t="n">
        <x:f aca="0">C79/AVERAGE(H25,C25)</x:f>
        <x:v>0.10310501881607244</x:v>
      </x:c>
      <x:c r="D138" s="38" t="n">
        <x:f aca="0">D79/AVERAGE(C25,D25)</x:f>
        <x:v>0.12649629238438423</x:v>
      </x:c>
      <x:c r="E138" s="38" t="n">
        <x:f aca="0">E79/AVERAGE(D25,E25)</x:f>
        <x:v>0.12533816876597817</x:v>
      </x:c>
      <x:c r="F138" s="38" t="n">
        <x:f aca="0">F79/AVERAGE(E25,F25)</x:f>
        <x:v>0.1641262004883521</x:v>
      </x:c>
      <x:c r="G138" s="38" t="n">
        <x:f aca="0">G79/AVERAGE(F25,G25)</x:f>
        <x:v>0.184262568360198</x:v>
      </x:c>
    </x:row>
    <x:row r="139" ht="15" hidden="0">
      <x:c r="A139" s="33" t="s">
        <x:v>214</x:v>
      </x:c>
      <x:c r="B139" s="34" t="s">
        <x:v>215</x:v>
      </x:c>
      <x:c r="C139" s="38" t="n">
        <x:f aca="0">C79/AVERAGE(H29,C29)</x:f>
        <x:v>0.1708175375326949</x:v>
      </x:c>
      <x:c r="D139" s="38" t="n">
        <x:f aca="0">D79/AVERAGE(C29,D29)</x:f>
        <x:v>0.2031253153612202</x:v>
      </x:c>
      <x:c r="E139" s="38" t="n">
        <x:f aca="0">E79/AVERAGE(D29,E29)</x:f>
        <x:v>0.1944909568032407</x:v>
      </x:c>
      <x:c r="F139" s="38" t="n">
        <x:f aca="0">F79/AVERAGE(E29,F29)</x:f>
        <x:v>0.24134090965005384</x:v>
      </x:c>
      <x:c r="G139" s="38" t="n">
        <x:f aca="0">G79/AVERAGE(F29,G29)</x:f>
        <x:v>0.25998290898160303</x:v>
      </x:c>
    </x:row>
    <x:row r="140" ht="15" hidden="0">
      <x:c r="A140" s="33" t="s">
        <x:v>216</x:v>
      </x:c>
      <x:c r="B140" s="34" t="s">
        <x:v>217</x:v>
      </x:c>
      <x:c r="C140" s="38" t="n">
        <x:f aca="0">C88/AVERAGE(H58,C58)</x:f>
        <x:v>0.14327122643181978</x:v>
      </x:c>
      <x:c r="D140" s="38" t="n">
        <x:f aca="0">D88/AVERAGE(C58,D58)</x:f>
        <x:v>0.17824324729851332</x:v>
      </x:c>
      <x:c r="E140" s="38" t="n">
        <x:f aca="0">E88/AVERAGE(D58,E58)</x:f>
        <x:v>0.18523585661078099</x:v>
      </x:c>
      <x:c r="F140" s="38" t="n">
        <x:f aca="0">F88/AVERAGE(E58,F58)</x:f>
        <x:v>0.23570906894923696</x:v>
      </x:c>
      <x:c r="G140" s="38" t="n">
        <x:f aca="0">G88/AVERAGE(F58,G58)</x:f>
        <x:v>0.25214553924649025</x:v>
      </x:c>
    </x:row>
    <x:row r="141" ht="15" hidden="0">
      <x:c r="A141" s="33" t="s">
        <x:v>218</x:v>
      </x:c>
      <x:c r="B141" s="34" t="s">
        <x:v>219</x:v>
      </x:c>
      <x:c r="C141" s="38" t="n">
        <x:f aca="0">C82/AVERAGE(H25,C25)</x:f>
        <x:v>0.15927842615719043</x:v>
      </x:c>
      <x:c r="D141" s="38" t="n">
        <x:f aca="0">D82/AVERAGE(C25,D25)</x:f>
        <x:v>0.23825496283693048</x:v>
      </x:c>
      <x:c r="E141" s="38" t="n">
        <x:f aca="0">E82/AVERAGE(D25,E25)</x:f>
        <x:v>0.24137695696625033</x:v>
      </x:c>
      <x:c r="F141" s="38" t="n">
        <x:f aca="0">F82/AVERAGE(E25,F25)</x:f>
        <x:v>0.2667383296475893</x:v>
      </x:c>
      <x:c r="G141" s="38" t="n">
        <x:f aca="0">G82/AVERAGE(F25,G25)</x:f>
        <x:v>0.28807830028219766</x:v>
      </x:c>
    </x:row>
    <x:row r="142" ht="15" hidden="0">
      <x:c r="A142" s="33" t="s">
        <x:v>220</x:v>
      </x:c>
      <x:c r="B142" s="34" t="s">
        <x:v>221</x:v>
      </x:c>
      <x:c r="C142" s="38" t="n">
        <x:f aca="0">C83/C64</x:f>
        <x:v>0.2757450655967617</x:v>
      </x:c>
      <x:c r="D142" s="38" t="n">
        <x:f aca="0">D83/D64</x:f>
        <x:v>0.3218458531352648</x:v>
      </x:c>
      <x:c r="E142" s="38" t="n">
        <x:f aca="0">E83/E64</x:f>
        <x:v>0.31667859993966047</x:v>
      </x:c>
      <x:c r="F142" s="38" t="n">
        <x:f aca="0">F83/F64</x:f>
        <x:v>0.4045887754844856</x:v>
      </x:c>
      <x:c r="G142" s="38" t="n">
        <x:f aca="0">G83/G64</x:f>
        <x:v>0.5158217027553589</x:v>
      </x:c>
    </x:row>
    <x:row r="143" ht="15" hidden="0">
      <x:c r="A143" s="20" t="s">
        <x:v>222</x:v>
      </x:c>
      <x:c r="B143" s="21"/>
      <x:c r="C143" s="21"/>
      <x:c r="D143" s="21"/>
      <x:c r="E143" s="21"/>
      <x:c r="F143" s="21"/>
      <x:c r="G143" s="21"/>
    </x:row>
    <x:row r="144" ht="15" hidden="0">
      <x:c r="A144" s="33" t="s">
        <x:v>223</x:v>
      </x:c>
      <x:c r="B144" s="34" t="s">
        <x:v>224</x:v>
      </x:c>
      <x:c r="C144" s="39" t="n">
        <x:f aca="0">C29/C103</x:f>
        <x:v>110.64122209168052</x:v>
      </x:c>
      <x:c r="D144" s="39" t="n">
        <x:f aca="0">D29/D103</x:f>
        <x:v>135.64693964412666</x:v>
      </x:c>
      <x:c r="E144" s="39" t="n">
        <x:f aca="0">E29/E103</x:f>
        <x:v>162.35106244484723</x:v>
      </x:c>
      <x:c r="F144" s="39" t="n">
        <x:f aca="0">F29/F103</x:f>
        <x:v>209.7928785338331</x:v>
      </x:c>
      <x:c r="G144" s="39" t="n">
        <x:f aca="0">G29/G103</x:f>
        <x:v>260.8226721418157</x:v>
      </x:c>
    </x:row>
    <x:row r="145" ht="15" hidden="0">
      <x:c r="A145" s="33" t="s">
        <x:v>225</x:v>
      </x:c>
      <x:c r="B145" s="34" t="s">
        <x:v>226</x:v>
      </x:c>
      <x:c r="C145" s="35" t="n">
        <x:f aca="0">C105/C144</x:f>
        <x:v>1.8663025958706099</x:v>
      </x:c>
      <x:c r="D145" s="35" t="n">
        <x:f aca="0">D105/D144</x:f>
        <x:v>0.959328683281757</x:v>
      </x:c>
      <x:c r="E145" s="35" t="n">
        <x:f aca="0">E105/E144</x:f>
        <x:v>1.0684870021034203</x:v>
      </x:c>
      <x:c r="F145" s="35" t="n">
        <x:f aca="0">F105/F144</x:f>
        <x:v>1.1937011482475721</x:v>
      </x:c>
      <x:c r="G145" s="35" t="n">
        <x:f aca="0">G105/G144</x:f>
        <x:v>1.4544747850514033</x:v>
      </x:c>
    </x:row>
    <x:row r="146" ht="15" hidden="0">
      <x:c r="A146" s="33" t="s">
        <x:v>227</x:v>
      </x:c>
      <x:c r="B146" s="34" t="s">
        <x:v>228</x:v>
      </x:c>
      <x:c r="C146" s="39" t="n">
        <x:f aca="0">C79/C104</x:f>
        <x:v>17.412549352402124</x:v>
      </x:c>
      <x:c r="D146" s="39" t="n">
        <x:f aca="0">D79/D104</x:f>
        <x:v>25.013680261160516</x:v>
      </x:c>
      <x:c r="E146" s="39" t="n">
        <x:f aca="0">E79/E104</x:f>
        <x:v>28.978958275869324</x:v>
      </x:c>
      <x:c r="F146" s="39" t="n">
        <x:f aca="0">F79/F104</x:f>
        <x:v>45.27427267861498</x:v>
      </x:c>
      <x:c r="G146" s="39" t="n">
        <x:f aca="0">G79/G104</x:f>
        <x:v>59.84205460086993</x:v>
      </x:c>
    </x:row>
    <x:row r="147" ht="15" hidden="0">
      <x:c r="A147" s="33" t="s">
        <x:v>229</x:v>
      </x:c>
      <x:c r="B147" s="34" t="s">
        <x:v>230</x:v>
      </x:c>
      <x:c r="C147" s="35" t="n">
        <x:f aca="0">IF(C146&lt;=0,"n/m",C105/C146)</x:f>
        <x:v>11.858688571154802</x:v>
      </x:c>
      <x:c r="D147" s="35" t="n">
        <x:f aca="0">IF(D146&lt;=0,"n/m",D105/D146)</x:f>
        <x:v>5.202353217973155</x:v>
      </x:c>
      <x:c r="E147" s="35" t="n">
        <x:f aca="0">IF(E146&lt;=0,"n/m",E105/E146)</x:f>
        <x:v>5.986067488990722</x:v>
      </x:c>
      <x:c r="F147" s="35" t="n">
        <x:f aca="0">IF(F146&lt;=0,"n/m",F105/F146)</x:f>
        <x:v>5.531397528519306</x:v>
      </x:c>
      <x:c r="G147" s="35" t="n">
        <x:f aca="0">IF(G146&lt;=0,"n/m",G105/G146)</x:f>
        <x:v>6.339354531361382</x:v>
      </x:c>
    </x:row>
    <x:row r="148" ht="15" hidden="0">
      <x:c r="A148" s="33" t="s">
        <x:v>231</x:v>
      </x:c>
      <x:c r="B148" s="34" t="s">
        <x:v>232</x:v>
      </x:c>
      <x:c r="C148" s="38" t="n">
        <x:f aca="0">C106/C105</x:f>
        <x:v>0</x:v>
      </x:c>
      <x:c r="D148" s="38" t="n">
        <x:f aca="0">D106/D105</x:f>
        <x:v>0</x:v>
      </x:c>
      <x:c r="E148" s="38" t="n">
        <x:f aca="0">E106/E105</x:f>
        <x:v>0</x:v>
      </x:c>
      <x:c r="F148" s="38" t="n">
        <x:f aca="0">F106/F105</x:f>
        <x:v>0</x:v>
      </x:c>
      <x:c r="G148" s="38" t="n">
        <x:f aca="0">G106/G105</x:f>
        <x:v>0</x:v>
      </x:c>
    </x:row>
    <x:row r="149" ht="15" hidden="0">
      <x:c r="A149" s="33" t="s">
        <x:v>233</x:v>
      </x:c>
      <x:c r="B149" s="34" t="s">
        <x:v>234</x:v>
      </x:c>
      <x:c r="C149" s="38" t="n">
        <x:f aca="0">IF(C146&lt;=0,"n/m",C106/C146)</x:f>
        <x:v>0</x:v>
      </x:c>
      <x:c r="D149" s="38" t="n">
        <x:f aca="0">IF(D146&lt;=0,"n/m",D106/D146)</x:f>
        <x:v>0</x:v>
      </x:c>
      <x:c r="E149" s="38" t="n">
        <x:f aca="0">IF(E146&lt;=0,"n/m",E106/E146)</x:f>
        <x:v>0</x:v>
      </x:c>
      <x:c r="F149" s="38" t="n">
        <x:f aca="0">IF(F146&lt;=0,"n/m",F106/F146)</x:f>
        <x:v>0</x:v>
      </x:c>
      <x:c r="G149" s="38" t="n">
        <x:f aca="0">IF(G146&lt;=0,"n/m",G106/G146)</x:f>
        <x:v>0</x:v>
      </x:c>
    </x:row>
    <x:row r="150" ht="15" hidden="0">
      <x:c r="A150" s="20" t="s">
        <x:v>235</x:v>
      </x:c>
      <x:c r="B150" s="21"/>
      <x:c r="C150" s="21"/>
      <x:c r="D150" s="21"/>
      <x:c r="E150" s="21"/>
      <x:c r="F150" s="21"/>
      <x:c r="G150" s="21"/>
    </x:row>
    <x:row r="151" ht="15" hidden="0">
      <x:c r="A151" s="33" t="s">
        <x:v>236</x:v>
      </x:c>
      <x:c r="B151" s="34" t="s">
        <x:v>237</x:v>
      </x:c>
      <x:c r="C151" s="35" t="n">
        <x:f aca="0">C93/AVERAGE(H48,C48)</x:f>
        <x:v>0.7348241709774519</x:v>
      </x:c>
      <x:c r="D151" s="35" t="n">
        <x:f aca="0">D93/AVERAGE(C48,D48)</x:f>
        <x:v>0.9591143466325385</x:v>
      </x:c>
      <x:c r="E151" s="35" t="n">
        <x:f aca="0">E93/AVERAGE(D48,E48)</x:f>
        <x:v>0.45896656897619287</x:v>
      </x:c>
      <x:c r="F151" s="35" t="n">
        <x:f aca="0">F93/AVERAGE(E48,F48)</x:f>
        <x:v>0.6328198162609167</x:v>
      </x:c>
      <x:c r="G151" s="35" t="n">
        <x:f aca="0">G93/AVERAGE(F48,G48)</x:f>
        <x:v>0.8241991052874028</x:v>
      </x:c>
    </x:row>
    <x:row r="153" ht="19.5" hidden="0" customHeight="1">
      <x:c r="A153" s="5" t="s">
        <x:v>238</x:v>
      </x:c>
      <x:c r="B153" s="6"/>
      <x:c r="C153" s="6"/>
      <x:c r="D153" s="6"/>
      <x:c r="E153" s="6"/>
      <x:c r="F153" s="6"/>
      <x:c r="G153" s="6"/>
    </x:row>
    <x:row r="154" ht="15" hidden="0">
      <x:c r="A154" s="40" t="s">
        <x:v>239</x:v>
      </x:c>
      <x:c r="B154" s="40"/>
      <x:c r="C154" s="41" t="s">
        <x:v>48</x:v>
      </x:c>
      <x:c r="D154" s="41" t="s">
        <x:v>49</x:v>
      </x:c>
      <x:c r="E154" s="41" t="s">
        <x:v>50</x:v>
      </x:c>
      <x:c r="F154" s="41" t="s">
        <x:v>51</x:v>
      </x:c>
      <x:c r="G154" s="41" t="s">
        <x:v>52</x:v>
      </x:c>
    </x:row>
    <x:row r="155" ht="15" hidden="0">
      <x:c r="A155" s="33" t="s">
        <x:v>66</x:v>
      </x:c>
      <x:c r="B155" s="33"/>
      <x:c r="C155" s="42" t="n">
        <x:f aca="0">C9/C25</x:f>
        <x:v>0.6104024404369143</x:v>
      </x:c>
      <x:c r="D155" s="42" t="n">
        <x:f aca="0">D9/D25</x:f>
        <x:v>0.4920638463693792</x:v>
      </x:c>
      <x:c r="E155" s="42" t="n">
        <x:f aca="0">E9/E25</x:f>
        <x:v>0.4488067950311058</x:v>
      </x:c>
      <x:c r="F155" s="42" t="n">
        <x:f aca="0">F9/F25</x:f>
        <x:v>0.3765363659329808</x:v>
      </x:c>
      <x:c r="G155" s="42" t="n">
        <x:f aca="0">G9/G25</x:f>
        <x:v>0.34973008764784314</x:v>
      </x:c>
    </x:row>
    <x:row r="156" ht="15" hidden="0">
      <x:c r="A156" s="33" t="s">
        <x:v>73</x:v>
      </x:c>
      <x:c r="B156" s="33"/>
      <x:c r="C156" s="42" t="n">
        <x:f aca="0">C16/C25</x:f>
        <x:v>0.7270812160800726</x:v>
      </x:c>
      <x:c r="D156" s="42" t="n">
        <x:f aca="0">D16/D25</x:f>
        <x:v>0.5899525351958268</x:v>
      </x:c>
      <x:c r="E156" s="42" t="n">
        <x:f aca="0">E16/E25</x:f>
        <x:v>0.5373845810474829</x:v>
      </x:c>
      <x:c r="F156" s="42" t="n">
        <x:f aca="0">F16/F25</x:f>
        <x:v>0.4525732003084308</x:v>
      </x:c>
      <x:c r="G156" s="42" t="n">
        <x:f aca="0">G16/G25</x:f>
        <x:v>0.42188501577615356</x:v>
      </x:c>
    </x:row>
    <x:row r="157" ht="15" hidden="0">
      <x:c r="A157" s="33" t="s">
        <x:v>240</x:v>
      </x:c>
      <x:c r="B157" s="33"/>
      <x:c r="C157" s="42" t="n">
        <x:f aca="0">C54/C25</x:f>
        <x:v>0.11592968312089379</x:v>
      </x:c>
      <x:c r="D157" s="42" t="n">
        <x:f aca="0">D54/D25</x:f>
        <x:v>0.13081658714941574</x:v>
      </x:c>
      <x:c r="E157" s="42" t="n">
        <x:f aca="0">E54/E25</x:f>
        <x:v>0.1545725750214985</x:v>
      </x:c>
      <x:c r="F157" s="42" t="n">
        <x:f aca="0">F54/F25</x:f>
        <x:v>0.1288069592402164</x:v>
      </x:c>
      <x:c r="G157" s="42" t="n">
        <x:f aca="0">G54/G25</x:f>
        <x:v>0.11235789138852169</x:v>
      </x:c>
    </x:row>
    <x:row r="158" ht="15" hidden="0">
      <x:c r="A158" s="33" t="s">
        <x:v>77</x:v>
      </x:c>
      <x:c r="B158" s="33"/>
      <x:c r="C158" s="42" t="n">
        <x:f aca="0">C20/C25</x:f>
        <x:v>0.027255531473281764</x:v>
      </x:c>
      <x:c r="D158" s="42" t="n">
        <x:f aca="0">D20/D25</x:f>
        <x:v>0.021130919419659774</x:v>
      </x:c>
      <x:c r="E158" s="42" t="n">
        <x:f aca="0">E20/E25</x:f>
        <x:v>0.024339825080717026</x:v>
      </x:c>
      <x:c r="F158" s="42" t="n">
        <x:f aca="0">F20/F25</x:f>
        <x:v>0.035862163988864895</x:v>
      </x:c>
      <x:c r="G158" s="42" t="n">
        <x:f aca="0">G20/G25</x:f>
        <x:v>0.025334759610633677</x:v>
      </x:c>
    </x:row>
    <x:row r="159" ht="15" hidden="0">
      <x:c r="A159" s="33" t="s">
        <x:v>78</x:v>
      </x:c>
      <x:c r="B159" s="33"/>
      <x:c r="C159" s="42" t="n">
        <x:f aca="0">C21/C25</x:f>
        <x:v>0.08311865638736946</x:v>
      </x:c>
      <x:c r="D159" s="42" t="n">
        <x:f aca="0">D21/D25</x:f>
        <x:v>0.23353955536353374</x:v>
      </x:c>
      <x:c r="E159" s="42" t="n">
        <x:f aca="0">E21/E25</x:f>
        <x:v>0.24904209574227493</x:v>
      </x:c>
      <x:c r="F159" s="42" t="n">
        <x:f aca="0">F21/F25</x:f>
        <x:v>0.34463987589590195</x:v>
      </x:c>
      <x:c r="G159" s="42" t="n">
        <x:f aca="0">G21/G25</x:f>
        <x:v>0.40335219409966694</x:v>
      </x:c>
    </x:row>
    <x:row r="160" ht="15" hidden="0">
      <x:c r="A160" s="33" t="s">
        <x:v>79</x:v>
      </x:c>
      <x:c r="B160" s="33"/>
      <x:c r="C160" s="42" t="n">
        <x:f aca="0">C22/C25</x:f>
        <x:v>0.033190122717754615</x:v>
      </x:c>
      <x:c r="D160" s="42" t="n">
        <x:f aca="0">D22/D25</x:f>
        <x:v>0.011090155144323594</x:v>
      </x:c>
      <x:c r="E160" s="42" t="n">
        <x:f aca="0">E22/E25</x:f>
        <x:v>0.018847885506490802</x:v>
      </x:c>
      <x:c r="F160" s="42" t="n">
        <x:f aca="0">F22/F25</x:f>
        <x:v>0.018738739363736656</x:v>
      </x:c>
      <x:c r="G160" s="42" t="n">
        <x:f aca="0">G22/G25</x:f>
        <x:v>0.021718956069774295</x:v>
      </x:c>
    </x:row>
    <x:row r="161" ht="15" hidden="0">
      <x:c r="A161" s="33" t="s">
        <x:v>81</x:v>
      </x:c>
      <x:c r="B161" s="33"/>
      <x:c r="C161" s="42" t="n">
        <x:f aca="0">C24/C25</x:f>
        <x:v>0.27291878391992735</x:v>
      </x:c>
      <x:c r="D161" s="42" t="n">
        <x:f aca="0">D24/D25</x:f>
        <x:v>0.4100474648041733</x:v>
      </x:c>
      <x:c r="E161" s="42" t="n">
        <x:f aca="0">E24/E25</x:f>
        <x:v>0.4626154189525172</x:v>
      </x:c>
      <x:c r="F161" s="42" t="n">
        <x:f aca="0">F24/F25</x:f>
        <x:v>0.5474267996915693</x:v>
      </x:c>
      <x:c r="G161" s="42" t="n">
        <x:f aca="0">G24/G25</x:f>
        <x:v>0.5781149842238464</x:v>
      </x:c>
    </x:row>
    <x:row r="162" ht="15" hidden="0">
      <x:c r="A162" s="33" t="s">
        <x:v>86</x:v>
      </x:c>
      <x:c r="B162" s="33"/>
      <x:c r="C162" s="42" t="n">
        <x:f aca="0">C29/C25</x:f>
        <x:v>0.6158336174449659</x:v>
      </x:c>
      <x:c r="D162" s="42" t="n">
        <x:f aca="0">D29/D25</x:f>
        <x:v>0.6285075083282955</x:v>
      </x:c>
      <x:c r="E162" s="42" t="n">
        <x:f aca="0">E29/E25</x:f>
        <x:v>0.6583887590151666</x:v>
      </x:c>
      <x:c r="F162" s="42" t="n">
        <x:f aca="0">F29/F25</x:f>
        <x:v>0.698300548149705</x:v>
      </x:c>
      <x:c r="G162" s="42" t="n">
        <x:f aca="0">G29/G25</x:f>
        <x:v>0.7179532735297155</x:v>
      </x:c>
    </x:row>
    <x:row r="163" ht="15" hidden="0">
      <x:c r="A163" s="33" t="s">
        <x:v>93</x:v>
      </x:c>
      <x:c r="B163" s="33"/>
      <x:c r="C163" s="42" t="n">
        <x:f aca="0">C36/C25</x:f>
        <x:v>0.17433291274189106</x:v>
      </x:c>
      <x:c r="D163" s="42" t="n">
        <x:f aca="0">D36/D25</x:f>
        <x:v>0.15262641299575178</x:v>
      </x:c>
      <x:c r="E163" s="42" t="n">
        <x:f aca="0">E36/E25</x:f>
        <x:v>0.14148088984102922</x:v>
      </x:c>
      <x:c r="F163" s="42" t="n">
        <x:f aca="0">F36/F25</x:f>
        <x:v>0.11313699636826952</x:v>
      </x:c>
      <x:c r="G163" s="42" t="n">
        <x:f aca="0">G36/G25</x:f>
        <x:v>0.10745549553575273</x:v>
      </x:c>
    </x:row>
    <x:row r="164" ht="15" hidden="0">
      <x:c r="A164" s="33" t="s">
        <x:v>105</x:v>
      </x:c>
      <x:c r="B164" s="33"/>
      <x:c r="C164" s="42" t="n">
        <x:f aca="0">C48/C25</x:f>
        <x:v>0.2098334698131429</x:v>
      </x:c>
      <x:c r="D164" s="42" t="n">
        <x:f aca="0">D48/D25</x:f>
        <x:v>0.2188660786759528</x:v>
      </x:c>
      <x:c r="E164" s="42" t="n">
        <x:f aca="0">E48/E25</x:f>
        <x:v>0.20013035114380423</x:v>
      </x:c>
      <x:c r="F164" s="42" t="n">
        <x:f aca="0">F48/F25</x:f>
        <x:v>0.18856245548202555</x:v>
      </x:c>
      <x:c r="G164" s="42" t="n">
        <x:f aca="0">G48/G25</x:f>
        <x:v>0.17459123093453174</x:v>
      </x:c>
    </x:row>
    <x:row r="165" ht="15" hidden="0">
      <x:c r="A165" s="33" t="s">
        <x:v>112</x:v>
      </x:c>
      <x:c r="B165" s="33"/>
      <x:c r="C165" s="42" t="n">
        <x:f aca="0">C55/C25</x:f>
        <x:v>0.1676725502773455</x:v>
      </x:c>
      <x:c r="D165" s="42" t="n">
        <x:f aca="0">D55/D25</x:f>
        <x:v>0.09806798108159731</x:v>
      </x:c>
      <x:c r="E165" s="42" t="n">
        <x:f aca="0">E55/E25</x:f>
        <x:v>0.06427152014149022</x:v>
      </x:c>
      <x:c r="F165" s="42" t="n">
        <x:f aca="0">F55/F25</x:f>
        <x:v>0.03888292398207925</x:v>
      </x:c>
      <x:c r="G165" s="42" t="n">
        <x:f aca="0">G55/G25</x:f>
        <x:v>0.034284984460265365</x:v>
      </x:c>
    </x:row>
    <x:row r="166" ht="15" hidden="0">
      <x:c r="A166" s="40" t="s">
        <x:v>241</x:v>
      </x:c>
      <x:c r="B166" s="40"/>
      <x:c r="C166" s="41" t="s">
        <x:v>48</x:v>
      </x:c>
      <x:c r="D166" s="41" t="s">
        <x:v>49</x:v>
      </x:c>
      <x:c r="E166" s="41" t="s">
        <x:v>50</x:v>
      </x:c>
      <x:c r="F166" s="41" t="s">
        <x:v>51</x:v>
      </x:c>
      <x:c r="G166" s="41" t="s">
        <x:v>52</x:v>
      </x:c>
    </x:row>
    <x:row r="167" ht="15" hidden="0">
      <x:c r="A167" s="33" t="s">
        <x:v>120</x:v>
      </x:c>
      <x:c r="B167" s="33"/>
      <x:c r="C167" s="42" t="n">
        <x:f aca="0">C65/C64</x:f>
        <x:v>-0.7520365869917107</x:v>
      </x:c>
      <x:c r="D167" s="42" t="n">
        <x:f aca="0">D65/D64</x:f>
        <x:v>-0.7015608578649012</x:v>
      </x:c>
      <x:c r="E167" s="42" t="n">
        <x:f aca="0">E65/E64</x:f>
        <x:v>-0.731956431810104</x:v>
      </x:c>
      <x:c r="F167" s="42" t="n">
        <x:f aca="0">F65/F64</x:f>
        <x:v>-0.708741485325744</x:v>
      </x:c>
      <x:c r="G167" s="42" t="n">
        <x:f aca="0">G65/G64</x:f>
        <x:v>-0.6077972182455486</x:v>
      </x:c>
    </x:row>
    <x:row r="168" ht="15" hidden="0">
      <x:c r="A168" s="33" t="s">
        <x:v>121</x:v>
      </x:c>
      <x:c r="B168" s="33"/>
      <x:c r="C168" s="42" t="n">
        <x:f aca="0">C66/C64</x:f>
        <x:v>0.2479634130082893</x:v>
      </x:c>
      <x:c r="D168" s="42" t="n">
        <x:f aca="0">D66/D64</x:f>
        <x:v>0.2984391421350988</x:v>
      </x:c>
      <x:c r="E168" s="42" t="n">
        <x:f aca="0">E66/E64</x:f>
        <x:v>0.2680435681898961</x:v>
      </x:c>
      <x:c r="F168" s="42" t="n">
        <x:f aca="0">F66/F64</x:f>
        <x:v>0.29125851467425595</x:v>
      </x:c>
      <x:c r="G168" s="42" t="n">
        <x:f aca="0">G66/G64</x:f>
        <x:v>0.39220278175445145</x:v>
      </x:c>
    </x:row>
    <x:row r="169" ht="15" hidden="0">
      <x:c r="A169" s="33" t="s">
        <x:v>242</x:v>
      </x:c>
      <x:c r="B169" s="33"/>
      <x:c r="C169" s="42" t="n">
        <x:f aca="0">(C67+C68+C69+C70)/C64</x:f>
        <x:v>-0.03046939571646364</x:v>
      </x:c>
      <x:c r="D169" s="42" t="n">
        <x:f aca="0">(D67+D68+D69+D70)/D64</x:f>
        <x:v>-0.03159392796286197</x:v>
      </x:c>
      <x:c r="E169" s="42" t="n">
        <x:f aca="0">(E67+E68+E69+E70)/E64</x:f>
        <x:v>-0.033628249692750904</x:v>
      </x:c>
      <x:c r="F169" s="42" t="n">
        <x:f aca="0">(F67+F68+F69+F70)/F64</x:f>
        <x:v>-0.0324790312317496</x:v>
      </x:c>
      <x:c r="G169" s="42" t="n">
        <x:f aca="0">(G67+G68+G69+G70)/G64</x:f>
        <x:v>-0.050767433299885575</x:v>
      </x:c>
    </x:row>
    <x:row r="170" ht="15" hidden="0">
      <x:c r="A170" s="33" t="s">
        <x:v>126</x:v>
      </x:c>
      <x:c r="B170" s="33"/>
      <x:c r="C170" s="42" t="n">
        <x:f aca="0">C71/C64</x:f>
        <x:v>0.2174940172918257</x:v>
      </x:c>
      <x:c r="D170" s="42" t="n">
        <x:f aca="0">D71/D64</x:f>
        <x:v>0.26684521417223683</x:v>
      </x:c>
      <x:c r="E170" s="42" t="n">
        <x:f aca="0">E71/E64</x:f>
        <x:v>0.23441531849714523</x:v>
      </x:c>
      <x:c r="F170" s="42" t="n">
        <x:f aca="0">F71/F64</x:f>
        <x:v>0.25877948344250634</x:v>
      </x:c>
      <x:c r="G170" s="42" t="n">
        <x:f aca="0">G71/G64</x:f>
        <x:v>0.34143534845456586</x:v>
      </x:c>
    </x:row>
    <x:row r="171" ht="15" hidden="0">
      <x:c r="A171" s="33" t="s">
        <x:v>127</x:v>
      </x:c>
      <x:c r="B171" s="33"/>
      <x:c r="C171" s="42" t="n">
        <x:f aca="0">(C72+C73+C74)/C64</x:f>
        <x:v>0.007094484039188474</x:v>
      </x:c>
      <x:c r="D171" s="42" t="n">
        <x:f aca="0">(D72+D73+D74)/D64</x:f>
        <x:v>0.020991710399966976</x:v>
      </x:c>
      <x:c r="E171" s="42" t="n">
        <x:f aca="0">(E72+E73+E74)/E64</x:f>
        <x:v>0.053589938712582906</x:v>
      </x:c>
      <x:c r="F171" s="42" t="n">
        <x:f aca="0">(F72+F73+F74)/F64</x:f>
        <x:v>0.11520501044784114</x:v>
      </x:c>
      <x:c r="G171" s="42" t="n">
        <x:f aca="0">(G72+G73+G74)/G64</x:f>
        <x:v>0.14068524483798328</x:v>
      </x:c>
    </x:row>
    <x:row r="172" ht="15" hidden="0">
      <x:c r="A172" s="33" t="s">
        <x:v>130</x:v>
      </x:c>
      <x:c r="B172" s="33"/>
      <x:c r="C172" s="42" t="n">
        <x:f aca="0">C75/C64</x:f>
        <x:v>-0.021492593920963813</x:v>
      </x:c>
      <x:c r="D172" s="42" t="n">
        <x:f aca="0">D75/D64</x:f>
        <x:v>-0.01635525279649306</x:v>
      </x:c>
      <x:c r="E172" s="42" t="n">
        <x:f aca="0">E75/E64</x:f>
        <x:v>-0.01902046934417929</x:v>
      </x:c>
      <x:c r="F172" s="42" t="n">
        <x:f aca="0">F75/F64</x:f>
        <x:v>-0.017527036632251494</x:v>
      </x:c>
      <x:c r="G172" s="42" t="n">
        <x:f aca="0">G75/G64</x:f>
        <x:v>-0.009322077716205827</x:v>
      </x:c>
    </x:row>
    <x:row r="173" ht="15" hidden="0">
      <x:c r="A173" s="33" t="s">
        <x:v>131</x:v>
      </x:c>
      <x:c r="B173" s="33"/>
      <x:c r="C173" s="42" t="n">
        <x:f aca="0">C76/C64</x:f>
        <x:v>0.20309590741005035</x:v>
      </x:c>
      <x:c r="D173" s="42" t="n">
        <x:f aca="0">D76/D64</x:f>
        <x:v>0.2714816717757107</x:v>
      </x:c>
      <x:c r="E173" s="42" t="n">
        <x:f aca="0">E76/E64</x:f>
        <x:v>0.26898478786554886</x:v>
      </x:c>
      <x:c r="F173" s="42" t="n">
        <x:f aca="0">F76/F64</x:f>
        <x:v>0.356457457258096</x:v>
      </x:c>
      <x:c r="G173" s="42" t="n">
        <x:f aca="0">G76/G64</x:f>
        <x:v>0.4727985155763434</x:v>
      </x:c>
    </x:row>
    <x:row r="174" ht="15" hidden="0">
      <x:c r="A174" s="33" t="s">
        <x:v>243</x:v>
      </x:c>
      <x:c r="B174" s="33"/>
      <x:c r="C174" s="42" t="n">
        <x:f aca="0">(C77+C78)/C64</x:f>
        <x:v>-0.057713998420347745</x:v>
      </x:c>
      <x:c r="D174" s="42" t="n">
        <x:f aca="0">(D77+D78)/D64</x:f>
        <x:v>-0.11866091481784687</x:v>
      </x:c>
      <x:c r="E174" s="42" t="n">
        <x:f aca="0">(E77+E78)/E64</x:f>
        <x:v>-0.11943425915170339</x:v>
      </x:c>
      <x:c r="F174" s="42" t="n">
        <x:f aca="0">(F77+F78)/F64</x:f>
        <x:v>-0.12634184505913956</x:v>
      </x:c>
      <x:c r="G174" s="42" t="n">
        <x:f aca="0">(G77+G78)/G64</x:f>
        <x:v>-0.16442131850039482</x:v>
      </x:c>
    </x:row>
    <x:row r="175" ht="15" hidden="0">
      <x:c r="A175" s="33" t="s">
        <x:v>134</x:v>
      </x:c>
      <x:c r="B175" s="33"/>
      <x:c r="C175" s="42" t="n">
        <x:f aca="0">C79/C64</x:f>
        <x:v>0.1453819089897026</x:v>
      </x:c>
      <x:c r="D175" s="42" t="n">
        <x:f aca="0">D79/D64</x:f>
        <x:v>0.15282075695786385</x:v>
      </x:c>
      <x:c r="E175" s="42" t="n">
        <x:f aca="0">E79/E64</x:f>
        <x:v>0.14955052871384544</x:v>
      </x:c>
      <x:c r="F175" s="42" t="n">
        <x:f aca="0">F79/F64</x:f>
        <x:v>0.23011561219895646</x:v>
      </x:c>
      <x:c r="G175" s="42" t="n">
        <x:f aca="0">G79/G64</x:f>
        <x:v>0.3083771970759486</x:v>
      </x:c>
    </x:row>
    <x:row r="176" ht="15" hidden="0">
      <x:c r="A176" s="33" t="s">
        <x:v>138</x:v>
      </x:c>
      <x:c r="B176" s="33"/>
      <x:c r="C176" s="42" t="n">
        <x:f aca="0">C83/C64</x:f>
        <x:v>0.2757450655967617</x:v>
      </x:c>
      <x:c r="D176" s="42" t="n">
        <x:f aca="0">D83/D64</x:f>
        <x:v>0.3218458531352648</x:v>
      </x:c>
      <x:c r="E176" s="42" t="n">
        <x:f aca="0">E83/E64</x:f>
        <x:v>0.31667859993966047</x:v>
      </x:c>
      <x:c r="F176" s="42" t="n">
        <x:f aca="0">F83/F64</x:f>
        <x:v>0.4045887754844856</x:v>
      </x:c>
      <x:c r="G176" s="42" t="n">
        <x:f aca="0">G83/G64</x:f>
        <x:v>0.5158217027553589</x:v>
      </x:c>
    </x:row>
    <x:row r="178" ht="19.5" hidden="0" customHeight="1">
      <x:c r="A178" s="5" t="s">
        <x:v>244</x:v>
      </x:c>
      <x:c r="B178" s="6"/>
      <x:c r="C178" s="6"/>
      <x:c r="D178" s="6"/>
      <x:c r="E178" s="6"/>
      <x:c r="F178" s="6"/>
      <x:c r="G178" s="6"/>
    </x:row>
    <x:row r="179" ht="15" hidden="0">
      <x:c r="A179" s="40" t="s">
        <x:v>245</x:v>
      </x:c>
      <x:c r="B179" s="40"/>
      <x:c r="C179" s="41" t="s">
        <x:v>48</x:v>
      </x:c>
      <x:c r="D179" s="41" t="s">
        <x:v>49</x:v>
      </x:c>
      <x:c r="E179" s="41" t="s">
        <x:v>50</x:v>
      </x:c>
      <x:c r="F179" s="41" t="s">
        <x:v>51</x:v>
      </x:c>
      <x:c r="G179" s="41" t="s">
        <x:v>52</x:v>
      </x:c>
    </x:row>
    <x:row r="180" ht="15" hidden="0">
      <x:c r="A180" s="33" t="s">
        <x:v>119</x:v>
      </x:c>
      <x:c r="B180" s="33"/>
      <x:c r="C180" s="38" t="n">
        <x:f aca="0">IF(H64&lt;=0,"n/m",C64/H64-1)</x:f>
        <x:v>1.1289260088617548</x:v>
      </x:c>
      <x:c r="D180" s="38" t="n">
        <x:f aca="0">IF(C64&lt;=0,"n/m",D64/C64-1)</x:f>
        <x:v>0.36660578401953936</x:v>
      </x:c>
      <x:c r="E180" s="38" t="n">
        <x:f aca="0">IF(D64&lt;=0,"n/m",E64/D64-1)</x:f>
        <x:v>0.1838578798199746</x:v>
      </x:c>
      <x:c r="F180" s="38" t="n">
        <x:f aca="0">IF(E64&lt;=0,"n/m",F64/E64-1)</x:f>
        <x:v>-0.007036379009701443</x:v>
      </x:c>
      <x:c r="G180" s="38" t="n">
        <x:f aca="0">IF(F64&lt;=0,"n/m",G64/F64-1)</x:f>
        <x:v>-0.028774432738410294</x:v>
      </x:c>
    </x:row>
    <x:row r="181" ht="15" hidden="0">
      <x:c r="A181" s="33" t="s">
        <x:v>121</x:v>
      </x:c>
      <x:c r="B181" s="33"/>
      <x:c r="C181" s="38" t="str">
        <x:f aca="0">IF(H66&lt;=0,"n/m",C66/H66-1)</x:f>
        <x:v>n/m</x:v>
      </x:c>
      <x:c r="D181" s="38" t="n">
        <x:f aca="0">IF(C66&lt;=0,"n/m",D66/C66-1)</x:f>
        <x:v>0.6447936930357592</x:v>
      </x:c>
      <x:c r="E181" s="38" t="n">
        <x:f aca="0">IF(D66&lt;=0,"n/m",E66/D66-1)</x:f>
        <x:v>0.06328375047071688</x:v>
      </x:c>
      <x:c r="F181" s="38" t="n">
        <x:f aca="0">IF(E66&lt;=0,"n/m",F66/E66-1)</x:f>
        <x:v>0.07896306308799139</x:v>
      </x:c>
      <x:c r="G181" s="38" t="n">
        <x:f aca="0">IF(F66&lt;=0,"n/m",G66/F66-1)</x:f>
        <x:v>0.307832561108331</x:v>
      </x:c>
    </x:row>
    <x:row r="182" ht="15" hidden="0">
      <x:c r="A182" s="33" t="s">
        <x:v>126</x:v>
      </x:c>
      <x:c r="B182" s="33"/>
      <x:c r="C182" s="38" t="str">
        <x:f aca="0">IF(H71&lt;=0,"n/m",C71/H71-1)</x:f>
        <x:v>n/m</x:v>
      </x:c>
      <x:c r="D182" s="38" t="n">
        <x:f aca="0">IF(C71&lt;=0,"n/m",D71/C71-1)</x:f>
        <x:v>0.6766999739418462</x:v>
      </x:c>
      <x:c r="E182" s="38" t="n">
        <x:f aca="0">IF(D71&lt;=0,"n/m",E71/D71-1)</x:f>
        <x:v>0.039982758597390866</x:v>
      </x:c>
      <x:c r="F182" s="38" t="n">
        <x:f aca="0">IF(E71&lt;=0,"n/m",F71/E71-1)</x:f>
        <x:v>0.09616817947074319</x:v>
      </x:c>
      <x:c r="G182" s="38" t="n">
        <x:f aca="0">IF(F71&lt;=0,"n/m",G71/F71-1)</x:f>
        <x:v>0.28144138621259374</x:v>
      </x:c>
    </x:row>
    <x:row r="183" ht="15" hidden="0">
      <x:c r="A183" s="33" t="s">
        <x:v>138</x:v>
      </x:c>
      <x:c r="B183" s="33"/>
      <x:c r="C183" s="38" t="n">
        <x:f aca="0">IF(H83&lt;=0,"n/m",C83/H83-1)</x:f>
        <x:v>9.182706808695725</x:v>
      </x:c>
      <x:c r="D183" s="38" t="n">
        <x:f aca="0">IF(C83&lt;=0,"n/m",D83/C83-1)</x:f>
        <x:v>0.5950835004262773</x:v>
      </x:c>
      <x:c r="E183" s="38" t="n">
        <x:f aca="0">IF(D83&lt;=0,"n/m",E83/D83-1)</x:f>
        <x:v>0.16485097526287218</x:v>
      </x:c>
      <x:c r="F183" s="38" t="n">
        <x:f aca="0">IF(E83&lt;=0,"n/m",F83/E83-1)</x:f>
        <x:v>0.268610937378317</x:v>
      </x:c>
      <x:c r="G183" s="38" t="n">
        <x:f aca="0">IF(F83&lt;=0,"n/m",G83/F83-1)</x:f>
        <x:v>0.23824301666427017</x:v>
      </x:c>
    </x:row>
    <x:row r="184" ht="15" hidden="0">
      <x:c r="A184" s="33" t="s">
        <x:v>134</x:v>
      </x:c>
      <x:c r="B184" s="33"/>
      <x:c r="C184" s="38" t="str">
        <x:f aca="0">IF(H79&lt;=0,"n/m",C79/H79-1)</x:f>
        <x:v>n/m</x:v>
      </x:c>
      <x:c r="D184" s="38" t="n">
        <x:f aca="0">IF(C79&lt;=0,"n/m",D79/C79-1)</x:f>
        <x:v>0.4365317653907923</x:v>
      </x:c>
      <x:c r="E184" s="38" t="n">
        <x:f aca="0">IF(D79&lt;=0,"n/m",E79/D79-1)</x:f>
        <x:v>0.15852437439467115</x:v>
      </x:c>
      <x:c r="F184" s="38" t="n">
        <x:f aca="0">IF(E79&lt;=0,"n/m",F79/E79-1)</x:f>
        <x:v>0.5278878215983254</x:v>
      </x:c>
      <x:c r="G184" s="38" t="n">
        <x:f aca="0">IF(F79&lt;=0,"n/m",G79/F79-1)</x:f>
        <x:v>0.30153628125708454</x:v>
      </x:c>
    </x:row>
    <x:row r="185" ht="15" hidden="0">
      <x:c r="A185" s="33" t="s">
        <x:v>146</x:v>
      </x:c>
      <x:c r="B185" s="33"/>
      <x:c r="C185" s="38" t="str">
        <x:f aca="0">IF(H93&lt;=0,"n/m",C93/H93-1)</x:f>
        <x:v>n/m</x:v>
      </x:c>
      <x:c r="D185" s="38" t="n">
        <x:f aca="0">IF(C93&lt;=0,"n/m",D93/C93-1)</x:f>
        <x:v>0.607555535680542</x:v>
      </x:c>
      <x:c r="E185" s="38" t="n">
        <x:f aca="0">IF(D93&lt;=0,"n/m",E93/D93-1)</x:f>
        <x:v>-0.4558260595784791</x:v>
      </x:c>
      <x:c r="F185" s="38" t="n">
        <x:f aca="0">IF(E93&lt;=0,"n/m",F93/E93-1)</x:f>
        <x:v>0.49304836834509325</x:v>
      </x:c>
      <x:c r="G185" s="38" t="n">
        <x:f aca="0">IF(F93&lt;=0,"n/m",G93/F93-1)</x:f>
        <x:v>0.4108686446034615</x:v>
      </x:c>
    </x:row>
    <x:row r="186" ht="15" hidden="0">
      <x:c r="A186" s="33" t="s">
        <x:v>246</x:v>
      </x:c>
      <x:c r="B186" s="33"/>
      <x:c r="C186" s="38" t="n">
        <x:f aca="0">IF(H25&lt;=0,"n/m",C25/H25-1)</x:f>
        <x:v>0.13635732264152</x:v>
      </x:c>
      <x:c r="D186" s="38" t="n">
        <x:f aca="0">IF(C25&lt;=0,"n/m",D25/C25-1)</x:f>
        <x:v>0.20128473468375319</x:v>
      </x:c>
      <x:c r="E186" s="38" t="n">
        <x:f aca="0">IF(D25&lt;=0,"n/m",E25/D25-1)</x:f>
        <x:v>0.1425446944263229</x:v>
      </x:c>
      <x:c r="F186" s="38" t="n">
        <x:f aca="0">IF(E25&lt;=0,"n/m",F25/E25-1)</x:f>
        <x:v>0.18803160603982083</x:v>
      </x:c>
      <x:c r="G186" s="38" t="n">
        <x:f aca="0">IF(F25&lt;=0,"n/m",G25/F25-1)</x:f>
        <x:v>0.13512187827654776</x:v>
      </x:c>
    </x:row>
    <x:row r="187" ht="15" hidden="0">
      <x:c r="A187" s="33" t="s">
        <x:v>86</x:v>
      </x:c>
      <x:c r="B187" s="33"/>
      <x:c r="C187" s="38" t="n">
        <x:f aca="0">IF(H29&lt;=0,"n/m",C29/H29-1)</x:f>
        <x:v>0.18673183359900003</x:v>
      </x:c>
      <x:c r="D187" s="38" t="n">
        <x:f aca="0">IF(C29&lt;=0,"n/m",D29/C29-1)</x:f>
        <x:v>0.22600724286763296</x:v>
      </x:c>
      <x:c r="E187" s="38" t="n">
        <x:f aca="0">IF(D29&lt;=0,"n/m",E29/D29-1)</x:f>
        <x:v>0.19686491173910392</x:v>
      </x:c>
      <x:c r="F187" s="38" t="n">
        <x:f aca="0">IF(E29&lt;=0,"n/m",F29/E29-1)</x:f>
        <x:v>0.2600505557806321</x:v>
      </x:c>
      <x:c r="G187" s="38" t="n">
        <x:f aca="0">IF(F29&lt;=0,"n/m",G29/F29-1)</x:f>
        <x:v>0.16706834975751828</x:v>
      </x:c>
    </x:row>
    <x:row r="188" ht="15" hidden="0">
      <x:c r="A188" s="33" t="s">
        <x:v>112</x:v>
      </x:c>
      <x:c r="B188" s="33"/>
      <x:c r="C188" s="38" t="n">
        <x:f aca="0">IF(H55&lt;=0,"n/m",C55/H55-1)</x:f>
        <x:v>-0.1342825714313186</x:v>
      </x:c>
      <x:c r="D188" s="38" t="n">
        <x:f aca="0">IF(C55&lt;=0,"n/m",D55/C55-1)</x:f>
        <x:v>-0.29739502119032835</x:v>
      </x:c>
      <x:c r="E188" s="38" t="n">
        <x:f aca="0">IF(D55&lt;=0,"n/m",E55/D55-1)</x:f>
        <x:v>-0.25120224225607</x:v>
      </x:c>
      <x:c r="F188" s="38" t="n">
        <x:f aca="0">IF(E55&lt;=0,"n/m",F55/E55-1)</x:f>
        <x:v>-0.28126575310090685</x:v>
      </x:c>
      <x:c r="G188" s="38" t="n">
        <x:f aca="0">IF(F55&lt;=0,"n/m",G55/F55-1)</x:f>
        <x:v>0.0008927305764201421</x:v>
      </x:c>
    </x:row>
    <x:row r="189" ht="15" hidden="0">
      <x:c r="A189" s="33" t="s">
        <x:v>240</x:v>
      </x:c>
      <x:c r="B189" s="33"/>
      <x:c r="C189" s="38" t="n">
        <x:f aca="0">IF(H54&lt;=0,"n/m",C54/H54-1)</x:f>
        <x:v>0.2808677175254597</x:v>
      </x:c>
      <x:c r="D189" s="38" t="n">
        <x:f aca="0">IF(C54&lt;=0,"n/m",D54/C54-1)</x:f>
        <x:v>0.3555455769006366</x:v>
      </x:c>
      <x:c r="E189" s="38" t="n">
        <x:f aca="0">IF(D54&lt;=0,"n/m",E54/D54-1)</x:f>
        <x:v>0.3500281527212785</x:v>
      </x:c>
      <x:c r="F189" s="38" t="n">
        <x:f aca="0">IF(E54&lt;=0,"n/m",F54/E54-1)</x:f>
        <x:v>-0.010000715625158474</x:v>
      </x:c>
      <x:c r="G189" s="38" t="n">
        <x:f aca="0">IF(F54&lt;=0,"n/m",G54/F54-1)</x:f>
        <x:v>-0.009836879432285284</x:v>
      </x:c>
    </x:row>
    <x:row r="190" ht="15" hidden="0">
      <x:c r="A190" s="33" t="s">
        <x:v>77</x:v>
      </x:c>
      <x:c r="B190" s="33"/>
      <x:c r="C190" s="38" t="n">
        <x:f aca="0">IF(H20&lt;=0,"n/m",C20/H20-1)</x:f>
        <x:v>0.9897591881889225</x:v>
      </x:c>
      <x:c r="D190" s="38" t="n">
        <x:f aca="0">IF(C20&lt;=0,"n/m",D20/C20-1)</x:f>
        <x:v>-0.06865690901850119</x:v>
      </x:c>
      <x:c r="E190" s="38" t="n">
        <x:f aca="0">IF(D20&lt;=0,"n/m",E20/D20-1)</x:f>
        <x:v>0.3160495980768705</x:v>
      </x:c>
      <x:c r="F190" s="38" t="n">
        <x:f aca="0">IF(E20&lt;=0,"n/m",F20/E20-1)</x:f>
        <x:v>0.7504392138589469</x:v>
      </x:c>
      <x:c r="G190" s="38" t="n">
        <x:f aca="0">IF(F20&lt;=0,"n/m",G20/F20-1)</x:f>
        <x:v>-0.1980952425560094</x:v>
      </x:c>
    </x:row>
    <x:row r="191" ht="15" hidden="0">
      <x:c r="A191" s="33" t="s">
        <x:v>79</x:v>
      </x:c>
      <x:c r="B191" s="33"/>
      <x:c r="C191" s="38" t="n">
        <x:f aca="0">IF(H22&lt;=0,"n/m",C22/H22-1)</x:f>
        <x:v>0.3433391364902154</x:v>
      </x:c>
      <x:c r="D191" s="38" t="n">
        <x:f aca="0">IF(C22&lt;=0,"n/m",D22/C22-1)</x:f>
        <x:v>-0.5986024458709287</x:v>
      </x:c>
      <x:c r="E191" s="38" t="n">
        <x:f aca="0">IF(D22&lt;=0,"n/m",E22/D22-1)</x:f>
        <x:v>0.9417718964570247</x:v>
      </x:c>
      <x:c r="F191" s="38" t="n">
        <x:f aca="0">IF(E22&lt;=0,"n/m",F22/E22-1)</x:f>
        <x:v>0.18115183869273</x:v>
      </x:c>
      <x:c r="G191" s="38" t="n">
        <x:f aca="0">IF(F22&lt;=0,"n/m",G22/F22-1)</x:f>
        <x:v>0.31565212203324466</x:v>
      </x:c>
    </x:row>
    <x:row r="193" ht="15" hidden="0">
      <x:c r="A193" s="15" t="s">
        <x:v>247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FA98A"/>
  </x:sheetPr>
  <x:sheetViews>
    <x:sheetView showGridLines="0" workbookViewId="0">
      <x:pane xSplit="2" ySplit="5" topLeftCell="C6" activePane="bottomRight" state="frozen"/>
    </x:sheetView>
  </x:sheetViews>
  <x:sheetFormatPr defaultColWidth="8.6796875" defaultRowHeight="15"/>
  <x:cols>
    <x:col min="1" max="1" width="44" hidden="0" customWidth="1"/>
    <x:col min="2" max="2" width="36" hidden="0" customWidth="1"/>
    <x:col min="3" max="8" width="12" hidden="0" customWidth="1"/>
  </x:cols>
  <x:sheetData>
    <x:row r="1" ht="19.700000762939453" hidden="0">
      <x:c r="A1" s="1" t="s">
        <x:v>248</x:v>
      </x:c>
    </x:row>
    <x:row r="2" ht="15" hidden="0">
      <x:c r="A2" s="16" t="s">
        <x:v>249</x:v>
      </x:c>
    </x:row>
    <x:row r="3" ht="15" hidden="0">
      <x:c r="A3" s="15" t="s">
        <x:v>61</x:v>
      </x:c>
    </x:row>
    <x:row r="6" ht="19.5" hidden="0" customHeight="1">
      <x:c r="A6" s="5" t="s">
        <x:v>62</x:v>
      </x:c>
      <x:c r="B6" s="6"/>
      <x:c r="C6" s="6"/>
      <x:c r="D6" s="6"/>
      <x:c r="E6" s="6"/>
      <x:c r="F6" s="6"/>
      <x:c r="G6" s="6"/>
      <x:c r="H6" s="6"/>
    </x:row>
    <x:row r="7" ht="16.5" hidden="0" customHeight="1">
      <x:c r="A7" s="17" t="s">
        <x:v>63</x:v>
      </x:c>
      <x:c r="B7" s="18"/>
      <x:c r="C7" s="19" t="s">
        <x:v>48</x:v>
      </x:c>
      <x:c r="D7" s="19" t="s">
        <x:v>49</x:v>
      </x:c>
      <x:c r="E7" s="19" t="s">
        <x:v>50</x:v>
      </x:c>
      <x:c r="F7" s="19" t="s">
        <x:v>51</x:v>
      </x:c>
      <x:c r="G7" s="19" t="s">
        <x:v>52</x:v>
      </x:c>
      <x:c r="H7" s="19" t="s">
        <x:v>64</x:v>
      </x:c>
    </x:row>
    <x:row r="8" ht="15" hidden="0">
      <x:c r="A8" s="20" t="s">
        <x:v>65</x:v>
      </x:c>
      <x:c r="B8" s="21"/>
      <x:c r="C8" s="21"/>
      <x:c r="D8" s="21"/>
      <x:c r="E8" s="21"/>
      <x:c r="F8" s="21"/>
      <x:c r="G8" s="21"/>
      <x:c r="H8" s="21"/>
    </x:row>
    <x:row r="9" ht="15" hidden="0">
      <x:c r="A9" s="22" t="s">
        <x:v>66</x:v>
      </x:c>
      <x:c r="B9" s="23"/>
      <x:c r="C9" s="24" t="n">
        <x:v>62389.947</x:v>
      </x:c>
      <x:c r="D9" s="24" t="n">
        <x:v>82301.05</x:v>
      </x:c>
      <x:c r="E9" s="24" t="n">
        <x:v>95620.306</x:v>
      </x:c>
      <x:c r="F9" s="24" t="n">
        <x:v>107258.973</x:v>
      </x:c>
      <x:c r="G9" s="24" t="n">
        <x:v>107409.588</x:v>
      </x:c>
      <x:c r="H9" s="24" t="n">
        <x:v>60247.57</x:v>
      </x:c>
    </x:row>
    <x:row r="10" ht="15" hidden="0">
      <x:c r="A10" s="22" t="s">
        <x:v>67</x:v>
      </x:c>
      <x:c r="B10" s="23"/>
      <x:c r="C10" s="24" t="n">
        <x:v>4015.044</x:v>
      </x:c>
      <x:c r="D10" s="24" t="n">
        <x:v>21911.214</x:v>
      </x:c>
      <x:c r="E10" s="24" t="n">
        <x:v>5562.145</x:v>
      </x:c>
      <x:c r="F10" s="24" t="n">
        <x:v>11633.303</x:v>
      </x:c>
      <x:c r="G10" s="24" t="n">
        <x:v>5420.742</x:v>
      </x:c>
      <x:c r="H10" s="24" t="n">
        <x:v>334.191</x:v>
      </x:c>
    </x:row>
    <x:row r="11" ht="15" hidden="0">
      <x:c r="A11" s="22" t="s">
        <x:v>68</x:v>
      </x:c>
      <x:c r="B11" s="23"/>
      <x:c r="C11" s="24" t="n">
        <x:v>0</x:v>
      </x:c>
      <x:c r="D11" s="24" t="n">
        <x:v>0</x:v>
      </x:c>
      <x:c r="E11" s="24" t="n">
        <x:v>0</x:v>
      </x:c>
      <x:c r="F11" s="24" t="n">
        <x:v>0</x:v>
      </x:c>
      <x:c r="G11" s="24" t="n">
        <x:v>0</x:v>
      </x:c>
      <x:c r="H11" s="24" t="n">
        <x:v>0</x:v>
      </x:c>
    </x:row>
    <x:row r="12" ht="15" hidden="0">
      <x:c r="A12" s="22" t="s">
        <x:v>69</x:v>
      </x:c>
      <x:c r="B12" s="23"/>
      <x:c r="C12" s="24" t="n">
        <x:v>0.67</x:v>
      </x:c>
      <x:c r="D12" s="24" t="n">
        <x:v>51.352</x:v>
      </x:c>
      <x:c r="E12" s="24" t="n">
        <x:v>85.588</x:v>
      </x:c>
      <x:c r="F12" s="24" t="n">
        <x:v>69.394</x:v>
      </x:c>
      <x:c r="G12" s="24" t="n">
        <x:v>46.229</x:v>
      </x:c>
      <x:c r="H12" s="24" t="n">
        <x:v>11.323</x:v>
      </x:c>
    </x:row>
    <x:row r="13" ht="15" hidden="0">
      <x:c r="A13" s="22" t="s">
        <x:v>70</x:v>
      </x:c>
      <x:c r="B13" s="23"/>
      <x:c r="C13" s="24" t="n">
        <x:v>0</x:v>
      </x:c>
      <x:c r="D13" s="24" t="n">
        <x:v>0</x:v>
      </x:c>
      <x:c r="E13" s="24" t="n">
        <x:v>0</x:v>
      </x:c>
      <x:c r="F13" s="24" t="n">
        <x:v>0</x:v>
      </x:c>
      <x:c r="G13" s="24" t="n">
        <x:v>0</x:v>
      </x:c>
      <x:c r="H13" s="24" t="n">
        <x:v>0</x:v>
      </x:c>
    </x:row>
    <x:row r="14" ht="15" hidden="0">
      <x:c r="A14" s="22" t="s">
        <x:v>71</x:v>
      </x:c>
      <x:c r="B14" s="23"/>
      <x:c r="C14" s="24" t="n">
        <x:v>53194.485</x:v>
      </x:c>
      <x:c r="D14" s="24" t="n">
        <x:v>57594.485</x:v>
      </x:c>
      <x:c r="E14" s="24" t="n">
        <x:v>57594.485</x:v>
      </x:c>
      <x:c r="F14" s="24" t="n">
        <x:v>58072.373</x:v>
      </x:c>
      <x:c r="G14" s="24" t="n">
        <x:v>58555.707</x:v>
      </x:c>
      <x:c r="H14" s="24" t="n">
        <x:v>47144.485</x:v>
      </x:c>
    </x:row>
    <x:row r="15" ht="15" hidden="0">
      <x:c r="A15" s="22" t="s">
        <x:v>72</x:v>
      </x:c>
      <x:c r="B15" s="23"/>
      <x:c r="C15" s="24" t="n">
        <x:v>106.592</x:v>
      </x:c>
      <x:c r="D15" s="24" t="n">
        <x:v>199.79</x:v>
      </x:c>
      <x:c r="E15" s="24" t="n">
        <x:v>202.046</x:v>
      </x:c>
      <x:c r="F15" s="24" t="n">
        <x:v>165.266</x:v>
      </x:c>
      <x:c r="G15" s="24" t="n">
        <x:v>189.147</x:v>
      </x:c>
      <x:c r="H15" s="24" t="n">
        <x:v>90.183</x:v>
      </x:c>
    </x:row>
    <x:row r="16" ht="15" hidden="0">
      <x:c r="A16" s="25" t="s">
        <x:v>73</x:v>
      </x:c>
      <x:c r="B16" s="26"/>
      <x:c r="C16" s="27" t="n">
        <x:f aca="0">C9+C11+C12+C13+C14+C15</x:f>
        <x:v>115691.694</x:v>
      </x:c>
      <x:c r="D16" s="27" t="n">
        <x:f aca="0">D9+D11+D12+D13+D14+D15</x:f>
        <x:v>140146.677</x:v>
      </x:c>
      <x:c r="E16" s="27" t="n">
        <x:f aca="0">E9+E11+E12+E13+E14+E15</x:f>
        <x:v>153502.42500000002</x:v>
      </x:c>
      <x:c r="F16" s="27" t="n">
        <x:f aca="0">F9+F11+F12+F13+F14+F15</x:f>
        <x:v>165566.006</x:v>
      </x:c>
      <x:c r="G16" s="27" t="n">
        <x:f aca="0">G9+G11+G12+G13+G14+G15</x:f>
        <x:v>166200.671</x:v>
      </x:c>
      <x:c r="H16" s="27" t="n">
        <x:f aca="0">H9+H11+H12+H13+H14+H15</x:f>
        <x:v>107493.561</x:v>
      </x:c>
    </x:row>
    <x:row r="17" ht="15" hidden="0">
      <x:c r="A17" s="20" t="s">
        <x:v>74</x:v>
      </x:c>
      <x:c r="B17" s="21"/>
      <x:c r="C17" s="21"/>
      <x:c r="D17" s="21"/>
      <x:c r="E17" s="21"/>
      <x:c r="F17" s="21"/>
      <x:c r="G17" s="21"/>
      <x:c r="H17" s="21"/>
    </x:row>
    <x:row r="18" ht="15" hidden="0">
      <x:c r="A18" s="22" t="s">
        <x:v>75</x:v>
      </x:c>
      <x:c r="B18" s="23"/>
      <x:c r="C18" s="24" t="n">
        <x:v>10526.573</x:v>
      </x:c>
      <x:c r="D18" s="24" t="n">
        <x:v>11206.843</x:v>
      </x:c>
      <x:c r="E18" s="24" t="n">
        <x:v>14084.018</x:v>
      </x:c>
      <x:c r="F18" s="24" t="n">
        <x:v>14591.821</x:v>
      </x:c>
      <x:c r="G18" s="24" t="n">
        <x:v>19895.13</x:v>
      </x:c>
      <x:c r="H18" s="24" t="n">
        <x:v>6520.17</x:v>
      </x:c>
    </x:row>
    <x:row r="19" ht="15" hidden="0">
      <x:c r="A19" s="22" t="s">
        <x:v>76</x:v>
      </x:c>
      <x:c r="B19" s="23"/>
      <x:c r="C19" s="24" t="n">
        <x:v>3105.037</x:v>
      </x:c>
      <x:c r="D19" s="24" t="n">
        <x:v>7171.364</x:v>
      </x:c>
      <x:c r="E19" s="24" t="n">
        <x:v>6048.507</x:v>
      </x:c>
      <x:c r="F19" s="24" t="n">
        <x:v>8505.426</x:v>
      </x:c>
      <x:c r="G19" s="24" t="n">
        <x:v>4774.577</x:v>
      </x:c>
      <x:c r="H19" s="24" t="n">
        <x:v>2915.552</x:v>
      </x:c>
    </x:row>
    <x:row r="20" ht="15" hidden="0">
      <x:c r="A20" s="22" t="s">
        <x:v>77</x:v>
      </x:c>
      <x:c r="B20" s="23"/>
      <x:c r="C20" s="24" t="n">
        <x:v>2710.081</x:v>
      </x:c>
      <x:c r="D20" s="24" t="n">
        <x:v>3522.931</x:v>
      </x:c>
      <x:c r="E20" s="24" t="n">
        <x:v>5089.667</x:v>
      </x:c>
      <x:c r="F20" s="24" t="n">
        <x:v>6932.479</x:v>
      </x:c>
      <x:c r="G20" s="24" t="n">
        <x:v>6353.194</x:v>
      </x:c>
      <x:c r="H20" s="24" t="n">
        <x:v>3422.767</x:v>
      </x:c>
    </x:row>
    <x:row r="21" ht="15" hidden="0">
      <x:c r="A21" s="22" t="s">
        <x:v>78</x:v>
      </x:c>
      <x:c r="B21" s="23"/>
      <x:c r="C21" s="24" t="n">
        <x:v>16227.103</x:v>
      </x:c>
      <x:c r="D21" s="24" t="n">
        <x:v>12751.155</x:v>
      </x:c>
      <x:c r="E21" s="24" t="n">
        <x:v>21898.496</x:v>
      </x:c>
      <x:c r="F21" s="24" t="n">
        <x:v>29837.628</x:v>
      </x:c>
      <x:c r="G21" s="24" t="n">
        <x:v>61298.052</x:v>
      </x:c>
      <x:c r="H21" s="24" t="n">
        <x:v>2970.999</x:v>
      </x:c>
    </x:row>
    <x:row r="22" ht="15" hidden="0">
      <x:c r="A22" s="22" t="s">
        <x:v>79</x:v>
      </x:c>
      <x:c r="B22" s="23"/>
      <x:c r="C22" s="24" t="n">
        <x:v>2825.424</x:v>
      </x:c>
      <x:c r="D22" s="24" t="n">
        <x:v>3871.078</x:v>
      </x:c>
      <x:c r="E22" s="24" t="n">
        <x:v>4116.181</x:v>
      </x:c>
      <x:c r="F22" s="24" t="n">
        <x:v>2567.176</x:v>
      </x:c>
      <x:c r="G22" s="24" t="n">
        <x:v>2790.323</x:v>
      </x:c>
      <x:c r="H22" s="24" t="n">
        <x:v>7816.606</x:v>
      </x:c>
    </x:row>
    <x:row r="23" ht="15" hidden="0">
      <x:c r="A23" s="22" t="s">
        <x:v>80</x:v>
      </x:c>
      <x:c r="B23" s="23"/>
      <x:c r="C23" s="24" t="n">
        <x:v>5282.15</x:v>
      </x:c>
      <x:c r="D23" s="24" t="n">
        <x:v>6292.32</x:v>
      </x:c>
      <x:c r="E23" s="24" t="n">
        <x:v>8339.773</x:v>
      </x:c>
      <x:c r="F23" s="24" t="n">
        <x:v>6017.554</x:v>
      </x:c>
      <x:c r="G23" s="24" t="n">
        <x:v>5436.083</x:v>
      </x:c>
      <x:c r="H23" s="24" t="n">
        <x:v>4728.819</x:v>
      </x:c>
    </x:row>
    <x:row r="24" ht="15" hidden="0">
      <x:c r="A24" s="25" t="s">
        <x:v>81</x:v>
      </x:c>
      <x:c r="B24" s="26"/>
      <x:c r="C24" s="27" t="n">
        <x:f aca="0">C18+C19+C20+C21+C22+C23</x:f>
        <x:v>40676.368</x:v>
      </x:c>
      <x:c r="D24" s="27" t="n">
        <x:f aca="0">D18+D19+D20+D21+D22+D23</x:f>
        <x:v>44815.691000000006</x:v>
      </x:c>
      <x:c r="E24" s="27" t="n">
        <x:f aca="0">E18+E19+E20+E21+E22+E23</x:f>
        <x:v>59576.642</x:v>
      </x:c>
      <x:c r="F24" s="27" t="n">
        <x:f aca="0">F18+F19+F20+F21+F22+F23</x:f>
        <x:v>68452.084</x:v>
      </x:c>
      <x:c r="G24" s="27" t="n">
        <x:f aca="0">G18+G19+G20+G21+G22+G23</x:f>
        <x:v>100547.35900000001</x:v>
      </x:c>
      <x:c r="H24" s="27" t="n">
        <x:f aca="0">H18+H19+H20+H21+H22+H23</x:f>
        <x:v>28374.912999999997</x:v>
      </x:c>
    </x:row>
    <x:row r="25" ht="15" hidden="0">
      <x:c r="A25" s="25" t="s">
        <x:v>82</x:v>
      </x:c>
      <x:c r="B25" s="26"/>
      <x:c r="C25" s="27" t="n">
        <x:f aca="0">C16+C24</x:f>
        <x:v>156368.062</x:v>
      </x:c>
      <x:c r="D25" s="27" t="n">
        <x:f aca="0">D16+D24</x:f>
        <x:v>184962.36800000002</x:v>
      </x:c>
      <x:c r="E25" s="27" t="n">
        <x:f aca="0">E16+E24</x:f>
        <x:v>213079.067</x:v>
      </x:c>
      <x:c r="F25" s="27" t="n">
        <x:f aca="0">F16+F24</x:f>
        <x:v>234018.09</x:v>
      </x:c>
      <x:c r="G25" s="27" t="n">
        <x:f aca="0">G16+G24</x:f>
        <x:v>266748.03</x:v>
      </x:c>
      <x:c r="H25" s="27" t="n">
        <x:f aca="0">H16+H24</x:f>
        <x:v>135868.474</x:v>
      </x:c>
    </x:row>
    <x:row r="26" ht="15" hidden="0">
      <x:c r="A26" s="20" t="s">
        <x:v>83</x:v>
      </x:c>
      <x:c r="B26" s="21"/>
      <x:c r="C26" s="21"/>
      <x:c r="D26" s="21"/>
      <x:c r="E26" s="21"/>
      <x:c r="F26" s="21"/>
      <x:c r="G26" s="21"/>
      <x:c r="H26" s="21"/>
    </x:row>
    <x:row r="27" ht="15" hidden="0">
      <x:c r="A27" s="22" t="s">
        <x:v>84</x:v>
      </x:c>
      <x:c r="B27" s="23"/>
      <x:c r="C27" s="24" t="n">
        <x:v>3233.75</x:v>
      </x:c>
      <x:c r="D27" s="24" t="n">
        <x:v>3233.75</x:v>
      </x:c>
      <x:c r="E27" s="24" t="n">
        <x:v>3118.386</x:v>
      </x:c>
      <x:c r="F27" s="24" t="n">
        <x:v>2930</x:v>
      </x:c>
      <x:c r="G27" s="24" t="n">
        <x:v>2930</x:v>
      </x:c>
      <x:c r="H27" s="24" t="n">
        <x:v>3233.75</x:v>
      </x:c>
    </x:row>
    <x:row r="28" ht="15" hidden="0">
      <x:c r="A28" s="22" t="s">
        <x:v>85</x:v>
      </x:c>
      <x:c r="B28" s="23"/>
      <x:c r="C28" s="24" t="n">
        <x:v>109966.508</x:v>
      </x:c>
      <x:c r="D28" s="24" t="n">
        <x:v>125306.574</x:v>
      </x:c>
      <x:c r="E28" s="24" t="n">
        <x:v>134247.94</x:v>
      </x:c>
      <x:c r="F28" s="24" t="n">
        <x:v>144831.277</x:v>
      </x:c>
      <x:c r="G28" s="24" t="n">
        <x:v>172980.4</x:v>
      </x:c>
      <x:c r="H28" s="24" t="n">
        <x:v>95950.111</x:v>
      </x:c>
    </x:row>
    <x:row r="29" ht="15" hidden="0">
      <x:c r="A29" s="25" t="s">
        <x:v>86</x:v>
      </x:c>
      <x:c r="B29" s="26"/>
      <x:c r="C29" s="27" t="n">
        <x:f aca="0">C27+C28</x:f>
        <x:v>113200.258</x:v>
      </x:c>
      <x:c r="D29" s="27" t="n">
        <x:f aca="0">D27+D28</x:f>
        <x:v>128540.324</x:v>
      </x:c>
      <x:c r="E29" s="27" t="n">
        <x:f aca="0">E27+E28</x:f>
        <x:v>137366.326</x:v>
      </x:c>
      <x:c r="F29" s="27" t="n">
        <x:f aca="0">F27+F28</x:f>
        <x:v>147761.277</x:v>
      </x:c>
      <x:c r="G29" s="27" t="n">
        <x:f aca="0">G27+G28</x:f>
        <x:v>175910.4</x:v>
      </x:c>
      <x:c r="H29" s="27" t="n">
        <x:f aca="0">H27+H28</x:f>
        <x:v>99183.861</x:v>
      </x:c>
    </x:row>
    <x:row r="30" ht="15" hidden="0">
      <x:c r="A30" s="20" t="s">
        <x:v>87</x:v>
      </x:c>
      <x:c r="B30" s="21"/>
      <x:c r="C30" s="21"/>
      <x:c r="D30" s="21"/>
      <x:c r="E30" s="21"/>
      <x:c r="F30" s="21"/>
      <x:c r="G30" s="21"/>
      <x:c r="H30" s="21"/>
    </x:row>
    <x:row r="31" ht="15" hidden="0">
      <x:c r="A31" s="22" t="s">
        <x:v>88</x:v>
      </x:c>
      <x:c r="B31" s="23"/>
      <x:c r="C31" s="24" t="n">
        <x:v>2934.044</x:v>
      </x:c>
      <x:c r="D31" s="24" t="n">
        <x:v>14108.446</x:v>
      </x:c>
      <x:c r="E31" s="24" t="n">
        <x:v>14557.294</x:v>
      </x:c>
      <x:c r="F31" s="24" t="n">
        <x:v>12760.637</x:v>
      </x:c>
      <x:c r="G31" s="24" t="n">
        <x:v>9184.522</x:v>
      </x:c>
      <x:c r="H31" s="24" t="n">
        <x:v>320.461</x:v>
      </x:c>
    </x:row>
    <x:row r="32" ht="15" hidden="0">
      <x:c r="A32" s="22" t="s">
        <x:v>89</x:v>
      </x:c>
      <x:c r="B32" s="23"/>
      <x:c r="C32" s="24" t="n">
        <x:v>0</x:v>
      </x:c>
      <x:c r="D32" s="24" t="n">
        <x:v>0</x:v>
      </x:c>
      <x:c r="E32" s="24" t="n">
        <x:v>0</x:v>
      </x:c>
      <x:c r="F32" s="24" t="n">
        <x:v>0</x:v>
      </x:c>
      <x:c r="G32" s="24" t="n">
        <x:v>0</x:v>
      </x:c>
      <x:c r="H32" s="24" t="n">
        <x:v>0</x:v>
      </x:c>
    </x:row>
    <x:row r="33" ht="15" hidden="0">
      <x:c r="A33" s="22" t="s">
        <x:v>90</x:v>
      </x:c>
      <x:c r="B33" s="23"/>
      <x:c r="C33" s="24" t="n">
        <x:v>1107.94</x:v>
      </x:c>
      <x:c r="D33" s="24" t="n">
        <x:v>2164.455</x:v>
      </x:c>
      <x:c r="E33" s="24" t="n">
        <x:v>2121.307</x:v>
      </x:c>
      <x:c r="F33" s="24" t="n">
        <x:v>1766.055</x:v>
      </x:c>
      <x:c r="G33" s="24" t="n">
        <x:v>1382.651</x:v>
      </x:c>
      <x:c r="H33" s="24" t="n">
        <x:v>59.72</x:v>
      </x:c>
    </x:row>
    <x:row r="34" ht="15" hidden="0">
      <x:c r="A34" s="22" t="s">
        <x:v>91</x:v>
      </x:c>
      <x:c r="B34" s="23"/>
      <x:c r="C34" s="24" t="n">
        <x:v>6157.224</x:v>
      </x:c>
      <x:c r="D34" s="24" t="n">
        <x:v>6941.172</x:v>
      </x:c>
      <x:c r="E34" s="24" t="n">
        <x:v>10025.499</x:v>
      </x:c>
      <x:c r="F34" s="24" t="n">
        <x:v>0</x:v>
      </x:c>
      <x:c r="G34" s="24" t="n">
        <x:v>0</x:v>
      </x:c>
      <x:c r="H34" s="24" t="n">
        <x:v>5167.161</x:v>
      </x:c>
    </x:row>
    <x:row r="35" ht="15" hidden="0">
      <x:c r="A35" s="22" t="s">
        <x:v>92</x:v>
      </x:c>
      <x:c r="B35" s="23"/>
      <x:c r="C35" s="24" t="n">
        <x:v>2581.53</x:v>
      </x:c>
      <x:c r="D35" s="24" t="n">
        <x:v>2846.613</x:v>
      </x:c>
      <x:c r="E35" s="24" t="n">
        <x:v>2827.762</x:v>
      </x:c>
      <x:c r="F35" s="24" t="n">
        <x:v>17541.648</x:v>
      </x:c>
      <x:c r="G35" s="24" t="n">
        <x:v>21629.074</x:v>
      </x:c>
      <x:c r="H35" s="24" t="n">
        <x:v>2181.919</x:v>
      </x:c>
    </x:row>
    <x:row r="36" ht="15" hidden="0">
      <x:c r="A36" s="25" t="s">
        <x:v>93</x:v>
      </x:c>
      <x:c r="B36" s="26"/>
      <x:c r="C36" s="27" t="n">
        <x:f aca="0">C31+C32+C33+C34+C35</x:f>
        <x:v>12780.738000000001</x:v>
      </x:c>
      <x:c r="D36" s="27" t="n">
        <x:f aca="0">D31+D32+D33+D34+D35</x:f>
        <x:v>26060.686</x:v>
      </x:c>
      <x:c r="E36" s="27" t="n">
        <x:f aca="0">E31+E32+E33+E34+E35</x:f>
        <x:v>29531.861999999997</x:v>
      </x:c>
      <x:c r="F36" s="27" t="n">
        <x:f aca="0">F31+F32+F33+F34+F35</x:f>
        <x:v>32068.340000000004</x:v>
      </x:c>
      <x:c r="G36" s="27" t="n">
        <x:f aca="0">G31+G32+G33+G34+G35</x:f>
        <x:v>32196.247000000003</x:v>
      </x:c>
      <x:c r="H36" s="27" t="n">
        <x:f aca="0">H31+H32+H33+H34+H35</x:f>
        <x:v>7729.261</x:v>
      </x:c>
    </x:row>
    <x:row r="37" ht="15" hidden="0">
      <x:c r="A37" s="20" t="s">
        <x:v>94</x:v>
      </x:c>
      <x:c r="B37" s="21"/>
      <x:c r="C37" s="21"/>
      <x:c r="D37" s="21"/>
      <x:c r="E37" s="21"/>
      <x:c r="F37" s="21"/>
      <x:c r="G37" s="21"/>
      <x:c r="H37" s="21"/>
    </x:row>
    <x:row r="38" ht="15" hidden="0">
      <x:c r="A38" s="22" t="s">
        <x:v>95</x:v>
      </x:c>
      <x:c r="B38" s="23"/>
      <x:c r="C38" s="24" t="n">
        <x:v>20789.76</x:v>
      </x:c>
      <x:c r="D38" s="24" t="n">
        <x:v>23191.483</x:v>
      </x:c>
      <x:c r="E38" s="24" t="n">
        <x:v>29918.702</x:v>
      </x:c>
      <x:c r="F38" s="24" t="n">
        <x:v>30006.625</x:v>
      </x:c>
      <x:c r="G38" s="24" t="n">
        <x:v>27300.919</x:v>
      </x:c>
      <x:c r="H38" s="24" t="n">
        <x:v>19354.794</x:v>
      </x:c>
    </x:row>
    <x:row r="39" ht="15" hidden="0">
      <x:c r="A39" s="22" t="s">
        <x:v>96</x:v>
      </x:c>
      <x:c r="B39" s="23"/>
      <x:c r="C39" s="24" t="n">
        <x:v>0</x:v>
      </x:c>
      <x:c r="D39" s="24" t="n">
        <x:v>0</x:v>
      </x:c>
      <x:c r="E39" s="24" t="n">
        <x:v>0</x:v>
      </x:c>
      <x:c r="F39" s="24" t="n">
        <x:v>0</x:v>
      </x:c>
      <x:c r="G39" s="24" t="n">
        <x:v>0</x:v>
      </x:c>
      <x:c r="H39" s="24" t="n">
        <x:v>0</x:v>
      </x:c>
    </x:row>
    <x:row r="40" ht="15" hidden="0">
      <x:c r="A40" s="22" t="s">
        <x:v>97</x:v>
      </x:c>
      <x:c r="B40" s="23"/>
      <x:c r="C40" s="24" t="n">
        <x:v>70.868</x:v>
      </x:c>
      <x:c r="D40" s="24" t="n">
        <x:v>135.452</x:v>
      </x:c>
      <x:c r="E40" s="24" t="n">
        <x:v>497.745</x:v>
      </x:c>
      <x:c r="F40" s="24" t="n">
        <x:v>342.935</x:v>
      </x:c>
      <x:c r="G40" s="24" t="n">
        <x:v>185.616</x:v>
      </x:c>
      <x:c r="H40" s="24" t="n">
        <x:v>46.173</x:v>
      </x:c>
    </x:row>
    <x:row r="41" ht="15" hidden="0">
      <x:c r="A41" s="22" t="s">
        <x:v>98</x:v>
      </x:c>
      <x:c r="B41" s="23"/>
      <x:c r="C41" s="24" t="n">
        <x:v>7050</x:v>
      </x:c>
      <x:c r="D41" s="24" t="n">
        <x:v>1000</x:v>
      </x:c>
      <x:c r="E41" s="24" t="n">
        <x:v>5885</x:v>
      </x:c>
      <x:c r="F41" s="24" t="n">
        <x:v>5485</x:v>
      </x:c>
      <x:c r="G41" s="24" t="n">
        <x:v>6485</x:v>
      </x:c>
      <x:c r="H41" s="24" t="n">
        <x:v>7931.444</x:v>
      </x:c>
    </x:row>
    <x:row r="42" ht="15" hidden="0">
      <x:c r="A42" s="22" t="s">
        <x:v>99</x:v>
      </x:c>
      <x:c r="B42" s="23"/>
      <x:c r="C42" s="24" t="n">
        <x:v>506.908</x:v>
      </x:c>
      <x:c r="D42" s="24" t="n">
        <x:v>487.202</x:v>
      </x:c>
      <x:c r="E42" s="24" t="n">
        <x:v>599.653</x:v>
      </x:c>
      <x:c r="F42" s="24" t="n">
        <x:v>2099.147</x:v>
      </x:c>
      <x:c r="G42" s="24" t="n">
        <x:v>1866.085</x:v>
      </x:c>
      <x:c r="H42" s="24" t="n">
        <x:v>126.727</x:v>
      </x:c>
    </x:row>
    <x:row r="43" ht="15" hidden="0">
      <x:c r="A43" s="22" t="s">
        <x:v>100</x:v>
      </x:c>
      <x:c r="B43" s="23"/>
      <x:c r="C43" s="24" t="n">
        <x:v>0</x:v>
      </x:c>
      <x:c r="D43" s="24" t="n">
        <x:v>0</x:v>
      </x:c>
      <x:c r="E43" s="24" t="n">
        <x:v>0</x:v>
      </x:c>
      <x:c r="F43" s="24" t="n">
        <x:v>0</x:v>
      </x:c>
      <x:c r="G43" s="24" t="n">
        <x:v>0</x:v>
      </x:c>
      <x:c r="H43" s="24" t="n">
        <x:v>0</x:v>
      </x:c>
    </x:row>
    <x:row r="44" ht="15" hidden="0">
      <x:c r="A44" s="22" t="s">
        <x:v>101</x:v>
      </x:c>
      <x:c r="B44" s="23"/>
      <x:c r="C44" s="24" t="n">
        <x:v>0</x:v>
      </x:c>
      <x:c r="D44" s="24" t="n">
        <x:v>0</x:v>
      </x:c>
      <x:c r="E44" s="24" t="n">
        <x:v>0</x:v>
      </x:c>
      <x:c r="F44" s="24" t="n">
        <x:v>0</x:v>
      </x:c>
      <x:c r="G44" s="24" t="n">
        <x:v>0</x:v>
      </x:c>
      <x:c r="H44" s="24" t="n">
        <x:v>0</x:v>
      </x:c>
    </x:row>
    <x:row r="45" ht="15" hidden="0">
      <x:c r="A45" s="22" t="s">
        <x:v>102</x:v>
      </x:c>
      <x:c r="B45" s="23"/>
      <x:c r="C45" s="24" t="n">
        <x:v>53.458</x:v>
      </x:c>
      <x:c r="D45" s="24" t="n">
        <x:v>51.03</x:v>
      </x:c>
      <x:c r="E45" s="24" t="n">
        <x:v>50.115</x:v>
      </x:c>
      <x:c r="F45" s="24" t="n">
        <x:v>59.148</x:v>
      </x:c>
      <x:c r="G45" s="24" t="n">
        <x:v>65.745</x:v>
      </x:c>
      <x:c r="H45" s="24" t="n">
        <x:v>73.347</x:v>
      </x:c>
    </x:row>
    <x:row r="46" ht="15" hidden="0">
      <x:c r="A46" s="22" t="s">
        <x:v>103</x:v>
      </x:c>
      <x:c r="B46" s="23"/>
      <x:c r="C46" s="24" t="n">
        <x:v>1916.072</x:v>
      </x:c>
      <x:c r="D46" s="24" t="n">
        <x:v>5496.191</x:v>
      </x:c>
      <x:c r="E46" s="24" t="n">
        <x:v>9229.664</x:v>
      </x:c>
      <x:c r="F46" s="24" t="n">
        <x:v>16195.618</x:v>
      </x:c>
      <x:c r="G46" s="24" t="n">
        <x:v>22738.018</x:v>
      </x:c>
      <x:c r="H46" s="24" t="n">
        <x:v>1422.867</x:v>
      </x:c>
    </x:row>
    <x:row r="47" ht="15" hidden="0">
      <x:c r="A47" s="22" t="s">
        <x:v>104</x:v>
      </x:c>
      <x:c r="B47" s="23"/>
      <x:c r="C47" s="24" t="n">
        <x:v>0</x:v>
      </x:c>
      <x:c r="D47" s="24" t="n">
        <x:v>0</x:v>
      </x:c>
      <x:c r="E47" s="24" t="n">
        <x:v>0</x:v>
      </x:c>
      <x:c r="F47" s="24" t="n">
        <x:v>0</x:v>
      </x:c>
      <x:c r="G47" s="24" t="n">
        <x:v>0</x:v>
      </x:c>
      <x:c r="H47" s="24" t="n">
        <x:v>0</x:v>
      </x:c>
    </x:row>
    <x:row r="48" ht="15" hidden="0">
      <x:c r="A48" s="25" t="s">
        <x:v>105</x:v>
      </x:c>
      <x:c r="B48" s="26"/>
      <x:c r="C48" s="27" t="n">
        <x:f aca="0">C38+C39+C40+C41+C42+C43+C44+C45+C46+C47</x:f>
        <x:v>30387.065999999995</x:v>
      </x:c>
      <x:c r="D48" s="27" t="n">
        <x:f aca="0">D38+D39+D40+D41+D42+D43+D44+D45+D46+D47</x:f>
        <x:v>30361.358</x:v>
      </x:c>
      <x:c r="E48" s="27" t="n">
        <x:f aca="0">E38+E39+E40+E41+E42+E43+E44+E45+E46+E47</x:f>
        <x:v>46180.879</x:v>
      </x:c>
      <x:c r="F48" s="27" t="n">
        <x:f aca="0">F38+F39+F40+F41+F42+F43+F44+F45+F46+F47</x:f>
        <x:v>54188.473</x:v>
      </x:c>
      <x:c r="G48" s="27" t="n">
        <x:f aca="0">G38+G39+G40+G41+G42+G43+G44+G45+G46+G47</x:f>
        <x:v>58641.383</x:v>
      </x:c>
      <x:c r="H48" s="27" t="n">
        <x:f aca="0">H38+H39+H40+H41+H42+H43+H44+H45+H46+H47</x:f>
        <x:v>28955.352</x:v>
      </x:c>
    </x:row>
    <x:row r="49" ht="15" hidden="0">
      <x:c r="A49" s="25" t="s">
        <x:v>106</x:v>
      </x:c>
      <x:c r="B49" s="26"/>
      <x:c r="C49" s="27" t="n">
        <x:f aca="0">C36+C48</x:f>
        <x:v>43167.804</x:v>
      </x:c>
      <x:c r="D49" s="27" t="n">
        <x:f aca="0">D36+D48</x:f>
        <x:v>56422.044</x:v>
      </x:c>
      <x:c r="E49" s="27" t="n">
        <x:f aca="0">E36+E48</x:f>
        <x:v>75712.741</x:v>
      </x:c>
      <x:c r="F49" s="27" t="n">
        <x:f aca="0">F36+F48</x:f>
        <x:v>86256.813</x:v>
      </x:c>
      <x:c r="G49" s="27" t="n">
        <x:f aca="0">G36+G48</x:f>
        <x:v>90837.63</x:v>
      </x:c>
      <x:c r="H49" s="27" t="n">
        <x:f aca="0">H36+H48</x:f>
        <x:v>36684.613</x:v>
      </x:c>
    </x:row>
    <x:row r="50" ht="15" hidden="0">
      <x:c r="A50" s="25" t="s">
        <x:v>107</x:v>
      </x:c>
      <x:c r="B50" s="26"/>
      <x:c r="C50" s="27" t="n">
        <x:f aca="0">C29+C49</x:f>
        <x:v>156368.062</x:v>
      </x:c>
      <x:c r="D50" s="27" t="n">
        <x:f aca="0">D29+D49</x:f>
        <x:v>184962.368</x:v>
      </x:c>
      <x:c r="E50" s="27" t="n">
        <x:f aca="0">E29+E49</x:f>
        <x:v>213079.06699999998</x:v>
      </x:c>
      <x:c r="F50" s="27" t="n">
        <x:f aca="0">F29+F49</x:f>
        <x:v>234018.09</x:v>
      </x:c>
      <x:c r="G50" s="27" t="n">
        <x:f aca="0">G29+G49</x:f>
        <x:v>266748.03</x:v>
      </x:c>
      <x:c r="H50" s="27" t="n">
        <x:f aca="0">H29+H49</x:f>
        <x:v>135868.474</x:v>
      </x:c>
    </x:row>
    <x:row r="51" ht="15" hidden="0">
      <x:c r="A51" s="20" t="s">
        <x:v>108</x:v>
      </x:c>
      <x:c r="B51" s="21"/>
      <x:c r="C51" s="21"/>
      <x:c r="D51" s="21"/>
      <x:c r="E51" s="21"/>
      <x:c r="F51" s="21"/>
      <x:c r="G51" s="21"/>
      <x:c r="H51" s="21"/>
    </x:row>
    <x:row r="52" ht="15" hidden="0">
      <x:c r="A52" s="22" t="s">
        <x:v>109</x:v>
      </x:c>
      <x:c r="B52" s="23"/>
      <x:c r="C52" s="24" t="n">
        <x:v>2882.434</x:v>
      </x:c>
      <x:c r="D52" s="24" t="n">
        <x:v>3352.998</x:v>
      </x:c>
      <x:c r="E52" s="24" t="n">
        <x:v>5030.546</x:v>
      </x:c>
      <x:c r="F52" s="24" t="n">
        <x:v>7172.144</x:v>
      </x:c>
      <x:c r="G52" s="24" t="n">
        <x:v>6426.975</x:v>
      </x:c>
      <x:c r="H52" s="24" t="n">
        <x:v>2599.29</x:v>
      </x:c>
    </x:row>
    <x:row r="53" ht="15" hidden="0">
      <x:c r="A53" s="22" t="s">
        <x:v>110</x:v>
      </x:c>
      <x:c r="B53" s="23"/>
      <x:c r="C53" s="24" t="n">
        <x:f aca="0">C9-C10</x:f>
        <x:v>58374.903</x:v>
      </x:c>
      <x:c r="D53" s="24" t="n">
        <x:f aca="0">D9-D10</x:f>
        <x:v>60389.836</x:v>
      </x:c>
      <x:c r="E53" s="24" t="n">
        <x:f aca="0">E9-E10</x:f>
        <x:v>90058.161</x:v>
      </x:c>
      <x:c r="F53" s="24" t="n">
        <x:f aca="0">F9-F10</x:f>
        <x:v>95625.67</x:v>
      </x:c>
      <x:c r="G53" s="24" t="n">
        <x:f aca="0">G9-G10</x:f>
        <x:v>101988.846</x:v>
      </x:c>
      <x:c r="H53" s="24" t="n">
        <x:f aca="0">H9-H10</x:f>
        <x:v>59913.379</x:v>
      </x:c>
    </x:row>
    <x:row r="54" ht="15" hidden="0">
      <x:c r="A54" s="22" t="s">
        <x:v>111</x:v>
      </x:c>
      <x:c r="B54" s="23"/>
      <x:c r="C54" s="24" t="n">
        <x:f aca="0">C18+C19</x:f>
        <x:v>13631.61</x:v>
      </x:c>
      <x:c r="D54" s="24" t="n">
        <x:f aca="0">D18+D19</x:f>
        <x:v>18378.207000000002</x:v>
      </x:c>
      <x:c r="E54" s="24" t="n">
        <x:f aca="0">E18+E19</x:f>
        <x:v>20132.525</x:v>
      </x:c>
      <x:c r="F54" s="24" t="n">
        <x:f aca="0">F18+F19</x:f>
        <x:v>23097.247</x:v>
      </x:c>
      <x:c r="G54" s="24" t="n">
        <x:f aca="0">G18+G19</x:f>
        <x:v>24669.707000000002</x:v>
      </x:c>
      <x:c r="H54" s="24" t="n">
        <x:f aca="0">H18+H19</x:f>
        <x:v>9435.722</x:v>
      </x:c>
    </x:row>
    <x:row r="55" ht="15" hidden="0">
      <x:c r="A55" s="22" t="s">
        <x:v>112</x:v>
      </x:c>
      <x:c r="B55" s="23"/>
      <x:c r="C55" s="24" t="n">
        <x:f aca="0">C31+C32+C41+C42+C43</x:f>
        <x:v>10490.952</x:v>
      </x:c>
      <x:c r="D55" s="24" t="n">
        <x:f aca="0">D31+D32+D41+D42+D43</x:f>
        <x:v>15595.648</x:v>
      </x:c>
      <x:c r="E55" s="24" t="n">
        <x:f aca="0">E31+E32+E41+E42+E43</x:f>
        <x:v>21041.947</x:v>
      </x:c>
      <x:c r="F55" s="24" t="n">
        <x:f aca="0">F31+F32+F41+F42+F43</x:f>
        <x:v>20344.784000000003</x:v>
      </x:c>
      <x:c r="G55" s="24" t="n">
        <x:f aca="0">G31+G32+G41+G42+G43</x:f>
        <x:v>17535.607</x:v>
      </x:c>
      <x:c r="H55" s="24" t="n">
        <x:f aca="0">H31+H32+H41+H42+H43</x:f>
        <x:v>8378.632000000001</x:v>
      </x:c>
    </x:row>
    <x:row r="56" ht="15" hidden="0">
      <x:c r="A56" s="22" t="s">
        <x:v>113</x:v>
      </x:c>
      <x:c r="B56" s="23"/>
      <x:c r="C56" s="24" t="n">
        <x:f aca="0">C31+C32</x:f>
        <x:v>2934.044</x:v>
      </x:c>
      <x:c r="D56" s="24" t="n">
        <x:f aca="0">D31+D32</x:f>
        <x:v>14108.446</x:v>
      </x:c>
      <x:c r="E56" s="24" t="n">
        <x:f aca="0">E31+E32</x:f>
        <x:v>14557.294</x:v>
      </x:c>
      <x:c r="F56" s="24" t="n">
        <x:f aca="0">F31+F32</x:f>
        <x:v>12760.637</x:v>
      </x:c>
      <x:c r="G56" s="24" t="n">
        <x:f aca="0">G31+G32</x:f>
        <x:v>9184.522</x:v>
      </x:c>
      <x:c r="H56" s="24" t="n">
        <x:f aca="0">H31+H32</x:f>
        <x:v>320.461</x:v>
      </x:c>
    </x:row>
    <x:row r="57" ht="15" hidden="0">
      <x:c r="A57" s="22" t="s">
        <x:v>114</x:v>
      </x:c>
      <x:c r="B57" s="23"/>
      <x:c r="C57" s="24" t="n">
        <x:f aca="0">C55-C22</x:f>
        <x:v>7665.527999999999</x:v>
      </x:c>
      <x:c r="D57" s="24" t="n">
        <x:f aca="0">D55-D22</x:f>
        <x:v>11724.57</x:v>
      </x:c>
      <x:c r="E57" s="24" t="n">
        <x:f aca="0">E55-E22</x:f>
        <x:v>16925.766</x:v>
      </x:c>
      <x:c r="F57" s="24" t="n">
        <x:f aca="0">F55-F22</x:f>
        <x:v>17777.608000000004</x:v>
      </x:c>
      <x:c r="G57" s="24" t="n">
        <x:f aca="0">G55-G22</x:f>
        <x:v>14745.284</x:v>
      </x:c>
      <x:c r="H57" s="24" t="n">
        <x:f aca="0">H55-H22</x:f>
        <x:v>562.0260000000017</x:v>
      </x:c>
    </x:row>
    <x:row r="58" ht="15" hidden="0">
      <x:c r="A58" s="22" t="s">
        <x:v>115</x:v>
      </x:c>
      <x:c r="B58" s="23"/>
      <x:c r="C58" s="24" t="n">
        <x:f aca="0">C55+C29</x:f>
        <x:v>123691.21</x:v>
      </x:c>
      <x:c r="D58" s="24" t="n">
        <x:f aca="0">D55+D29</x:f>
        <x:v>144135.97199999998</x:v>
      </x:c>
      <x:c r="E58" s="24" t="n">
        <x:f aca="0">E55+E29</x:f>
        <x:v>158408.273</x:v>
      </x:c>
      <x:c r="F58" s="24" t="n">
        <x:f aca="0">F55+F29</x:f>
        <x:v>168106.06100000002</x:v>
      </x:c>
      <x:c r="G58" s="24" t="n">
        <x:f aca="0">G55+G29</x:f>
        <x:v>193446.00699999998</x:v>
      </x:c>
      <x:c r="H58" s="24" t="n">
        <x:f aca="0">H55+H29</x:f>
        <x:v>107562.493</x:v>
      </x:c>
    </x:row>
    <x:row r="59" ht="15" hidden="0">
      <x:c r="A59" s="22" t="s">
        <x:v>116</x:v>
      </x:c>
      <x:c r="B59" s="23"/>
      <x:c r="C59" s="24" t="n">
        <x:f aca="0">C24-C22-C21</x:f>
        <x:v>21623.841000000004</x:v>
      </x:c>
      <x:c r="D59" s="24" t="n">
        <x:f aca="0">D24-D22-D21</x:f>
        <x:v>28193.458000000006</x:v>
      </x:c>
      <x:c r="E59" s="24" t="n">
        <x:f aca="0">E24-E22-E21</x:f>
        <x:v>33561.965000000004</x:v>
      </x:c>
      <x:c r="F59" s="24" t="n">
        <x:f aca="0">F24-F22-F21</x:f>
        <x:v>36047.28</x:v>
      </x:c>
      <x:c r="G59" s="24" t="n">
        <x:f aca="0">G24-G22-G21</x:f>
        <x:v>36458.984000000004</x:v>
      </x:c>
      <x:c r="H59" s="24" t="n">
        <x:f aca="0">H24-H22-H21</x:f>
        <x:v>17587.307999999997</x:v>
      </x:c>
    </x:row>
    <x:row r="60" ht="15" hidden="0">
      <x:c r="A60" s="22" t="s">
        <x:v>117</x:v>
      </x:c>
      <x:c r="B60" s="23"/>
      <x:c r="C60" s="24" t="n">
        <x:f aca="0">C48-C41-C42-C43-C44-C40-C45</x:f>
        <x:v>22705.832</x:v>
      </x:c>
      <x:c r="D60" s="24" t="n">
        <x:f aca="0">D48-D41-D42-D43-D44-D40-D45</x:f>
        <x:v>28687.674</x:v>
      </x:c>
      <x:c r="E60" s="24" t="n">
        <x:f aca="0">E48-E41-E42-E43-E44-E40-E45</x:f>
        <x:v>39148.366</x:v>
      </x:c>
      <x:c r="F60" s="24" t="n">
        <x:f aca="0">F48-F41-F42-F43-F44-F40-F45</x:f>
        <x:v>46202.243</x:v>
      </x:c>
      <x:c r="G60" s="24" t="n">
        <x:f aca="0">G48-G41-G42-G43-G44-G40-G45</x:f>
        <x:v>50038.937</x:v>
      </x:c>
      <x:c r="H60" s="24" t="n">
        <x:f aca="0">H48-H41-H42-H43-H44-H40-H45</x:f>
        <x:v>20777.661</x:v>
      </x:c>
    </x:row>
    <x:row r="62" ht="19.5" hidden="0" customHeight="1">
      <x:c r="A62" s="5" t="s">
        <x:v>118</x:v>
      </x:c>
      <x:c r="B62" s="6"/>
      <x:c r="C62" s="6"/>
      <x:c r="D62" s="6"/>
      <x:c r="E62" s="6"/>
      <x:c r="F62" s="6"/>
      <x:c r="G62" s="6"/>
      <x:c r="H62" s="6"/>
    </x:row>
    <x:row r="63" ht="16.5" hidden="0" customHeight="1">
      <x:c r="A63" s="17" t="s">
        <x:v>63</x:v>
      </x:c>
      <x:c r="B63" s="18"/>
      <x:c r="C63" s="19" t="s">
        <x:v>48</x:v>
      </x:c>
      <x:c r="D63" s="19" t="s">
        <x:v>49</x:v>
      </x:c>
      <x:c r="E63" s="19" t="s">
        <x:v>50</x:v>
      </x:c>
      <x:c r="F63" s="19" t="s">
        <x:v>51</x:v>
      </x:c>
      <x:c r="G63" s="19" t="s">
        <x:v>52</x:v>
      </x:c>
      <x:c r="H63" s="19" t="s">
        <x:v>64</x:v>
      </x:c>
    </x:row>
    <x:row r="64" ht="15" hidden="0">
      <x:c r="A64" s="22" t="s">
        <x:v>119</x:v>
      </x:c>
      <x:c r="B64" s="23"/>
      <x:c r="C64" s="24" t="n">
        <x:v>62940.805</x:v>
      </x:c>
      <x:c r="D64" s="24" t="n">
        <x:v>81093.525</x:v>
      </x:c>
      <x:c r="E64" s="24" t="n">
        <x:v>95832.147</x:v>
      </x:c>
      <x:c r="F64" s="24" t="n">
        <x:v>115324.942</x:v>
      </x:c>
      <x:c r="G64" s="24" t="n">
        <x:v>124511.744</x:v>
      </x:c>
      <x:c r="H64" s="24" t="n">
        <x:v>41870.796</x:v>
      </x:c>
    </x:row>
    <x:row r="65" ht="15" hidden="0">
      <x:c r="A65" s="22" t="s">
        <x:v>120</x:v>
      </x:c>
      <x:c r="B65" s="23"/>
      <x:c r="C65" s="24" t="n">
        <x:v>-43984.873</x:v>
      </x:c>
      <x:c r="D65" s="24" t="n">
        <x:v>-58541.684</x:v>
      </x:c>
      <x:c r="E65" s="24" t="n">
        <x:v>-69771.469</x:v>
      </x:c>
      <x:c r="F65" s="24" t="n">
        <x:v>-76520.37</x:v>
      </x:c>
      <x:c r="G65" s="24" t="n">
        <x:v>-81827.06</x:v>
      </x:c>
      <x:c r="H65" s="24" t="n">
        <x:v>-35794.031</x:v>
      </x:c>
    </x:row>
    <x:row r="66" ht="15" hidden="0">
      <x:c r="A66" s="25" t="s">
        <x:v>121</x:v>
      </x:c>
      <x:c r="B66" s="26"/>
      <x:c r="C66" s="27" t="n">
        <x:f aca="0">C64+C65</x:f>
        <x:v>18955.932</x:v>
      </x:c>
      <x:c r="D66" s="27" t="n">
        <x:f aca="0">D64+D65</x:f>
        <x:v>22551.840999999993</x:v>
      </x:c>
      <x:c r="E66" s="27" t="n">
        <x:f aca="0">E64+E65</x:f>
        <x:v>26060.678</x:v>
      </x:c>
      <x:c r="F66" s="27" t="n">
        <x:f aca="0">F64+F65</x:f>
        <x:v>38804.572</x:v>
      </x:c>
      <x:c r="G66" s="27" t="n">
        <x:f aca="0">G64+G65</x:f>
        <x:v>42684.68400000001</x:v>
      </x:c>
      <x:c r="H66" s="27" t="n">
        <x:f aca="0">H64+H65</x:f>
        <x:v>6076.764999999999</x:v>
      </x:c>
    </x:row>
    <x:row r="67" ht="15" hidden="0">
      <x:c r="A67" s="22" t="s">
        <x:v>122</x:v>
      </x:c>
      <x:c r="B67" s="23"/>
      <x:c r="C67" s="24" t="n">
        <x:v>-4859.096</x:v>
      </x:c>
      <x:c r="D67" s="24" t="n">
        <x:v>-4764.574</x:v>
      </x:c>
      <x:c r="E67" s="24" t="n">
        <x:v>-5326.894</x:v>
      </x:c>
      <x:c r="F67" s="24" t="n">
        <x:v>-7773.885</x:v>
      </x:c>
      <x:c r="G67" s="24" t="n">
        <x:v>-8972.815</x:v>
      </x:c>
      <x:c r="H67" s="24" t="n">
        <x:v>-3699.154</x:v>
      </x:c>
    </x:row>
    <x:row r="68" ht="15" hidden="0">
      <x:c r="A68" s="22" t="s">
        <x:v>123</x:v>
      </x:c>
      <x:c r="B68" s="23"/>
      <x:c r="C68" s="24" t="n">
        <x:v>-1257.074</x:v>
      </x:c>
      <x:c r="D68" s="24" t="n">
        <x:v>-1512.279</x:v>
      </x:c>
      <x:c r="E68" s="24" t="n">
        <x:v>-1825.578</x:v>
      </x:c>
      <x:c r="F68" s="24" t="n">
        <x:v>-2160.682</x:v>
      </x:c>
      <x:c r="G68" s="24" t="n">
        <x:v>-2427.249</x:v>
      </x:c>
      <x:c r="H68" s="24" t="n">
        <x:v>-1189.638</x:v>
      </x:c>
    </x:row>
    <x:row r="69" ht="15" hidden="0">
      <x:c r="A69" s="22" t="s">
        <x:v>124</x:v>
      </x:c>
      <x:c r="B69" s="23"/>
      <x:c r="C69" s="24" t="n">
        <x:v>0</x:v>
      </x:c>
      <x:c r="D69" s="24" t="n">
        <x:v>0</x:v>
      </x:c>
      <x:c r="E69" s="24" t="n">
        <x:v>0</x:v>
      </x:c>
      <x:c r="F69" s="24" t="n">
        <x:v>0</x:v>
      </x:c>
      <x:c r="G69" s="24" t="n">
        <x:v>0</x:v>
      </x:c>
      <x:c r="H69" s="24" t="n">
        <x:v>0</x:v>
      </x:c>
    </x:row>
    <x:row r="70" ht="15" hidden="0">
      <x:c r="A70" s="22" t="s">
        <x:v>125</x:v>
      </x:c>
      <x:c r="B70" s="23"/>
      <x:c r="C70" s="24" t="n">
        <x:v>-1507.673</x:v>
      </x:c>
      <x:c r="D70" s="24" t="n">
        <x:v>-1847.039</x:v>
      </x:c>
      <x:c r="E70" s="24" t="n">
        <x:v>-2442.585</x:v>
      </x:c>
      <x:c r="F70" s="24" t="n">
        <x:v>-2476.636</x:v>
      </x:c>
      <x:c r="G70" s="24" t="n">
        <x:v>-3056.913</x:v>
      </x:c>
      <x:c r="H70" s="24" t="n">
        <x:v>-377.526</x:v>
      </x:c>
    </x:row>
    <x:row r="71" ht="15" hidden="0">
      <x:c r="A71" s="25" t="s">
        <x:v>126</x:v>
      </x:c>
      <x:c r="B71" s="26"/>
      <x:c r="C71" s="27" t="n">
        <x:f aca="0">C66+C67+C68+C69+C70</x:f>
        <x:v>11332.089</x:v>
      </x:c>
      <x:c r="D71" s="27" t="n">
        <x:f aca="0">D66+D67+D68+D69+D70</x:f>
        <x:v>14427.948999999991</x:v>
      </x:c>
      <x:c r="E71" s="27" t="n">
        <x:f aca="0">E66+E67+E68+E69+E70</x:f>
        <x:v>16465.621</x:v>
      </x:c>
      <x:c r="F71" s="27" t="n">
        <x:f aca="0">F66+F67+F68+F69+F70</x:f>
        <x:v>26393.369</x:v>
      </x:c>
      <x:c r="G71" s="27" t="n">
        <x:f aca="0">G66+G67+G68+G69+G70</x:f>
        <x:v>28227.707000000006</x:v>
      </x:c>
      <x:c r="H71" s="27" t="n">
        <x:f aca="0">H66+H67+H68+H69+H70</x:f>
        <x:v>810.4469999999994</x:v>
      </x:c>
    </x:row>
    <x:row r="72" ht="15" hidden="0">
      <x:c r="A72" s="22" t="s">
        <x:v>127</x:v>
      </x:c>
      <x:c r="B72" s="23"/>
      <x:c r="C72" s="24" t="n">
        <x:v>5993.029</x:v>
      </x:c>
      <x:c r="D72" s="24" t="n">
        <x:v>7387.8</x:v>
      </x:c>
      <x:c r="E72" s="24" t="n">
        <x:v>6047.423</x:v>
      </x:c>
      <x:c r="F72" s="24" t="n">
        <x:v>16575.363</x:v>
      </x:c>
      <x:c r="G72" s="24" t="n">
        <x:v>20465.921</x:v>
      </x:c>
      <x:c r="H72" s="24" t="n">
        <x:v>3185.859</x:v>
      </x:c>
    </x:row>
    <x:row r="73" ht="15" hidden="0">
      <x:c r="A73" s="22" t="s">
        <x:v>128</x:v>
      </x:c>
      <x:c r="B73" s="23"/>
      <x:c r="C73" s="24" t="n">
        <x:v>0</x:v>
      </x:c>
      <x:c r="D73" s="24" t="n">
        <x:v>0</x:v>
      </x:c>
      <x:c r="E73" s="24" t="n">
        <x:v>0</x:v>
      </x:c>
      <x:c r="F73" s="24" t="n">
        <x:v>0</x:v>
      </x:c>
      <x:c r="G73" s="24" t="n">
        <x:v>0</x:v>
      </x:c>
      <x:c r="H73" s="24" t="n">
        <x:v>0</x:v>
      </x:c>
    </x:row>
    <x:row r="74" ht="15" hidden="0">
      <x:c r="A74" s="22" t="s">
        <x:v>129</x:v>
      </x:c>
      <x:c r="B74" s="23"/>
      <x:c r="C74" s="24" t="n">
        <x:v>0</x:v>
      </x:c>
      <x:c r="D74" s="24" t="n">
        <x:v>0</x:v>
      </x:c>
      <x:c r="E74" s="24" t="n">
        <x:v>0</x:v>
      </x:c>
      <x:c r="F74" s="24" t="n">
        <x:v>0</x:v>
      </x:c>
      <x:c r="G74" s="24" t="n">
        <x:v>0</x:v>
      </x:c>
      <x:c r="H74" s="24" t="n">
        <x:v>0</x:v>
      </x:c>
    </x:row>
    <x:row r="75" ht="15" hidden="0">
      <x:c r="A75" s="22" t="s">
        <x:v>130</x:v>
      </x:c>
      <x:c r="B75" s="23"/>
      <x:c r="C75" s="24" t="n">
        <x:v>-332.905</x:v>
      </x:c>
      <x:c r="D75" s="24" t="n">
        <x:v>-394.517</x:v>
      </x:c>
      <x:c r="E75" s="24" t="n">
        <x:v>-1169.77</x:v>
      </x:c>
      <x:c r="F75" s="24" t="n">
        <x:v>-1581.168</x:v>
      </x:c>
      <x:c r="G75" s="24" t="n">
        <x:v>-1370.569</x:v>
      </x:c>
      <x:c r="H75" s="24" t="n">
        <x:v>-176.378</x:v>
      </x:c>
    </x:row>
    <x:row r="76" ht="15" hidden="0">
      <x:c r="A76" s="25" t="s">
        <x:v>131</x:v>
      </x:c>
      <x:c r="B76" s="26"/>
      <x:c r="C76" s="27" t="n">
        <x:f aca="0">C71+C72+C73+C74+C75</x:f>
        <x:v>16992.213000000003</x:v>
      </x:c>
      <x:c r="D76" s="27" t="n">
        <x:f aca="0">D71+D72+D73+D74+D75</x:f>
        <x:v>21421.231999999993</x:v>
      </x:c>
      <x:c r="E76" s="27" t="n">
        <x:f aca="0">E71+E72+E73+E74+E75</x:f>
        <x:v>21343.273999999998</x:v>
      </x:c>
      <x:c r="F76" s="27" t="n">
        <x:f aca="0">F71+F72+F73+F74+F75</x:f>
        <x:v>41387.564000000006</x:v>
      </x:c>
      <x:c r="G76" s="27" t="n">
        <x:f aca="0">G71+G72+G73+G74+G75</x:f>
        <x:v>47323.059</x:v>
      </x:c>
      <x:c r="H76" s="27" t="n">
        <x:f aca="0">H71+H72+H73+H74+H75</x:f>
        <x:v>3819.9279999999994</x:v>
      </x:c>
    </x:row>
    <x:row r="77" ht="15" hidden="0">
      <x:c r="A77" s="22" t="s">
        <x:v>132</x:v>
      </x:c>
      <x:c r="B77" s="23"/>
      <x:c r="C77" s="24" t="n">
        <x:v>0</x:v>
      </x:c>
      <x:c r="D77" s="24" t="n">
        <x:v>0</x:v>
      </x:c>
      <x:c r="E77" s="24" t="n">
        <x:v>-437.833</x:v>
      </x:c>
      <x:c r="F77" s="24" t="n">
        <x:v>-953.051</x:v>
      </x:c>
      <x:c r="G77" s="24" t="n">
        <x:v>-329.6</x:v>
      </x:c>
      <x:c r="H77" s="24" t="n">
        <x:v>0</x:v>
      </x:c>
    </x:row>
    <x:row r="78" ht="15" hidden="0">
      <x:c r="A78" s="22" t="s">
        <x:v>133</x:v>
      </x:c>
      <x:c r="B78" s="23"/>
      <x:c r="C78" s="24" t="n">
        <x:v>-2922.024</x:v>
      </x:c>
      <x:c r="D78" s="24" t="n">
        <x:v>-6122.614</x:v>
      </x:c>
      <x:c r="E78" s="24" t="n">
        <x:v>-7179.627</x:v>
      </x:c>
      <x:c r="F78" s="24" t="n">
        <x:v>-12327.974</x:v>
      </x:c>
      <x:c r="G78" s="24" t="n">
        <x:v>-13901.297</x:v>
      </x:c>
      <x:c r="H78" s="24" t="n">
        <x:v>-475.995</x:v>
      </x:c>
    </x:row>
    <x:row r="79" ht="15" hidden="0">
      <x:c r="A79" s="25" t="s">
        <x:v>134</x:v>
      </x:c>
      <x:c r="B79" s="26"/>
      <x:c r="C79" s="27" t="n">
        <x:f aca="0">C76+C77+C78</x:f>
        <x:v>14070.189000000004</x:v>
      </x:c>
      <x:c r="D79" s="27" t="n">
        <x:f aca="0">D76+D77+D78</x:f>
        <x:v>15298.617999999993</x:v>
      </x:c>
      <x:c r="E79" s="27" t="n">
        <x:f aca="0">E76+E77+E78</x:f>
        <x:v>13725.813999999998</x:v>
      </x:c>
      <x:c r="F79" s="27" t="n">
        <x:f aca="0">F76+F77+F78</x:f>
        <x:v>28106.539000000004</x:v>
      </x:c>
      <x:c r="G79" s="27" t="n">
        <x:f aca="0">G76+G77+G78</x:f>
        <x:v>33092.162000000004</x:v>
      </x:c>
      <x:c r="H79" s="27" t="n">
        <x:f aca="0">H76+H77+H78</x:f>
        <x:v>3343.9329999999995</x:v>
      </x:c>
    </x:row>
    <x:row r="80" ht="15" hidden="0">
      <x:c r="A80" s="20" t="s">
        <x:v>135</x:v>
      </x:c>
      <x:c r="B80" s="21"/>
      <x:c r="C80" s="21"/>
      <x:c r="D80" s="21"/>
      <x:c r="E80" s="21"/>
      <x:c r="F80" s="21"/>
      <x:c r="G80" s="21"/>
      <x:c r="H80" s="21"/>
    </x:row>
    <x:row r="81" ht="15" hidden="0">
      <x:c r="A81" s="22" t="s">
        <x:v>136</x:v>
      </x:c>
      <x:c r="B81" s="23"/>
      <x:c r="C81" s="24" t="n">
        <x:v>4298.76</x:v>
      </x:c>
      <x:c r="D81" s="24" t="n">
        <x:v>4527.761</x:v>
      </x:c>
      <x:c r="E81" s="24" t="n">
        <x:v>5314.762</x:v>
      </x:c>
      <x:c r="F81" s="24" t="n">
        <x:v>6097.422</x:v>
      </x:c>
      <x:c r="G81" s="24" t="n">
        <x:v>6937.732</x:v>
      </x:c>
      <x:c r="H81" s="24" t="n">
        <x:v>3854.437</x:v>
      </x:c>
    </x:row>
    <x:row r="82" ht="15" hidden="0">
      <x:c r="A82" s="22" t="s">
        <x:v>137</x:v>
      </x:c>
      <x:c r="B82" s="23"/>
      <x:c r="C82" s="24" t="n">
        <x:f aca="0">C76-C75</x:f>
        <x:v>17325.118000000002</x:v>
      </x:c>
      <x:c r="D82" s="24" t="n">
        <x:f aca="0">D76-D75</x:f>
        <x:v>21815.748999999993</x:v>
      </x:c>
      <x:c r="E82" s="24" t="n">
        <x:f aca="0">E76-E75</x:f>
        <x:v>22513.043999999998</x:v>
      </x:c>
      <x:c r="F82" s="24" t="n">
        <x:f aca="0">F76-F75</x:f>
        <x:v>42968.732</x:v>
      </x:c>
      <x:c r="G82" s="24" t="n">
        <x:f aca="0">G76-G75</x:f>
        <x:v>48693.628000000004</x:v>
      </x:c>
      <x:c r="H82" s="24" t="n">
        <x:f aca="0">H76-H75</x:f>
        <x:v>3996.3059999999996</x:v>
      </x:c>
    </x:row>
    <x:row r="83" ht="15" hidden="0">
      <x:c r="A83" s="22" t="s">
        <x:v>138</x:v>
      </x:c>
      <x:c r="B83" s="23"/>
      <x:c r="C83" s="24" t="n">
        <x:f aca="0">C82+C81</x:f>
        <x:v>21623.878000000004</x:v>
      </x:c>
      <x:c r="D83" s="24" t="n">
        <x:f aca="0">D82+D81</x:f>
        <x:v>26343.509999999995</x:v>
      </x:c>
      <x:c r="E83" s="24" t="n">
        <x:f aca="0">E82+E81</x:f>
        <x:v>27827.805999999997</x:v>
      </x:c>
      <x:c r="F83" s="24" t="n">
        <x:f aca="0">F82+F81</x:f>
        <x:v>49066.154</x:v>
      </x:c>
      <x:c r="G83" s="24" t="n">
        <x:f aca="0">G82+G81</x:f>
        <x:v>55631.36</x:v>
      </x:c>
      <x:c r="H83" s="24" t="n">
        <x:f aca="0">H82+H81</x:f>
        <x:v>7850.7429999999995</x:v>
      </x:c>
    </x:row>
    <x:row r="84" ht="15" hidden="0">
      <x:c r="A84" s="22" t="s">
        <x:v>139</x:v>
      </x:c>
      <x:c r="B84" s="23"/>
      <x:c r="C84" s="24" t="n">
        <x:v>0</x:v>
      </x:c>
      <x:c r="D84" s="24" t="n">
        <x:v>0</x:v>
      </x:c>
      <x:c r="E84" s="24" t="n">
        <x:v>10.974</x:v>
      </x:c>
      <x:c r="F84" s="24" t="n">
        <x:v>20.633</x:v>
      </x:c>
      <x:c r="G84" s="24" t="n">
        <x:v>44.522</x:v>
      </x:c>
      <x:c r="H84" s="28"/>
    </x:row>
    <x:row r="85" ht="15" hidden="0">
      <x:c r="A85" s="22" t="s">
        <x:v>140</x:v>
      </x:c>
      <x:c r="B85" s="23"/>
      <x:c r="C85" s="24" t="n">
        <x:f aca="0">-C75-C84</x:f>
        <x:v>332.905</x:v>
      </x:c>
      <x:c r="D85" s="24" t="n">
        <x:f aca="0">-D75-D84</x:f>
        <x:v>394.517</x:v>
      </x:c>
      <x:c r="E85" s="24" t="n">
        <x:f aca="0">-E75-E84</x:f>
        <x:v>1158.796</x:v>
      </x:c>
      <x:c r="F85" s="24" t="n">
        <x:f aca="0">-F75-F84</x:f>
        <x:v>1560.5349999999999</x:v>
      </x:c>
      <x:c r="G85" s="24" t="n">
        <x:f aca="0">-G75-G84</x:f>
        <x:v>1326.047</x:v>
      </x:c>
      <x:c r="H85" s="28"/>
    </x:row>
    <x:row r="86" ht="15" hidden="0">
      <x:c r="A86" s="22" t="s">
        <x:v>141</x:v>
      </x:c>
      <x:c r="B86" s="23"/>
      <x:c r="C86" s="29" t="n">
        <x:f aca="0">IF(C76&lt;=0,"n/m",-(C77+C78)/C76)</x:f>
        <x:v>0.17196253366174255</x:v>
      </x:c>
      <x:c r="D86" s="29" t="n">
        <x:f aca="0">IF(D76&lt;=0,"n/m",-(D77+D78)/D76)</x:f>
        <x:v>0.2858198818816771</x:v>
      </x:c>
      <x:c r="E86" s="29" t="n">
        <x:f aca="0">IF(E76&lt;=0,"n/m",-(E77+E78)/E76)</x:f>
        <x:v>0.35690213225955875</x:v>
      </x:c>
      <x:c r="F86" s="29" t="n">
        <x:f aca="0">IF(F76&lt;=0,"n/m",-(F77+F78)/F76)</x:f>
        <x:v>0.3208940975603202</x:v>
      </x:c>
      <x:c r="G86" s="29" t="n">
        <x:f aca="0">IF(G76&lt;=0,"n/m",-(G77+G78)/G76)</x:f>
        <x:v>0.30071802839288136</x:v>
      </x:c>
      <x:c r="H86" s="28"/>
    </x:row>
    <x:row r="87" ht="15" hidden="0">
      <x:c r="A87" s="22" t="s">
        <x:v>142</x:v>
      </x:c>
      <x:c r="B87" s="23"/>
      <x:c r="C87" s="29" t="n">
        <x:f aca="0">IF(AND(ISNUMBER(C86),C86&gt;=0,C86&lt;=0.6),C86,Overview!$C$30)</x:f>
        <x:v>0.17196253366174255</x:v>
      </x:c>
      <x:c r="D87" s="29" t="n">
        <x:f aca="0">IF(AND(ISNUMBER(D86),D86&gt;=0,D86&lt;=0.6),D86,Overview!$D$30)</x:f>
        <x:v>0.2858198818816771</x:v>
      </x:c>
      <x:c r="E87" s="29" t="n">
        <x:f aca="0">IF(AND(ISNUMBER(E86),E86&gt;=0,E86&lt;=0.6),E86,Overview!$E$30)</x:f>
        <x:v>0.35690213225955875</x:v>
      </x:c>
      <x:c r="F87" s="29" t="n">
        <x:f aca="0">IF(AND(ISNUMBER(F86),F86&gt;=0,F86&lt;=0.6),F86,Overview!$F$30)</x:f>
        <x:v>0.3208940975603202</x:v>
      </x:c>
      <x:c r="G87" s="29" t="n">
        <x:f aca="0">IF(AND(ISNUMBER(G86),G86&gt;=0,G86&lt;=0.6),G86,Overview!$G$30)</x:f>
        <x:v>0.30071802839288136</x:v>
      </x:c>
      <x:c r="H87" s="28"/>
    </x:row>
    <x:row r="88" ht="15" hidden="0">
      <x:c r="A88" s="22" t="s">
        <x:v>143</x:v>
      </x:c>
      <x:c r="B88" s="23"/>
      <x:c r="C88" s="24" t="n">
        <x:f aca="0">C82*(1-C87)</x:f>
        <x:v>14345.84681273134</x:v>
      </x:c>
      <x:c r="D88" s="24" t="n">
        <x:f aca="0">D82*(1-D87)</x:f>
        <x:v>15580.37419765968</x:v>
      </x:c>
      <x:c r="E88" s="24" t="n">
        <x:f aca="0">E82*(1-E87)</x:f>
        <x:v>14478.090592746734</x:v>
      </x:c>
      <x:c r="F88" s="24" t="n">
        <x:f aca="0">F82*(1-F87)</x:f>
        <x:v>29180.319521548747</x:v>
      </x:c>
      <x:c r="G88" s="24" t="n">
        <x:f aca="0">G82*(1-G87)</x:f>
        <x:v>34050.576192543595</x:v>
      </x:c>
      <x:c r="H88" s="28"/>
    </x:row>
    <x:row r="90" ht="19.5" hidden="0" customHeight="1">
      <x:c r="A90" s="5" t="s">
        <x:v>144</x:v>
      </x:c>
      <x:c r="B90" s="6"/>
      <x:c r="C90" s="6"/>
      <x:c r="D90" s="6"/>
      <x:c r="E90" s="6"/>
      <x:c r="F90" s="6"/>
      <x:c r="G90" s="6"/>
      <x:c r="H90" s="6"/>
    </x:row>
    <x:row r="91" ht="16.5" hidden="0" customHeight="1">
      <x:c r="A91" s="17" t="s">
        <x:v>63</x:v>
      </x:c>
      <x:c r="B91" s="18"/>
      <x:c r="C91" s="19" t="s">
        <x:v>48</x:v>
      </x:c>
      <x:c r="D91" s="19" t="s">
        <x:v>49</x:v>
      </x:c>
      <x:c r="E91" s="19" t="s">
        <x:v>50</x:v>
      </x:c>
      <x:c r="F91" s="19" t="s">
        <x:v>51</x:v>
      </x:c>
      <x:c r="G91" s="19" t="s">
        <x:v>52</x:v>
      </x:c>
      <x:c r="H91" s="19" t="s">
        <x:v>64</x:v>
      </x:c>
    </x:row>
    <x:row r="92" ht="15" hidden="0">
      <x:c r="A92" s="22" t="s">
        <x:v>145</x:v>
      </x:c>
      <x:c r="B92" s="23"/>
      <x:c r="C92" s="24" t="n">
        <x:v>13285.674</x:v>
      </x:c>
      <x:c r="D92" s="24" t="n">
        <x:v>18126.508</x:v>
      </x:c>
      <x:c r="E92" s="24" t="n">
        <x:v>24515.258</x:v>
      </x:c>
      <x:c r="F92" s="24" t="n">
        <x:v>30937.432</x:v>
      </x:c>
      <x:c r="G92" s="24" t="n">
        <x:v>33808.781</x:v>
      </x:c>
      <x:c r="H92" s="24" t="n">
        <x:v>4141.776</x:v>
      </x:c>
    </x:row>
    <x:row r="93" ht="15" hidden="0">
      <x:c r="A93" s="22" t="s">
        <x:v>146</x:v>
      </x:c>
      <x:c r="B93" s="23"/>
      <x:c r="C93" s="24" t="n">
        <x:v>12492.631</x:v>
      </x:c>
      <x:c r="D93" s="24" t="n">
        <x:v>15469.449</x:v>
      </x:c>
      <x:c r="E93" s="24" t="n">
        <x:v>23242.896</x:v>
      </x:c>
      <x:c r="F93" s="24" t="n">
        <x:v>27580.741</x:v>
      </x:c>
      <x:c r="G93" s="24" t="n">
        <x:v>27572.567</x:v>
      </x:c>
      <x:c r="H93" s="24" t="n">
        <x:v>5046.861</x:v>
      </x:c>
    </x:row>
    <x:row r="94" ht="15" hidden="0">
      <x:c r="A94" s="22" t="s">
        <x:v>147</x:v>
      </x:c>
      <x:c r="B94" s="23"/>
      <x:c r="C94" s="24" t="n">
        <x:v>-5762.325</x:v>
      </x:c>
      <x:c r="D94" s="24" t="n">
        <x:v>-24826.255</x:v>
      </x:c>
      <x:c r="E94" s="24" t="n">
        <x:v>-12978.915</x:v>
      </x:c>
      <x:c r="F94" s="24" t="n">
        <x:v>-2580.021</x:v>
      </x:c>
      <x:c r="G94" s="24" t="n">
        <x:v>11714.661</x:v>
      </x:c>
      <x:c r="H94" s="24" t="n">
        <x:v>-8395.898</x:v>
      </x:c>
    </x:row>
    <x:row r="95" ht="15" hidden="0">
      <x:c r="A95" s="22" t="s">
        <x:v>148</x:v>
      </x:c>
      <x:c r="B95" s="23"/>
      <x:c r="C95" s="24" t="n">
        <x:v>4022.095</x:v>
      </x:c>
      <x:c r="D95" s="24" t="n">
        <x:v>6158.783</x:v>
      </x:c>
      <x:c r="E95" s="24" t="n">
        <x:v>244.582</x:v>
      </x:c>
      <x:c r="F95" s="24" t="n">
        <x:v>-18620.168</x:v>
      </x:c>
      <x:c r="G95" s="24" t="n">
        <x:v>-7580.984</x:v>
      </x:c>
      <x:c r="H95" s="24" t="n">
        <x:v>-1666.755</x:v>
      </x:c>
    </x:row>
    <x:row r="96" ht="15" hidden="0">
      <x:c r="A96" s="22" t="s">
        <x:v>149</x:v>
      </x:c>
      <x:c r="B96" s="23"/>
      <x:c r="C96" s="24" t="n">
        <x:v>-6470.913</x:v>
      </x:c>
      <x:c r="D96" s="24" t="n">
        <x:v>-24537.83</x:v>
      </x:c>
      <x:c r="E96" s="24" t="n">
        <x:v>-18644.906</x:v>
      </x:c>
      <x:c r="F96" s="24" t="n">
        <x:v>-17709.902</x:v>
      </x:c>
      <x:c r="G96" s="24" t="n">
        <x:v>-7048.725</x:v>
      </x:c>
      <x:c r="H96" s="24" t="n">
        <x:v>-6855.816</x:v>
      </x:c>
    </x:row>
    <x:row r="97" ht="15" hidden="0">
      <x:c r="A97" s="22" t="s">
        <x:v>150</x:v>
      </x:c>
      <x:c r="B97" s="23"/>
      <x:c r="C97" s="24" t="n">
        <x:v>-308.21</x:v>
      </x:c>
      <x:c r="D97" s="24" t="n">
        <x:v>-329.933</x:v>
      </x:c>
      <x:c r="E97" s="24" t="n">
        <x:v>-807.477</x:v>
      </x:c>
      <x:c r="F97" s="24" t="n">
        <x:v>-1735.978</x:v>
      </x:c>
      <x:c r="G97" s="24" t="n">
        <x:v>-1527.888</x:v>
      </x:c>
      <x:c r="H97" s="24" t="n">
        <x:v>-140.543</x:v>
      </x:c>
    </x:row>
    <x:row r="98" ht="15" hidden="0">
      <x:c r="A98" s="22" t="s">
        <x:v>151</x:v>
      </x:c>
      <x:c r="B98" s="23"/>
      <x:c r="C98" s="24" t="n">
        <x:v>-19.889</x:v>
      </x:c>
      <x:c r="D98" s="24" t="n">
        <x:v>-2.428</x:v>
      </x:c>
      <x:c r="E98" s="24" t="n">
        <x:v>-0.915</x:v>
      </x:c>
      <x:c r="F98" s="24" t="n">
        <x:v>-5443.084</x:v>
      </x:c>
      <x:c r="G98" s="24" t="n">
        <x:v>-4388.403</x:v>
      </x:c>
      <x:c r="H98" s="24" t="n">
        <x:v>-2173.663</x:v>
      </x:c>
    </x:row>
    <x:row r="100" ht="19.5" hidden="0" customHeight="1">
      <x:c r="A100" s="5" t="s">
        <x:v>152</x:v>
      </x:c>
      <x:c r="B100" s="6"/>
      <x:c r="C100" s="6"/>
      <x:c r="D100" s="6"/>
      <x:c r="E100" s="6"/>
      <x:c r="F100" s="6"/>
      <x:c r="G100" s="6"/>
      <x:c r="H100" s="6"/>
    </x:row>
    <x:row r="101" ht="16.5" hidden="0" customHeight="1">
      <x:c r="A101" s="17" t="s">
        <x:v>63</x:v>
      </x:c>
      <x:c r="B101" s="18"/>
      <x:c r="C101" s="19" t="s">
        <x:v>48</x:v>
      </x:c>
      <x:c r="D101" s="19" t="s">
        <x:v>49</x:v>
      </x:c>
      <x:c r="E101" s="19" t="s">
        <x:v>50</x:v>
      </x:c>
      <x:c r="F101" s="19" t="s">
        <x:v>51</x:v>
      </x:c>
      <x:c r="G101" s="19" t="s">
        <x:v>52</x:v>
      </x:c>
    </x:row>
    <x:row r="102" ht="15" hidden="0">
      <x:c r="A102" s="22" t="s">
        <x:v>153</x:v>
      </x:c>
      <x:c r="B102" s="23"/>
      <x:c r="C102" s="30" t="n">
        <x:v>10</x:v>
      </x:c>
      <x:c r="D102" s="30" t="n">
        <x:v>10</x:v>
      </x:c>
      <x:c r="E102" s="30" t="n">
        <x:v>10</x:v>
      </x:c>
      <x:c r="F102" s="30" t="n">
        <x:v>10</x:v>
      </x:c>
      <x:c r="G102" s="30" t="n">
        <x:v>2</x:v>
      </x:c>
    </x:row>
    <x:row r="103" ht="15" hidden="0">
      <x:c r="A103" s="22" t="s">
        <x:v>154</x:v>
      </x:c>
      <x:c r="B103" s="23"/>
      <x:c r="C103" s="31" t="n">
        <x:f aca="0">C27/C102-C107</x:f>
        <x:v>323.375</x:v>
      </x:c>
      <x:c r="D103" s="31" t="n">
        <x:f aca="0">D27/D102-D107</x:f>
        <x:v>323.375</x:v>
      </x:c>
      <x:c r="E103" s="31" t="n">
        <x:f aca="0">E27/E102-E107</x:f>
        <x:v>311.8386</x:v>
      </x:c>
      <x:c r="F103" s="31" t="n">
        <x:f aca="0">F27/F102-F107</x:f>
        <x:v>293</x:v>
      </x:c>
      <x:c r="G103" s="31" t="n">
        <x:f aca="0">G27/G102-G107</x:f>
        <x:v>1465</x:v>
      </x:c>
    </x:row>
    <x:row r="104" ht="15" hidden="0">
      <x:c r="A104" s="22" t="s">
        <x:v>155</x:v>
      </x:c>
      <x:c r="B104" s="23"/>
      <x:c r="C104" s="31" t="n">
        <x:v>323.375</x:v>
      </x:c>
      <x:c r="D104" s="31" t="n">
        <x:v>323.375</x:v>
      </x:c>
      <x:c r="E104" s="31" t="n">
        <x:v>318.749</x:v>
      </x:c>
      <x:c r="F104" s="31" t="n">
        <x:v>297.296</x:v>
      </x:c>
      <x:c r="G104" s="31" t="n">
        <x:v>1465</x:v>
      </x:c>
    </x:row>
    <x:row r="105" ht="15" hidden="0">
      <x:c r="A105" s="22" t="str">
        <x:v>FY-end share price (Rs; last PSX close)</x:v>
      </x:c>
      <x:c r="B105" s="23"/>
      <x:c r="C105" s="30" t="n">
        <x:v>863.44</x:v>
      </x:c>
      <x:c r="D105" s="30" t="n">
        <x:v>459.04</x:v>
      </x:c>
      <x:c r="E105" s="30" t="n">
        <x:v>522.09</x:v>
      </x:c>
      <x:c r="F105" s="30" t="n">
        <x:v>906.73</x:v>
      </x:c>
      <x:c r="G105" s="30" t="n">
        <x:v>355.24</x:v>
      </x:c>
    </x:row>
    <x:row r="106" ht="15" hidden="0">
      <x:c r="A106" s="22" t="s">
        <x:v>156</x:v>
      </x:c>
      <x:c r="B106" s="23"/>
      <x:c r="C106" s="30" t="n">
        <x:v>0</x:v>
      </x:c>
      <x:c r="D106" s="30" t="n">
        <x:v>0</x:v>
      </x:c>
      <x:c r="E106" s="30" t="n">
        <x:v>18</x:v>
      </x:c>
      <x:c r="F106" s="30" t="n">
        <x:v>15</x:v>
      </x:c>
      <x:c r="G106" s="30" t="n">
        <x:v>4</x:v>
      </x:c>
    </x:row>
    <x:row r="107">
      <x:c r="A107" s="22" t="str">
        <x:v>Treasury shares excluded (million)</x:v>
      </x:c>
      <x:c r="B107" s="23"/>
      <x:c r="C107" s="30" t="n">
        <x:v>0</x:v>
      </x:c>
      <x:c r="D107" s="30" t="n">
        <x:v>0</x:v>
      </x:c>
      <x:c r="E107" s="30" t="n">
        <x:v>0</x:v>
      </x:c>
      <x:c r="F107" s="30" t="n">
        <x:v>0</x:v>
      </x:c>
      <x:c r="G107" s="30" t="n">
        <x:v>0</x:v>
      </x:c>
    </x:row>
    <x:row r="108" ht="19.5" hidden="0" customHeight="1">
      <x:c r="A108" s="5" t="s">
        <x:v>157</x:v>
      </x:c>
      <x:c r="B108" s="6"/>
      <x:c r="C108" s="6"/>
      <x:c r="D108" s="6"/>
      <x:c r="E108" s="6"/>
      <x:c r="F108" s="6"/>
      <x:c r="G108" s="6"/>
      <x:c r="H108" s="6"/>
    </x:row>
    <x:row r="109" ht="16.5" hidden="0" customHeight="1">
      <x:c r="A109" s="32" t="s">
        <x:v>158</x:v>
      </x:c>
      <x:c r="B109" s="32" t="s">
        <x:v>159</x:v>
      </x:c>
      <x:c r="C109" s="19" t="s">
        <x:v>48</x:v>
      </x:c>
      <x:c r="D109" s="19" t="s">
        <x:v>49</x:v>
      </x:c>
      <x:c r="E109" s="19" t="s">
        <x:v>50</x:v>
      </x:c>
      <x:c r="F109" s="19" t="s">
        <x:v>51</x:v>
      </x:c>
      <x:c r="G109" s="19" t="s">
        <x:v>52</x:v>
      </x:c>
    </x:row>
    <x:row r="110" ht="15" hidden="0">
      <x:c r="A110" s="20" t="s">
        <x:v>160</x:v>
      </x:c>
      <x:c r="B110" s="21"/>
      <x:c r="C110" s="21"/>
      <x:c r="D110" s="21"/>
      <x:c r="E110" s="21"/>
      <x:c r="F110" s="21"/>
      <x:c r="G110" s="21"/>
    </x:row>
    <x:row r="111" ht="15" hidden="0">
      <x:c r="A111" s="33" t="s">
        <x:v>161</x:v>
      </x:c>
      <x:c r="B111" s="34" t="s">
        <x:v>162</x:v>
      </x:c>
      <x:c r="C111" s="35" t="n">
        <x:f aca="0">C24/C48</x:f>
        <x:v>1.3386079458938223</x:v>
      </x:c>
      <x:c r="D111" s="35" t="n">
        <x:f aca="0">D24/D48</x:f>
        <x:v>1.4760766300374313</x:v>
      </x:c>
      <x:c r="E111" s="35" t="n">
        <x:f aca="0">E24/E48</x:f>
        <x:v>1.290071633326858</x:v>
      </x:c>
      <x:c r="F111" s="35" t="n">
        <x:f aca="0">F24/F48</x:f>
        <x:v>1.2632222354743232</x:v>
      </x:c>
      <x:c r="G111" s="35" t="n">
        <x:f aca="0">G24/G48</x:f>
        <x:v>1.7146143875904156</x:v>
      </x:c>
    </x:row>
    <x:row r="112" ht="15" hidden="0">
      <x:c r="A112" s="33" t="s">
        <x:v>163</x:v>
      </x:c>
      <x:c r="B112" s="34" t="s">
        <x:v>164</x:v>
      </x:c>
      <x:c r="C112" s="35" t="n">
        <x:f aca="0">(C24-C54)/C48</x:f>
        <x:v>0.890008861006851</x:v>
      </x:c>
      <x:c r="D112" s="35" t="n">
        <x:f aca="0">(D24-D54)/D48</x:f>
        <x:v>0.8707609191920863</x:v>
      </x:c>
      <x:c r="E112" s="35" t="n">
        <x:f aca="0">(E24-E54)/E48</x:f>
        <x:v>0.8541222656242641</x:v>
      </x:c>
      <x:c r="F112" s="35" t="n">
        <x:f aca="0">(F24-F54)/F48</x:f>
        <x:v>0.8369831163170072</x:v>
      </x:c>
      <x:c r="G112" s="35" t="n">
        <x:f aca="0">(G24-G54)/G48</x:f>
        <x:v>1.2939267138361998</x:v>
      </x:c>
    </x:row>
    <x:row r="113" ht="15" hidden="0">
      <x:c r="A113" s="33" t="s">
        <x:v>165</x:v>
      </x:c>
      <x:c r="B113" s="34" t="s">
        <x:v>166</x:v>
      </x:c>
      <x:c r="C113" s="35" t="n">
        <x:f aca="0">C22/C48</x:f>
        <x:v>0.09298113875159913</x:v>
      </x:c>
      <x:c r="D113" s="35" t="n">
        <x:f aca="0">D22/D48</x:f>
        <x:v>0.12750015990720837</x:v>
      </x:c>
      <x:c r="E113" s="35" t="n">
        <x:f aca="0">E22/E48</x:f>
        <x:v>0.08913171618062964</x:v>
      </x:c>
      <x:c r="F113" s="35" t="n">
        <x:f aca="0">F22/F48</x:f>
        <x:v>0.04737494632853006</x:v>
      </x:c>
      <x:c r="G113" s="35" t="n">
        <x:f aca="0">G22/G48</x:f>
        <x:v>0.04758283071188822</x:v>
      </x:c>
    </x:row>
    <x:row r="114" ht="15" hidden="0">
      <x:c r="A114" s="33" t="s">
        <x:v>167</x:v>
      </x:c>
      <x:c r="B114" s="34" t="s">
        <x:v>168</x:v>
      </x:c>
      <x:c r="C114" s="36" t="n">
        <x:f aca="0">C24-C48</x:f>
        <x:v>10289.302000000007</x:v>
      </x:c>
      <x:c r="D114" s="36" t="n">
        <x:f aca="0">D24-D48</x:f>
        <x:v>14454.333000000006</x:v>
      </x:c>
      <x:c r="E114" s="36" t="n">
        <x:f aca="0">E24-E48</x:f>
        <x:v>13395.762999999999</x:v>
      </x:c>
      <x:c r="F114" s="36" t="n">
        <x:f aca="0">F24-F48</x:f>
        <x:v>14263.611000000004</x:v>
      </x:c>
      <x:c r="G114" s="36" t="n">
        <x:f aca="0">G24-G48</x:f>
        <x:v>41905.97600000001</x:v>
      </x:c>
    </x:row>
    <x:row r="115" ht="15" hidden="0">
      <x:c r="A115" s="33" t="s">
        <x:v>169</x:v>
      </x:c>
      <x:c r="B115" s="34" t="s">
        <x:v>170</x:v>
      </x:c>
      <x:c r="C115" s="36" t="n">
        <x:f aca="0">C59-C60</x:f>
        <x:v>-1081.9909999999945</x:v>
      </x:c>
      <x:c r="D115" s="36" t="n">
        <x:f aca="0">D59-D60</x:f>
        <x:v>-494.2159999999931</x:v>
      </x:c>
      <x:c r="E115" s="36" t="n">
        <x:f aca="0">E59-E60</x:f>
        <x:v>-5586.400999999998</x:v>
      </x:c>
      <x:c r="F115" s="36" t="n">
        <x:f aca="0">F59-F60</x:f>
        <x:v>-10154.963000000003</x:v>
      </x:c>
      <x:c r="G115" s="36" t="n">
        <x:f aca="0">G59-G60</x:f>
        <x:v>-13579.952999999994</x:v>
      </x:c>
    </x:row>
    <x:row r="116" ht="15" hidden="0">
      <x:c r="A116" s="20" t="s">
        <x:v>171</x:v>
      </x:c>
      <x:c r="B116" s="21"/>
      <x:c r="C116" s="21"/>
      <x:c r="D116" s="21"/>
      <x:c r="E116" s="21"/>
      <x:c r="F116" s="21"/>
      <x:c r="G116" s="21"/>
    </x:row>
    <x:row r="117" ht="15" hidden="0">
      <x:c r="A117" s="33" t="s">
        <x:v>172</x:v>
      </x:c>
      <x:c r="B117" s="34" t="s">
        <x:v>173</x:v>
      </x:c>
      <x:c r="C117" s="35" t="n">
        <x:f aca="0">-C65/AVERAGE(H54,C54)</x:f>
        <x:v>3.813607312713928</x:v>
      </x:c>
      <x:c r="D117" s="35" t="n">
        <x:f aca="0">-D65/AVERAGE(C54,D54)</x:f>
        <x:v>3.657733126059421</x:v>
      </x:c>
      <x:c r="E117" s="35" t="n">
        <x:f aca="0">-E65/AVERAGE(D54,E54)</x:f>
        <x:v>3.6234818387767853</x:v>
      </x:c>
      <x:c r="F117" s="35" t="n">
        <x:f aca="0">-F65/AVERAGE(E54,F54)</x:f>
        <x:v>3.5401699550948362</x:v>
      </x:c>
      <x:c r="G117" s="35" t="n">
        <x:f aca="0">-G65/AVERAGE(F54,G54)</x:f>
        <x:v>3.426094952590027</x:v>
      </x:c>
    </x:row>
    <x:row r="118" ht="15" hidden="0">
      <x:c r="A118" s="33" t="s">
        <x:v>174</x:v>
      </x:c>
      <x:c r="B118" s="34" t="s">
        <x:v>175</x:v>
      </x:c>
      <x:c r="C118" s="35" t="n">
        <x:f aca="0">C64/AVERAGE(H20,C20)</x:f>
        <x:v>20.525799758937445</x:v>
      </x:c>
      <x:c r="D118" s="35" t="n">
        <x:f aca="0">D64/AVERAGE(C20,D20)</x:f>
        <x:v>26.020654219821807</x:v>
      </x:c>
      <x:c r="E118" s="35" t="n">
        <x:f aca="0">E64/AVERAGE(D20,E20)</x:f>
        <x:v>22.253946370189343</x:v>
      </x:c>
      <x:c r="F118" s="35" t="n">
        <x:f aca="0">F64/AVERAGE(E20,F20)</x:f>
        <x:v>19.185416979630755</x:v>
      </x:c>
      <x:c r="G118" s="35" t="n">
        <x:f aca="0">G64/AVERAGE(F20,G20)</x:f>
        <x:v>18.743761644592638</x:v>
      </x:c>
    </x:row>
    <x:row r="119" ht="15" hidden="0">
      <x:c r="A119" s="33" t="s">
        <x:v>176</x:v>
      </x:c>
      <x:c r="B119" s="34" t="s">
        <x:v>177</x:v>
      </x:c>
      <x:c r="C119" s="35" t="n">
        <x:f aca="0">-C65/AVERAGE(H52,C52)</x:f>
        <x:v>16.04782473542995</x:v>
      </x:c>
      <x:c r="D119" s="35" t="n">
        <x:f aca="0">-D65/AVERAGE(C52,D52)</x:f>
        <x:v>18.777106060975406</x:v>
      </x:c>
      <x:c r="E119" s="35" t="n">
        <x:f aca="0">-E65/AVERAGE(D52,E52)</x:f>
        <x:v>16.644862602259856</x:v>
      </x:c>
      <x:c r="F119" s="35" t="n">
        <x:f aca="0">-F65/AVERAGE(E52,F52)</x:f>
        <x:v>12.541557640159668</x:v>
      </x:c>
      <x:c r="G119" s="35" t="n">
        <x:f aca="0">-G65/AVERAGE(F52,G52)</x:f>
        <x:v>12.034170742972393</x:v>
      </x:c>
    </x:row>
    <x:row r="120" ht="15" hidden="0">
      <x:c r="A120" s="33" t="s">
        <x:v>178</x:v>
      </x:c>
      <x:c r="B120" s="34" t="s">
        <x:v>179</x:v>
      </x:c>
      <x:c r="C120" s="37" t="n">
        <x:f aca="0">365/C117</x:f>
        <x:v>95.70990667632485</x:v>
      </x:c>
      <x:c r="D120" s="37" t="n">
        <x:f aca="0">365/D117</x:f>
        <x:v>99.78858145761573</x:v>
      </x:c>
      <x:c r="E120" s="37" t="n">
        <x:f aca="0">365/E117</x:f>
        <x:v>100.73184197970664</x:v>
      </x:c>
      <x:c r="F120" s="37" t="n">
        <x:f aca="0">365/F117</x:f>
        <x:v>103.10239469568691</x:v>
      </x:c>
      <x:c r="G120" s="37" t="n">
        <x:f aca="0">365/G117</x:f>
        <x:v>106.53528435458881</x:v>
      </x:c>
    </x:row>
    <x:row r="121" ht="15" hidden="0">
      <x:c r="A121" s="33" t="s">
        <x:v>180</x:v>
      </x:c>
      <x:c r="B121" s="34" t="s">
        <x:v>181</x:v>
      </x:c>
      <x:c r="C121" s="37" t="n">
        <x:f aca="0">365/C118</x:f>
        <x:v>17.782498333156052</x:v>
      </x:c>
      <x:c r="D121" s="37" t="n">
        <x:f aca="0">365/D118</x:f>
        <x:v>14.027318333985361</x:v>
      </x:c>
      <x:c r="E121" s="37" t="n">
        <x:f aca="0">365/E118</x:f>
        <x:v>16.40158531562483</x:v>
      </x:c>
      <x:c r="F121" s="37" t="n">
        <x:f aca="0">365/F118</x:f>
        <x:v>19.024866667611246</x:v>
      </x:c>
      <x:c r="G121" s="37" t="n">
        <x:f aca="0">365/G118</x:f>
        <x:v>19.473145621508603</x:v>
      </x:c>
    </x:row>
    <x:row r="122" ht="15" hidden="0">
      <x:c r="A122" s="33" t="s">
        <x:v>182</x:v>
      </x:c>
      <x:c r="B122" s="34" t="s">
        <x:v>183</x:v>
      </x:c>
      <x:c r="C122" s="37" t="n">
        <x:f aca="0">365/C119</x:f>
        <x:v>22.744515597441875</x:v>
      </x:c>
      <x:c r="D122" s="37" t="n">
        <x:f aca="0">365/D119</x:f>
        <x:v>19.438565176908817</x:v>
      </x:c>
      <x:c r="E122" s="37" t="n">
        <x:f aca="0">365/E119</x:f>
        <x:v>21.928688071624233</x:v>
      </x:c>
      <x:c r="F122" s="37" t="n">
        <x:f aca="0">365/F119</x:f>
        <x:v>29.103243031888113</x:v>
      </x:c>
      <x:c r="G122" s="37" t="n">
        <x:f aca="0">365/G119</x:f>
        <x:v>30.3302992616379</x:v>
      </x:c>
    </x:row>
    <x:row r="123" ht="15" hidden="0">
      <x:c r="A123" s="33" t="s">
        <x:v>184</x:v>
      </x:c>
      <x:c r="B123" s="34" t="s">
        <x:v>185</x:v>
      </x:c>
      <x:c r="C123" s="37" t="n">
        <x:f aca="0">C120+C121</x:f>
        <x:v>113.4924050094809</x:v>
      </x:c>
      <x:c r="D123" s="37" t="n">
        <x:f aca="0">D120+D121</x:f>
        <x:v>113.8158997916011</x:v>
      </x:c>
      <x:c r="E123" s="37" t="n">
        <x:f aca="0">E120+E121</x:f>
        <x:v>117.13342729533147</x:v>
      </x:c>
      <x:c r="F123" s="37" t="n">
        <x:f aca="0">F120+F121</x:f>
        <x:v>122.12726136329816</x:v>
      </x:c>
      <x:c r="G123" s="37" t="n">
        <x:f aca="0">G120+G121</x:f>
        <x:v>126.00842997609742</x:v>
      </x:c>
    </x:row>
    <x:row r="124" ht="15" hidden="0">
      <x:c r="A124" s="33" t="s">
        <x:v>186</x:v>
      </x:c>
      <x:c r="B124" s="34" t="s">
        <x:v>187</x:v>
      </x:c>
      <x:c r="C124" s="37" t="n">
        <x:f aca="0">C120+C121-C122</x:f>
        <x:v>90.74788941203903</x:v>
      </x:c>
      <x:c r="D124" s="37" t="n">
        <x:f aca="0">D120+D121-D122</x:f>
        <x:v>94.37733461469227</x:v>
      </x:c>
      <x:c r="E124" s="37" t="n">
        <x:f aca="0">E120+E121-E122</x:f>
        <x:v>95.20473922370724</x:v>
      </x:c>
      <x:c r="F124" s="37" t="n">
        <x:f aca="0">F120+F121-F122</x:f>
        <x:v>93.02401833141005</x:v>
      </x:c>
      <x:c r="G124" s="37" t="n">
        <x:f aca="0">G120+G121-G122</x:f>
        <x:v>95.67813071445951</x:v>
      </x:c>
    </x:row>
    <x:row r="125" ht="15" hidden="0">
      <x:c r="A125" s="33" t="s">
        <x:v>188</x:v>
      </x:c>
      <x:c r="B125" s="34" t="s">
        <x:v>189</x:v>
      </x:c>
      <x:c r="C125" s="35" t="n">
        <x:f aca="0">C64/AVERAGE(H25,C25)</x:f>
        <x:v>0.43075247100519976</x:v>
      </x:c>
      <x:c r="D125" s="35" t="n">
        <x:f aca="0">D64/AVERAGE(C25,D25)</x:f>
        <x:v>0.4751614147030488</x:v>
      </x:c>
      <x:c r="E125" s="35" t="n">
        <x:f aca="0">E64/AVERAGE(D25,E25)</x:f>
        <x:v>0.4815184479475107</x:v>
      </x:c>
      <x:c r="F125" s="35" t="n">
        <x:f aca="0">F64/AVERAGE(E25,F25)</x:f>
        <x:v>0.5158831372305058</x:v>
      </x:c>
      <x:c r="G125" s="35" t="n">
        <x:f aca="0">G64/AVERAGE(F25,G25)</x:f>
        <x:v>0.49728501600707337</x:v>
      </x:c>
    </x:row>
    <x:row r="126" ht="15" hidden="0">
      <x:c r="A126" s="33" t="s">
        <x:v>190</x:v>
      </x:c>
      <x:c r="B126" s="34" t="s">
        <x:v>191</x:v>
      </x:c>
      <x:c r="C126" s="35" t="n">
        <x:f aca="0">C64/AVERAGE(H53,C53)</x:f>
        <x:v>1.064193408439223</x:v>
      </x:c>
      <x:c r="D126" s="35" t="n">
        <x:f aca="0">D64/AVERAGE(C53,D53)</x:f>
        <x:v>1.3656161868044014</x:v>
      </x:c>
      <x:c r="E126" s="35" t="n">
        <x:f aca="0">E64/AVERAGE(D53,E53)</x:f>
        <x:v>1.2739571002729932</x:v>
      </x:c>
      <x:c r="F126" s="35" t="n">
        <x:f aca="0">F64/AVERAGE(E53,F53)</x:f>
        <x:v>1.242164612598929</x:v>
      </x:c>
      <x:c r="G126" s="35" t="n">
        <x:f aca="0">G64/AVERAGE(F53,G53)</x:f>
        <x:v>1.2601477514941262</x:v>
      </x:c>
    </x:row>
    <x:row r="127" ht="15" hidden="0">
      <x:c r="A127" s="20" t="s">
        <x:v>192</x:v>
      </x:c>
      <x:c r="B127" s="21"/>
      <x:c r="C127" s="21"/>
      <x:c r="D127" s="21"/>
      <x:c r="E127" s="21"/>
      <x:c r="F127" s="21"/>
      <x:c r="G127" s="21"/>
    </x:row>
    <x:row r="128" ht="15" hidden="0">
      <x:c r="A128" s="33" t="s">
        <x:v>193</x:v>
      </x:c>
      <x:c r="B128" s="34" t="s">
        <x:v>194</x:v>
      </x:c>
      <x:c r="C128" s="38" t="n">
        <x:f aca="0">C49/C25</x:f>
        <x:v>0.27606535150381284</x:v>
      </x:c>
      <x:c r="D128" s="38" t="n">
        <x:f aca="0">D49/D25</x:f>
        <x:v>0.3050460729395506</x:v>
      </x:c>
      <x:c r="E128" s="38" t="n">
        <x:f aca="0">E49/E25</x:f>
        <x:v>0.35532697822447284</x:v>
      </x:c>
      <x:c r="F128" s="38" t="n">
        <x:f aca="0">F49/F25</x:f>
        <x:v>0.3685903641039032</x:v>
      </x:c>
      <x:c r="G128" s="38" t="n">
        <x:f aca="0">G49/G25</x:f>
        <x:v>0.34053721034041</x:v>
      </x:c>
    </x:row>
    <x:row r="129" ht="15" hidden="0">
      <x:c r="A129" s="33" t="s">
        <x:v>195</x:v>
      </x:c>
      <x:c r="B129" s="34" t="s">
        <x:v>196</x:v>
      </x:c>
      <x:c r="C129" s="35" t="n">
        <x:f aca="0">C49/C29</x:f>
        <x:v>0.3813401556028255</x:v>
      </x:c>
      <x:c r="D129" s="35" t="n">
        <x:f aca="0">D49/D29</x:f>
        <x:v>0.4389443113586675</x:v>
      </x:c>
      <x:c r="E129" s="35" t="n">
        <x:f aca="0">E49/E29</x:f>
        <x:v>0.5511739536514938</x:v>
      </x:c>
      <x:c r="F129" s="35" t="n">
        <x:f aca="0">F49/F29</x:f>
        <x:v>0.5837579016050328</x:v>
      </x:c>
      <x:c r="G129" s="35" t="n">
        <x:f aca="0">G49/G29</x:f>
        <x:v>0.5163857850360184</x:v>
      </x:c>
    </x:row>
    <x:row r="130" ht="15" hidden="0">
      <x:c r="A130" s="33" t="s">
        <x:v>197</x:v>
      </x:c>
      <x:c r="B130" s="34" t="s">
        <x:v>198</x:v>
      </x:c>
      <x:c r="C130" s="38" t="n">
        <x:f aca="0">C55/(C55+C29)</x:f>
        <x:v>0.08481566313402544</x:v>
      </x:c>
      <x:c r="D130" s="38" t="n">
        <x:f aca="0">D55/(D55+D29)</x:f>
        <x:v>0.10820094237127705</x:v>
      </x:c>
      <x:c r="E130" s="38" t="n">
        <x:f aca="0">E55/(E55+E29)</x:f>
        <x:v>0.13283363678865434</x:v>
      </x:c>
      <x:c r="F130" s="38" t="n">
        <x:f aca="0">F55/(F55+F29)</x:f>
        <x:v>0.12102350075289672</x:v>
      </x:c>
      <x:c r="G130" s="38" t="n">
        <x:f aca="0">G55/(G55+G29)</x:f>
        <x:v>0.0906485859901983</x:v>
      </x:c>
    </x:row>
    <x:row r="131" ht="15" hidden="0">
      <x:c r="A131" s="33" t="s">
        <x:v>199</x:v>
      </x:c>
      <x:c r="B131" s="34" t="s">
        <x:v>200</x:v>
      </x:c>
      <x:c r="C131" s="38" t="n">
        <x:f aca="0">C56/C25</x:f>
        <x:v>0.018763703805448454</x:v>
      </x:c>
      <x:c r="D131" s="38" t="n">
        <x:f aca="0">D56/D25</x:f>
        <x:v>0.07627738632757988</x:v>
      </x:c>
      <x:c r="E131" s="38" t="n">
        <x:f aca="0">E56/E25</x:f>
        <x:v>0.0683187429199697</x:v>
      </x:c>
      <x:c r="F131" s="38" t="n">
        <x:f aca="0">F56/F25</x:f>
        <x:v>0.054528421285721974</x:v>
      </x:c>
      <x:c r="G131" s="38" t="n">
        <x:f aca="0">G56/G25</x:f>
        <x:v>0.0344314520335914</x:v>
      </x:c>
    </x:row>
    <x:row r="132" ht="15" hidden="0">
      <x:c r="A132" s="33" t="s">
        <x:v>201</x:v>
      </x:c>
      <x:c r="B132" s="34" t="s">
        <x:v>202</x:v>
      </x:c>
      <x:c r="C132" s="35" t="n">
        <x:f aca="0">IF(C85&lt;=0,"n/m",C82/C85)</x:f>
        <x:v>52.04222826331838</x:v>
      </x:c>
      <x:c r="D132" s="35" t="n">
        <x:f aca="0">IF(D85&lt;=0,"n/m",D82/D85)</x:f>
        <x:v>55.297361076962446</x:v>
      </x:c>
      <x:c r="E132" s="35" t="n">
        <x:f aca="0">IF(E85&lt;=0,"n/m",E82/E85)</x:f>
        <x:v>19.427961435835122</x:v>
      </x:c>
      <x:c r="F132" s="35" t="n">
        <x:f aca="0">IF(F85&lt;=0,"n/m",F82/F85)</x:f>
        <x:v>27.534616013098077</x:v>
      </x:c>
      <x:c r="G132" s="35" t="n">
        <x:f aca="0">IF(G85&lt;=0,"n/m",G82/G85)</x:f>
        <x:v>36.7208914917797</x:v>
      </x:c>
    </x:row>
    <x:row r="133" ht="15" hidden="0">
      <x:c r="A133" s="33" t="s">
        <x:v>203</x:v>
      </x:c>
      <x:c r="B133" s="34" t="s">
        <x:v>204</x:v>
      </x:c>
      <x:c r="C133" s="35" t="n">
        <x:f aca="0">IF(C83&lt;=0,"n/m",C57/C83)</x:f>
        <x:v>0.35449367592621445</x:v>
      </x:c>
      <x:c r="D133" s="35" t="n">
        <x:f aca="0">IF(D83&lt;=0,"n/m",D57/D83)</x:f>
        <x:v>0.44506483760136756</x:v>
      </x:c>
      <x:c r="E133" s="35" t="n">
        <x:f aca="0">IF(E83&lt;=0,"n/m",E57/E83)</x:f>
        <x:v>0.6082321401838148</x:v>
      </x:c>
      <x:c r="F133" s="35" t="n">
        <x:f aca="0">IF(F83&lt;=0,"n/m",F57/F83)</x:f>
        <x:v>0.3623191660793304</x:v>
      </x:c>
      <x:c r="G133" s="35" t="n">
        <x:f aca="0">IF(G83&lt;=0,"n/m",G57/G83)</x:f>
        <x:v>0.2650534518659979</x:v>
      </x:c>
    </x:row>
    <x:row r="134" ht="15" hidden="0">
      <x:c r="A134" s="20" t="s">
        <x:v>205</x:v>
      </x:c>
      <x:c r="B134" s="21"/>
      <x:c r="C134" s="21"/>
      <x:c r="D134" s="21"/>
      <x:c r="E134" s="21"/>
      <x:c r="F134" s="21"/>
      <x:c r="G134" s="21"/>
    </x:row>
    <x:row r="135" ht="15" hidden="0">
      <x:c r="A135" s="33" t="s">
        <x:v>206</x:v>
      </x:c>
      <x:c r="B135" s="34" t="s">
        <x:v>207</x:v>
      </x:c>
      <x:c r="C135" s="38" t="n">
        <x:f aca="0">C66/C64</x:f>
        <x:v>0.30117079055471246</x:v>
      </x:c>
      <x:c r="D135" s="38" t="n">
        <x:f aca="0">D66/D64</x:f>
        <x:v>0.278096691443614</x:v>
      </x:c>
      <x:c r="E135" s="38" t="n">
        <x:f aca="0">E66/E64</x:f>
        <x:v>0.2719408759567914</x:v>
      </x:c>
      <x:c r="F135" s="38" t="n">
        <x:f aca="0">F66/F64</x:f>
        <x:v>0.3364803079632158</x:v>
      </x:c>
      <x:c r="G135" s="38" t="n">
        <x:f aca="0">G66/G64</x:f>
        <x:v>0.342816529820673</x:v>
      </x:c>
    </x:row>
    <x:row r="136" ht="15" hidden="0">
      <x:c r="A136" s="33" t="s">
        <x:v>208</x:v>
      </x:c>
      <x:c r="B136" s="34" t="s">
        <x:v>209</x:v>
      </x:c>
      <x:c r="C136" s="38" t="n">
        <x:f aca="0">C71/C64</x:f>
        <x:v>0.18004359810777762</x:v>
      </x:c>
      <x:c r="D136" s="38" t="n">
        <x:f aca="0">D71/D64</x:f>
        <x:v>0.1779173984606045</x:v>
      </x:c>
      <x:c r="E136" s="38" t="n">
        <x:f aca="0">E71/E64</x:f>
        <x:v>0.17181730260097375</x:v>
      </x:c>
      <x:c r="F136" s="38" t="n">
        <x:f aca="0">F71/F64</x:f>
        <x:v>0.22886089116784467</x:v>
      </x:c>
      <x:c r="G136" s="38" t="n">
        <x:f aca="0">G71/G64</x:f>
        <x:v>0.22670718514712962</x:v>
      </x:c>
    </x:row>
    <x:row r="137" ht="15" hidden="0">
      <x:c r="A137" s="33" t="s">
        <x:v>210</x:v>
      </x:c>
      <x:c r="B137" s="34" t="s">
        <x:v>211</x:v>
      </x:c>
      <x:c r="C137" s="38" t="n">
        <x:f aca="0">C79/C64</x:f>
        <x:v>0.22354637821997994</x:v>
      </x:c>
      <x:c r="D137" s="38" t="n">
        <x:f aca="0">D79/D64</x:f>
        <x:v>0.18865400166042842</x:v>
      </x:c>
      <x:c r="E137" s="38" t="n">
        <x:f aca="0">E79/E64</x:f>
        <x:v>0.14322765825125466</x:v>
      </x:c>
      <x:c r="F137" s="38" t="n">
        <x:f aca="0">F79/F64</x:f>
        <x:v>0.24371604713228476</x:v>
      </x:c>
      <x:c r="G137" s="38" t="n">
        <x:f aca="0">G79/G64</x:f>
        <x:v>0.26577542757733763</x:v>
      </x:c>
    </x:row>
    <x:row r="138" ht="15" hidden="0">
      <x:c r="A138" s="33" t="s">
        <x:v>212</x:v>
      </x:c>
      <x:c r="B138" s="34" t="s">
        <x:v>213</x:v>
      </x:c>
      <x:c r="C138" s="38" t="n">
        <x:f aca="0">C79/AVERAGE(H25,C25)</x:f>
        <x:v>0.09629315480251932</x:v>
      </x:c>
      <x:c r="D138" s="38" t="n">
        <x:f aca="0">D79/AVERAGE(C25,D25)</x:f>
        <x:v>0.08964110231836049</x:v>
      </x:c>
      <x:c r="E138" s="38" t="n">
        <x:f aca="0">E79/AVERAGE(D25,E25)</x:f>
        <x:v>0.06896675970430062</x:v>
      </x:c>
      <x:c r="F138" s="38" t="n">
        <x:f aca="0">F79/AVERAGE(E25,F25)</x:f>
        <x:v>0.12572899898802087</x:v>
      </x:c>
      <x:c r="G138" s="38" t="n">
        <x:f aca="0">G79/AVERAGE(F25,G25)</x:f>
        <x:v>0.1321661377570831</x:v>
      </x:c>
    </x:row>
    <x:row r="139" ht="15" hidden="0">
      <x:c r="A139" s="33" t="s">
        <x:v>214</x:v>
      </x:c>
      <x:c r="B139" s="34" t="s">
        <x:v>215</x:v>
      </x:c>
      <x:c r="C139" s="38" t="n">
        <x:f aca="0">C79/AVERAGE(H29,C29)</x:f>
        <x:v>0.13249756211762712</x:v>
      </x:c>
      <x:c r="D139" s="38" t="n">
        <x:f aca="0">D79/AVERAGE(C29,D29)</x:f>
        <x:v>0.1265705399848834</x:v>
      </x:c>
      <x:c r="E139" s="38" t="n">
        <x:f aca="0">E79/AVERAGE(D29,E29)</x:f>
        <x:v>0.10323783929435384</x:v>
      </x:c>
      <x:c r="F139" s="38" t="n">
        <x:f aca="0">F79/AVERAGE(E29,F29)</x:f>
        <x:v>0.19715059997190104</x:v>
      </x:c>
      <x:c r="G139" s="38" t="n">
        <x:f aca="0">G79/AVERAGE(F29,G29)</x:f>
        <x:v>0.2044798130421526</x:v>
      </x:c>
    </x:row>
    <x:row r="140" ht="15" hidden="0">
      <x:c r="A140" s="33" t="s">
        <x:v>216</x:v>
      </x:c>
      <x:c r="B140" s="34" t="s">
        <x:v>217</x:v>
      </x:c>
      <x:c r="C140" s="38" t="n">
        <x:f aca="0">C88/AVERAGE(H58,C58)</x:f>
        <x:v>0.12407020191785936</x:v>
      </x:c>
      <x:c r="D140" s="38" t="n">
        <x:f aca="0">D88/AVERAGE(C58,D58)</x:f>
        <x:v>0.11634647447890245</x:v>
      </x:c>
      <x:c r="E140" s="38" t="n">
        <x:f aca="0">E88/AVERAGE(D58,E58)</x:f>
        <x:v>0.09570891419697462</x:v>
      </x:c>
      <x:c r="F140" s="38" t="n">
        <x:f aca="0">F88/AVERAGE(E58,F58)</x:f>
        <x:v>0.1787383675569278</x:v>
      </x:c>
      <x:c r="G140" s="38" t="n">
        <x:f aca="0">G88/AVERAGE(F58,G58)</x:f>
        <x:v>0.18835780074997993</x:v>
      </x:c>
    </x:row>
    <x:row r="141" ht="15" hidden="0">
      <x:c r="A141" s="33" t="s">
        <x:v>218</x:v>
      </x:c>
      <x:c r="B141" s="34" t="s">
        <x:v>219</x:v>
      </x:c>
      <x:c r="C141" s="38" t="n">
        <x:f aca="0">C82/AVERAGE(H25,C25)</x:f>
        <x:v>0.11856914427701815</x:v>
      </x:c>
      <x:c r="D141" s="38" t="n">
        <x:f aca="0">D82/AVERAGE(C25,D25)</x:f>
        <x:v>0.12782774158166904</x:v>
      </x:c>
      <x:c r="E141" s="38" t="n">
        <x:f aca="0">E82/AVERAGE(D25,E25)</x:f>
        <x:v>0.11311909776428172</x:v>
      </x:c>
      <x:c r="F141" s="38" t="n">
        <x:f aca="0">F82/AVERAGE(E25,F25)</x:f>
        <x:v>0.19221205649491527</x:v>
      </x:c>
      <x:c r="G141" s="38" t="n">
        <x:f aca="0">G82/AVERAGE(F25,G25)</x:f>
        <x:v>0.19447652728583156</x:v>
      </x:c>
    </x:row>
    <x:row r="142" ht="15" hidden="0">
      <x:c r="A142" s="33" t="s">
        <x:v>220</x:v>
      </x:c>
      <x:c r="B142" s="34" t="s">
        <x:v>221</x:v>
      </x:c>
      <x:c r="C142" s="38" t="n">
        <x:f aca="0">C83/C64</x:f>
        <x:v>0.3435589678269924</x:v>
      </x:c>
      <x:c r="D142" s="38" t="n">
        <x:f aca="0">D83/D64</x:f>
        <x:v>0.32485343311935194</x:v>
      </x:c>
      <x:c r="E142" s="38" t="n">
        <x:f aca="0">E83/E64</x:f>
        <x:v>0.2903807007475268</x:v>
      </x:c>
      <x:c r="F142" s="38" t="n">
        <x:f aca="0">F83/F64</x:f>
        <x:v>0.4254600362166235</x:v>
      </x:c>
      <x:c r="G142" s="38" t="n">
        <x:f aca="0">G83/G64</x:f>
        <x:v>0.4467960869618853</x:v>
      </x:c>
    </x:row>
    <x:row r="143" ht="15" hidden="0">
      <x:c r="A143" s="20" t="s">
        <x:v>222</x:v>
      </x:c>
      <x:c r="B143" s="21"/>
      <x:c r="C143" s="21"/>
      <x:c r="D143" s="21"/>
      <x:c r="E143" s="21"/>
      <x:c r="F143" s="21"/>
      <x:c r="G143" s="21"/>
    </x:row>
    <x:row r="144" ht="15" hidden="0">
      <x:c r="A144" s="33" t="s">
        <x:v>223</x:v>
      </x:c>
      <x:c r="B144" s="34" t="s">
        <x:v>224</x:v>
      </x:c>
      <x:c r="C144" s="39" t="n">
        <x:f aca="0">C29/C103</x:f>
        <x:v>350.05878005411677</x:v>
      </x:c>
      <x:c r="D144" s="39" t="n">
        <x:f aca="0">D29/D103</x:f>
        <x:v>397.4961700811751</x:v>
      </x:c>
      <x:c r="E144" s="39" t="n">
        <x:f aca="0">E29/E103</x:f>
        <x:v>440.50456229600826</x:v>
      </x:c>
      <x:c r="F144" s="39" t="n">
        <x:f aca="0">F29/F103</x:f>
        <x:v>504.3046996587031</x:v>
      </x:c>
      <x:c r="G144" s="39" t="n">
        <x:f aca="0">G29/G103</x:f>
        <x:v>120.07535836177475</x:v>
      </x:c>
    </x:row>
    <x:row r="145" ht="15" hidden="0">
      <x:c r="A145" s="33" t="s">
        <x:v>225</x:v>
      </x:c>
      <x:c r="B145" s="34" t="s">
        <x:v>226</x:v>
      </x:c>
      <x:c r="C145" s="35" t="n">
        <x:f aca="0">C105/C144</x:f>
        <x:v>2.4665571875286716</x:v>
      </x:c>
      <x:c r="D145" s="35" t="n">
        <x:f aca="0">D105/D144</x:f>
        <x:v>1.154828736856148</x:v>
      </x:c>
      <x:c r="E145" s="35" t="n">
        <x:f aca="0">E105/E144</x:f>
        <x:v>1.185209064075864</x:v>
      </x:c>
      <x:c r="F145" s="35" t="n">
        <x:f aca="0">F105/F144</x:f>
        <x:v>1.7979804681845026</x:v>
      </x:c>
      <x:c r="G145" s="35" t="n">
        <x:f aca="0">G105/G144</x:f>
        <x:v>2.9584754511387614</x:v>
      </x:c>
    </x:row>
    <x:row r="146" ht="15" hidden="0">
      <x:c r="A146" s="33" t="s">
        <x:v>227</x:v>
      </x:c>
      <x:c r="B146" s="34" t="s">
        <x:v>228</x:v>
      </x:c>
      <x:c r="C146" s="39" t="n">
        <x:f aca="0">C79/C104</x:f>
        <x:v>43.51044143795904</x:v>
      </x:c>
      <x:c r="D146" s="39" t="n">
        <x:f aca="0">D79/D104</x:f>
        <x:v>47.30921685349824</x:v>
      </x:c>
      <x:c r="E146" s="39" t="n">
        <x:f aca="0">E79/E104</x:f>
        <x:v>43.06151234984266</x:v>
      </x:c>
      <x:c r="F146" s="39" t="n">
        <x:f aca="0">F79/F104</x:f>
        <x:v>94.54058917711643</x:v>
      </x:c>
      <x:c r="G146" s="39" t="n">
        <x:f aca="0">G79/G104</x:f>
        <x:v>22.58850648464164</x:v>
      </x:c>
    </x:row>
    <x:row r="147" ht="15" hidden="0">
      <x:c r="A147" s="33" t="s">
        <x:v>229</x:v>
      </x:c>
      <x:c r="B147" s="34" t="s">
        <x:v>230</x:v>
      </x:c>
      <x:c r="C147" s="35" t="n">
        <x:f aca="0">IF(C146&lt;=0,"n/m",C105/C146)</x:f>
        <x:v>19.844432082610968</x:v>
      </x:c>
      <x:c r="D147" s="35" t="n">
        <x:f aca="0">IF(D146&lt;=0,"n/m",D105/D146)</x:f>
        <x:v>9.702971863210132</x:v>
      </x:c>
      <x:c r="E147" s="35" t="n">
        <x:f aca="0">IF(E146&lt;=0,"n/m",E105/E146)</x:f>
        <x:v>12.124283879265743</x:v>
      </x:c>
      <x:c r="F147" s="35" t="n">
        <x:f aca="0">IF(F146&lt;=0,"n/m",F105/F146)</x:f>
        <x:v>9.590907015623658</x:v>
      </x:c>
      <x:c r="G147" s="35" t="n">
        <x:f aca="0">IF(G146&lt;=0,"n/m",G105/G146)</x:f>
        <x:v>15.726582022655393</x:v>
      </x:c>
    </x:row>
    <x:row r="148" ht="15" hidden="0">
      <x:c r="A148" s="33" t="s">
        <x:v>231</x:v>
      </x:c>
      <x:c r="B148" s="34" t="s">
        <x:v>232</x:v>
      </x:c>
      <x:c r="C148" s="38" t="n">
        <x:f aca="0">C106/C105</x:f>
        <x:v>0</x:v>
      </x:c>
      <x:c r="D148" s="38" t="n">
        <x:f aca="0">D106/D105</x:f>
        <x:v>0</x:v>
      </x:c>
      <x:c r="E148" s="38" t="n">
        <x:f aca="0">E106/E105</x:f>
        <x:v>0.034476814342354764</x:v>
      </x:c>
      <x:c r="F148" s="38" t="n">
        <x:f aca="0">F106/F105</x:f>
        <x:v>0.016542962072502287</x:v>
      </x:c>
      <x:c r="G148" s="38" t="n">
        <x:f aca="0">G106/G105</x:f>
        <x:v>0.011259993244004052</x:v>
      </x:c>
    </x:row>
    <x:row r="149" ht="15" hidden="0">
      <x:c r="A149" s="33" t="s">
        <x:v>233</x:v>
      </x:c>
      <x:c r="B149" s="34" t="s">
        <x:v>234</x:v>
      </x:c>
      <x:c r="C149" s="38" t="n">
        <x:f aca="0">IF(C146&lt;=0,"n/m",C106/C146)</x:f>
        <x:v>0</x:v>
      </x:c>
      <x:c r="D149" s="38" t="n">
        <x:f aca="0">IF(D146&lt;=0,"n/m",D106/D146)</x:f>
        <x:v>0</x:v>
      </x:c>
      <x:c r="E149" s="38" t="n">
        <x:f aca="0">IF(E146&lt;=0,"n/m",E106/E146)</x:f>
        <x:v>0.4180066843394498</x:v>
      </x:c>
      <x:c r="F149" s="38" t="n">
        <x:f aca="0">IF(F146&lt;=0,"n/m",F106/F146)</x:f>
        <x:v>0.1586620110003583</x:v>
      </x:c>
      <x:c r="G149" s="38" t="n">
        <x:f aca="0">IF(G146&lt;=0,"n/m",G106/G146)</x:f>
        <x:v>0.17708120732637533</x:v>
      </x:c>
    </x:row>
    <x:row r="150" ht="15" hidden="0">
      <x:c r="A150" s="20" t="s">
        <x:v>235</x:v>
      </x:c>
      <x:c r="B150" s="21"/>
      <x:c r="C150" s="21"/>
      <x:c r="D150" s="21"/>
      <x:c r="E150" s="21"/>
      <x:c r="F150" s="21"/>
      <x:c r="G150" s="21"/>
    </x:row>
    <x:row r="151" ht="15" hidden="0">
      <x:c r="A151" s="33" t="s">
        <x:v>236</x:v>
      </x:c>
      <x:c r="B151" s="34" t="s">
        <x:v>237</x:v>
      </x:c>
      <x:c r="C151" s="35" t="n">
        <x:f aca="0">C93/AVERAGE(H48,C48)</x:f>
        <x:v>0.42103545561625083</x:v>
      </x:c>
      <x:c r="D151" s="35" t="n">
        <x:f aca="0">D93/AVERAGE(C48,D48)</x:f>
        <x:v>0.5092954839453943</x:v>
      </x:c>
      <x:c r="E151" s="35" t="n">
        <x:f aca="0">E93/AVERAGE(D48,E48)</x:f>
        <x:v>0.6073220985166661</x:v>
      </x:c>
      <x:c r="F151" s="35" t="n">
        <x:f aca="0">F93/AVERAGE(E48,F48)</x:f>
        <x:v>0.5495849171169304</x:v>
      </x:c>
      <x:c r="G151" s="35" t="n">
        <x:f aca="0">G93/AVERAGE(F48,G48)</x:f>
        <x:v>0.48874593972715874</x:v>
      </x:c>
    </x:row>
    <x:row r="153" ht="19.5" hidden="0" customHeight="1">
      <x:c r="A153" s="5" t="s">
        <x:v>238</x:v>
      </x:c>
      <x:c r="B153" s="6"/>
      <x:c r="C153" s="6"/>
      <x:c r="D153" s="6"/>
      <x:c r="E153" s="6"/>
      <x:c r="F153" s="6"/>
      <x:c r="G153" s="6"/>
    </x:row>
    <x:row r="154" ht="15" hidden="0">
      <x:c r="A154" s="40" t="s">
        <x:v>239</x:v>
      </x:c>
      <x:c r="B154" s="40"/>
      <x:c r="C154" s="41" t="s">
        <x:v>48</x:v>
      </x:c>
      <x:c r="D154" s="41" t="s">
        <x:v>49</x:v>
      </x:c>
      <x:c r="E154" s="41" t="s">
        <x:v>50</x:v>
      </x:c>
      <x:c r="F154" s="41" t="s">
        <x:v>51</x:v>
      </x:c>
      <x:c r="G154" s="41" t="s">
        <x:v>52</x:v>
      </x:c>
    </x:row>
    <x:row r="155" ht="15" hidden="0">
      <x:c r="A155" s="33" t="s">
        <x:v>66</x:v>
      </x:c>
      <x:c r="B155" s="33"/>
      <x:c r="C155" s="42" t="n">
        <x:f aca="0">C9/C25</x:f>
        <x:v>0.3989941820728072</x:v>
      </x:c>
      <x:c r="D155" s="42" t="n">
        <x:f aca="0">D9/D25</x:f>
        <x:v>0.4449610528342716</x:v>
      </x:c>
      <x:c r="E155" s="42" t="n">
        <x:f aca="0">E9/E25</x:f>
        <x:v>0.4487550435914007</x:v>
      </x:c>
      <x:c r="F155" s="42" t="n">
        <x:f aca="0">F9/F25</x:f>
        <x:v>0.4583362465696562</x:v>
      </x:c>
      <x:c r="G155" s="42" t="n">
        <x:f aca="0">G9/G25</x:f>
        <x:v>0.4026630974556775</x:v>
      </x:c>
    </x:row>
    <x:row r="156" ht="15" hidden="0">
      <x:c r="A156" s="33" t="s">
        <x:v>73</x:v>
      </x:c>
      <x:c r="B156" s="33"/>
      <x:c r="C156" s="42" t="n">
        <x:f aca="0">C16/C25</x:f>
        <x:v>0.7398677998580042</x:v>
      </x:c>
      <x:c r="D156" s="42" t="n">
        <x:f aca="0">D16/D25</x:f>
        <x:v>0.757703734632117</x:v>
      </x:c>
      <x:c r="E156" s="42" t="n">
        <x:f aca="0">E16/E25</x:f>
        <x:v>0.7204012442949171</x:v>
      </x:c>
      <x:c r="F156" s="42" t="n">
        <x:f aca="0">F16/F25</x:f>
        <x:v>0.7074923395879352</x:v>
      </x:c>
      <x:c r="G156" s="42" t="n">
        <x:f aca="0">G16/G25</x:f>
        <x:v>0.6230624121197821</x:v>
      </x:c>
    </x:row>
    <x:row r="157" ht="15" hidden="0">
      <x:c r="A157" s="33" t="s">
        <x:v>240</x:v>
      </x:c>
      <x:c r="B157" s="33"/>
      <x:c r="C157" s="42" t="n">
        <x:f aca="0">C54/C25</x:f>
        <x:v>0.0871764337656113</x:v>
      </x:c>
      <x:c r="D157" s="42" t="n">
        <x:f aca="0">D54/D25</x:f>
        <x:v>0.09936187127535046</x:v>
      </x:c>
      <x:c r="E157" s="42" t="n">
        <x:f aca="0">E54/E25</x:f>
        <x:v>0.09448382369723818</x:v>
      </x:c>
      <x:c r="F157" s="42" t="n">
        <x:f aca="0">F54/F25</x:f>
        <x:v>0.09869855360327058</x:v>
      </x:c>
      <x:c r="G157" s="42" t="n">
        <x:f aca="0">G54/G25</x:f>
        <x:v>0.09248318347468208</x:v>
      </x:c>
    </x:row>
    <x:row r="158" ht="15" hidden="0">
      <x:c r="A158" s="33" t="s">
        <x:v>77</x:v>
      </x:c>
      <x:c r="B158" s="33"/>
      <x:c r="C158" s="42" t="n">
        <x:f aca="0">C20/C25</x:f>
        <x:v>0.017331422832368416</x:v>
      </x:c>
      <x:c r="D158" s="42" t="n">
        <x:f aca="0">D20/D25</x:f>
        <x:v>0.019046744687005734</x:v>
      </x:c>
      <x:c r="E158" s="42" t="n">
        <x:f aca="0">E20/E25</x:f>
        <x:v>0.023886283489311506</x:v>
      </x:c>
      <x:c r="F158" s="42" t="n">
        <x:f aca="0">F20/F25</x:f>
        <x:v>0.029623688493483562</x:v>
      </x:c>
      <x:c r="G158" s="42" t="n">
        <x:f aca="0">G20/G25</x:f>
        <x:v>0.02381721057133955</x:v>
      </x:c>
    </x:row>
    <x:row r="159" ht="15" hidden="0">
      <x:c r="A159" s="33" t="s">
        <x:v>78</x:v>
      </x:c>
      <x:c r="B159" s="33"/>
      <x:c r="C159" s="42" t="n">
        <x:f aca="0">C21/C25</x:f>
        <x:v>0.10377504710648648</x:v>
      </x:c>
      <x:c r="D159" s="42" t="n">
        <x:f aca="0">D21/D25</x:f>
        <x:v>0.06893918551042771</x:v>
      </x:c>
      <x:c r="E159" s="42" t="n">
        <x:f aca="0">E21/E25</x:f>
        <x:v>0.10277169084844923</x:v>
      </x:c>
      <x:c r="F159" s="42" t="n">
        <x:f aca="0">F21/F25</x:f>
        <x:v>0.127501373932246</x:v>
      </x:c>
      <x:c r="G159" s="42" t="n">
        <x:f aca="0">G21/G25</x:f>
        <x:v>0.22979758088560204</x:v>
      </x:c>
    </x:row>
    <x:row r="160" ht="15" hidden="0">
      <x:c r="A160" s="33" t="s">
        <x:v>79</x:v>
      </x:c>
      <x:c r="B160" s="33"/>
      <x:c r="C160" s="42" t="n">
        <x:f aca="0">C22/C25</x:f>
        <x:v>0.018069060675574528</x:v>
      </x:c>
      <x:c r="D160" s="42" t="n">
        <x:f aca="0">D22/D25</x:f>
        <x:v>0.020929003244595137</x:v>
      </x:c>
      <x:c r="E160" s="42" t="n">
        <x:f aca="0">E22/E25</x:f>
        <x:v>0.019317622598751097</x:v>
      </x:c>
      <x:c r="F160" s="42" t="n">
        <x:f aca="0">F22/F25</x:f>
        <x:v>0.010969989542261456</x:v>
      </x:c>
      <x:c r="G160" s="42" t="n">
        <x:f aca="0">G22/G25</x:f>
        <x:v>0.010460519614709056</x:v>
      </x:c>
    </x:row>
    <x:row r="161" ht="15" hidden="0">
      <x:c r="A161" s="33" t="s">
        <x:v>81</x:v>
      </x:c>
      <x:c r="B161" s="33"/>
      <x:c r="C161" s="42" t="n">
        <x:f aca="0">C24/C25</x:f>
        <x:v>0.26013220014199573</x:v>
      </x:c>
      <x:c r="D161" s="42" t="n">
        <x:f aca="0">D24/D25</x:f>
        <x:v>0.24229626536788285</x:v>
      </x:c>
      <x:c r="E161" s="42" t="n">
        <x:f aca="0">E24/E25</x:f>
        <x:v>0.2795987557050829</x:v>
      </x:c>
      <x:c r="F161" s="42" t="n">
        <x:f aca="0">F24/F25</x:f>
        <x:v>0.2925076604120647</x:v>
      </x:c>
      <x:c r="G161" s="42" t="n">
        <x:f aca="0">G24/G25</x:f>
        <x:v>0.3769375878802179</x:v>
      </x:c>
    </x:row>
    <x:row r="162" ht="15" hidden="0">
      <x:c r="A162" s="33" t="s">
        <x:v>86</x:v>
      </x:c>
      <x:c r="B162" s="33"/>
      <x:c r="C162" s="42" t="n">
        <x:f aca="0">C29/C25</x:f>
        <x:v>0.7239346484961872</x:v>
      </x:c>
      <x:c r="D162" s="42" t="n">
        <x:f aca="0">D29/D25</x:f>
        <x:v>0.6949539270604493</x:v>
      </x:c>
      <x:c r="E162" s="42" t="n">
        <x:f aca="0">E29/E25</x:f>
        <x:v>0.6446730217755271</x:v>
      </x:c>
      <x:c r="F162" s="42" t="n">
        <x:f aca="0">F29/F25</x:f>
        <x:v>0.6314096358960968</x:v>
      </x:c>
      <x:c r="G162" s="42" t="n">
        <x:f aca="0">G29/G25</x:f>
        <x:v>0.6594627896595899</x:v>
      </x:c>
    </x:row>
    <x:row r="163" ht="15" hidden="0">
      <x:c r="A163" s="33" t="s">
        <x:v>93</x:v>
      </x:c>
      <x:c r="B163" s="33"/>
      <x:c r="C163" s="42" t="n">
        <x:f aca="0">C36/C25</x:f>
        <x:v>0.0817349645223588</x:v>
      </x:c>
      <x:c r="D163" s="42" t="n">
        <x:f aca="0">D36/D25</x:f>
        <x:v>0.14089723375513877</x:v>
      </x:c>
      <x:c r="E163" s="42" t="n">
        <x:f aca="0">E36/E25</x:f>
        <x:v>0.13859579176775724</x:v>
      </x:c>
      <x:c r="F163" s="42" t="n">
        <x:f aca="0">F36/F25</x:f>
        <x:v>0.13703359428324538</x:v>
      </x:c>
      <x:c r="G163" s="42" t="n">
        <x:f aca="0">G36/G25</x:f>
        <x:v>0.12069909944602028</x:v>
      </x:c>
    </x:row>
    <x:row r="164" ht="15" hidden="0">
      <x:c r="A164" s="33" t="s">
        <x:v>105</x:v>
      </x:c>
      <x:c r="B164" s="33"/>
      <x:c r="C164" s="42" t="n">
        <x:f aca="0">C48/C25</x:f>
        <x:v>0.19433038698145402</x:v>
      </x:c>
      <x:c r="D164" s="42" t="n">
        <x:f aca="0">D48/D25</x:f>
        <x:v>0.1641488391844118</x:v>
      </x:c>
      <x:c r="E164" s="42" t="n">
        <x:f aca="0">E48/E25</x:f>
        <x:v>0.2167311864567156</x:v>
      </x:c>
      <x:c r="F164" s="42" t="n">
        <x:f aca="0">F48/F25</x:f>
        <x:v>0.23155676982065787</x:v>
      </x:c>
      <x:c r="G164" s="42" t="n">
        <x:f aca="0">G48/G25</x:f>
        <x:v>0.21983811089438973</x:v>
      </x:c>
    </x:row>
    <x:row r="165" ht="15" hidden="0">
      <x:c r="A165" s="33" t="s">
        <x:v>112</x:v>
      </x:c>
      <x:c r="B165" s="33"/>
      <x:c r="C165" s="42" t="n">
        <x:f aca="0">C55/C25</x:f>
        <x:v>0.06709139875379411</x:v>
      </x:c>
      <x:c r="D165" s="42" t="n">
        <x:f aca="0">D55/D25</x:f>
        <x:v>0.08431795163868143</x:v>
      </x:c>
      <x:c r="E165" s="42" t="n">
        <x:f aca="0">E55/E25</x:f>
        <x:v>0.09875182624110138</x:v>
      </x:c>
      <x:c r="F165" s="42" t="n">
        <x:f aca="0">F55/F25</x:f>
        <x:v>0.08693680048409934</x:v>
      </x:c>
      <x:c r="G165" s="42" t="n">
        <x:f aca="0">G55/G25</x:f>
        <x:v>0.06573846862149271</x:v>
      </x:c>
    </x:row>
    <x:row r="166" ht="15" hidden="0">
      <x:c r="A166" s="40" t="s">
        <x:v>241</x:v>
      </x:c>
      <x:c r="B166" s="40"/>
      <x:c r="C166" s="41" t="s">
        <x:v>48</x:v>
      </x:c>
      <x:c r="D166" s="41" t="s">
        <x:v>49</x:v>
      </x:c>
      <x:c r="E166" s="41" t="s">
        <x:v>50</x:v>
      </x:c>
      <x:c r="F166" s="41" t="s">
        <x:v>51</x:v>
      </x:c>
      <x:c r="G166" s="41" t="s">
        <x:v>52</x:v>
      </x:c>
    </x:row>
    <x:row r="167" ht="15" hidden="0">
      <x:c r="A167" s="33" t="s">
        <x:v>120</x:v>
      </x:c>
      <x:c r="B167" s="33"/>
      <x:c r="C167" s="42" t="n">
        <x:f aca="0">C65/C64</x:f>
        <x:v>-0.6988292094452875</x:v>
      </x:c>
      <x:c r="D167" s="42" t="n">
        <x:f aca="0">D65/D64</x:f>
        <x:v>-0.7219033085563861</x:v>
      </x:c>
      <x:c r="E167" s="42" t="n">
        <x:f aca="0">E65/E64</x:f>
        <x:v>-0.7280591240432086</x:v>
      </x:c>
      <x:c r="F167" s="42" t="n">
        <x:f aca="0">F65/F64</x:f>
        <x:v>-0.6635196920367842</x:v>
      </x:c>
      <x:c r="G167" s="42" t="n">
        <x:f aca="0">G65/G64</x:f>
        <x:v>-0.657183470179327</x:v>
      </x:c>
    </x:row>
    <x:row r="168" ht="15" hidden="0">
      <x:c r="A168" s="33" t="s">
        <x:v>121</x:v>
      </x:c>
      <x:c r="B168" s="33"/>
      <x:c r="C168" s="42" t="n">
        <x:f aca="0">C66/C64</x:f>
        <x:v>0.30117079055471246</x:v>
      </x:c>
      <x:c r="D168" s="42" t="n">
        <x:f aca="0">D66/D64</x:f>
        <x:v>0.278096691443614</x:v>
      </x:c>
      <x:c r="E168" s="42" t="n">
        <x:f aca="0">E66/E64</x:f>
        <x:v>0.2719408759567914</x:v>
      </x:c>
      <x:c r="F168" s="42" t="n">
        <x:f aca="0">F66/F64</x:f>
        <x:v>0.3364803079632158</x:v>
      </x:c>
      <x:c r="G168" s="42" t="n">
        <x:f aca="0">G66/G64</x:f>
        <x:v>0.342816529820673</x:v>
      </x:c>
    </x:row>
    <x:row r="169" ht="15" hidden="0">
      <x:c r="A169" s="33" t="s">
        <x:v>242</x:v>
      </x:c>
      <x:c r="B169" s="33"/>
      <x:c r="C169" s="42" t="n">
        <x:f aca="0">(C67+C68+C69+C70)/C64</x:f>
        <x:v>-0.12112719244693486</x:v>
      </x:c>
      <x:c r="D169" s="42" t="n">
        <x:f aca="0">(D67+D68+D69+D70)/D64</x:f>
        <x:v>-0.10017929298300943</x:v>
      </x:c>
      <x:c r="E169" s="42" t="n">
        <x:f aca="0">(E67+E68+E69+E70)/E64</x:f>
        <x:v>-0.10012357335581766</x:v>
      </x:c>
      <x:c r="F169" s="42" t="n">
        <x:f aca="0">(F67+F68+F69+F70)/F64</x:f>
        <x:v>-0.10761941679537111</x:v>
      </x:c>
      <x:c r="G169" s="42" t="n">
        <x:f aca="0">(G67+G68+G69+G70)/G64</x:f>
        <x:v>-0.1161093446735434</x:v>
      </x:c>
    </x:row>
    <x:row r="170" ht="15" hidden="0">
      <x:c r="A170" s="33" t="s">
        <x:v>126</x:v>
      </x:c>
      <x:c r="B170" s="33"/>
      <x:c r="C170" s="42" t="n">
        <x:f aca="0">C71/C64</x:f>
        <x:v>0.18004359810777762</x:v>
      </x:c>
      <x:c r="D170" s="42" t="n">
        <x:f aca="0">D71/D64</x:f>
        <x:v>0.1779173984606045</x:v>
      </x:c>
      <x:c r="E170" s="42" t="n">
        <x:f aca="0">E71/E64</x:f>
        <x:v>0.17181730260097375</x:v>
      </x:c>
      <x:c r="F170" s="42" t="n">
        <x:f aca="0">F71/F64</x:f>
        <x:v>0.22886089116784467</x:v>
      </x:c>
      <x:c r="G170" s="42" t="n">
        <x:f aca="0">G71/G64</x:f>
        <x:v>0.22670718514712962</x:v>
      </x:c>
    </x:row>
    <x:row r="171" ht="15" hidden="0">
      <x:c r="A171" s="33" t="s">
        <x:v>127</x:v>
      </x:c>
      <x:c r="B171" s="33"/>
      <x:c r="C171" s="42" t="n">
        <x:f aca="0">(C72+C73+C74)/C64</x:f>
        <x:v>0.09521691055587866</x:v>
      </x:c>
      <x:c r="D171" s="42" t="n">
        <x:f aca="0">(D72+D73+D74)/D64</x:f>
        <x:v>0.09110221808707909</x:v>
      </x:c>
      <x:c r="E171" s="42" t="n">
        <x:f aca="0">(E72+E73+E74)/E64</x:f>
        <x:v>0.06310432552450275</x:v>
      </x:c>
      <x:c r="F171" s="42" t="n">
        <x:f aca="0">(F72+F73+F74)/F64</x:f>
        <x:v>0.14372747744369124</x:v>
      </x:c>
      <x:c r="G171" s="42" t="n">
        <x:f aca="0">(G72+G73+G74)/G64</x:f>
        <x:v>0.1643694027769782</x:v>
      </x:c>
    </x:row>
    <x:row r="172" ht="15" hidden="0">
      <x:c r="A172" s="33" t="s">
        <x:v>130</x:v>
      </x:c>
      <x:c r="B172" s="33"/>
      <x:c r="C172" s="42" t="n">
        <x:f aca="0">C75/C64</x:f>
        <x:v>-0.0052891760758382415</x:v>
      </x:c>
      <x:c r="D172" s="42" t="n">
        <x:f aca="0">D75/D64</x:f>
        <x:v>-0.004864963016467714</x:v>
      </x:c>
      <x:c r="E172" s="42" t="n">
        <x:f aca="0">E75/E64</x:f>
        <x:v>-0.012206446757370468</x:v>
      </x:c>
      <x:c r="F172" s="42" t="n">
        <x:f aca="0">F75/F64</x:f>
        <x:v>-0.013710546674283175</x:v>
      </x:c>
      <x:c r="G172" s="42" t="n">
        <x:f aca="0">G75/G64</x:f>
        <x:v>-0.011007548010892852</x:v>
      </x:c>
    </x:row>
    <x:row r="173" ht="15" hidden="0">
      <x:c r="A173" s="33" t="s">
        <x:v>131</x:v>
      </x:c>
      <x:c r="B173" s="33"/>
      <x:c r="C173" s="42" t="n">
        <x:f aca="0">C76/C64</x:f>
        <x:v>0.2699713325878181</x:v>
      </x:c>
      <x:c r="D173" s="42" t="n">
        <x:f aca="0">D76/D64</x:f>
        <x:v>0.26415465353121587</x:v>
      </x:c>
      <x:c r="E173" s="42" t="n">
        <x:f aca="0">E76/E64</x:f>
        <x:v>0.22271518136810603</x:v>
      </x:c>
      <x:c r="F173" s="42" t="n">
        <x:f aca="0">F76/F64</x:f>
        <x:v>0.3588778219372528</x:v>
      </x:c>
      <x:c r="G173" s="42" t="n">
        <x:f aca="0">G76/G64</x:f>
        <x:v>0.38006903991321495</x:v>
      </x:c>
    </x:row>
    <x:row r="174" ht="15" hidden="0">
      <x:c r="A174" s="33" t="s">
        <x:v>243</x:v>
      </x:c>
      <x:c r="B174" s="33"/>
      <x:c r="C174" s="42" t="n">
        <x:f aca="0">(C77+C78)/C64</x:f>
        <x:v>-0.04642495436783816</x:v>
      </x:c>
      <x:c r="D174" s="42" t="n">
        <x:f aca="0">(D77+D78)/D64</x:f>
        <x:v>-0.07550065187078746</x:v>
      </x:c>
      <x:c r="E174" s="42" t="n">
        <x:f aca="0">(E77+E78)/E64</x:f>
        <x:v>-0.07948752311685138</x:v>
      </x:c>
      <x:c r="F174" s="42" t="n">
        <x:f aca="0">(F77+F78)/F64</x:f>
        <x:v>-0.11516177480496803</x:v>
      </x:c>
      <x:c r="G174" s="42" t="n">
        <x:f aca="0">(G77+G78)/G64</x:f>
        <x:v>-0.11429361233587733</x:v>
      </x:c>
    </x:row>
    <x:row r="175" ht="15" hidden="0">
      <x:c r="A175" s="33" t="s">
        <x:v>134</x:v>
      </x:c>
      <x:c r="B175" s="33"/>
      <x:c r="C175" s="42" t="n">
        <x:f aca="0">C79/C64</x:f>
        <x:v>0.22354637821997994</x:v>
      </x:c>
      <x:c r="D175" s="42" t="n">
        <x:f aca="0">D79/D64</x:f>
        <x:v>0.18865400166042842</x:v>
      </x:c>
      <x:c r="E175" s="42" t="n">
        <x:f aca="0">E79/E64</x:f>
        <x:v>0.14322765825125466</x:v>
      </x:c>
      <x:c r="F175" s="42" t="n">
        <x:f aca="0">F79/F64</x:f>
        <x:v>0.24371604713228476</x:v>
      </x:c>
      <x:c r="G175" s="42" t="n">
        <x:f aca="0">G79/G64</x:f>
        <x:v>0.26577542757733763</x:v>
      </x:c>
    </x:row>
    <x:row r="176" ht="15" hidden="0">
      <x:c r="A176" s="33" t="s">
        <x:v>138</x:v>
      </x:c>
      <x:c r="B176" s="33"/>
      <x:c r="C176" s="42" t="n">
        <x:f aca="0">C83/C64</x:f>
        <x:v>0.3435589678269924</x:v>
      </x:c>
      <x:c r="D176" s="42" t="n">
        <x:f aca="0">D83/D64</x:f>
        <x:v>0.32485343311935194</x:v>
      </x:c>
      <x:c r="E176" s="42" t="n">
        <x:f aca="0">E83/E64</x:f>
        <x:v>0.2903807007475268</x:v>
      </x:c>
      <x:c r="F176" s="42" t="n">
        <x:f aca="0">F83/F64</x:f>
        <x:v>0.4254600362166235</x:v>
      </x:c>
      <x:c r="G176" s="42" t="n">
        <x:f aca="0">G83/G64</x:f>
        <x:v>0.4467960869618853</x:v>
      </x:c>
    </x:row>
    <x:row r="178" ht="19.5" hidden="0" customHeight="1">
      <x:c r="A178" s="5" t="s">
        <x:v>244</x:v>
      </x:c>
      <x:c r="B178" s="6"/>
      <x:c r="C178" s="6"/>
      <x:c r="D178" s="6"/>
      <x:c r="E178" s="6"/>
      <x:c r="F178" s="6"/>
      <x:c r="G178" s="6"/>
    </x:row>
    <x:row r="179" ht="15" hidden="0">
      <x:c r="A179" s="40" t="s">
        <x:v>245</x:v>
      </x:c>
      <x:c r="B179" s="40"/>
      <x:c r="C179" s="41" t="s">
        <x:v>48</x:v>
      </x:c>
      <x:c r="D179" s="41" t="s">
        <x:v>49</x:v>
      </x:c>
      <x:c r="E179" s="41" t="s">
        <x:v>50</x:v>
      </x:c>
      <x:c r="F179" s="41" t="s">
        <x:v>51</x:v>
      </x:c>
      <x:c r="G179" s="41" t="s">
        <x:v>52</x:v>
      </x:c>
    </x:row>
    <x:row r="180" ht="15" hidden="0">
      <x:c r="A180" s="33" t="s">
        <x:v>119</x:v>
      </x:c>
      <x:c r="B180" s="33"/>
      <x:c r="C180" s="38" t="n">
        <x:f aca="0">IF(H64&lt;=0,"n/m",C64/H64-1)</x:f>
        <x:v>0.5032149138029283</x:v>
      </x:c>
      <x:c r="D180" s="38" t="n">
        <x:f aca="0">IF(C64&lt;=0,"n/m",D64/C64-1)</x:f>
        <x:v>0.28840940308914065</x:v>
      </x:c>
      <x:c r="E180" s="38" t="n">
        <x:f aca="0">IF(D64&lt;=0,"n/m",E64/D64-1)</x:f>
        <x:v>0.181748444157533</x:v>
      </x:c>
      <x:c r="F180" s="38" t="n">
        <x:f aca="0">IF(E64&lt;=0,"n/m",F64/E64-1)</x:f>
        <x:v>0.20340559624527654</x:v>
      </x:c>
      <x:c r="G180" s="38" t="n">
        <x:f aca="0">IF(F64&lt;=0,"n/m",G64/F64-1)</x:f>
        <x:v>0.07966014845253522</x:v>
      </x:c>
    </x:row>
    <x:row r="181" ht="15" hidden="0">
      <x:c r="A181" s="33" t="s">
        <x:v>121</x:v>
      </x:c>
      <x:c r="B181" s="33"/>
      <x:c r="C181" s="38" t="n">
        <x:f aca="0">IF(H66&lt;=0,"n/m",C66/H66-1)</x:f>
        <x:v>2.119411726469594</x:v>
      </x:c>
      <x:c r="D181" s="38" t="n">
        <x:f aca="0">IF(C66&lt;=0,"n/m",D66/C66-1)</x:f>
        <x:v>0.18969834878074</x:v>
      </x:c>
      <x:c r="E181" s="38" t="n">
        <x:f aca="0">IF(D66&lt;=0,"n/m",E66/D66-1)</x:f>
        <x:v>0.15558982523865827</x:v>
      </x:c>
      <x:c r="F181" s="38" t="n">
        <x:f aca="0">IF(E66&lt;=0,"n/m",F66/E66-1)</x:f>
        <x:v>0.4890085361555061</x:v>
      </x:c>
      <x:c r="G181" s="38" t="n">
        <x:f aca="0">IF(F66&lt;=0,"n/m",G66/F66-1)</x:f>
        <x:v>0.09999110414102774</x:v>
      </x:c>
    </x:row>
    <x:row r="182" ht="15" hidden="0">
      <x:c r="A182" s="33" t="s">
        <x:v>126</x:v>
      </x:c>
      <x:c r="B182" s="33"/>
      <x:c r="C182" s="38" t="n">
        <x:f aca="0">IF(H71&lt;=0,"n/m",C71/H71-1)</x:f>
        <x:v>12.982517055402768</x:v>
      </x:c>
      <x:c r="D182" s="38" t="n">
        <x:f aca="0">IF(C71&lt;=0,"n/m",D71/C71-1)</x:f>
        <x:v>0.27319411275361416</x:v>
      </x:c>
      <x:c r="E182" s="38" t="n">
        <x:f aca="0">IF(D71&lt;=0,"n/m",E71/D71-1)</x:f>
        <x:v>0.14123088458380395</x:v>
      </x:c>
      <x:c r="F182" s="38" t="n">
        <x:f aca="0">IF(E71&lt;=0,"n/m",F71/E71-1)</x:f>
        <x:v>0.6029379638945898</x:v>
      </x:c>
      <x:c r="G182" s="38" t="n">
        <x:f aca="0">IF(F71&lt;=0,"n/m",G71/F71-1)</x:f>
        <x:v>0.06949995659894759</x:v>
      </x:c>
    </x:row>
    <x:row r="183" ht="15" hidden="0">
      <x:c r="A183" s="33" t="s">
        <x:v>138</x:v>
      </x:c>
      <x:c r="B183" s="33"/>
      <x:c r="C183" s="38" t="n">
        <x:f aca="0">IF(H83&lt;=0,"n/m",C83/H83-1)</x:f>
        <x:v>1.754373439558524</x:v>
      </x:c>
      <x:c r="D183" s="38" t="n">
        <x:f aca="0">IF(C83&lt;=0,"n/m",D83/C83-1)</x:f>
        <x:v>0.21826020291087422</x:v>
      </x:c>
      <x:c r="E183" s="38" t="n">
        <x:f aca="0">IF(D83&lt;=0,"n/m",E83/D83-1)</x:f>
        <x:v>0.056343896466340304</x:v>
      </x:c>
      <x:c r="F183" s="38" t="n">
        <x:f aca="0">IF(E83&lt;=0,"n/m",F83/E83-1)</x:f>
        <x:v>0.7632059818154548</x:v>
      </x:c>
      <x:c r="G183" s="38" t="n">
        <x:f aca="0">IF(F83&lt;=0,"n/m",G83/F83-1)</x:f>
        <x:v>0.13380315074215932</x:v>
      </x:c>
    </x:row>
    <x:row r="184" ht="15" hidden="0">
      <x:c r="A184" s="33" t="s">
        <x:v>134</x:v>
      </x:c>
      <x:c r="B184" s="33"/>
      <x:c r="C184" s="38" t="n">
        <x:f aca="0">IF(H79&lt;=0,"n/m",C79/H79-1)</x:f>
        <x:v>3.2076767088335822</x:v>
      </x:c>
      <x:c r="D184" s="38" t="n">
        <x:f aca="0">IF(C79&lt;=0,"n/m",D79/C79-1)</x:f>
        <x:v>0.08730721385476681</x:v>
      </x:c>
      <x:c r="E184" s="38" t="n">
        <x:f aca="0">IF(D79&lt;=0,"n/m",E79/D79-1)</x:f>
        <x:v>-0.10280693327985546</x:v>
      </x:c>
      <x:c r="F184" s="38" t="n">
        <x:f aca="0">IF(E79&lt;=0,"n/m",F79/E79-1)</x:f>
        <x:v>1.0477138186485702</x:v>
      </x:c>
      <x:c r="G184" s="38" t="n">
        <x:f aca="0">IF(F79&lt;=0,"n/m",G79/F79-1)</x:f>
        <x:v>0.17738302819852692</x:v>
      </x:c>
    </x:row>
    <x:row r="185" ht="15" hidden="0">
      <x:c r="A185" s="33" t="s">
        <x:v>146</x:v>
      </x:c>
      <x:c r="B185" s="33"/>
      <x:c r="C185" s="38" t="n">
        <x:f aca="0">IF(H93&lt;=0,"n/m",C93/H93-1)</x:f>
        <x:v>1.4753269408450125</x:v>
      </x:c>
      <x:c r="D185" s="38" t="n">
        <x:f aca="0">IF(C93&lt;=0,"n/m",D93/C93-1)</x:f>
        <x:v>0.23828591431220536</x:v>
      </x:c>
      <x:c r="E185" s="38" t="n">
        <x:f aca="0">IF(D93&lt;=0,"n/m",E93/D93-1)</x:f>
        <x:v>0.5025031596147995</x:v>
      </x:c>
      <x:c r="F185" s="38" t="n">
        <x:f aca="0">IF(E93&lt;=0,"n/m",F93/E93-1)</x:f>
        <x:v>0.18663100329666316</x:v>
      </x:c>
      <x:c r="G185" s="38" t="n">
        <x:f aca="0">IF(F93&lt;=0,"n/m",G93/F93-1)</x:f>
        <x:v>-0.00029636622163276005</x:v>
      </x:c>
    </x:row>
    <x:row r="186" ht="15" hidden="0">
      <x:c r="A186" s="33" t="s">
        <x:v>246</x:v>
      </x:c>
      <x:c r="B186" s="33"/>
      <x:c r="C186" s="38" t="n">
        <x:f aca="0">IF(H25&lt;=0,"n/m",C25/H25-1)</x:f>
        <x:v>0.15087817943697535</x:v>
      </x:c>
      <x:c r="D186" s="38" t="n">
        <x:f aca="0">IF(C25&lt;=0,"n/m",D25/C25-1)</x:f>
        <x:v>0.18286538589958368</x:v>
      </x:c>
      <x:c r="E186" s="38" t="n">
        <x:f aca="0">IF(D25&lt;=0,"n/m",E25/D25-1)</x:f>
        <x:v>0.1520130786820375</x:v>
      </x:c>
      <x:c r="F186" s="38" t="n">
        <x:f aca="0">IF(E25&lt;=0,"n/m",F25/E25-1)</x:f>
        <x:v>0.09826879427813529</x:v>
      </x:c>
      <x:c r="G186" s="38" t="n">
        <x:f aca="0">IF(F25&lt;=0,"n/m",G25/F25-1)</x:f>
        <x:v>0.13986072615155543</x:v>
      </x:c>
    </x:row>
    <x:row r="187" ht="15" hidden="0">
      <x:c r="A187" s="33" t="s">
        <x:v>86</x:v>
      </x:c>
      <x:c r="B187" s="33"/>
      <x:c r="C187" s="38" t="n">
        <x:f aca="0">IF(H29&lt;=0,"n/m",C29/H29-1)</x:f>
        <x:v>0.14131731572740436</x:v>
      </x:c>
      <x:c r="D187" s="38" t="n">
        <x:f aca="0">IF(C29&lt;=0,"n/m",D29/C29-1)</x:f>
        <x:v>0.13551264167613453</x:v>
      </x:c>
      <x:c r="E187" s="38" t="n">
        <x:f aca="0">IF(D29&lt;=0,"n/m",E29/D29-1)</x:f>
        <x:v>0.06866329355136847</x:v>
      </x:c>
      <x:c r="F187" s="38" t="n">
        <x:f aca="0">IF(E29&lt;=0,"n/m",F29/E29-1)</x:f>
        <x:v>0.07567321120607096</x:v>
      </x:c>
      <x:c r="G187" s="38" t="n">
        <x:f aca="0">IF(F29&lt;=0,"n/m",G29/F29-1)</x:f>
        <x:v>0.1905040587866602</x:v>
      </x:c>
    </x:row>
    <x:row r="188" ht="15" hidden="0">
      <x:c r="A188" s="33" t="s">
        <x:v>112</x:v>
      </x:c>
      <x:c r="B188" s="33"/>
      <x:c r="C188" s="38" t="n">
        <x:f aca="0">IF(H55&lt;=0,"n/m",C55/H55-1)</x:f>
        <x:v>0.2521079813506546</x:v>
      </x:c>
      <x:c r="D188" s="38" t="n">
        <x:f aca="0">IF(C55&lt;=0,"n/m",D55/C55-1)</x:f>
        <x:v>0.48658081745107595</x:v>
      </x:c>
      <x:c r="E188" s="38" t="n">
        <x:f aca="0">IF(D55&lt;=0,"n/m",E55/D55-1)</x:f>
        <x:v>0.34921915395884806</x:v>
      </x:c>
      <x:c r="F188" s="38" t="n">
        <x:f aca="0">IF(E55&lt;=0,"n/m",F55/E55-1)</x:f>
        <x:v>-0.033132057599042364</x:v>
      </x:c>
      <x:c r="G188" s="38" t="n">
        <x:f aca="0">IF(F55&lt;=0,"n/m",G55/F55-1)</x:f>
        <x:v>-0.13807848734103068</x:v>
      </x:c>
    </x:row>
    <x:row r="189" ht="15" hidden="0">
      <x:c r="A189" s="33" t="s">
        <x:v>240</x:v>
      </x:c>
      <x:c r="B189" s="33"/>
      <x:c r="C189" s="38" t="n">
        <x:f aca="0">IF(H54&lt;=0,"n/m",C54/H54-1)</x:f>
        <x:v>0.4446811807299962</x:v>
      </x:c>
      <x:c r="D189" s="38" t="n">
        <x:f aca="0">IF(C54&lt;=0,"n/m",D54/C54-1)</x:f>
        <x:v>0.34820516432028215</x:v>
      </x:c>
      <x:c r="E189" s="38" t="n">
        <x:f aca="0">IF(D54&lt;=0,"n/m",E54/D54-1)</x:f>
        <x:v>0.09545642836648849</x:v>
      </x:c>
      <x:c r="F189" s="38" t="n">
        <x:f aca="0">IF(E54&lt;=0,"n/m",F54/E54-1)</x:f>
        <x:v>0.14726031632892544</x:v>
      </x:c>
      <x:c r="G189" s="38" t="n">
        <x:f aca="0">IF(F54&lt;=0,"n/m",G54/F54-1)</x:f>
        <x:v>0.06807997507235397</x:v>
      </x:c>
    </x:row>
    <x:row r="190" ht="15" hidden="0">
      <x:c r="A190" s="33" t="s">
        <x:v>77</x:v>
      </x:c>
      <x:c r="B190" s="33"/>
      <x:c r="C190" s="38" t="n">
        <x:f aca="0">IF(H20&lt;=0,"n/m",C20/H20-1)</x:f>
        <x:v>-0.20821925652549522</x:v>
      </x:c>
      <x:c r="D190" s="38" t="n">
        <x:f aca="0">IF(C20&lt;=0,"n/m",D20/C20-1)</x:f>
        <x:v>0.2999356845791694</x:v>
      </x:c>
      <x:c r="E190" s="38" t="n">
        <x:f aca="0">IF(D20&lt;=0,"n/m",E20/D20-1)</x:f>
        <x:v>0.4447251450567724</x:v>
      </x:c>
      <x:c r="F190" s="38" t="n">
        <x:f aca="0">IF(E20&lt;=0,"n/m",F20/E20-1)</x:f>
        <x:v>0.36206926700705555</x:v>
      </x:c>
      <x:c r="G190" s="38" t="n">
        <x:f aca="0">IF(F20&lt;=0,"n/m",G20/F20-1)</x:f>
        <x:v>-0.08356101763885615</x:v>
      </x:c>
    </x:row>
    <x:row r="191" ht="15" hidden="0">
      <x:c r="A191" s="33" t="s">
        <x:v>79</x:v>
      </x:c>
      <x:c r="B191" s="33"/>
      <x:c r="C191" s="38" t="n">
        <x:f aca="0">IF(H22&lt;=0,"n/m",C22/H22-1)</x:f>
        <x:v>-0.6385357020681355</x:v>
      </x:c>
      <x:c r="D191" s="38" t="n">
        <x:f aca="0">IF(C22&lt;=0,"n/m",D22/C22-1)</x:f>
        <x:v>0.37008746297900785</x:v>
      </x:c>
      <x:c r="E191" s="38" t="n">
        <x:f aca="0">IF(D22&lt;=0,"n/m",E22/D22-1)</x:f>
        <x:v>0.06331647153583564</x:v>
      </x:c>
      <x:c r="F191" s="38" t="n">
        <x:f aca="0">IF(E22&lt;=0,"n/m",F22/E22-1)</x:f>
        <x:v>-0.37632091494518827</x:v>
      </x:c>
      <x:c r="G191" s="38" t="n">
        <x:f aca="0">IF(F22&lt;=0,"n/m",G22/F22-1)</x:f>
        <x:v>0.08692314044693461</x:v>
      </x:c>
    </x:row>
    <x:row r="193" ht="15" hidden="0">
      <x:c r="A193" s="15" t="s">
        <x:v>247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FA98A"/>
  </x:sheetPr>
  <x:sheetViews>
    <x:sheetView showGridLines="0" workbookViewId="0">
      <x:pane xSplit="2" ySplit="5" topLeftCell="C6" activePane="bottomRight" state="frozen"/>
    </x:sheetView>
  </x:sheetViews>
  <x:sheetFormatPr defaultColWidth="8.6796875" defaultRowHeight="15"/>
  <x:cols>
    <x:col min="1" max="1" width="44" hidden="0" customWidth="1"/>
    <x:col min="2" max="2" width="36" hidden="0" customWidth="1"/>
    <x:col min="3" max="8" width="12" hidden="0" customWidth="1"/>
  </x:cols>
  <x:sheetData>
    <x:row r="1" ht="19.700000762939453" hidden="0">
      <x:c r="A1" s="1" t="s">
        <x:v>250</x:v>
      </x:c>
    </x:row>
    <x:row r="2" ht="15" hidden="0">
      <x:c r="A2" s="16" t="s">
        <x:v>251</x:v>
      </x:c>
    </x:row>
    <x:row r="3" ht="15" hidden="0">
      <x:c r="A3" s="15" t="s">
        <x:v>61</x:v>
      </x:c>
    </x:row>
    <x:row r="6" ht="19.5" hidden="0" customHeight="1">
      <x:c r="A6" s="5" t="s">
        <x:v>62</x:v>
      </x:c>
      <x:c r="B6" s="6"/>
      <x:c r="C6" s="6"/>
      <x:c r="D6" s="6"/>
      <x:c r="E6" s="6"/>
      <x:c r="F6" s="6"/>
      <x:c r="G6" s="6"/>
      <x:c r="H6" s="6"/>
    </x:row>
    <x:row r="7" ht="16.5" hidden="0" customHeight="1">
      <x:c r="A7" s="17" t="s">
        <x:v>63</x:v>
      </x:c>
      <x:c r="B7" s="18"/>
      <x:c r="C7" s="19" t="s">
        <x:v>48</x:v>
      </x:c>
      <x:c r="D7" s="19" t="s">
        <x:v>49</x:v>
      </x:c>
      <x:c r="E7" s="19" t="s">
        <x:v>50</x:v>
      </x:c>
      <x:c r="F7" s="19" t="s">
        <x:v>51</x:v>
      </x:c>
      <x:c r="G7" s="19" t="s">
        <x:v>52</x:v>
      </x:c>
      <x:c r="H7" s="19" t="s">
        <x:v>64</x:v>
      </x:c>
    </x:row>
    <x:row r="8" ht="15" hidden="0">
      <x:c r="A8" s="20" t="s">
        <x:v>65</x:v>
      </x:c>
      <x:c r="B8" s="21"/>
      <x:c r="C8" s="21"/>
      <x:c r="D8" s="21"/>
      <x:c r="E8" s="21"/>
      <x:c r="F8" s="21"/>
      <x:c r="G8" s="21"/>
      <x:c r="H8" s="21"/>
    </x:row>
    <x:row r="9" ht="15" hidden="0">
      <x:c r="A9" s="22" t="s">
        <x:v>66</x:v>
      </x:c>
      <x:c r="B9" s="23"/>
      <x:c r="C9" s="24" t="n">
        <x:v>85020.109</x:v>
      </x:c>
      <x:c r="D9" s="24" t="n">
        <x:v>82803.86</x:v>
      </x:c>
      <x:c r="E9" s="24" t="n">
        <x:v>82245.65</x:v>
      </x:c>
      <x:c r="F9" s="24" t="n">
        <x:v>79877.839</x:v>
      </x:c>
      <x:c r="G9" s="24" t="n">
        <x:v>77252.559</x:v>
      </x:c>
      <x:c r="H9" s="24" t="n">
        <x:v>83537.295</x:v>
      </x:c>
    </x:row>
    <x:row r="10" ht="15" hidden="0">
      <x:c r="A10" s="22" t="s">
        <x:v>67</x:v>
      </x:c>
      <x:c r="B10" s="23"/>
      <x:c r="C10" s="24" t="n">
        <x:v>7726.72</x:v>
      </x:c>
      <x:c r="D10" s="24" t="n">
        <x:v>724.168</x:v>
      </x:c>
      <x:c r="E10" s="24" t="n">
        <x:v>2006.864</x:v>
      </x:c>
      <x:c r="F10" s="24" t="n">
        <x:v>1341.029</x:v>
      </x:c>
      <x:c r="G10" s="24" t="n">
        <x:v>798.312</x:v>
      </x:c>
      <x:c r="H10" s="24" t="n">
        <x:v>6358.259</x:v>
      </x:c>
    </x:row>
    <x:row r="11" ht="15" hidden="0">
      <x:c r="A11" s="22" t="s">
        <x:v>68</x:v>
      </x:c>
      <x:c r="B11" s="23"/>
      <x:c r="C11" s="24" t="n">
        <x:v>0</x:v>
      </x:c>
      <x:c r="D11" s="24" t="n">
        <x:v>0</x:v>
      </x:c>
      <x:c r="E11" s="24" t="n">
        <x:v>0</x:v>
      </x:c>
      <x:c r="F11" s="24" t="n">
        <x:v>0</x:v>
      </x:c>
      <x:c r="G11" s="24" t="n">
        <x:v>0</x:v>
      </x:c>
      <x:c r="H11" s="24" t="n">
        <x:v>0</x:v>
      </x:c>
    </x:row>
    <x:row r="12" ht="15" hidden="0">
      <x:c r="A12" s="22" t="s">
        <x:v>69</x:v>
      </x:c>
      <x:c r="B12" s="23"/>
      <x:c r="C12" s="24" t="n">
        <x:v>0</x:v>
      </x:c>
      <x:c r="D12" s="24" t="n">
        <x:v>17.319</x:v>
      </x:c>
      <x:c r="E12" s="24" t="n">
        <x:v>10.152</x:v>
      </x:c>
      <x:c r="F12" s="24" t="n">
        <x:v>42.762</x:v>
      </x:c>
      <x:c r="G12" s="24" t="n">
        <x:v>13.076</x:v>
      </x:c>
      <x:c r="H12" s="24" t="n">
        <x:v>0</x:v>
      </x:c>
    </x:row>
    <x:row r="13" ht="15" hidden="0">
      <x:c r="A13" s="22" t="s">
        <x:v>70</x:v>
      </x:c>
      <x:c r="B13" s="23"/>
      <x:c r="C13" s="24" t="n">
        <x:v>0</x:v>
      </x:c>
      <x:c r="D13" s="24" t="n">
        <x:v>0</x:v>
      </x:c>
      <x:c r="E13" s="24" t="n">
        <x:v>0</x:v>
      </x:c>
      <x:c r="F13" s="24" t="n">
        <x:v>0</x:v>
      </x:c>
      <x:c r="G13" s="24" t="n">
        <x:v>0</x:v>
      </x:c>
      <x:c r="H13" s="24" t="n">
        <x:v>0</x:v>
      </x:c>
    </x:row>
    <x:row r="14" ht="15" hidden="0">
      <x:c r="A14" s="22" t="s">
        <x:v>71</x:v>
      </x:c>
      <x:c r="B14" s="23"/>
      <x:c r="C14" s="24" t="n">
        <x:v>15965.811</x:v>
      </x:c>
      <x:c r="D14" s="24" t="n">
        <x:v>12866.145</x:v>
      </x:c>
      <x:c r="E14" s="24" t="n">
        <x:v>13366.36</x:v>
      </x:c>
      <x:c r="F14" s="24" t="n">
        <x:v>16633.064</x:v>
      </x:c>
      <x:c r="G14" s="24" t="n">
        <x:v>20689.545</x:v>
      </x:c>
      <x:c r="H14" s="24" t="n">
        <x:v>11849.828</x:v>
      </x:c>
    </x:row>
    <x:row r="15" ht="15" hidden="0">
      <x:c r="A15" s="22" t="s">
        <x:v>72</x:v>
      </x:c>
      <x:c r="B15" s="23"/>
      <x:c r="C15" s="24" t="n">
        <x:v>57.513</x:v>
      </x:c>
      <x:c r="D15" s="24" t="n">
        <x:v>61.526</x:v>
      </x:c>
      <x:c r="E15" s="24" t="n">
        <x:v>64.426</x:v>
      </x:c>
      <x:c r="F15" s="24" t="n">
        <x:v>61.568</x:v>
      </x:c>
      <x:c r="G15" s="24" t="n">
        <x:v>61.013</x:v>
      </x:c>
      <x:c r="H15" s="24" t="n">
        <x:v>57.984</x:v>
      </x:c>
    </x:row>
    <x:row r="16" ht="15" hidden="0">
      <x:c r="A16" s="25" t="s">
        <x:v>73</x:v>
      </x:c>
      <x:c r="B16" s="26"/>
      <x:c r="C16" s="27" t="n">
        <x:f aca="0">C9+C11+C12+C13+C14+C15</x:f>
        <x:v>101043.433</x:v>
      </x:c>
      <x:c r="D16" s="27" t="n">
        <x:f aca="0">D9+D11+D12+D13+D14+D15</x:f>
        <x:v>95748.85</x:v>
      </x:c>
      <x:c r="E16" s="27" t="n">
        <x:f aca="0">E9+E11+E12+E13+E14+E15</x:f>
        <x:v>95686.588</x:v>
      </x:c>
      <x:c r="F16" s="27" t="n">
        <x:f aca="0">F9+F11+F12+F13+F14+F15</x:f>
        <x:v>96615.23300000001</x:v>
      </x:c>
      <x:c r="G16" s="27" t="n">
        <x:f aca="0">G9+G11+G12+G13+G14+G15</x:f>
        <x:v>98016.193</x:v>
      </x:c>
      <x:c r="H16" s="27" t="n">
        <x:f aca="0">H9+H11+H12+H13+H14+H15</x:f>
        <x:v>95445.10699999999</x:v>
      </x:c>
    </x:row>
    <x:row r="17" ht="15" hidden="0">
      <x:c r="A17" s="20" t="s">
        <x:v>74</x:v>
      </x:c>
      <x:c r="B17" s="21"/>
      <x:c r="C17" s="21"/>
      <x:c r="D17" s="21"/>
      <x:c r="E17" s="21"/>
      <x:c r="F17" s="21"/>
      <x:c r="G17" s="21"/>
      <x:c r="H17" s="21"/>
    </x:row>
    <x:row r="18" ht="15" hidden="0">
      <x:c r="A18" s="22" t="s">
        <x:v>75</x:v>
      </x:c>
      <x:c r="B18" s="23"/>
      <x:c r="C18" s="24" t="n">
        <x:v>12879.348</x:v>
      </x:c>
      <x:c r="D18" s="24" t="n">
        <x:v>16813.883</x:v>
      </x:c>
      <x:c r="E18" s="24" t="n">
        <x:v>13852.005</x:v>
      </x:c>
      <x:c r="F18" s="24" t="n">
        <x:v>12559.774</x:v>
      </x:c>
      <x:c r="G18" s="24" t="n">
        <x:v>12306.679</x:v>
      </x:c>
      <x:c r="H18" s="24" t="n">
        <x:v>8237.99</x:v>
      </x:c>
    </x:row>
    <x:row r="19" ht="15" hidden="0">
      <x:c r="A19" s="22" t="s">
        <x:v>76</x:v>
      </x:c>
      <x:c r="B19" s="23"/>
      <x:c r="C19" s="24" t="n">
        <x:v>2728.589</x:v>
      </x:c>
      <x:c r="D19" s="24" t="n">
        <x:v>5981.515</x:v>
      </x:c>
      <x:c r="E19" s="24" t="n">
        <x:v>8873.17</x:v>
      </x:c>
      <x:c r="F19" s="24" t="n">
        <x:v>7693.067</x:v>
      </x:c>
      <x:c r="G19" s="24" t="n">
        <x:v>8188.678</x:v>
      </x:c>
      <x:c r="H19" s="24" t="n">
        <x:v>4352.995</x:v>
      </x:c>
    </x:row>
    <x:row r="20" ht="15" hidden="0">
      <x:c r="A20" s="22" t="s">
        <x:v>77</x:v>
      </x:c>
      <x:c r="B20" s="23"/>
      <x:c r="C20" s="24" t="n">
        <x:v>1676.245</x:v>
      </x:c>
      <x:c r="D20" s="24" t="n">
        <x:v>1467.862</x:v>
      </x:c>
      <x:c r="E20" s="24" t="n">
        <x:v>1193.44</x:v>
      </x:c>
      <x:c r="F20" s="24" t="n">
        <x:v>855.742</x:v>
      </x:c>
      <x:c r="G20" s="24" t="n">
        <x:v>1493.08</x:v>
      </x:c>
      <x:c r="H20" s="24" t="n">
        <x:v>2286.084</x:v>
      </x:c>
    </x:row>
    <x:row r="21" ht="15" hidden="0">
      <x:c r="A21" s="22" t="s">
        <x:v>78</x:v>
      </x:c>
      <x:c r="B21" s="23"/>
      <x:c r="C21" s="24" t="n">
        <x:v>12946.786</x:v>
      </x:c>
      <x:c r="D21" s="24" t="n">
        <x:v>9962.421</x:v>
      </x:c>
      <x:c r="E21" s="24" t="n">
        <x:v>9270.898</x:v>
      </x:c>
      <x:c r="F21" s="24" t="n">
        <x:v>18384.882</x:v>
      </x:c>
      <x:c r="G21" s="24" t="n">
        <x:v>24005.1</x:v>
      </x:c>
      <x:c r="H21" s="24" t="n">
        <x:v>13126.388</x:v>
      </x:c>
    </x:row>
    <x:row r="22" ht="15" hidden="0">
      <x:c r="A22" s="22" t="s">
        <x:v>79</x:v>
      </x:c>
      <x:c r="B22" s="23"/>
      <x:c r="C22" s="24" t="n">
        <x:v>806.373</x:v>
      </x:c>
      <x:c r="D22" s="24" t="n">
        <x:v>410.803</x:v>
      </x:c>
      <x:c r="E22" s="24" t="n">
        <x:v>674.972</x:v>
      </x:c>
      <x:c r="F22" s="24" t="n">
        <x:v>732.168</x:v>
      </x:c>
      <x:c r="G22" s="24" t="n">
        <x:v>568.832</x:v>
      </x:c>
      <x:c r="H22" s="24" t="n">
        <x:v>347.834</x:v>
      </x:c>
    </x:row>
    <x:row r="23" ht="15" hidden="0">
      <x:c r="A23" s="22" t="s">
        <x:v>80</x:v>
      </x:c>
      <x:c r="B23" s="23"/>
      <x:c r="C23" s="24" t="n">
        <x:v>5813.923</x:v>
      </x:c>
      <x:c r="D23" s="24" t="n">
        <x:v>6176.679</x:v>
      </x:c>
      <x:c r="E23" s="24" t="n">
        <x:v>5162.181</x:v>
      </x:c>
      <x:c r="F23" s="24" t="n">
        <x:v>1544.888</x:v>
      </x:c>
      <x:c r="G23" s="24" t="n">
        <x:v>1345.673</x:v>
      </x:c>
      <x:c r="H23" s="24" t="n">
        <x:v>5755.136</x:v>
      </x:c>
    </x:row>
    <x:row r="24" ht="15" hidden="0">
      <x:c r="A24" s="25" t="s">
        <x:v>81</x:v>
      </x:c>
      <x:c r="B24" s="26"/>
      <x:c r="C24" s="27" t="n">
        <x:f aca="0">C18+C19+C20+C21+C22+C23</x:f>
        <x:v>36851.264</x:v>
      </x:c>
      <x:c r="D24" s="27" t="n">
        <x:f aca="0">D18+D19+D20+D21+D22+D23</x:f>
        <x:v>40813.163</x:v>
      </x:c>
      <x:c r="E24" s="27" t="n">
        <x:f aca="0">E18+E19+E20+E21+E22+E23</x:f>
        <x:v>39026.666</x:v>
      </x:c>
      <x:c r="F24" s="27" t="n">
        <x:f aca="0">F18+F19+F20+F21+F22+F23</x:f>
        <x:v>41770.52099999999</x:v>
      </x:c>
      <x:c r="G24" s="27" t="n">
        <x:f aca="0">G18+G19+G20+G21+G22+G23</x:f>
        <x:v>47908.042</x:v>
      </x:c>
      <x:c r="H24" s="27" t="n">
        <x:f aca="0">H18+H19+H20+H21+H22+H23</x:f>
        <x:v>34106.427</x:v>
      </x:c>
    </x:row>
    <x:row r="25" ht="15" hidden="0">
      <x:c r="A25" s="25" t="s">
        <x:v>82</x:v>
      </x:c>
      <x:c r="B25" s="26"/>
      <x:c r="C25" s="27" t="n">
        <x:f aca="0">C16+C24</x:f>
        <x:v>137894.69700000001</x:v>
      </x:c>
      <x:c r="D25" s="27" t="n">
        <x:f aca="0">D16+D24</x:f>
        <x:v>136562.013</x:v>
      </x:c>
      <x:c r="E25" s="27" t="n">
        <x:f aca="0">E16+E24</x:f>
        <x:v>134713.25400000002</x:v>
      </x:c>
      <x:c r="F25" s="27" t="n">
        <x:f aca="0">F16+F24</x:f>
        <x:v>138385.75400000002</x:v>
      </x:c>
      <x:c r="G25" s="27" t="n">
        <x:f aca="0">G16+G24</x:f>
        <x:v>145924.235</x:v>
      </x:c>
      <x:c r="H25" s="27" t="n">
        <x:f aca="0">H16+H24</x:f>
        <x:v>129551.53399999999</x:v>
      </x:c>
    </x:row>
    <x:row r="26" ht="15" hidden="0">
      <x:c r="A26" s="20" t="s">
        <x:v>83</x:v>
      </x:c>
      <x:c r="B26" s="21"/>
      <x:c r="C26" s="21"/>
      <x:c r="D26" s="21"/>
      <x:c r="E26" s="21"/>
      <x:c r="F26" s="21"/>
      <x:c r="G26" s="21"/>
      <x:c r="H26" s="21"/>
    </x:row>
    <x:row r="27" ht="15" hidden="0">
      <x:c r="A27" s="22" t="s">
        <x:v>84</x:v>
      </x:c>
      <x:c r="B27" s="23"/>
      <x:c r="C27" s="24" t="n">
        <x:v>4381.191</x:v>
      </x:c>
      <x:c r="D27" s="24" t="n">
        <x:v>4381.191</x:v>
      </x:c>
      <x:c r="E27" s="24" t="n">
        <x:v>4381.191</x:v>
      </x:c>
      <x:c r="F27" s="24" t="n">
        <x:v>4381.191</x:v>
      </x:c>
      <x:c r="G27" s="24" t="n">
        <x:v>4381.191</x:v>
      </x:c>
      <x:c r="H27" s="24" t="n">
        <x:v>4381.191</x:v>
      </x:c>
    </x:row>
    <x:row r="28" ht="15" hidden="0">
      <x:c r="A28" s="22" t="s">
        <x:v>85</x:v>
      </x:c>
      <x:c r="B28" s="23"/>
      <x:c r="C28" s="24" t="n">
        <x:v>69096.682</x:v>
      </x:c>
      <x:c r="D28" s="24" t="n">
        <x:v>65536.911</x:v>
      </x:c>
      <x:c r="E28" s="24" t="n">
        <x:v>59811.086</x:v>
      </x:c>
      <x:c r="F28" s="24" t="n">
        <x:v>71466.347</x:v>
      </x:c>
      <x:c r="G28" s="24" t="n">
        <x:v>90286.287</x:v>
      </x:c>
      <x:c r="H28" s="24" t="n">
        <x:v>62262.966</x:v>
      </x:c>
    </x:row>
    <x:row r="29" ht="15" hidden="0">
      <x:c r="A29" s="25" t="s">
        <x:v>86</x:v>
      </x:c>
      <x:c r="B29" s="26"/>
      <x:c r="C29" s="27" t="n">
        <x:f aca="0">C27+C28</x:f>
        <x:v>73477.873</x:v>
      </x:c>
      <x:c r="D29" s="27" t="n">
        <x:f aca="0">D27+D28</x:f>
        <x:v>69918.102</x:v>
      </x:c>
      <x:c r="E29" s="27" t="n">
        <x:f aca="0">E27+E28</x:f>
        <x:v>64192.277</x:v>
      </x:c>
      <x:c r="F29" s="27" t="n">
        <x:f aca="0">F27+F28</x:f>
        <x:v>75847.538</x:v>
      </x:c>
      <x:c r="G29" s="27" t="n">
        <x:f aca="0">G27+G28</x:f>
        <x:v>94667.478</x:v>
      </x:c>
      <x:c r="H29" s="27" t="n">
        <x:f aca="0">H27+H28</x:f>
        <x:v>66644.157</x:v>
      </x:c>
    </x:row>
    <x:row r="30" ht="15" hidden="0">
      <x:c r="A30" s="20" t="s">
        <x:v>87</x:v>
      </x:c>
      <x:c r="B30" s="21"/>
      <x:c r="C30" s="21"/>
      <x:c r="D30" s="21"/>
      <x:c r="E30" s="21"/>
      <x:c r="F30" s="21"/>
      <x:c r="G30" s="21"/>
      <x:c r="H30" s="21"/>
    </x:row>
    <x:row r="31" ht="15" hidden="0">
      <x:c r="A31" s="22" t="s">
        <x:v>88</x:v>
      </x:c>
      <x:c r="B31" s="23"/>
      <x:c r="C31" s="24" t="n">
        <x:v>19300.064</x:v>
      </x:c>
      <x:c r="D31" s="24" t="n">
        <x:v>14168.229</x:v>
      </x:c>
      <x:c r="E31" s="24" t="n">
        <x:v>9663.619</x:v>
      </x:c>
      <x:c r="F31" s="24" t="n">
        <x:v>15965.116</x:v>
      </x:c>
      <x:c r="G31" s="24" t="n">
        <x:v>10093.829</x:v>
      </x:c>
      <x:c r="H31" s="24" t="n">
        <x:v>21972</x:v>
      </x:c>
    </x:row>
    <x:row r="32" ht="15" hidden="0">
      <x:c r="A32" s="22" t="s">
        <x:v>89</x:v>
      </x:c>
      <x:c r="B32" s="23"/>
      <x:c r="C32" s="24" t="n">
        <x:v>0</x:v>
      </x:c>
      <x:c r="D32" s="24" t="n">
        <x:v>0</x:v>
      </x:c>
      <x:c r="E32" s="24" t="n">
        <x:v>0</x:v>
      </x:c>
      <x:c r="F32" s="24" t="n">
        <x:v>0</x:v>
      </x:c>
      <x:c r="G32" s="24" t="n">
        <x:v>0</x:v>
      </x:c>
      <x:c r="H32" s="24" t="n">
        <x:v>0</x:v>
      </x:c>
    </x:row>
    <x:row r="33" ht="15" hidden="0">
      <x:c r="A33" s="22" t="s">
        <x:v>90</x:v>
      </x:c>
      <x:c r="B33" s="23"/>
      <x:c r="C33" s="24" t="n">
        <x:v>664.504</x:v>
      </x:c>
      <x:c r="D33" s="24" t="n">
        <x:v>450.684</x:v>
      </x:c>
      <x:c r="E33" s="24" t="n">
        <x:v>278.753</x:v>
      </x:c>
      <x:c r="F33" s="24" t="n">
        <x:v>154.614</x:v>
      </x:c>
      <x:c r="G33" s="24" t="n">
        <x:v>70.135</x:v>
      </x:c>
      <x:c r="H33" s="24" t="n">
        <x:v>0</x:v>
      </x:c>
    </x:row>
    <x:row r="34" ht="15" hidden="0">
      <x:c r="A34" s="22" t="s">
        <x:v>91</x:v>
      </x:c>
      <x:c r="B34" s="23"/>
      <x:c r="C34" s="24" t="n">
        <x:v>3378.941</x:v>
      </x:c>
      <x:c r="D34" s="24" t="n">
        <x:v>4942.15</x:v>
      </x:c>
      <x:c r="E34" s="24" t="n">
        <x:v>10613.603</x:v>
      </x:c>
      <x:c r="F34" s="24" t="n">
        <x:v>12675.472</x:v>
      </x:c>
      <x:c r="G34" s="24" t="n">
        <x:v>13286.942</x:v>
      </x:c>
      <x:c r="H34" s="24" t="n">
        <x:v>2535.349</x:v>
      </x:c>
    </x:row>
    <x:row r="35" ht="15" hidden="0">
      <x:c r="A35" s="22" t="s">
        <x:v>92</x:v>
      </x:c>
      <x:c r="B35" s="23"/>
      <x:c r="C35" s="24" t="n">
        <x:v>777.795</x:v>
      </x:c>
      <x:c r="D35" s="24" t="n">
        <x:v>993.817</x:v>
      </x:c>
      <x:c r="E35" s="24" t="n">
        <x:v>1289.212</x:v>
      </x:c>
      <x:c r="F35" s="24" t="n">
        <x:v>1517.297</x:v>
      </x:c>
      <x:c r="G35" s="24" t="n">
        <x:v>1894.931</x:v>
      </x:c>
      <x:c r="H35" s="24" t="n">
        <x:v>775.771</x:v>
      </x:c>
    </x:row>
    <x:row r="36" ht="15" hidden="0">
      <x:c r="A36" s="25" t="s">
        <x:v>93</x:v>
      </x:c>
      <x:c r="B36" s="26"/>
      <x:c r="C36" s="27" t="n">
        <x:f aca="0">C31+C32+C33+C34+C35</x:f>
        <x:v>24121.303999999996</x:v>
      </x:c>
      <x:c r="D36" s="27" t="n">
        <x:f aca="0">D31+D32+D33+D34+D35</x:f>
        <x:v>20554.879999999997</x:v>
      </x:c>
      <x:c r="E36" s="27" t="n">
        <x:f aca="0">E31+E32+E33+E34+E35</x:f>
        <x:v>21845.186999999998</x:v>
      </x:c>
      <x:c r="F36" s="27" t="n">
        <x:f aca="0">F31+F32+F33+F34+F35</x:f>
        <x:v>30312.498999999996</x:v>
      </x:c>
      <x:c r="G36" s="27" t="n">
        <x:f aca="0">G31+G32+G33+G34+G35</x:f>
        <x:v>25345.837</x:v>
      </x:c>
      <x:c r="H36" s="27" t="n">
        <x:f aca="0">H31+H32+H33+H34+H35</x:f>
        <x:v>25283.120000000003</x:v>
      </x:c>
    </x:row>
    <x:row r="37" ht="15" hidden="0">
      <x:c r="A37" s="20" t="s">
        <x:v>94</x:v>
      </x:c>
      <x:c r="B37" s="21"/>
      <x:c r="C37" s="21"/>
      <x:c r="D37" s="21"/>
      <x:c r="E37" s="21"/>
      <x:c r="F37" s="21"/>
      <x:c r="G37" s="21"/>
      <x:c r="H37" s="21"/>
    </x:row>
    <x:row r="38" ht="15" hidden="0">
      <x:c r="A38" s="22" t="s">
        <x:v>95</x:v>
      </x:c>
      <x:c r="B38" s="23"/>
      <x:c r="C38" s="24" t="n">
        <x:v>14923.151</x:v>
      </x:c>
      <x:c r="D38" s="24" t="n">
        <x:v>12591.709</x:v>
      </x:c>
      <x:c r="E38" s="24" t="n">
        <x:v>13783.299</x:v>
      </x:c>
      <x:c r="F38" s="24" t="n">
        <x:v>12394.455</x:v>
      </x:c>
      <x:c r="G38" s="24" t="n">
        <x:v>13333.448</x:v>
      </x:c>
      <x:c r="H38" s="24" t="n">
        <x:v>11298.187</x:v>
      </x:c>
    </x:row>
    <x:row r="39" ht="15" hidden="0">
      <x:c r="A39" s="22" t="s">
        <x:v>96</x:v>
      </x:c>
      <x:c r="B39" s="23"/>
      <x:c r="C39" s="24" t="n">
        <x:v>0</x:v>
      </x:c>
      <x:c r="D39" s="24" t="n">
        <x:v>0</x:v>
      </x:c>
      <x:c r="E39" s="24" t="n">
        <x:v>0</x:v>
      </x:c>
      <x:c r="F39" s="24" t="n">
        <x:v>0</x:v>
      </x:c>
      <x:c r="G39" s="24" t="n">
        <x:v>0</x:v>
      </x:c>
      <x:c r="H39" s="24" t="n">
        <x:v>0</x:v>
      </x:c>
    </x:row>
    <x:row r="40" ht="15" hidden="0">
      <x:c r="A40" s="22" t="s">
        <x:v>97</x:v>
      </x:c>
      <x:c r="B40" s="23"/>
      <x:c r="C40" s="24" t="n">
        <x:v>507.769</x:v>
      </x:c>
      <x:c r="D40" s="24" t="n">
        <x:v>883.229</x:v>
      </x:c>
      <x:c r="E40" s="24" t="n">
        <x:v>1739.547</x:v>
      </x:c>
      <x:c r="F40" s="24" t="n">
        <x:v>1280.446</x:v>
      </x:c>
      <x:c r="G40" s="24" t="n">
        <x:v>229.652</x:v>
      </x:c>
      <x:c r="H40" s="24" t="n">
        <x:v>712.275</x:v>
      </x:c>
    </x:row>
    <x:row r="41" ht="15" hidden="0">
      <x:c r="A41" s="22" t="s">
        <x:v>98</x:v>
      </x:c>
      <x:c r="B41" s="23"/>
      <x:c r="C41" s="24" t="n">
        <x:v>18362.05</x:v>
      </x:c>
      <x:c r="D41" s="24" t="n">
        <x:v>25210.506</x:v>
      </x:c>
      <x:c r="E41" s="24" t="n">
        <x:v>25494.293</x:v>
      </x:c>
      <x:c r="F41" s="24" t="n">
        <x:v>13064.718</x:v>
      </x:c>
      <x:c r="G41" s="24" t="n">
        <x:v>9878.499</x:v>
      </x:c>
      <x:c r="H41" s="24" t="n">
        <x:v>23495.967</x:v>
      </x:c>
    </x:row>
    <x:row r="42" ht="15" hidden="0">
      <x:c r="A42" s="22" t="s">
        <x:v>99</x:v>
      </x:c>
      <x:c r="B42" s="23"/>
      <x:c r="C42" s="24" t="n">
        <x:v>6130.703</x:v>
      </x:c>
      <x:c r="D42" s="24" t="n">
        <x:v>7097.166</x:v>
      </x:c>
      <x:c r="E42" s="24" t="n">
        <x:v>7370.364</x:v>
      </x:c>
      <x:c r="F42" s="24" t="n">
        <x:v>5291.972</x:v>
      </x:c>
      <x:c r="G42" s="24" t="n">
        <x:v>1934.772</x:v>
      </x:c>
      <x:c r="H42" s="24" t="n">
        <x:v>2010.621</x:v>
      </x:c>
    </x:row>
    <x:row r="43" ht="15" hidden="0">
      <x:c r="A43" s="22" t="s">
        <x:v>100</x:v>
      </x:c>
      <x:c r="B43" s="23"/>
      <x:c r="C43" s="24" t="n">
        <x:v>0</x:v>
      </x:c>
      <x:c r="D43" s="24" t="n">
        <x:v>0</x:v>
      </x:c>
      <x:c r="E43" s="24" t="n">
        <x:v>0</x:v>
      </x:c>
      <x:c r="F43" s="24" t="n">
        <x:v>0</x:v>
      </x:c>
      <x:c r="G43" s="24" t="n">
        <x:v>0</x:v>
      </x:c>
      <x:c r="H43" s="24" t="n">
        <x:v>0</x:v>
      </x:c>
    </x:row>
    <x:row r="44" ht="15" hidden="0">
      <x:c r="A44" s="22" t="s">
        <x:v>101</x:v>
      </x:c>
      <x:c r="B44" s="23"/>
      <x:c r="C44" s="24" t="n">
        <x:v>262.523</x:v>
      </x:c>
      <x:c r="D44" s="24" t="n">
        <x:v>213.883</x:v>
      </x:c>
      <x:c r="E44" s="24" t="n">
        <x:v>171.581</x:v>
      </x:c>
      <x:c r="F44" s="24" t="n">
        <x:v>124.138</x:v>
      </x:c>
      <x:c r="G44" s="24" t="n">
        <x:v>79.465</x:v>
      </x:c>
      <x:c r="H44" s="24" t="n">
        <x:v>0</x:v>
      </x:c>
    </x:row>
    <x:row r="45" ht="15" hidden="0">
      <x:c r="A45" s="22" t="s">
        <x:v>102</x:v>
      </x:c>
      <x:c r="B45" s="23"/>
      <x:c r="C45" s="24" t="n">
        <x:v>33.517</x:v>
      </x:c>
      <x:c r="D45" s="24" t="n">
        <x:v>34.512</x:v>
      </x:c>
      <x:c r="E45" s="24" t="n">
        <x:v>34.704</x:v>
      </x:c>
      <x:c r="F45" s="24" t="n">
        <x:v>34.201</x:v>
      </x:c>
      <x:c r="G45" s="24" t="n">
        <x:v>34.154</x:v>
      </x:c>
      <x:c r="H45" s="24" t="n">
        <x:v>33.837</x:v>
      </x:c>
    </x:row>
    <x:row r="46" ht="15" hidden="0">
      <x:c r="A46" s="22" t="s">
        <x:v>103</x:v>
      </x:c>
      <x:c r="B46" s="23"/>
      <x:c r="C46" s="24" t="n">
        <x:v>35.09</x:v>
      </x:c>
      <x:c r="D46" s="24" t="n">
        <x:v>35.09</x:v>
      </x:c>
      <x:c r="E46" s="24" t="n">
        <x:v>35.09</x:v>
      </x:c>
      <x:c r="F46" s="24" t="n">
        <x:v>35.09</x:v>
      </x:c>
      <x:c r="G46" s="24" t="n">
        <x:v>365.924</x:v>
      </x:c>
      <x:c r="H46" s="24" t="n">
        <x:v>35.09</x:v>
      </x:c>
    </x:row>
    <x:row r="47" ht="15" hidden="0">
      <x:c r="A47" s="22" t="s">
        <x:v>104</x:v>
      </x:c>
      <x:c r="B47" s="23"/>
      <x:c r="C47" s="24" t="n">
        <x:v>40.717</x:v>
      </x:c>
      <x:c r="D47" s="24" t="n">
        <x:v>22.936</x:v>
      </x:c>
      <x:c r="E47" s="24" t="n">
        <x:v>46.912</x:v>
      </x:c>
      <x:c r="F47" s="24" t="n">
        <x:v>0.697</x:v>
      </x:c>
      <x:c r="G47" s="24" t="n">
        <x:v>55.006</x:v>
      </x:c>
      <x:c r="H47" s="24" t="n">
        <x:v>38.28</x:v>
      </x:c>
    </x:row>
    <x:row r="48" ht="15" hidden="0">
      <x:c r="A48" s="25" t="s">
        <x:v>105</x:v>
      </x:c>
      <x:c r="B48" s="26"/>
      <x:c r="C48" s="27" t="n">
        <x:f aca="0">C38+C39+C40+C41+C42+C43+C44+C45+C46+C47</x:f>
        <x:v>40295.52</x:v>
      </x:c>
      <x:c r="D48" s="27" t="n">
        <x:f aca="0">D38+D39+D40+D41+D42+D43+D44+D45+D46+D47</x:f>
        <x:v>46089.031</x:v>
      </x:c>
      <x:c r="E48" s="27" t="n">
        <x:f aca="0">E38+E39+E40+E41+E42+E43+E44+E45+E46+E47</x:f>
        <x:v>48675.78999999999</x:v>
      </x:c>
      <x:c r="F48" s="27" t="n">
        <x:f aca="0">F38+F39+F40+F41+F42+F43+F44+F45+F46+F47</x:f>
        <x:v>32225.717</x:v>
      </x:c>
      <x:c r="G48" s="27" t="n">
        <x:f aca="0">G38+G39+G40+G41+G42+G43+G44+G45+G46+G47</x:f>
        <x:v>25910.920000000002</x:v>
      </x:c>
      <x:c r="H48" s="27" t="n">
        <x:f aca="0">H38+H39+H40+H41+H42+H43+H44+H45+H46+H47</x:f>
        <x:v>37624.257</x:v>
      </x:c>
    </x:row>
    <x:row r="49" ht="15" hidden="0">
      <x:c r="A49" s="25" t="s">
        <x:v>106</x:v>
      </x:c>
      <x:c r="B49" s="26"/>
      <x:c r="C49" s="27" t="n">
        <x:f aca="0">C36+C48</x:f>
        <x:v>64416.82399999999</x:v>
      </x:c>
      <x:c r="D49" s="27" t="n">
        <x:f aca="0">D36+D48</x:f>
        <x:v>66643.911</x:v>
      </x:c>
      <x:c r="E49" s="27" t="n">
        <x:f aca="0">E36+E48</x:f>
        <x:v>70520.97699999998</x:v>
      </x:c>
      <x:c r="F49" s="27" t="n">
        <x:f aca="0">F36+F48</x:f>
        <x:v>62538.216</x:v>
      </x:c>
      <x:c r="G49" s="27" t="n">
        <x:f aca="0">G36+G48</x:f>
        <x:v>51256.757</x:v>
      </x:c>
      <x:c r="H49" s="27" t="n">
        <x:f aca="0">H36+H48</x:f>
        <x:v>62907.377</x:v>
      </x:c>
    </x:row>
    <x:row r="50" ht="15" hidden="0">
      <x:c r="A50" s="25" t="s">
        <x:v>107</x:v>
      </x:c>
      <x:c r="B50" s="26"/>
      <x:c r="C50" s="27" t="n">
        <x:f aca="0">C29+C49</x:f>
        <x:v>137894.697</x:v>
      </x:c>
      <x:c r="D50" s="27" t="n">
        <x:f aca="0">D29+D49</x:f>
        <x:v>136562.01299999998</x:v>
      </x:c>
      <x:c r="E50" s="27" t="n">
        <x:f aca="0">E29+E49</x:f>
        <x:v>134713.254</x:v>
      </x:c>
      <x:c r="F50" s="27" t="n">
        <x:f aca="0">F29+F49</x:f>
        <x:v>138385.75400000002</x:v>
      </x:c>
      <x:c r="G50" s="27" t="n">
        <x:f aca="0">G29+G49</x:f>
        <x:v>145924.235</x:v>
      </x:c>
      <x:c r="H50" s="27" t="n">
        <x:f aca="0">H29+H49</x:f>
        <x:v>129551.53400000001</x:v>
      </x:c>
    </x:row>
    <x:row r="51" ht="15" hidden="0">
      <x:c r="A51" s="20" t="s">
        <x:v>108</x:v>
      </x:c>
      <x:c r="B51" s="21"/>
      <x:c r="C51" s="21"/>
      <x:c r="D51" s="21"/>
      <x:c r="E51" s="21"/>
      <x:c r="F51" s="21"/>
      <x:c r="G51" s="21"/>
      <x:c r="H51" s="21"/>
    </x:row>
    <x:row r="52" ht="15" hidden="0">
      <x:c r="A52" s="22" t="s">
        <x:v>109</x:v>
      </x:c>
      <x:c r="B52" s="23"/>
      <x:c r="C52" s="24" t="n">
        <x:v>7375.63</x:v>
      </x:c>
      <x:c r="D52" s="24" t="n">
        <x:v>3871.207</x:v>
      </x:c>
      <x:c r="E52" s="24" t="n">
        <x:v>6530.049</x:v>
      </x:c>
      <x:c r="F52" s="24" t="n">
        <x:v>5046.744</x:v>
      </x:c>
      <x:c r="G52" s="24" t="n">
        <x:v>3900.142</x:v>
      </x:c>
      <x:c r="H52" s="24" t="n">
        <x:v>4325.32</x:v>
      </x:c>
    </x:row>
    <x:row r="53" ht="15" hidden="0">
      <x:c r="A53" s="22" t="s">
        <x:v>110</x:v>
      </x:c>
      <x:c r="B53" s="23"/>
      <x:c r="C53" s="24" t="n">
        <x:f aca="0">C9-C10</x:f>
        <x:v>77293.389</x:v>
      </x:c>
      <x:c r="D53" s="24" t="n">
        <x:f aca="0">D9-D10</x:f>
        <x:v>82079.692</x:v>
      </x:c>
      <x:c r="E53" s="24" t="n">
        <x:f aca="0">E9-E10</x:f>
        <x:v>80238.786</x:v>
      </x:c>
      <x:c r="F53" s="24" t="n">
        <x:f aca="0">F9-F10</x:f>
        <x:v>78536.81000000001</x:v>
      </x:c>
      <x:c r="G53" s="24" t="n">
        <x:f aca="0">G9-G10</x:f>
        <x:v>76454.24699999999</x:v>
      </x:c>
      <x:c r="H53" s="24" t="n">
        <x:f aca="0">H9-H10</x:f>
        <x:v>77179.036</x:v>
      </x:c>
    </x:row>
    <x:row r="54" ht="15" hidden="0">
      <x:c r="A54" s="22" t="s">
        <x:v>111</x:v>
      </x:c>
      <x:c r="B54" s="23"/>
      <x:c r="C54" s="24" t="n">
        <x:f aca="0">C18+C19</x:f>
        <x:v>15607.937</x:v>
      </x:c>
      <x:c r="D54" s="24" t="n">
        <x:f aca="0">D18+D19</x:f>
        <x:v>22795.398</x:v>
      </x:c>
      <x:c r="E54" s="24" t="n">
        <x:f aca="0">E18+E19</x:f>
        <x:v>22725.175</x:v>
      </x:c>
      <x:c r="F54" s="24" t="n">
        <x:f aca="0">F18+F19</x:f>
        <x:v>20252.841</x:v>
      </x:c>
      <x:c r="G54" s="24" t="n">
        <x:f aca="0">G18+G19</x:f>
        <x:v>20495.357</x:v>
      </x:c>
      <x:c r="H54" s="24" t="n">
        <x:f aca="0">H18+H19</x:f>
        <x:v>12590.985</x:v>
      </x:c>
    </x:row>
    <x:row r="55" ht="15" hidden="0">
      <x:c r="A55" s="22" t="s">
        <x:v>112</x:v>
      </x:c>
      <x:c r="B55" s="23"/>
      <x:c r="C55" s="24" t="n">
        <x:f aca="0">C31+C32+C41+C42+C43</x:f>
        <x:v>43792.817</x:v>
      </x:c>
      <x:c r="D55" s="24" t="n">
        <x:f aca="0">D31+D32+D41+D42+D43</x:f>
        <x:v>46475.901</x:v>
      </x:c>
      <x:c r="E55" s="24" t="n">
        <x:f aca="0">E31+E32+E41+E42+E43</x:f>
        <x:v>42528.276000000005</x:v>
      </x:c>
      <x:c r="F55" s="24" t="n">
        <x:f aca="0">F31+F32+F41+F42+F43</x:f>
        <x:v>34321.806000000004</x:v>
      </x:c>
      <x:c r="G55" s="24" t="n">
        <x:f aca="0">G31+G32+G41+G42+G43</x:f>
        <x:v>21907.100000000002</x:v>
      </x:c>
      <x:c r="H55" s="24" t="n">
        <x:f aca="0">H31+H32+H41+H42+H43</x:f>
        <x:v>47478.588</x:v>
      </x:c>
    </x:row>
    <x:row r="56" ht="15" hidden="0">
      <x:c r="A56" s="22" t="s">
        <x:v>113</x:v>
      </x:c>
      <x:c r="B56" s="23"/>
      <x:c r="C56" s="24" t="n">
        <x:f aca="0">C31+C32</x:f>
        <x:v>19300.064</x:v>
      </x:c>
      <x:c r="D56" s="24" t="n">
        <x:f aca="0">D31+D32</x:f>
        <x:v>14168.229</x:v>
      </x:c>
      <x:c r="E56" s="24" t="n">
        <x:f aca="0">E31+E32</x:f>
        <x:v>9663.619</x:v>
      </x:c>
      <x:c r="F56" s="24" t="n">
        <x:f aca="0">F31+F32</x:f>
        <x:v>15965.116</x:v>
      </x:c>
      <x:c r="G56" s="24" t="n">
        <x:f aca="0">G31+G32</x:f>
        <x:v>10093.829</x:v>
      </x:c>
      <x:c r="H56" s="24" t="n">
        <x:f aca="0">H31+H32</x:f>
        <x:v>21972</x:v>
      </x:c>
    </x:row>
    <x:row r="57" ht="15" hidden="0">
      <x:c r="A57" s="22" t="s">
        <x:v>114</x:v>
      </x:c>
      <x:c r="B57" s="23"/>
      <x:c r="C57" s="24" t="n">
        <x:f aca="0">C55-C22</x:f>
        <x:v>42986.444</x:v>
      </x:c>
      <x:c r="D57" s="24" t="n">
        <x:f aca="0">D55-D22</x:f>
        <x:v>46065.098</x:v>
      </x:c>
      <x:c r="E57" s="24" t="n">
        <x:f aca="0">E55-E22</x:f>
        <x:v>41853.304000000004</x:v>
      </x:c>
      <x:c r="F57" s="24" t="n">
        <x:f aca="0">F55-F22</x:f>
        <x:v>33589.638000000006</x:v>
      </x:c>
      <x:c r="G57" s="24" t="n">
        <x:f aca="0">G55-G22</x:f>
        <x:v>21338.268000000004</x:v>
      </x:c>
      <x:c r="H57" s="24" t="n">
        <x:f aca="0">H55-H22</x:f>
        <x:v>47130.754</x:v>
      </x:c>
    </x:row>
    <x:row r="58" ht="15" hidden="0">
      <x:c r="A58" s="22" t="s">
        <x:v>115</x:v>
      </x:c>
      <x:c r="B58" s="23"/>
      <x:c r="C58" s="24" t="n">
        <x:f aca="0">C55+C29</x:f>
        <x:v>117270.69</x:v>
      </x:c>
      <x:c r="D58" s="24" t="n">
        <x:f aca="0">D55+D29</x:f>
        <x:v>116394.003</x:v>
      </x:c>
      <x:c r="E58" s="24" t="n">
        <x:f aca="0">E55+E29</x:f>
        <x:v>106720.55300000001</x:v>
      </x:c>
      <x:c r="F58" s="24" t="n">
        <x:f aca="0">F55+F29</x:f>
        <x:v>110169.34400000001</x:v>
      </x:c>
      <x:c r="G58" s="24" t="n">
        <x:f aca="0">G55+G29</x:f>
        <x:v>116574.57800000001</x:v>
      </x:c>
      <x:c r="H58" s="24" t="n">
        <x:f aca="0">H55+H29</x:f>
        <x:v>114122.74500000001</x:v>
      </x:c>
    </x:row>
    <x:row r="59" ht="15" hidden="0">
      <x:c r="A59" s="22" t="s">
        <x:v>116</x:v>
      </x:c>
      <x:c r="B59" s="23"/>
      <x:c r="C59" s="24" t="n">
        <x:f aca="0">C24-C22-C21</x:f>
        <x:v>23098.105000000003</x:v>
      </x:c>
      <x:c r="D59" s="24" t="n">
        <x:f aca="0">D24-D22-D21</x:f>
        <x:v>30439.939</x:v>
      </x:c>
      <x:c r="E59" s="24" t="n">
        <x:f aca="0">E24-E22-E21</x:f>
        <x:v>29080.795999999995</x:v>
      </x:c>
      <x:c r="F59" s="24" t="n">
        <x:f aca="0">F24-F22-F21</x:f>
        <x:v>22653.470999999994</x:v>
      </x:c>
      <x:c r="G59" s="24" t="n">
        <x:f aca="0">G24-G22-G21</x:f>
        <x:v>23334.11</x:v>
      </x:c>
      <x:c r="H59" s="24" t="n">
        <x:f aca="0">H24-H22-H21</x:f>
        <x:v>20632.205</x:v>
      </x:c>
    </x:row>
    <x:row r="60" ht="15" hidden="0">
      <x:c r="A60" s="22" t="s">
        <x:v>117</x:v>
      </x:c>
      <x:c r="B60" s="23"/>
      <x:c r="C60" s="24" t="n">
        <x:f aca="0">C48-C41-C42-C43-C44-C40-C45</x:f>
        <x:v>14998.957999999997</x:v>
      </x:c>
      <x:c r="D60" s="24" t="n">
        <x:f aca="0">D48-D41-D42-D43-D44-D40-D45</x:f>
        <x:v>12649.735</x:v>
      </x:c>
      <x:c r="E60" s="24" t="n">
        <x:f aca="0">E48-E41-E42-E43-E44-E40-E45</x:f>
        <x:v>13865.300999999992</x:v>
      </x:c>
      <x:c r="F60" s="24" t="n">
        <x:f aca="0">F48-F41-F42-F43-F44-F40-F45</x:f>
        <x:v>12430.242</x:v>
      </x:c>
      <x:c r="G60" s="24" t="n">
        <x:f aca="0">G48-G41-G42-G43-G44-G40-G45</x:f>
        <x:v>13754.378</x:v>
      </x:c>
      <x:c r="H60" s="24" t="n">
        <x:f aca="0">H48-H41-H42-H43-H44-H40-H45</x:f>
        <x:v>11371.556999999999</x:v>
      </x:c>
    </x:row>
    <x:row r="62" ht="19.5" hidden="0" customHeight="1">
      <x:c r="A62" s="5" t="s">
        <x:v>118</x:v>
      </x:c>
      <x:c r="B62" s="6"/>
      <x:c r="C62" s="6"/>
      <x:c r="D62" s="6"/>
      <x:c r="E62" s="6"/>
      <x:c r="F62" s="6"/>
      <x:c r="G62" s="6"/>
      <x:c r="H62" s="6"/>
    </x:row>
    <x:row r="63" ht="16.5" hidden="0" customHeight="1">
      <x:c r="A63" s="17" t="s">
        <x:v>63</x:v>
      </x:c>
      <x:c r="B63" s="18"/>
      <x:c r="C63" s="19" t="s">
        <x:v>48</x:v>
      </x:c>
      <x:c r="D63" s="19" t="s">
        <x:v>49</x:v>
      </x:c>
      <x:c r="E63" s="19" t="s">
        <x:v>50</x:v>
      </x:c>
      <x:c r="F63" s="19" t="s">
        <x:v>51</x:v>
      </x:c>
      <x:c r="G63" s="19" t="s">
        <x:v>52</x:v>
      </x:c>
      <x:c r="H63" s="19" t="s">
        <x:v>64</x:v>
      </x:c>
    </x:row>
    <x:row r="64" ht="15" hidden="0">
      <x:c r="A64" s="22" t="s">
        <x:v>119</x:v>
      </x:c>
      <x:c r="B64" s="23"/>
      <x:c r="C64" s="24" t="n">
        <x:v>45107.69</x:v>
      </x:c>
      <x:c r="D64" s="24" t="n">
        <x:v>58043.863</x:v>
      </x:c>
      <x:c r="E64" s="24" t="n">
        <x:v>64983.821</x:v>
      </x:c>
      <x:c r="F64" s="24" t="n">
        <x:v>66038.689</x:v>
      </x:c>
      <x:c r="G64" s="24" t="n">
        <x:v>71892.837</x:v>
      </x:c>
      <x:c r="H64" s="24" t="n">
        <x:v>38033.124</x:v>
      </x:c>
    </x:row>
    <x:row r="65" ht="15" hidden="0">
      <x:c r="A65" s="22" t="s">
        <x:v>120</x:v>
      </x:c>
      <x:c r="B65" s="23"/>
      <x:c r="C65" s="24" t="n">
        <x:v>-37035.798</x:v>
      </x:c>
      <x:c r="D65" s="24" t="n">
        <x:v>-47615.551</x:v>
      </x:c>
      <x:c r="E65" s="24" t="n">
        <x:v>-55428.046</x:v>
      </x:c>
      <x:c r="F65" s="24" t="n">
        <x:v>-55510.429</x:v>
      </x:c>
      <x:c r="G65" s="24" t="n">
        <x:v>-53387.166</x:v>
      </x:c>
      <x:c r="H65" s="24" t="n">
        <x:v>-36447.218</x:v>
      </x:c>
    </x:row>
    <x:row r="66" ht="15" hidden="0">
      <x:c r="A66" s="25" t="s">
        <x:v>121</x:v>
      </x:c>
      <x:c r="B66" s="26"/>
      <x:c r="C66" s="27" t="n">
        <x:f aca="0">C64+C65</x:f>
        <x:v>8071.892</x:v>
      </x:c>
      <x:c r="D66" s="27" t="n">
        <x:f aca="0">D64+D65</x:f>
        <x:v>10428.311999999998</x:v>
      </x:c>
      <x:c r="E66" s="27" t="n">
        <x:f aca="0">E64+E65</x:f>
        <x:v>9555.775000000001</x:v>
      </x:c>
      <x:c r="F66" s="27" t="n">
        <x:f aca="0">F64+F65</x:f>
        <x:v>10528.260000000002</x:v>
      </x:c>
      <x:c r="G66" s="27" t="n">
        <x:f aca="0">G64+G65</x:f>
        <x:v>18505.671000000002</x:v>
      </x:c>
      <x:c r="H66" s="27" t="n">
        <x:f aca="0">H64+H65</x:f>
        <x:v>1585.9060000000027</x:v>
      </x:c>
    </x:row>
    <x:row r="67" ht="15" hidden="0">
      <x:c r="A67" s="22" t="s">
        <x:v>122</x:v>
      </x:c>
      <x:c r="B67" s="23"/>
      <x:c r="C67" s="24" t="n">
        <x:v>-1950.056</x:v>
      </x:c>
      <x:c r="D67" s="24" t="n">
        <x:v>-1748.859</x:v>
      </x:c>
      <x:c r="E67" s="24" t="n">
        <x:v>-1818.028</x:v>
      </x:c>
      <x:c r="F67" s="24" t="n">
        <x:v>-2608.537</x:v>
      </x:c>
      <x:c r="G67" s="24" t="n">
        <x:v>-3874.688</x:v>
      </x:c>
      <x:c r="H67" s="24" t="n">
        <x:v>-1783.422</x:v>
      </x:c>
    </x:row>
    <x:row r="68" ht="15" hidden="0">
      <x:c r="A68" s="22" t="s">
        <x:v>123</x:v>
      </x:c>
      <x:c r="B68" s="23"/>
      <x:c r="C68" s="24" t="n">
        <x:v>-646.762</x:v>
      </x:c>
      <x:c r="D68" s="24" t="n">
        <x:v>-751.052</x:v>
      </x:c>
      <x:c r="E68" s="24" t="n">
        <x:v>-879.356</x:v>
      </x:c>
      <x:c r="F68" s="24" t="n">
        <x:v>-1206.105</x:v>
      </x:c>
      <x:c r="G68" s="24" t="n">
        <x:v>-1294.974</x:v>
      </x:c>
      <x:c r="H68" s="24" t="n">
        <x:v>-658.874</x:v>
      </x:c>
    </x:row>
    <x:row r="69" ht="15" hidden="0">
      <x:c r="A69" s="22" t="s">
        <x:v>124</x:v>
      </x:c>
      <x:c r="B69" s="23"/>
      <x:c r="C69" s="24" t="n">
        <x:v>104.703</x:v>
      </x:c>
      <x:c r="D69" s="24" t="n">
        <x:v>-8.99</x:v>
      </x:c>
      <x:c r="E69" s="24" t="n">
        <x:v>-104.094</x:v>
      </x:c>
      <x:c r="F69" s="24" t="n">
        <x:v>-103.367</x:v>
      </x:c>
      <x:c r="G69" s="24" t="n">
        <x:v>-6.899</x:v>
      </x:c>
      <x:c r="H69" s="24" t="n">
        <x:v>-146.447</x:v>
      </x:c>
    </x:row>
    <x:row r="70" ht="15" hidden="0">
      <x:c r="A70" s="22" t="s">
        <x:v>125</x:v>
      </x:c>
      <x:c r="B70" s="23"/>
      <x:c r="C70" s="24" t="n">
        <x:v>-414.315</x:v>
      </x:c>
      <x:c r="D70" s="24" t="n">
        <x:v>-1042.803</x:v>
      </x:c>
      <x:c r="E70" s="24" t="n">
        <x:v>-96.461</x:v>
      </x:c>
      <x:c r="F70" s="24" t="n">
        <x:v>-5.033</x:v>
      </x:c>
      <x:c r="G70" s="24" t="n">
        <x:v>-725.663</x:v>
      </x:c>
      <x:c r="H70" s="24" t="n">
        <x:v>-529.64</x:v>
      </x:c>
    </x:row>
    <x:row r="71" ht="15" hidden="0">
      <x:c r="A71" s="25" t="s">
        <x:v>126</x:v>
      </x:c>
      <x:c r="B71" s="26"/>
      <x:c r="C71" s="27" t="n">
        <x:f aca="0">C66+C67+C68+C69+C70</x:f>
        <x:v>5165.462</x:v>
      </x:c>
      <x:c r="D71" s="27" t="n">
        <x:f aca="0">D66+D67+D68+D69+D70</x:f>
        <x:v>6876.607999999998</x:v>
      </x:c>
      <x:c r="E71" s="27" t="n">
        <x:f aca="0">E66+E67+E68+E69+E70</x:f>
        <x:v>6657.836000000001</x:v>
      </x:c>
      <x:c r="F71" s="27" t="n">
        <x:f aca="0">F66+F67+F68+F69+F70</x:f>
        <x:v>6605.218000000002</x:v>
      </x:c>
      <x:c r="G71" s="27" t="n">
        <x:f aca="0">G66+G67+G68+G69+G70</x:f>
        <x:v>12603.447000000002</x:v>
      </x:c>
      <x:c r="H71" s="27" t="n">
        <x:f aca="0">H66+H67+H68+H69+H70</x:f>
        <x:v>-1532.4769999999974</x:v>
      </x:c>
    </x:row>
    <x:row r="72" ht="15" hidden="0">
      <x:c r="A72" s="22" t="s">
        <x:v>127</x:v>
      </x:c>
      <x:c r="B72" s="23"/>
      <x:c r="C72" s="24" t="n">
        <x:v>2526.818</x:v>
      </x:c>
      <x:c r="D72" s="24" t="n">
        <x:v>2714.34</x:v>
      </x:c>
      <x:c r="E72" s="24" t="n">
        <x:v>3246.999</x:v>
      </x:c>
      <x:c r="F72" s="24" t="n">
        <x:v>4234.797</x:v>
      </x:c>
      <x:c r="G72" s="24" t="n">
        <x:v>4271.57</x:v>
      </x:c>
      <x:c r="H72" s="24" t="n">
        <x:v>2429.575</x:v>
      </x:c>
    </x:row>
    <x:row r="73" ht="15" hidden="0">
      <x:c r="A73" s="22" t="s">
        <x:v>128</x:v>
      </x:c>
      <x:c r="B73" s="23"/>
      <x:c r="C73" s="24" t="n">
        <x:v>0</x:v>
      </x:c>
      <x:c r="D73" s="24" t="n">
        <x:v>0</x:v>
      </x:c>
      <x:c r="E73" s="24" t="n">
        <x:v>0</x:v>
      </x:c>
      <x:c r="F73" s="24" t="n">
        <x:v>0</x:v>
      </x:c>
      <x:c r="G73" s="24" t="n">
        <x:v>0</x:v>
      </x:c>
      <x:c r="H73" s="24" t="n">
        <x:v>0</x:v>
      </x:c>
    </x:row>
    <x:row r="74" ht="15" hidden="0">
      <x:c r="A74" s="22" t="s">
        <x:v>129</x:v>
      </x:c>
      <x:c r="B74" s="23"/>
      <x:c r="C74" s="24" t="n">
        <x:v>0</x:v>
      </x:c>
      <x:c r="D74" s="24" t="n">
        <x:v>0</x:v>
      </x:c>
      <x:c r="E74" s="24" t="n">
        <x:v>0</x:v>
      </x:c>
      <x:c r="F74" s="24" t="n">
        <x:v>0</x:v>
      </x:c>
      <x:c r="G74" s="24" t="n">
        <x:v>0</x:v>
      </x:c>
      <x:c r="H74" s="24" t="n">
        <x:v>0</x:v>
      </x:c>
    </x:row>
    <x:row r="75" ht="15" hidden="0">
      <x:c r="A75" s="22" t="s">
        <x:v>130</x:v>
      </x:c>
      <x:c r="B75" s="23"/>
      <x:c r="C75" s="24" t="n">
        <x:v>-2920.875</x:v>
      </x:c>
      <x:c r="D75" s="24" t="n">
        <x:v>-3571.187</x:v>
      </x:c>
      <x:c r="E75" s="24" t="n">
        <x:v>-6742.292</x:v>
      </x:c>
      <x:c r="F75" s="24" t="n">
        <x:v>-8001.105</x:v>
      </x:c>
      <x:c r="G75" s="24" t="n">
        <x:v>-3870.405</x:v>
      </x:c>
      <x:c r="H75" s="24" t="n">
        <x:v>-4653.286</x:v>
      </x:c>
    </x:row>
    <x:row r="76" ht="15" hidden="0">
      <x:c r="A76" s="25" t="s">
        <x:v>131</x:v>
      </x:c>
      <x:c r="B76" s="26"/>
      <x:c r="C76" s="27" t="n">
        <x:f aca="0">C71+C72+C73+C74+C75</x:f>
        <x:v>4771.405000000001</x:v>
      </x:c>
      <x:c r="D76" s="27" t="n">
        <x:f aca="0">D71+D72+D73+D74+D75</x:f>
        <x:v>6019.760999999999</x:v>
      </x:c>
      <x:c r="E76" s="27" t="n">
        <x:f aca="0">E71+E72+E73+E74+E75</x:f>
        <x:v>3162.5430000000006</x:v>
      </x:c>
      <x:c r="F76" s="27" t="n">
        <x:f aca="0">F71+F72+F73+F74+F75</x:f>
        <x:v>2838.9100000000017</x:v>
      </x:c>
      <x:c r="G76" s="27" t="n">
        <x:f aca="0">G71+G72+G73+G74+G75</x:f>
        <x:v>13004.612</x:v>
      </x:c>
      <x:c r="H76" s="27" t="n">
        <x:f aca="0">H71+H72+H73+H74+H75</x:f>
        <x:v>-3756.1879999999974</x:v>
      </x:c>
    </x:row>
    <x:row r="77" ht="15" hidden="0">
      <x:c r="A77" s="22" t="s">
        <x:v>132</x:v>
      </x:c>
      <x:c r="B77" s="23"/>
      <x:c r="C77" s="24" t="n">
        <x:v>0</x:v>
      </x:c>
      <x:c r="D77" s="24" t="n">
        <x:v>0</x:v>
      </x:c>
      <x:c r="E77" s="24" t="n">
        <x:v>-364.054</x:v>
      </x:c>
      <x:c r="F77" s="24" t="n">
        <x:v>-520.848</x:v>
      </x:c>
      <x:c r="G77" s="24" t="n">
        <x:v>-577.125</x:v>
      </x:c>
      <x:c r="H77" s="24" t="n">
        <x:v>0</x:v>
      </x:c>
    </x:row>
    <x:row r="78" ht="15" hidden="0">
      <x:c r="A78" s="22" t="s">
        <x:v>133</x:v>
      </x:c>
      <x:c r="B78" s="23"/>
      <x:c r="C78" s="24" t="n">
        <x:v>-1050.132</x:v>
      </x:c>
      <x:c r="D78" s="24" t="n">
        <x:v>-3047.629</x:v>
      </x:c>
      <x:c r="E78" s="24" t="n">
        <x:v>-6434.465</x:v>
      </x:c>
      <x:c r="F78" s="24" t="n">
        <x:v>-1775.666</x:v>
      </x:c>
      <x:c r="G78" s="24" t="n">
        <x:v>-3752.428</x:v>
      </x:c>
      <x:c r="H78" s="24" t="n">
        <x:v>1597.527</x:v>
      </x:c>
    </x:row>
    <x:row r="79" ht="15" hidden="0">
      <x:c r="A79" s="25" t="s">
        <x:v>134</x:v>
      </x:c>
      <x:c r="B79" s="26"/>
      <x:c r="C79" s="27" t="n">
        <x:f aca="0">C76+C77+C78</x:f>
        <x:v>3721.2730000000006</x:v>
      </x:c>
      <x:c r="D79" s="27" t="n">
        <x:f aca="0">D76+D77+D78</x:f>
        <x:v>2972.1319999999987</x:v>
      </x:c>
      <x:c r="E79" s="27" t="n">
        <x:f aca="0">E76+E77+E78</x:f>
        <x:v>-3635.9759999999997</x:v>
      </x:c>
      <x:c r="F79" s="27" t="n">
        <x:f aca="0">F76+F77+F78</x:f>
        <x:v>542.3960000000018</x:v>
      </x:c>
      <x:c r="G79" s="27" t="n">
        <x:f aca="0">G76+G77+G78</x:f>
        <x:v>8675.059</x:v>
      </x:c>
      <x:c r="H79" s="27" t="n">
        <x:f aca="0">H76+H77+H78</x:f>
        <x:v>-2158.6609999999973</x:v>
      </x:c>
    </x:row>
    <x:row r="80" ht="15" hidden="0">
      <x:c r="A80" s="20" t="s">
        <x:v>135</x:v>
      </x:c>
      <x:c r="B80" s="21"/>
      <x:c r="C80" s="21"/>
      <x:c r="D80" s="21"/>
      <x:c r="E80" s="21"/>
      <x:c r="F80" s="21"/>
      <x:c r="G80" s="21"/>
      <x:c r="H80" s="21"/>
    </x:row>
    <x:row r="81" ht="15" hidden="0">
      <x:c r="A81" s="22" t="s">
        <x:v>136</x:v>
      </x:c>
      <x:c r="B81" s="23"/>
      <x:c r="C81" s="24" t="n">
        <x:v>3580.807</x:v>
      </x:c>
      <x:c r="D81" s="24" t="n">
        <x:v>3913.288</x:v>
      </x:c>
      <x:c r="E81" s="24" t="n">
        <x:v>3944.128</x:v>
      </x:c>
      <x:c r="F81" s="24" t="n">
        <x:v>3853.452</x:v>
      </x:c>
      <x:c r="G81" s="24" t="n">
        <x:v>3832.602</x:v>
      </x:c>
      <x:c r="H81" s="24" t="n">
        <x:v>3691.1</x:v>
      </x:c>
    </x:row>
    <x:row r="82" ht="15" hidden="0">
      <x:c r="A82" s="22" t="s">
        <x:v>137</x:v>
      </x:c>
      <x:c r="B82" s="23"/>
      <x:c r="C82" s="24" t="n">
        <x:f aca="0">C76-C75</x:f>
        <x:v>7692.280000000001</x:v>
      </x:c>
      <x:c r="D82" s="24" t="n">
        <x:f aca="0">D76-D75</x:f>
        <x:v>9590.947999999999</x:v>
      </x:c>
      <x:c r="E82" s="24" t="n">
        <x:f aca="0">E76-E75</x:f>
        <x:v>9904.835000000001</x:v>
      </x:c>
      <x:c r="F82" s="24" t="n">
        <x:f aca="0">F76-F75</x:f>
        <x:v>10840.015000000001</x:v>
      </x:c>
      <x:c r="G82" s="24" t="n">
        <x:f aca="0">G76-G75</x:f>
        <x:v>16875.017</x:v>
      </x:c>
      <x:c r="H82" s="24" t="n">
        <x:f aca="0">H76-H75</x:f>
        <x:v>897.0980000000027</x:v>
      </x:c>
    </x:row>
    <x:row r="83" ht="15" hidden="0">
      <x:c r="A83" s="22" t="s">
        <x:v>138</x:v>
      </x:c>
      <x:c r="B83" s="23"/>
      <x:c r="C83" s="24" t="n">
        <x:f aca="0">C82+C81</x:f>
        <x:v>11273.087</x:v>
      </x:c>
      <x:c r="D83" s="24" t="n">
        <x:f aca="0">D82+D81</x:f>
        <x:v>13504.235999999999</x:v>
      </x:c>
      <x:c r="E83" s="24" t="n">
        <x:f aca="0">E82+E81</x:f>
        <x:v>13848.963000000002</x:v>
      </x:c>
      <x:c r="F83" s="24" t="n">
        <x:f aca="0">F82+F81</x:f>
        <x:v>14693.467</x:v>
      </x:c>
      <x:c r="G83" s="24" t="n">
        <x:f aca="0">G82+G81</x:f>
        <x:v>20707.619</x:v>
      </x:c>
      <x:c r="H83" s="24" t="n">
        <x:f aca="0">H82+H81</x:f>
        <x:v>4588.198000000002</x:v>
      </x:c>
    </x:row>
    <x:row r="84" ht="15" hidden="0">
      <x:c r="A84" s="22" t="s">
        <x:v>139</x:v>
      </x:c>
      <x:c r="B84" s="23"/>
      <x:c r="C84" s="24" t="n">
        <x:v>34.766</x:v>
      </x:c>
      <x:c r="D84" s="24" t="n">
        <x:v>26.53</x:v>
      </x:c>
      <x:c r="E84" s="24" t="n">
        <x:v>38.493</x:v>
      </x:c>
      <x:c r="F84" s="24" t="n">
        <x:v>76.127</x:v>
      </x:c>
      <x:c r="G84" s="24" t="n">
        <x:v>53.669</x:v>
      </x:c>
      <x:c r="H84" s="28"/>
    </x:row>
    <x:row r="85" ht="15" hidden="0">
      <x:c r="A85" s="22" t="s">
        <x:v>140</x:v>
      </x:c>
      <x:c r="B85" s="23"/>
      <x:c r="C85" s="24" t="n">
        <x:f aca="0">-C75-C84</x:f>
        <x:v>2886.109</x:v>
      </x:c>
      <x:c r="D85" s="24" t="n">
        <x:f aca="0">-D75-D84</x:f>
        <x:v>3544.6569999999997</x:v>
      </x:c>
      <x:c r="E85" s="24" t="n">
        <x:f aca="0">-E75-E84</x:f>
        <x:v>6703.799</x:v>
      </x:c>
      <x:c r="F85" s="24" t="n">
        <x:f aca="0">-F75-F84</x:f>
        <x:v>7924.977999999999</x:v>
      </x:c>
      <x:c r="G85" s="24" t="n">
        <x:f aca="0">-G75-G84</x:f>
        <x:v>3816.7360000000003</x:v>
      </x:c>
      <x:c r="H85" s="28"/>
    </x:row>
    <x:row r="86" ht="15" hidden="0">
      <x:c r="A86" s="22" t="s">
        <x:v>141</x:v>
      </x:c>
      <x:c r="B86" s="23"/>
      <x:c r="C86" s="29" t="n">
        <x:f aca="0">IF(C76&lt;=0,"n/m",-(C77+C78)/C76)</x:f>
        <x:v>0.2200886321743805</x:v>
      </x:c>
      <x:c r="D86" s="29" t="n">
        <x:f aca="0">IF(D76&lt;=0,"n/m",-(D77+D78)/D76)</x:f>
        <x:v>0.5062707639057432</x:v>
      </x:c>
      <x:c r="E86" s="29" t="n">
        <x:f aca="0">IF(E76&lt;=0,"n/m",-(E77+E78)/E76)</x:f>
        <x:v>2.1497000989393658</x:v>
      </x:c>
      <x:c r="F86" s="29" t="n">
        <x:f aca="0">IF(F76&lt;=0,"n/m",-(F77+F78)/F76)</x:f>
        <x:v>0.8089421644222602</x:v>
      </x:c>
      <x:c r="G86" s="29" t="n">
        <x:f aca="0">IF(G76&lt;=0,"n/m",-(G77+G78)/G76)</x:f>
        <x:v>0.3329244271186253</x:v>
      </x:c>
      <x:c r="H86" s="28"/>
    </x:row>
    <x:row r="87" ht="15" hidden="0">
      <x:c r="A87" s="22" t="s">
        <x:v>142</x:v>
      </x:c>
      <x:c r="B87" s="23"/>
      <x:c r="C87" s="29" t="n">
        <x:f aca="0">IF(AND(ISNUMBER(C86),C86&gt;=0,C86&lt;=0.6),C86,Overview!$C$30)</x:f>
        <x:v>0.2200886321743805</x:v>
      </x:c>
      <x:c r="D87" s="29" t="n">
        <x:f aca="0">IF(AND(ISNUMBER(D86),D86&gt;=0,D86&lt;=0.6),D86,Overview!$D$30)</x:f>
        <x:v>0.5062707639057432</x:v>
      </x:c>
      <x:c r="E87" s="29" t="n">
        <x:f aca="0">IF(AND(ISNUMBER(E86),E86&gt;=0,E86&lt;=0.6),E86,Overview!$E$30)</x:f>
        <x:v>0.39</x:v>
      </x:c>
      <x:c r="F87" s="29" t="n">
        <x:f aca="0">IF(AND(ISNUMBER(F86),F86&gt;=0,F86&lt;=0.6),F86,Overview!$F$30)</x:f>
        <x:v>0.39</x:v>
      </x:c>
      <x:c r="G87" s="29" t="n">
        <x:f aca="0">IF(AND(ISNUMBER(G86),G86&gt;=0,G86&lt;=0.6),G86,Overview!$G$30)</x:f>
        <x:v>0.3329244271186253</x:v>
      </x:c>
      <x:c r="H87" s="28"/>
    </x:row>
    <x:row r="88" ht="15" hidden="0">
      <x:c r="A88" s="22" t="s">
        <x:v>143</x:v>
      </x:c>
      <x:c r="B88" s="23"/>
      <x:c r="C88" s="24" t="n">
        <x:f aca="0">C82*(1-C87)</x:f>
        <x:v>5999.296616497657</x:v>
      </x:c>
      <x:c r="D88" s="24" t="n">
        <x:f aca="0">D82*(1-D87)</x:f>
        <x:v>4735.331429459739</x:v>
      </x:c>
      <x:c r="E88" s="24" t="n">
        <x:f aca="0">E82*(1-E87)</x:f>
        <x:v>6041.949350000001</x:v>
      </x:c>
      <x:c r="F88" s="24" t="n">
        <x:f aca="0">F82*(1-F87)</x:f>
        <x:v>6612.40915</x:v>
      </x:c>
      <x:c r="G88" s="24" t="n">
        <x:f aca="0">G82*(1-G87)</x:f>
        <x:v>11256.911632657935</x:v>
      </x:c>
      <x:c r="H88" s="28"/>
    </x:row>
    <x:row r="90" ht="19.5" hidden="0" customHeight="1">
      <x:c r="A90" s="5" t="s">
        <x:v>144</x:v>
      </x:c>
      <x:c r="B90" s="6"/>
      <x:c r="C90" s="6"/>
      <x:c r="D90" s="6"/>
      <x:c r="E90" s="6"/>
      <x:c r="F90" s="6"/>
      <x:c r="G90" s="6"/>
      <x:c r="H90" s="6"/>
    </x:row>
    <x:row r="91" ht="16.5" hidden="0" customHeight="1">
      <x:c r="A91" s="17" t="s">
        <x:v>63</x:v>
      </x:c>
      <x:c r="B91" s="18"/>
      <x:c r="C91" s="19" t="s">
        <x:v>48</x:v>
      </x:c>
      <x:c r="D91" s="19" t="s">
        <x:v>49</x:v>
      </x:c>
      <x:c r="E91" s="19" t="s">
        <x:v>50</x:v>
      </x:c>
      <x:c r="F91" s="19" t="s">
        <x:v>51</x:v>
      </x:c>
      <x:c r="G91" s="19" t="s">
        <x:v>52</x:v>
      </x:c>
      <x:c r="H91" s="19" t="s">
        <x:v>64</x:v>
      </x:c>
    </x:row>
    <x:row r="92" ht="15" hidden="0">
      <x:c r="A92" s="22" t="s">
        <x:v>145</x:v>
      </x:c>
      <x:c r="B92" s="23"/>
      <x:c r="C92" s="24" t="n">
        <x:v>10472.429</x:v>
      </x:c>
      <x:c r="D92" s="24" t="n">
        <x:v>941.866</x:v>
      </x:c>
      <x:c r="E92" s="24" t="n">
        <x:v>13397.298</x:v>
      </x:c>
      <x:c r="F92" s="24" t="n">
        <x:v>13222.675</x:v>
      </x:c>
      <x:c r="G92" s="24" t="n">
        <x:v>15811.428</x:v>
      </x:c>
      <x:c r="H92" s="24" t="n">
        <x:v>6062.299</x:v>
      </x:c>
    </x:row>
    <x:row r="93" ht="15" hidden="0">
      <x:c r="A93" s="22" t="s">
        <x:v>146</x:v>
      </x:c>
      <x:c r="B93" s="23"/>
      <x:c r="C93" s="24" t="n">
        <x:v>6161.19</x:v>
      </x:c>
      <x:c r="D93" s="24" t="n">
        <x:v>-3932.479</x:v>
      </x:c>
      <x:c r="E93" s="24" t="n">
        <x:v>6504.234</x:v>
      </x:c>
      <x:c r="F93" s="24" t="n">
        <x:v>6029.545</x:v>
      </x:c>
      <x:c r="G93" s="24" t="n">
        <x:v>10034.132</x:v>
      </x:c>
      <x:c r="H93" s="24" t="n">
        <x:v>-343.131</x:v>
      </x:c>
    </x:row>
    <x:row r="94" ht="15" hidden="0">
      <x:c r="A94" s="22" t="s">
        <x:v>147</x:v>
      </x:c>
      <x:c r="B94" s="23"/>
      <x:c r="C94" s="24" t="n">
        <x:v>-2962.16</x:v>
      </x:c>
      <x:c r="D94" s="24" t="n">
        <x:v>1461.646</x:v>
      </x:c>
      <x:c r="E94" s="24" t="n">
        <x:v>-1747.152</x:v>
      </x:c>
      <x:c r="F94" s="24" t="n">
        <x:v>2277.223</x:v>
      </x:c>
      <x:c r="G94" s="24" t="n">
        <x:v>3000.535</x:v>
      </x:c>
      <x:c r="H94" s="24" t="n">
        <x:v>-5082.796</x:v>
      </x:c>
    </x:row>
    <x:row r="95" ht="15" hidden="0">
      <x:c r="A95" s="22" t="s">
        <x:v>148</x:v>
      </x:c>
      <x:c r="B95" s="23"/>
      <x:c r="C95" s="24" t="n">
        <x:v>2374.853</x:v>
      </x:c>
      <x:c r="D95" s="24" t="n">
        <x:v>-4864.956</x:v>
      </x:c>
      <x:c r="E95" s="24" t="n">
        <x:v>-4883.569</x:v>
      </x:c>
      <x:c r="F95" s="24" t="n">
        <x:v>4051.021</x:v>
      </x:c>
      <x:c r="G95" s="24" t="n">
        <x:v>-9357.687</x:v>
      </x:c>
      <x:c r="H95" s="24" t="n">
        <x:v>2519.577</x:v>
      </x:c>
    </x:row>
    <x:row r="96" ht="15" hidden="0">
      <x:c r="A96" s="22" t="s">
        <x:v>149</x:v>
      </x:c>
      <x:c r="B96" s="23"/>
      <x:c r="C96" s="24" t="n">
        <x:v>-5087.104</x:v>
      </x:c>
      <x:c r="D96" s="24" t="n">
        <x:v>-1739.551</x:v>
      </x:c>
      <x:c r="E96" s="24" t="n">
        <x:v>-3418.069</x:v>
      </x:c>
      <x:c r="F96" s="24" t="n">
        <x:v>-1620.798</x:v>
      </x:c>
      <x:c r="G96" s="24" t="n">
        <x:v>-1211.491</x:v>
      </x:c>
      <x:c r="H96" s="24" t="n">
        <x:v>-7374.428</x:v>
      </x:c>
    </x:row>
    <x:row r="97" ht="15" hidden="0">
      <x:c r="A97" s="22" t="s">
        <x:v>150</x:v>
      </x:c>
      <x:c r="B97" s="23"/>
      <x:c r="C97" s="24" t="n">
        <x:v>-3125.381</x:v>
      </x:c>
      <x:c r="D97" s="24" t="n">
        <x:v>-3195.727</x:v>
      </x:c>
      <x:c r="E97" s="24" t="n">
        <x:v>-5998.599</x:v>
      </x:c>
      <x:c r="F97" s="24" t="n">
        <x:v>-8460.206</x:v>
      </x:c>
      <x:c r="G97" s="24" t="n">
        <x:v>-4921.199</x:v>
      </x:c>
      <x:c r="H97" s="24" t="n">
        <x:v>-4750.58</x:v>
      </x:c>
    </x:row>
    <x:row r="98" ht="15" hidden="0">
      <x:c r="A98" s="22" t="s">
        <x:v>151</x:v>
      </x:c>
      <x:c r="B98" s="23"/>
      <x:c r="C98" s="24" t="n">
        <x:v>-0.32</x:v>
      </x:c>
      <x:c r="D98" s="24" t="n">
        <x:v>-437.124</x:v>
      </x:c>
      <x:c r="E98" s="24" t="n">
        <x:v>-437.927</x:v>
      </x:c>
      <x:c r="F98" s="24" t="n">
        <x:v>-0.502</x:v>
      </x:c>
      <x:c r="G98" s="24" t="n">
        <x:v>-0.048</x:v>
      </x:c>
      <x:c r="H98" s="24" t="n">
        <x:v>-437.72</x:v>
      </x:c>
    </x:row>
    <x:row r="100" ht="19.5" hidden="0" customHeight="1">
      <x:c r="A100" s="5" t="s">
        <x:v>152</x:v>
      </x:c>
      <x:c r="B100" s="6"/>
      <x:c r="C100" s="6"/>
      <x:c r="D100" s="6"/>
      <x:c r="E100" s="6"/>
      <x:c r="F100" s="6"/>
      <x:c r="G100" s="6"/>
      <x:c r="H100" s="6"/>
    </x:row>
    <x:row r="101" ht="16.5" hidden="0" customHeight="1">
      <x:c r="A101" s="17" t="s">
        <x:v>63</x:v>
      </x:c>
      <x:c r="B101" s="18"/>
      <x:c r="C101" s="19" t="s">
        <x:v>48</x:v>
      </x:c>
      <x:c r="D101" s="19" t="s">
        <x:v>49</x:v>
      </x:c>
      <x:c r="E101" s="19" t="s">
        <x:v>50</x:v>
      </x:c>
      <x:c r="F101" s="19" t="s">
        <x:v>51</x:v>
      </x:c>
      <x:c r="G101" s="19" t="s">
        <x:v>52</x:v>
      </x:c>
    </x:row>
    <x:row r="102" ht="15" hidden="0">
      <x:c r="A102" s="22" t="s">
        <x:v>153</x:v>
      </x:c>
      <x:c r="B102" s="23"/>
      <x:c r="C102" s="30" t="n">
        <x:v>10</x:v>
      </x:c>
      <x:c r="D102" s="30" t="n">
        <x:v>10</x:v>
      </x:c>
      <x:c r="E102" s="30" t="n">
        <x:v>10</x:v>
      </x:c>
      <x:c r="F102" s="30" t="n">
        <x:v>10</x:v>
      </x:c>
      <x:c r="G102" s="30" t="n">
        <x:v>10</x:v>
      </x:c>
    </x:row>
    <x:row r="103" ht="15" hidden="0">
      <x:c r="A103" s="22" t="s">
        <x:v>154</x:v>
      </x:c>
      <x:c r="B103" s="23"/>
      <x:c r="C103" s="31" t="n">
        <x:f aca="0">C27/C102-C107</x:f>
        <x:v>438.1191</x:v>
      </x:c>
      <x:c r="D103" s="31" t="n">
        <x:f aca="0">D27/D102-D107</x:f>
        <x:v>438.1191</x:v>
      </x:c>
      <x:c r="E103" s="31" t="n">
        <x:f aca="0">E27/E102-E107</x:f>
        <x:v>438.1191</x:v>
      </x:c>
      <x:c r="F103" s="31" t="n">
        <x:f aca="0">F27/F102-F107</x:f>
        <x:v>438.1191</x:v>
      </x:c>
      <x:c r="G103" s="31" t="n">
        <x:f aca="0">G27/G102-G107</x:f>
        <x:v>438.1191</x:v>
      </x:c>
    </x:row>
    <x:row r="104" ht="15" hidden="0">
      <x:c r="A104" s="22" t="s">
        <x:v>155</x:v>
      </x:c>
      <x:c r="B104" s="23"/>
      <x:c r="C104" s="31" t="n">
        <x:v>438.119118</x:v>
      </x:c>
      <x:c r="D104" s="31" t="n">
        <x:v>438.119118</x:v>
      </x:c>
      <x:c r="E104" s="31" t="n">
        <x:v>438.119118</x:v>
      </x:c>
      <x:c r="F104" s="31" t="n">
        <x:v>438.119118</x:v>
      </x:c>
      <x:c r="G104" s="31" t="n">
        <x:v>438.119118</x:v>
      </x:c>
    </x:row>
    <x:row r="105" ht="15" hidden="0">
      <x:c r="A105" s="22" t="str">
        <x:v>FY-end share price (Rs; last PSX close)</x:v>
      </x:c>
      <x:c r="B105" s="23"/>
      <x:c r="C105" s="30" t="n">
        <x:v>117.92</x:v>
      </x:c>
      <x:c r="D105" s="30" t="n">
        <x:v>62.5</x:v>
      </x:c>
      <x:c r="E105" s="30" t="n">
        <x:v>51.3</x:v>
      </x:c>
      <x:c r="F105" s="30" t="n">
        <x:v>90.27</x:v>
      </x:c>
      <x:c r="G105" s="30" t="n">
        <x:v>165.56</x:v>
      </x:c>
    </x:row>
    <x:row r="106" ht="15" hidden="0">
      <x:c r="A106" s="22" t="s">
        <x:v>156</x:v>
      </x:c>
      <x:c r="B106" s="23"/>
      <x:c r="C106" s="30" t="n">
        <x:v>1</x:v>
      </x:c>
      <x:c r="D106" s="30" t="n">
        <x:v>1</x:v>
      </x:c>
      <x:c r="E106" s="30" t="n">
        <x:v>0</x:v>
      </x:c>
      <x:c r="F106" s="30" t="n">
        <x:v>0</x:v>
      </x:c>
      <x:c r="G106" s="30" t="n">
        <x:v>2</x:v>
      </x:c>
    </x:row>
    <x:row r="107">
      <x:c r="A107" s="22" t="str">
        <x:v>Treasury shares excluded (million)</x:v>
      </x:c>
      <x:c r="B107" s="23"/>
      <x:c r="C107" s="30" t="n">
        <x:v>0</x:v>
      </x:c>
      <x:c r="D107" s="30" t="n">
        <x:v>0</x:v>
      </x:c>
      <x:c r="E107" s="30" t="n">
        <x:v>0</x:v>
      </x:c>
      <x:c r="F107" s="30" t="n">
        <x:v>0</x:v>
      </x:c>
      <x:c r="G107" s="30" t="n">
        <x:v>0</x:v>
      </x:c>
    </x:row>
    <x:row r="108" ht="19.5" hidden="0" customHeight="1">
      <x:c r="A108" s="5" t="s">
        <x:v>157</x:v>
      </x:c>
      <x:c r="B108" s="6"/>
      <x:c r="C108" s="6"/>
      <x:c r="D108" s="6"/>
      <x:c r="E108" s="6"/>
      <x:c r="F108" s="6"/>
      <x:c r="G108" s="6"/>
      <x:c r="H108" s="6"/>
    </x:row>
    <x:row r="109" ht="16.5" hidden="0" customHeight="1">
      <x:c r="A109" s="32" t="s">
        <x:v>158</x:v>
      </x:c>
      <x:c r="B109" s="32" t="s">
        <x:v>159</x:v>
      </x:c>
      <x:c r="C109" s="19" t="s">
        <x:v>48</x:v>
      </x:c>
      <x:c r="D109" s="19" t="s">
        <x:v>49</x:v>
      </x:c>
      <x:c r="E109" s="19" t="s">
        <x:v>50</x:v>
      </x:c>
      <x:c r="F109" s="19" t="s">
        <x:v>51</x:v>
      </x:c>
      <x:c r="G109" s="19" t="s">
        <x:v>52</x:v>
      </x:c>
    </x:row>
    <x:row r="110" ht="15" hidden="0">
      <x:c r="A110" s="20" t="s">
        <x:v>160</x:v>
      </x:c>
      <x:c r="B110" s="21"/>
      <x:c r="C110" s="21"/>
      <x:c r="D110" s="21"/>
      <x:c r="E110" s="21"/>
      <x:c r="F110" s="21"/>
      <x:c r="G110" s="21"/>
    </x:row>
    <x:row r="111" ht="15" hidden="0">
      <x:c r="A111" s="33" t="s">
        <x:v>161</x:v>
      </x:c>
      <x:c r="B111" s="34" t="s">
        <x:v>162</x:v>
      </x:c>
      <x:c r="C111" s="35" t="n">
        <x:f aca="0">C24/C48</x:f>
        <x:v>0.9145250886450902</x:v>
      </x:c>
      <x:c r="D111" s="35" t="n">
        <x:f aca="0">D24/D48</x:f>
        <x:v>0.8855287714771004</x:v>
      </x:c>
      <x:c r="E111" s="35" t="n">
        <x:f aca="0">E24/E48</x:f>
        <x:v>0.8017674905738562</x:v>
      </x:c>
      <x:c r="F111" s="35" t="n">
        <x:f aca="0">F24/F48</x:f>
        <x:v>1.296185931254842</x:v>
      </x:c>
      <x:c r="G111" s="35" t="n">
        <x:f aca="0">G24/G48</x:f>
        <x:v>1.8489517932979607</x:v>
      </x:c>
    </x:row>
    <x:row r="112" ht="15" hidden="0">
      <x:c r="A112" s="33" t="s">
        <x:v>163</x:v>
      </x:c>
      <x:c r="B112" s="34" t="s">
        <x:v>164</x:v>
      </x:c>
      <x:c r="C112" s="35" t="n">
        <x:f aca="0">(C24-C54)/C48</x:f>
        <x:v>0.527188307782106</x:v>
      </x:c>
      <x:c r="D112" s="35" t="n">
        <x:f aca="0">(D24-D54)/D48</x:f>
        <x:v>0.3909339078966533</x:v>
      </x:c>
      <x:c r="E112" s="35" t="n">
        <x:f aca="0">(E24-E54)/E48</x:f>
        <x:v>0.3348993616744587</x:v>
      </x:c>
      <x:c r="F112" s="35" t="n">
        <x:f aca="0">(F24-F54)/F48</x:f>
        <x:v>0.6677176492302713</x:v>
      </x:c>
      <x:c r="G112" s="35" t="n">
        <x:f aca="0">(G24-G54)/G48</x:f>
        <x:v>1.0579587679634685</x:v>
      </x:c>
    </x:row>
    <x:row r="113" ht="15" hidden="0">
      <x:c r="A113" s="33" t="s">
        <x:v>165</x:v>
      </x:c>
      <x:c r="B113" s="34" t="s">
        <x:v>166</x:v>
      </x:c>
      <x:c r="C113" s="35" t="n">
        <x:f aca="0">C22/C48</x:f>
        <x:v>0.020011480184397672</x:v>
      </x:c>
      <x:c r="D113" s="35" t="n">
        <x:f aca="0">D22/D48</x:f>
        <x:v>0.008913248794490819</x:v>
      </x:c>
      <x:c r="E113" s="35" t="n">
        <x:f aca="0">E22/E48</x:f>
        <x:v>0.013866688142092815</x:v>
      </x:c>
      <x:c r="F113" s="35" t="n">
        <x:f aca="0">F22/F48</x:f>
        <x:v>0.022719990993528554</x:v>
      </x:c>
      <x:c r="G113" s="35" t="n">
        <x:f aca="0">G22/G48</x:f>
        <x:v>0.02195336946739058</x:v>
      </x:c>
    </x:row>
    <x:row r="114" ht="15" hidden="0">
      <x:c r="A114" s="33" t="s">
        <x:v>167</x:v>
      </x:c>
      <x:c r="B114" s="34" t="s">
        <x:v>168</x:v>
      </x:c>
      <x:c r="C114" s="36" t="n">
        <x:f aca="0">C24-C48</x:f>
        <x:v>-3444.255999999994</x:v>
      </x:c>
      <x:c r="D114" s="36" t="n">
        <x:f aca="0">D24-D48</x:f>
        <x:v>-5275.868000000002</x:v>
      </x:c>
      <x:c r="E114" s="36" t="n">
        <x:f aca="0">E24-E48</x:f>
        <x:v>-9649.123999999996</x:v>
      </x:c>
      <x:c r="F114" s="36" t="n">
        <x:f aca="0">F24-F48</x:f>
        <x:v>9544.803999999993</x:v>
      </x:c>
      <x:c r="G114" s="36" t="n">
        <x:f aca="0">G24-G48</x:f>
        <x:v>21997.122</x:v>
      </x:c>
    </x:row>
    <x:row r="115" ht="15" hidden="0">
      <x:c r="A115" s="33" t="s">
        <x:v>169</x:v>
      </x:c>
      <x:c r="B115" s="34" t="s">
        <x:v>170</x:v>
      </x:c>
      <x:c r="C115" s="36" t="n">
        <x:f aca="0">C59-C60</x:f>
        <x:v>8099.147000000006</x:v>
      </x:c>
      <x:c r="D115" s="36" t="n">
        <x:f aca="0">D59-D60</x:f>
        <x:v>17790.203999999998</x:v>
      </x:c>
      <x:c r="E115" s="36" t="n">
        <x:f aca="0">E59-E60</x:f>
        <x:v>15215.495000000003</x:v>
      </x:c>
      <x:c r="F115" s="36" t="n">
        <x:f aca="0">F59-F60</x:f>
        <x:v>10223.228999999994</x:v>
      </x:c>
      <x:c r="G115" s="36" t="n">
        <x:f aca="0">G59-G60</x:f>
        <x:v>9579.732</x:v>
      </x:c>
    </x:row>
    <x:row r="116" ht="15" hidden="0">
      <x:c r="A116" s="20" t="s">
        <x:v>171</x:v>
      </x:c>
      <x:c r="B116" s="21"/>
      <x:c r="C116" s="21"/>
      <x:c r="D116" s="21"/>
      <x:c r="E116" s="21"/>
      <x:c r="F116" s="21"/>
      <x:c r="G116" s="21"/>
    </x:row>
    <x:row r="117" ht="15" hidden="0">
      <x:c r="A117" s="33" t="s">
        <x:v>172</x:v>
      </x:c>
      <x:c r="B117" s="34" t="s">
        <x:v>173</x:v>
      </x:c>
      <x:c r="C117" s="35" t="n">
        <x:f aca="0">-C65/AVERAGE(H54,C54)</x:f>
        <x:v>2.626752753172622</x:v>
      </x:c>
      <x:c r="D117" s="35" t="n">
        <x:f aca="0">-D65/AVERAGE(C54,D54)</x:f>
        <x:v>2.479761249901864</x:v>
      </x:c>
      <x:c r="E117" s="35" t="n">
        <x:f aca="0">-E65/AVERAGE(D54,E54)</x:f>
        <x:v>2.4352964976956684</x:v>
      </x:c>
      <x:c r="F117" s="35" t="n">
        <x:f aca="0">-F65/AVERAGE(E54,F54)</x:f>
        <x:v>2.583201095183174</x:v>
      </x:c>
      <x:c r="G117" s="35" t="n">
        <x:f aca="0">-G65/AVERAGE(F54,G54)</x:f>
        <x:v>2.6203448800361673</x:v>
      </x:c>
    </x:row>
    <x:row r="118" ht="15" hidden="0">
      <x:c r="A118" s="33" t="s">
        <x:v>174</x:v>
      </x:c>
      <x:c r="B118" s="34" t="s">
        <x:v>175</x:v>
      </x:c>
      <x:c r="C118" s="35" t="n">
        <x:f aca="0">C64/AVERAGE(H20,C20)</x:f>
        <x:v>22.768270883109405</x:v>
      </x:c>
      <x:c r="D118" s="35" t="n">
        <x:f aca="0">D64/AVERAGE(C20,D20)</x:f>
        <x:v>36.92232039176783</x:v>
      </x:c>
      <x:c r="E118" s="35" t="n">
        <x:f aca="0">E64/AVERAGE(D20,E20)</x:f>
        <x:v>48.836111797909446</x:v>
      </x:c>
      <x:c r="F118" s="35" t="n">
        <x:f aca="0">F64/AVERAGE(E20,F20)</x:f>
        <x:v>64.45370786977438</x:v>
      </x:c>
      <x:c r="G118" s="35" t="n">
        <x:f aca="0">G64/AVERAGE(F20,G20)</x:f>
        <x:v>61.21607937936548</x:v>
      </x:c>
    </x:row>
    <x:row r="119" ht="15" hidden="0">
      <x:c r="A119" s="33" t="s">
        <x:v>176</x:v>
      </x:c>
      <x:c r="B119" s="34" t="s">
        <x:v>177</x:v>
      </x:c>
      <x:c r="C119" s="35" t="n">
        <x:f aca="0">-C65/AVERAGE(H52,C52)</x:f>
        <x:v>6.330391634867254</x:v>
      </x:c>
      <x:c r="D119" s="35" t="n">
        <x:f aca="0">-D65/AVERAGE(C52,D52)</x:f>
        <x:v>8.467367491855711</x:v>
      </x:c>
      <x:c r="E119" s="35" t="n">
        <x:f aca="0">-E65/AVERAGE(D52,E52)</x:f>
        <x:v>10.657952462664126</x:v>
      </x:c>
      <x:c r="F119" s="35" t="n">
        <x:f aca="0">-F65/AVERAGE(E52,F52)</x:f>
        <x:v>9.58994930634071</x:v>
      </x:c>
      <x:c r="G119" s="35" t="n">
        <x:f aca="0">-G65/AVERAGE(F52,G52)</x:f>
        <x:v>11.93424527818953</x:v>
      </x:c>
    </x:row>
    <x:row r="120" ht="15" hidden="0">
      <x:c r="A120" s="33" t="s">
        <x:v>178</x:v>
      </x:c>
      <x:c r="B120" s="34" t="s">
        <x:v>179</x:v>
      </x:c>
      <x:c r="C120" s="37" t="n">
        <x:f aca="0">365/C117</x:f>
        <x:v>138.9548367501086</x:v>
      </x:c>
      <x:c r="D120" s="37" t="n">
        <x:f aca="0">365/D117</x:f>
        <x:v>147.19158951872677</x:v>
      </x:c>
      <x:c r="E120" s="37" t="n">
        <x:f aca="0">365/E117</x:f>
        <x:v>149.87908057411946</x:v>
      </x:c>
      <x:c r="F120" s="37" t="n">
        <x:f aca="0">365/F117</x:f>
        <x:v>141.2975554557505</x:v>
      </x:c>
      <x:c r="G120" s="37" t="n">
        <x:f aca="0">365/G117</x:f>
        <x:v>139.29464124392743</x:v>
      </x:c>
    </x:row>
    <x:row r="121" ht="15" hidden="0">
      <x:c r="A121" s="33" t="s">
        <x:v>180</x:v>
      </x:c>
      <x:c r="B121" s="34" t="s">
        <x:v>181</x:v>
      </x:c>
      <x:c r="C121" s="37" t="n">
        <x:f aca="0">365/C118</x:f>
        <x:v>16.031081230273596</x:v>
      </x:c>
      <x:c r="D121" s="37" t="n">
        <x:f aca="0">365/D118</x:f>
        <x:v>9.88561921697045</x:v>
      </x:c>
      <x:c r="E121" s="37" t="n">
        <x:f aca="0">365/E118</x:f>
        <x:v>7.473977484334139</x:v>
      </x:c>
      <x:c r="F121" s="37" t="n">
        <x:f aca="0">365/F118</x:f>
        <x:v>5.662979090938647</x:v>
      </x:c>
      <x:c r="G121" s="37" t="n">
        <x:f aca="0">365/G118</x:f>
        <x:v>5.962485734149009</x:v>
      </x:c>
    </x:row>
    <x:row r="122" ht="15" hidden="0">
      <x:c r="A122" s="33" t="s">
        <x:v>182</x:v>
      </x:c>
      <x:c r="B122" s="34" t="s">
        <x:v>183</x:v>
      </x:c>
      <x:c r="C122" s="37" t="n">
        <x:f aca="0">365/C119</x:f>
        <x:v>57.65836002777637</x:v>
      </x:c>
      <x:c r="D122" s="37" t="n">
        <x:f aca="0">365/D119</x:f>
        <x:v>43.10666808203059</x:v>
      </x:c>
      <x:c r="E122" s="37" t="n">
        <x:f aca="0">365/E119</x:f>
        <x:v>34.24672809140701</x:v>
      </x:c>
      <x:c r="F122" s="37" t="n">
        <x:f aca="0">365/F119</x:f>
        <x:v>38.06068085872657</x:v>
      </x:c>
      <x:c r="G122" s="37" t="n">
        <x:f aca="0">365/G119</x:f>
        <x:v>30.584254931231968</x:v>
      </x:c>
    </x:row>
    <x:row r="123" ht="15" hidden="0">
      <x:c r="A123" s="33" t="s">
        <x:v>184</x:v>
      </x:c>
      <x:c r="B123" s="34" t="s">
        <x:v>185</x:v>
      </x:c>
      <x:c r="C123" s="37" t="n">
        <x:f aca="0">C120+C121</x:f>
        <x:v>154.9859179803822</x:v>
      </x:c>
      <x:c r="D123" s="37" t="n">
        <x:f aca="0">D120+D121</x:f>
        <x:v>157.0772087356972</x:v>
      </x:c>
      <x:c r="E123" s="37" t="n">
        <x:f aca="0">E120+E121</x:f>
        <x:v>157.3530580584536</x:v>
      </x:c>
      <x:c r="F123" s="37" t="n">
        <x:f aca="0">F120+F121</x:f>
        <x:v>146.96053454668916</x:v>
      </x:c>
      <x:c r="G123" s="37" t="n">
        <x:f aca="0">G120+G121</x:f>
        <x:v>145.25712697807643</x:v>
      </x:c>
    </x:row>
    <x:row r="124" ht="15" hidden="0">
      <x:c r="A124" s="33" t="s">
        <x:v>186</x:v>
      </x:c>
      <x:c r="B124" s="34" t="s">
        <x:v>187</x:v>
      </x:c>
      <x:c r="C124" s="37" t="n">
        <x:f aca="0">C120+C121-C122</x:f>
        <x:v>97.32755795260583</x:v>
      </x:c>
      <x:c r="D124" s="37" t="n">
        <x:f aca="0">D120+D121-D122</x:f>
        <x:v>113.97054065366663</x:v>
      </x:c>
      <x:c r="E124" s="37" t="n">
        <x:f aca="0">E120+E121-E122</x:f>
        <x:v>123.10632996704659</x:v>
      </x:c>
      <x:c r="F124" s="37" t="n">
        <x:f aca="0">F120+F121-F122</x:f>
        <x:v>108.89985368796259</x:v>
      </x:c>
      <x:c r="G124" s="37" t="n">
        <x:f aca="0">G120+G121-G122</x:f>
        <x:v>114.67287204684446</x:v>
      </x:c>
    </x:row>
    <x:row r="125" ht="15" hidden="0">
      <x:c r="A125" s="33" t="s">
        <x:v>188</x:v>
      </x:c>
      <x:c r="B125" s="34" t="s">
        <x:v>189</x:v>
      </x:c>
      <x:c r="C125" s="35" t="n">
        <x:f aca="0">C64/AVERAGE(H25,C25)</x:f>
        <x:v>0.337321560534536</x:v>
      </x:c>
      <x:c r="D125" s="35" t="n">
        <x:f aca="0">D64/AVERAGE(C25,D25)</x:f>
        <x:v>0.42297281053904634</x:v>
      </x:c>
      <x:c r="E125" s="35" t="n">
        <x:f aca="0">E64/AVERAGE(D25,E25)</x:f>
        <x:v>0.47909875248597583</x:v>
      </x:c>
      <x:c r="F125" s="35" t="n">
        <x:f aca="0">F64/AVERAGE(E25,F25)</x:f>
        <x:v>0.48362452491954855</x:v>
      </x:c>
      <x:c r="G125" s="35" t="n">
        <x:f aca="0">G64/AVERAGE(F25,G25)</x:f>
        <x:v>0.5057355687914292</x:v>
      </x:c>
    </x:row>
    <x:row r="126" ht="15" hidden="0">
      <x:c r="A126" s="33" t="s">
        <x:v>190</x:v>
      </x:c>
      <x:c r="B126" s="34" t="s">
        <x:v>191</x:v>
      </x:c>
      <x:c r="C126" s="35" t="n">
        <x:f aca="0">C64/AVERAGE(H53,C53)</x:f>
        <x:v>0.5840225528925309</x:v>
      </x:c>
      <x:c r="D126" s="35" t="n">
        <x:f aca="0">D64/AVERAGE(C53,D53)</x:f>
        <x:v>0.7284023454374957</x:v>
      </x:c>
      <x:c r="E126" s="35" t="n">
        <x:f aca="0">E64/AVERAGE(D53,E53)</x:f>
        <x:v>0.8006952973031204</x:v>
      </x:c>
      <x:c r="F126" s="35" t="n">
        <x:f aca="0">F64/AVERAGE(E53,F53)</x:f>
        <x:v>0.8318493605276719</x:v>
      </x:c>
      <x:c r="G126" s="35" t="n">
        <x:f aca="0">G64/AVERAGE(F53,G53)</x:f>
        <x:v>0.9277030351499571</x:v>
      </x:c>
    </x:row>
    <x:row r="127" ht="15" hidden="0">
      <x:c r="A127" s="20" t="s">
        <x:v>192</x:v>
      </x:c>
      <x:c r="B127" s="21"/>
      <x:c r="C127" s="21"/>
      <x:c r="D127" s="21"/>
      <x:c r="E127" s="21"/>
      <x:c r="F127" s="21"/>
      <x:c r="G127" s="21"/>
    </x:row>
    <x:row r="128" ht="15" hidden="0">
      <x:c r="A128" s="33" t="s">
        <x:v>193</x:v>
      </x:c>
      <x:c r="B128" s="34" t="s">
        <x:v>194</x:v>
      </x:c>
      <x:c r="C128" s="38" t="n">
        <x:f aca="0">C49/C25</x:f>
        <x:v>0.46714504184305206</x:v>
      </x:c>
      <x:c r="D128" s="38" t="n">
        <x:f aca="0">D49/D25</x:f>
        <x:v>0.48801207258126744</x:v>
      </x:c>
      <x:c r="E128" s="38" t="n">
        <x:f aca="0">E49/E25</x:f>
        <x:v>0.5234895224192266</x:v>
      </x:c>
      <x:c r="F128" s="38" t="n">
        <x:f aca="0">F49/F25</x:f>
        <x:v>0.4519122394636083</x:v>
      </x:c>
      <x:c r="G128" s="38" t="n">
        <x:f aca="0">G49/G25</x:f>
        <x:v>0.3512559582717703</x:v>
      </x:c>
    </x:row>
    <x:row r="129" ht="15" hidden="0">
      <x:c r="A129" s="33" t="s">
        <x:v>195</x:v>
      </x:c>
      <x:c r="B129" s="34" t="s">
        <x:v>196</x:v>
      </x:c>
      <x:c r="C129" s="35" t="n">
        <x:f aca="0">C49/C29</x:f>
        <x:v>0.8766832975690517</x:v>
      </x:c>
      <x:c r="D129" s="35" t="n">
        <x:f aca="0">D49/D29</x:f>
        <x:v>0.9531710543286772</x:v>
      </x:c>
      <x:c r="E129" s="35" t="n">
        <x:f aca="0">E49/E29</x:f>
        <x:v>1.0985897415665749</x:v>
      </x:c>
      <x:c r="F129" s="35" t="n">
        <x:f aca="0">F49/F29</x:f>
        <x:v>0.8245253260560679</x:v>
      </x:c>
      <x:c r="G129" s="35" t="n">
        <x:f aca="0">G49/G29</x:f>
        <x:v>0.5414399758278128</x:v>
      </x:c>
    </x:row>
    <x:row r="130" ht="15" hidden="0">
      <x:c r="A130" s="33" t="s">
        <x:v>197</x:v>
      </x:c>
      <x:c r="B130" s="34" t="s">
        <x:v>198</x:v>
      </x:c>
      <x:c r="C130" s="38" t="n">
        <x:f aca="0">C55/(C55+C29)</x:f>
        <x:v>0.37343360902882045</x:v>
      </x:c>
      <x:c r="D130" s="38" t="n">
        <x:f aca="0">D55/(D55+D29)</x:f>
        <x:v>0.39929807208366225</x:v>
      </x:c>
      <x:c r="E130" s="38" t="n">
        <x:f aca="0">E55/(E55+E29)</x:f>
        <x:v>0.39850127088453147</x:v>
      </x:c>
      <x:c r="F130" s="38" t="n">
        <x:f aca="0">F55/(F55+F29)</x:f>
        <x:v>0.31153681009483003</x:v>
      </x:c>
      <x:c r="G130" s="38" t="n">
        <x:f aca="0">G55/(G55+G29)</x:f>
        <x:v>0.18792347676351873</x:v>
      </x:c>
    </x:row>
    <x:row r="131" ht="15" hidden="0">
      <x:c r="A131" s="33" t="s">
        <x:v>199</x:v>
      </x:c>
      <x:c r="B131" s="34" t="s">
        <x:v>200</x:v>
      </x:c>
      <x:c r="C131" s="38" t="n">
        <x:f aca="0">C56/C25</x:f>
        <x:v>0.13996233662270563</x:v>
      </x:c>
      <x:c r="D131" s="38" t="n">
        <x:f aca="0">D56/D25</x:f>
        <x:v>0.10374941529310935</x:v>
      </x:c>
      <x:c r="E131" s="38" t="n">
        <x:f aca="0">E56/E25</x:f>
        <x:v>0.07173473071922083</x:v>
      </x:c>
      <x:c r="F131" s="38" t="n">
        <x:f aca="0">F56/F25</x:f>
        <x:v>0.11536675950040348</x:v>
      </x:c>
      <x:c r="G131" s="38" t="n">
        <x:f aca="0">G56/G25</x:f>
        <x:v>0.06917171092245233</x:v>
      </x:c>
    </x:row>
    <x:row r="132" ht="15" hidden="0">
      <x:c r="A132" s="33" t="s">
        <x:v>201</x:v>
      </x:c>
      <x:c r="B132" s="34" t="s">
        <x:v>202</x:v>
      </x:c>
      <x:c r="C132" s="35" t="n">
        <x:f aca="0">IF(C85&lt;=0,"n/m",C82/C85)</x:f>
        <x:v>2.665277021761826</x:v>
      </x:c>
      <x:c r="D132" s="35" t="n">
        <x:f aca="0">IF(D85&lt;=0,"n/m",D82/D85)</x:f>
        <x:v>2.7057478339935286</x:v>
      </x:c>
      <x:c r="E132" s="35" t="n">
        <x:f aca="0">IF(E85&lt;=0,"n/m",E82/E85)</x:f>
        <x:v>1.4774958199074884</x:v>
      </x:c>
      <x:c r="F132" s="35" t="n">
        <x:f aca="0">IF(F85&lt;=0,"n/m",F82/F85)</x:f>
        <x:v>1.367829033720977</x:v>
      </x:c>
      <x:c r="G132" s="35" t="n">
        <x:f aca="0">IF(G85&lt;=0,"n/m",G82/G85)</x:f>
        <x:v>4.421321516604763</x:v>
      </x:c>
    </x:row>
    <x:row r="133" ht="15" hidden="0">
      <x:c r="A133" s="33" t="s">
        <x:v>203</x:v>
      </x:c>
      <x:c r="B133" s="34" t="s">
        <x:v>204</x:v>
      </x:c>
      <x:c r="C133" s="35" t="n">
        <x:f aca="0">IF(C83&lt;=0,"n/m",C57/C83)</x:f>
        <x:v>3.813191896771488</x:v>
      </x:c>
      <x:c r="D133" s="35" t="n">
        <x:f aca="0">IF(D83&lt;=0,"n/m",D57/D83)</x:f>
        <x:v>3.411159135548283</x:v>
      </x:c>
      <x:c r="E133" s="35" t="n">
        <x:f aca="0">IF(E83&lt;=0,"n/m",E57/E83)</x:f>
        <x:v>3.0221254833304125</x:v>
      </x:c>
      <x:c r="F133" s="35" t="n">
        <x:f aca="0">IF(F83&lt;=0,"n/m",F57/F83)</x:f>
        <x:v>2.2860253471832075</x:v>
      </x:c>
      <x:c r="G133" s="35" t="n">
        <x:f aca="0">IF(G83&lt;=0,"n/m",G57/G83)</x:f>
        <x:v>1.0304549257932554</x:v>
      </x:c>
    </x:row>
    <x:row r="134" ht="15" hidden="0">
      <x:c r="A134" s="20" t="s">
        <x:v>205</x:v>
      </x:c>
      <x:c r="B134" s="21"/>
      <x:c r="C134" s="21"/>
      <x:c r="D134" s="21"/>
      <x:c r="E134" s="21"/>
      <x:c r="F134" s="21"/>
      <x:c r="G134" s="21"/>
    </x:row>
    <x:row r="135" ht="15" hidden="0">
      <x:c r="A135" s="33" t="s">
        <x:v>206</x:v>
      </x:c>
      <x:c r="B135" s="34" t="s">
        <x:v>207</x:v>
      </x:c>
      <x:c r="C135" s="38" t="n">
        <x:f aca="0">C66/C64</x:f>
        <x:v>0.1789471373949763</x:v>
      </x:c>
      <x:c r="D135" s="38" t="n">
        <x:f aca="0">D66/D64</x:f>
        <x:v>0.1796626113599641</x:v>
      </x:c>
      <x:c r="E135" s="38" t="n">
        <x:f aca="0">E66/E64</x:f>
        <x:v>0.147048524585835</x:v>
      </x:c>
      <x:c r="F135" s="38" t="n">
        <x:f aca="0">F66/F64</x:f>
        <x:v>0.1594256360843263</x:v>
      </x:c>
      <x:c r="G135" s="38" t="n">
        <x:f aca="0">G66/G64</x:f>
        <x:v>0.25740632547300923</x:v>
      </x:c>
    </x:row>
    <x:row r="136" ht="15" hidden="0">
      <x:c r="A136" s="33" t="s">
        <x:v>208</x:v>
      </x:c>
      <x:c r="B136" s="34" t="s">
        <x:v>209</x:v>
      </x:c>
      <x:c r="C136" s="38" t="n">
        <x:f aca="0">C71/C64</x:f>
        <x:v>0.11451399971933833</x:v>
      </x:c>
      <x:c r="D136" s="38" t="n">
        <x:f aca="0">D71/D64</x:f>
        <x:v>0.11847261096319517</x:v>
      </x:c>
      <x:c r="E136" s="38" t="n">
        <x:f aca="0">E71/E64</x:f>
        <x:v>0.10245374767974941</x:v>
      </x:c>
      <x:c r="F136" s="38" t="n">
        <x:f aca="0">F71/F64</x:f>
        <x:v>0.1000204289337119</x:v>
      </x:c>
      <x:c r="G136" s="38" t="n">
        <x:f aca="0">G71/G64</x:f>
        <x:v>0.17530880023555062</x:v>
      </x:c>
    </x:row>
    <x:row r="137" ht="15" hidden="0">
      <x:c r="A137" s="33" t="s">
        <x:v>210</x:v>
      </x:c>
      <x:c r="B137" s="34" t="s">
        <x:v>211</x:v>
      </x:c>
      <x:c r="C137" s="38" t="n">
        <x:f aca="0">C79/C64</x:f>
        <x:v>0.08249752980035112</x:v>
      </x:c>
      <x:c r="D137" s="38" t="n">
        <x:f aca="0">D79/D64</x:f>
        <x:v>0.05120493100192175</x:v>
      </x:c>
      <x:c r="E137" s="38" t="n">
        <x:f aca="0">E79/E64</x:f>
        <x:v>-0.05595201919567025</x:v>
      </x:c>
      <x:c r="F137" s="38" t="n">
        <x:f aca="0">F79/F64</x:f>
        <x:v>0.008213306596683071</x:v>
      </x:c>
      <x:c r="G137" s="38" t="n">
        <x:f aca="0">G79/G64</x:f>
        <x:v>0.12066652759857006</x:v>
      </x:c>
    </x:row>
    <x:row r="138" ht="15" hidden="0">
      <x:c r="A138" s="33" t="s">
        <x:v>212</x:v>
      </x:c>
      <x:c r="B138" s="34" t="s">
        <x:v>213</x:v>
      </x:c>
      <x:c r="C138" s="38" t="n">
        <x:f aca="0">C79/AVERAGE(H25,C25)</x:f>
        <x:v>0.02782819549249883</x:v>
      </x:c>
      <x:c r="D138" s="38" t="n">
        <x:f aca="0">D79/AVERAGE(C25,D25)</x:f>
        <x:v>0.02165829357934079</x:v>
      </x:c>
      <x:c r="E138" s="38" t="n">
        <x:f aca="0">E79/AVERAGE(D25,E25)</x:f>
        <x:v>-0.02680654259571699</x:v>
      </x:c>
      <x:c r="F138" s="38" t="n">
        <x:f aca="0">F79/AVERAGE(E25,F25)</x:f>
        <x:v>0.003972156500839445</x:v>
      </x:c>
      <x:c r="G138" s="38" t="n">
        <x:f aca="0">G79/AVERAGE(F25,G25)</x:f>
        <x:v>0.06102535496914953</x:v>
      </x:c>
    </x:row>
    <x:row r="139" ht="15" hidden="0">
      <x:c r="A139" s="33" t="s">
        <x:v>214</x:v>
      </x:c>
      <x:c r="B139" s="34" t="s">
        <x:v>215</x:v>
      </x:c>
      <x:c r="C139" s="38" t="n">
        <x:f aca="0">C79/AVERAGE(H29,C29)</x:f>
        <x:v>0.05311474576838488</x:v>
      </x:c>
      <x:c r="D139" s="38" t="n">
        <x:f aca="0">D79/AVERAGE(C29,D29)</x:f>
        <x:v>0.041453492679972344</x:v>
      </x:c>
      <x:c r="E139" s="38" t="n">
        <x:f aca="0">E79/AVERAGE(D29,E29)</x:f>
        <x:v>-0.05422363320589824</x:v>
      </x:c>
      <x:c r="F139" s="38" t="n">
        <x:f aca="0">F79/AVERAGE(E29,F29)</x:f>
        <x:v>0.007746311290114197</x:v>
      </x:c>
      <x:c r="G139" s="38" t="n">
        <x:f aca="0">G79/AVERAGE(F29,G29)</x:f>
        <x:v>0.10175126160150023</x:v>
      </x:c>
    </x:row>
    <x:row r="140" ht="15" hidden="0">
      <x:c r="A140" s="33" t="s">
        <x:v>216</x:v>
      </x:c>
      <x:c r="B140" s="34" t="s">
        <x:v>217</x:v>
      </x:c>
      <x:c r="C140" s="38" t="n">
        <x:f aca="0">C88/AVERAGE(H58,C58)</x:f>
        <x:v>0.05185364586076227</x:v>
      </x:c>
      <x:c r="D140" s="38" t="n">
        <x:f aca="0">D88/AVERAGE(C58,D58)</x:f>
        <x:v>0.0405309965203835</x:v>
      </x:c>
      <x:c r="E140" s="38" t="n">
        <x:f aca="0">E88/AVERAGE(D58,E58)</x:f>
        <x:v>0.05416006430346929</x:v>
      </x:c>
      <x:c r="F140" s="38" t="n">
        <x:f aca="0">F88/AVERAGE(E58,F58)</x:f>
        <x:v>0.06097480096087647</x:v>
      </x:c>
      <x:c r="G140" s="38" t="n">
        <x:f aca="0">G88/AVERAGE(F58,G58)</x:f>
        <x:v>0.09929184900187035</x:v>
      </x:c>
    </x:row>
    <x:row r="141" ht="15" hidden="0">
      <x:c r="A141" s="33" t="s">
        <x:v>218</x:v>
      </x:c>
      <x:c r="B141" s="34" t="s">
        <x:v>219</x:v>
      </x:c>
      <x:c r="C141" s="38" t="n">
        <x:f aca="0">C82/AVERAGE(H25,C25)</x:f>
        <x:v>0.05752393646556941</x:v>
      </x:c>
      <x:c r="D141" s="38" t="n">
        <x:f aca="0">D82/AVERAGE(C25,D25)</x:f>
        <x:v>0.06989042461377605</x:v>
      </x:c>
      <x:c r="E141" s="38" t="n">
        <x:f aca="0">E82/AVERAGE(D25,E25)</x:f>
        <x:v>0.07302423924994239</x:v>
      </x:c>
      <x:c r="F141" s="38" t="n">
        <x:f aca="0">F82/AVERAGE(E25,F25)</x:f>
        <x:v>0.07938523892404618</x:v>
      </x:c>
      <x:c r="G141" s="38" t="n">
        <x:f aca="0">G82/AVERAGE(F25,G25)</x:f>
        <x:v>0.11870857622241335</x:v>
      </x:c>
    </x:row>
    <x:row r="142" ht="15" hidden="0">
      <x:c r="A142" s="33" t="s">
        <x:v>220</x:v>
      </x:c>
      <x:c r="B142" s="34" t="s">
        <x:v>221</x:v>
      </x:c>
      <x:c r="C142" s="38" t="n">
        <x:f aca="0">C83/C64</x:f>
        <x:v>0.24991497015253938</x:v>
      </x:c>
      <x:c r="D142" s="38" t="n">
        <x:f aca="0">D83/D64</x:f>
        <x:v>0.23265570728812449</x:v>
      </x:c>
      <x:c r="E142" s="38" t="n">
        <x:f aca="0">E83/E64</x:f>
        <x:v>0.2131140149484285</x:v>
      </x:c>
      <x:c r="F142" s="38" t="n">
        <x:f aca="0">F83/F64</x:f>
        <x:v>0.2224978603073117</x:v>
      </x:c>
      <x:c r="G142" s="38" t="n">
        <x:f aca="0">G83/G64</x:f>
        <x:v>0.2880345228273576</x:v>
      </x:c>
    </x:row>
    <x:row r="143" ht="15" hidden="0">
      <x:c r="A143" s="20" t="s">
        <x:v>222</x:v>
      </x:c>
      <x:c r="B143" s="21"/>
      <x:c r="C143" s="21"/>
      <x:c r="D143" s="21"/>
      <x:c r="E143" s="21"/>
      <x:c r="F143" s="21"/>
      <x:c r="G143" s="21"/>
    </x:row>
    <x:row r="144" ht="15" hidden="0">
      <x:c r="A144" s="33" t="s">
        <x:v>223</x:v>
      </x:c>
      <x:c r="B144" s="34" t="s">
        <x:v>224</x:v>
      </x:c>
      <x:c r="C144" s="39" t="n">
        <x:f aca="0">C29/C103</x:f>
        <x:v>167.71209700741193</x:v>
      </x:c>
      <x:c r="D144" s="39" t="n">
        <x:f aca="0">D29/D103</x:f>
        <x:v>159.58697532246367</x:v>
      </x:c>
      <x:c r="E144" s="39" t="n">
        <x:f aca="0">E29/E103</x:f>
        <x:v>146.51786922779672</x:v>
      </x:c>
      <x:c r="F144" s="39" t="n">
        <x:f aca="0">F29/F103</x:f>
        <x:v>173.12082034314415</x:v>
      </x:c>
      <x:c r="G144" s="39" t="n">
        <x:f aca="0">G29/G103</x:f>
        <x:v>216.07703932560804</x:v>
      </x:c>
    </x:row>
    <x:row r="145" ht="15" hidden="0">
      <x:c r="A145" s="33" t="s">
        <x:v>225</x:v>
      </x:c>
      <x:c r="B145" s="34" t="s">
        <x:v>226</x:v>
      </x:c>
      <x:c r="C145" s="35" t="n">
        <x:f aca="0">C105/C144</x:f>
        <x:v>0.7031096868032638</x:v>
      </x:c>
      <x:c r="D145" s="35" t="n">
        <x:f aca="0">D105/D144</x:f>
        <x:v>0.3916359707533251</x:v>
      </x:c>
      <x:c r="E145" s="35" t="n">
        <x:f aca="0">E105/E144</x:f>
        <x:v>0.35012794187063967</x:v>
      </x:c>
      <x:c r="F145" s="35" t="n">
        <x:f aca="0">F105/F144</x:f>
        <x:v>0.5214277509838222</x:v>
      </x:c>
      <x:c r="G145" s="35" t="n">
        <x:f aca="0">G105/G144</x:f>
        <x:v>0.7662082029480072</x:v>
      </x:c>
    </x:row>
    <x:row r="146" ht="15" hidden="0">
      <x:c r="A146" s="33" t="s">
        <x:v>227</x:v>
      </x:c>
      <x:c r="B146" s="34" t="s">
        <x:v>228</x:v>
      </x:c>
      <x:c r="C146" s="39" t="n">
        <x:f aca="0">C79/C104</x:f>
        <x:v>8.493747127465003</x:v>
      </x:c>
      <x:c r="D146" s="39" t="n">
        <x:f aca="0">D79/D104</x:f>
        <x:v>6.783844570781772</x:v>
      </x:c>
      <x:c r="E146" s="39" t="n">
        <x:f aca="0">E79/E104</x:f>
        <x:v>-8.299058065756444</x:v>
      </x:c>
      <x:c r="F146" s="39" t="n">
        <x:f aca="0">F79/F104</x:f>
        <x:v>1.2380103440270365</x:v>
      </x:c>
      <x:c r="G146" s="39" t="n">
        <x:f aca="0">G79/G104</x:f>
        <x:v>19.800685803443983</x:v>
      </x:c>
    </x:row>
    <x:row r="147" ht="15" hidden="0">
      <x:c r="A147" s="33" t="s">
        <x:v>229</x:v>
      </x:c>
      <x:c r="B147" s="34" t="s">
        <x:v>230</x:v>
      </x:c>
      <x:c r="C147" s="35" t="n">
        <x:f aca="0">IF(C146&lt;=0,"n/m",C105/C146)</x:f>
        <x:v>13.883154069739035</x:v>
      </x:c>
      <x:c r="D147" s="35" t="n">
        <x:f aca="0">IF(D146&lt;=0,"n/m",D105/D146)</x:f>
        <x:v>9.213064855464028</x:v>
      </x:c>
      <x:c r="E147" s="35" t="str">
        <x:f aca="0">IF(E146&lt;=0,"n/m",E105/E146)</x:f>
        <x:v>n/m</x:v>
      </x:c>
      <x:c r="F147" s="35" t="n">
        <x:f aca="0">IF(F146&lt;=0,"n/m",F105/F146)</x:f>
        <x:v>72.91538429829842</x:v>
      </x:c>
      <x:c r="G147" s="35" t="n">
        <x:f aca="0">IF(G146&lt;=0,"n/m",G105/G146)</x:f>
        <x:v>8.361326554214791</x:v>
      </x:c>
    </x:row>
    <x:row r="148" ht="15" hidden="0">
      <x:c r="A148" s="33" t="s">
        <x:v>231</x:v>
      </x:c>
      <x:c r="B148" s="34" t="s">
        <x:v>232</x:v>
      </x:c>
      <x:c r="C148" s="38" t="n">
        <x:f aca="0">C106/C105</x:f>
        <x:v>0.008480325644504749</x:v>
      </x:c>
      <x:c r="D148" s="38" t="n">
        <x:f aca="0">D106/D105</x:f>
        <x:v>0.016</x:v>
      </x:c>
      <x:c r="E148" s="38" t="n">
        <x:f aca="0">E106/E105</x:f>
        <x:v>0</x:v>
      </x:c>
      <x:c r="F148" s="38" t="n">
        <x:f aca="0">F106/F105</x:f>
        <x:v>0</x:v>
      </x:c>
      <x:c r="G148" s="38" t="n">
        <x:f aca="0">G106/G105</x:f>
        <x:v>0.012080212611741966</x:v>
      </x:c>
    </x:row>
    <x:row r="149" ht="15" hidden="0">
      <x:c r="A149" s="33" t="s">
        <x:v>233</x:v>
      </x:c>
      <x:c r="B149" s="34" t="s">
        <x:v>234</x:v>
      </x:c>
      <x:c r="C149" s="38" t="n">
        <x:f aca="0">IF(C146&lt;=0,"n/m",C106/C146)</x:f>
        <x:v>0.11773366748421842</x:v>
      </x:c>
      <x:c r="D149" s="38" t="n">
        <x:f aca="0">IF(D146&lt;=0,"n/m",D106/D146)</x:f>
        <x:v>0.14740903768742444</x:v>
      </x:c>
      <x:c r="E149" s="38" t="str">
        <x:f aca="0">IF(E146&lt;=0,"n/m",E106/E146)</x:f>
        <x:v>n/m</x:v>
      </x:c>
      <x:c r="F149" s="38" t="n">
        <x:f aca="0">IF(F146&lt;=0,"n/m",F106/F146)</x:f>
        <x:v>0</x:v>
      </x:c>
      <x:c r="G149" s="38" t="n">
        <x:f aca="0">IF(G146&lt;=0,"n/m",G106/G146)</x:f>
        <x:v>0.10100660249111851</x:v>
      </x:c>
    </x:row>
    <x:row r="150" ht="15" hidden="0">
      <x:c r="A150" s="20" t="s">
        <x:v>235</x:v>
      </x:c>
      <x:c r="B150" s="21"/>
      <x:c r="C150" s="21"/>
      <x:c r="D150" s="21"/>
      <x:c r="E150" s="21"/>
      <x:c r="F150" s="21"/>
      <x:c r="G150" s="21"/>
    </x:row>
    <x:row r="151" ht="15" hidden="0">
      <x:c r="A151" s="33" t="s">
        <x:v>236</x:v>
      </x:c>
      <x:c r="B151" s="34" t="s">
        <x:v>237</x:v>
      </x:c>
      <x:c r="C151" s="35" t="n">
        <x:f aca="0">C93/AVERAGE(H48,C48)</x:f>
        <x:v>0.1581418796924945</x:v>
      </x:c>
      <x:c r="D151" s="35" t="n">
        <x:f aca="0">D93/AVERAGE(C48,D48)</x:f>
        <x:v>-0.09104588620249932</x:v>
      </x:c>
      <x:c r="E151" s="35" t="n">
        <x:f aca="0">E93/AVERAGE(D48,E48)</x:f>
        <x:v>0.13727106602143005</x:v>
      </x:c>
      <x:c r="F151" s="35" t="n">
        <x:f aca="0">F93/AVERAGE(E48,F48)</x:f>
        <x:v>0.14905890442807204</x:v>
      </x:c>
      <x:c r="G151" s="35" t="n">
        <x:f aca="0">G93/AVERAGE(F48,G48)</x:f>
        <x:v>0.34519134637939236</x:v>
      </x:c>
    </x:row>
    <x:row r="153" ht="19.5" hidden="0" customHeight="1">
      <x:c r="A153" s="5" t="s">
        <x:v>238</x:v>
      </x:c>
      <x:c r="B153" s="6"/>
      <x:c r="C153" s="6"/>
      <x:c r="D153" s="6"/>
      <x:c r="E153" s="6"/>
      <x:c r="F153" s="6"/>
      <x:c r="G153" s="6"/>
    </x:row>
    <x:row r="154" ht="15" hidden="0">
      <x:c r="A154" s="40" t="s">
        <x:v>239</x:v>
      </x:c>
      <x:c r="B154" s="40"/>
      <x:c r="C154" s="41" t="s">
        <x:v>48</x:v>
      </x:c>
      <x:c r="D154" s="41" t="s">
        <x:v>49</x:v>
      </x:c>
      <x:c r="E154" s="41" t="s">
        <x:v>50</x:v>
      </x:c>
      <x:c r="F154" s="41" t="s">
        <x:v>51</x:v>
      </x:c>
      <x:c r="G154" s="41" t="s">
        <x:v>52</x:v>
      </x:c>
    </x:row>
    <x:row r="155" ht="15" hidden="0">
      <x:c r="A155" s="33" t="s">
        <x:v>66</x:v>
      </x:c>
      <x:c r="B155" s="33"/>
      <x:c r="C155" s="42" t="n">
        <x:f aca="0">C9/C25</x:f>
        <x:v>0.6165582205093789</x:v>
      </x:c>
      <x:c r="D155" s="42" t="n">
        <x:f aca="0">D9/D25</x:f>
        <x:v>0.6063462172309952</x:v>
      </x:c>
      <x:c r="E155" s="42" t="n">
        <x:f aca="0">E9/E25</x:f>
        <x:v>0.6105238167582232</x:v>
      </x:c>
      <x:c r="F155" s="42" t="n">
        <x:f aca="0">F9/F25</x:f>
        <x:v>0.5772114303037291</x:v>
      </x:c>
      <x:c r="G155" s="42" t="n">
        <x:f aca="0">G9/G25</x:f>
        <x:v>0.5294018433607002</x:v>
      </x:c>
    </x:row>
    <x:row r="156" ht="15" hidden="0">
      <x:c r="A156" s="33" t="s">
        <x:v>73</x:v>
      </x:c>
      <x:c r="B156" s="33"/>
      <x:c r="C156" s="42" t="n">
        <x:f aca="0">C16/C25</x:f>
        <x:v>0.7327579319457078</x:v>
      </x:c>
      <x:c r="D156" s="42" t="n">
        <x:f aca="0">D16/D25</x:f>
        <x:v>0.7011382440591294</x:v>
      </x:c>
      <x:c r="E156" s="42" t="n">
        <x:f aca="0">E16/E25</x:f>
        <x:v>0.710298245783596</x:v>
      </x:c>
      <x:c r="F156" s="42" t="n">
        <x:f aca="0">F16/F25</x:f>
        <x:v>0.6981588075893996</x:v>
      </x:c>
      <x:c r="G156" s="42" t="n">
        <x:f aca="0">G16/G25</x:f>
        <x:v>0.671692354597576</x:v>
      </x:c>
    </x:row>
    <x:row r="157" ht="15" hidden="0">
      <x:c r="A157" s="33" t="s">
        <x:v>240</x:v>
      </x:c>
      <x:c r="B157" s="33"/>
      <x:c r="C157" s="42" t="n">
        <x:f aca="0">C54/C25</x:f>
        <x:v>0.11318736209268437</x:v>
      </x:c>
      <x:c r="D157" s="42" t="n">
        <x:f aca="0">D54/D25</x:f>
        <x:v>0.16692341815435893</x:v>
      </x:c>
      <x:c r="E157" s="42" t="n">
        <x:f aca="0">E54/E25</x:f>
        <x:v>0.16869294093363668</x:v>
      </x:c>
      <x:c r="F157" s="42" t="n">
        <x:f aca="0">F54/F25</x:f>
        <x:v>0.14635062074380864</x:v>
      </x:c>
      <x:c r="G157" s="42" t="n">
        <x:f aca="0">G54/G25</x:f>
        <x:v>0.14045204348681356</x:v>
      </x:c>
    </x:row>
    <x:row r="158" ht="15" hidden="0">
      <x:c r="A158" s="33" t="s">
        <x:v>77</x:v>
      </x:c>
      <x:c r="B158" s="33"/>
      <x:c r="C158" s="42" t="n">
        <x:f aca="0">C20/C25</x:f>
        <x:v>0.012155978703082394</x:v>
      </x:c>
      <x:c r="D158" s="42" t="n">
        <x:f aca="0">D20/D25</x:f>
        <x:v>0.010748684555492017</x:v>
      </x:c>
      <x:c r="E158" s="42" t="n">
        <x:f aca="0">E20/E25</x:f>
        <x:v>0.008859113446996091</x:v>
      </x:c>
      <x:c r="F158" s="42" t="n">
        <x:f aca="0">F20/F25</x:f>
        <x:v>0.00618374345093354</x:v>
      </x:c>
      <x:c r="G158" s="42" t="n">
        <x:f aca="0">G20/G25</x:f>
        <x:v>0.010231885060079294</x:v>
      </x:c>
    </x:row>
    <x:row r="159" ht="15" hidden="0">
      <x:c r="A159" s="33" t="s">
        <x:v>78</x:v>
      </x:c>
      <x:c r="B159" s="33"/>
      <x:c r="C159" s="42" t="n">
        <x:f aca="0">C21/C25</x:f>
        <x:v>0.09388893323432154</x:v>
      </x:c>
      <x:c r="D159" s="42" t="n">
        <x:f aca="0">D21/D25</x:f>
        <x:v>0.07295162674557236</x:v>
      </x:c>
      <x:c r="E159" s="42" t="n">
        <x:f aca="0">E21/E25</x:f>
        <x:v>0.06881949418280697</x:v>
      </x:c>
      <x:c r="F159" s="42" t="n">
        <x:f aca="0">F21/F25</x:f>
        <x:v>0.13285241774236387</x:v>
      </x:c>
      <x:c r="G159" s="42" t="n">
        <x:f aca="0">G21/G25</x:f>
        <x:v>0.16450386051364257</x:v>
      </x:c>
    </x:row>
    <x:row r="160" ht="15" hidden="0">
      <x:c r="A160" s="33" t="s">
        <x:v>79</x:v>
      </x:c>
      <x:c r="B160" s="33"/>
      <x:c r="C160" s="42" t="n">
        <x:f aca="0">C22/C25</x:f>
        <x:v>0.005847744819367492</x:v>
      </x:c>
      <x:c r="D160" s="42" t="n">
        <x:f aca="0">D22/D25</x:f>
        <x:v>0.0030081791486187303</x:v>
      </x:c>
      <x:c r="E160" s="42" t="n">
        <x:f aca="0">E22/E25</x:f>
        <x:v>0.005010434979174357</x:v>
      </x:c>
      <x:c r="F160" s="42" t="n">
        <x:f aca="0">F22/F25</x:f>
        <x:v>0.0052907758120825064</x:v>
      </x:c>
      <x:c r="G160" s="42" t="n">
        <x:f aca="0">G22/G25</x:f>
        <x:v>0.00389813247950212</x:v>
      </x:c>
    </x:row>
    <x:row r="161" ht="15" hidden="0">
      <x:c r="A161" s="33" t="s">
        <x:v>81</x:v>
      </x:c>
      <x:c r="B161" s="33"/>
      <x:c r="C161" s="42" t="n">
        <x:f aca="0">C24/C25</x:f>
        <x:v>0.2672420680542922</x:v>
      </x:c>
      <x:c r="D161" s="42" t="n">
        <x:f aca="0">D24/D25</x:f>
        <x:v>0.2988617559408706</x:v>
      </x:c>
      <x:c r="E161" s="42" t="n">
        <x:f aca="0">E24/E25</x:f>
        <x:v>0.28970175421640393</x:v>
      </x:c>
      <x:c r="F161" s="42" t="n">
        <x:f aca="0">F24/F25</x:f>
        <x:v>0.3018411924106002</x:v>
      </x:c>
      <x:c r="G161" s="42" t="n">
        <x:f aca="0">G24/G25</x:f>
        <x:v>0.32830764540242413</x:v>
      </x:c>
    </x:row>
    <x:row r="162" ht="15" hidden="0">
      <x:c r="A162" s="33" t="s">
        <x:v>86</x:v>
      </x:c>
      <x:c r="B162" s="33"/>
      <x:c r="C162" s="42" t="n">
        <x:f aca="0">C29/C25</x:f>
        <x:v>0.5328549581569478</x:v>
      </x:c>
      <x:c r="D162" s="42" t="n">
        <x:f aca="0">D29/D25</x:f>
        <x:v>0.5119879274187324</x:v>
      </x:c>
      <x:c r="E162" s="42" t="n">
        <x:f aca="0">E29/E25</x:f>
        <x:v>0.47651047758077314</x:v>
      </x:c>
      <x:c r="F162" s="42" t="n">
        <x:f aca="0">F29/F25</x:f>
        <x:v>0.5480877605363915</x:v>
      </x:c>
      <x:c r="G162" s="42" t="n">
        <x:f aca="0">G29/G25</x:f>
        <x:v>0.6487440417282297</x:v>
      </x:c>
    </x:row>
    <x:row r="163" ht="15" hidden="0">
      <x:c r="A163" s="33" t="s">
        <x:v>93</x:v>
      </x:c>
      <x:c r="B163" s="33"/>
      <x:c r="C163" s="42" t="n">
        <x:f aca="0">C36/C25</x:f>
        <x:v>0.1749255375643633</x:v>
      </x:c>
      <x:c r="D163" s="42" t="n">
        <x:f aca="0">D36/D25</x:f>
        <x:v>0.1505168205158194</x:v>
      </x:c>
      <x:c r="E163" s="42" t="n">
        <x:f aca="0">E36/E25</x:f>
        <x:v>0.16216063639885053</x:v>
      </x:c>
      <x:c r="F163" s="42" t="n">
        <x:f aca="0">F36/F25</x:f>
        <x:v>0.21904349345092264</x:v>
      </x:c>
      <x:c r="G163" s="42" t="n">
        <x:f aca="0">G36/G25</x:f>
        <x:v>0.17369175860336017</x:v>
      </x:c>
    </x:row>
    <x:row r="164" ht="15" hidden="0">
      <x:c r="A164" s="33" t="s">
        <x:v>105</x:v>
      </x:c>
      <x:c r="B164" s="33"/>
      <x:c r="C164" s="42" t="n">
        <x:f aca="0">C48/C25</x:f>
        <x:v>0.29221950427868876</x:v>
      </x:c>
      <x:c r="D164" s="42" t="n">
        <x:f aca="0">D48/D25</x:f>
        <x:v>0.3374952520654481</x:v>
      </x:c>
      <x:c r="E164" s="42" t="n">
        <x:f aca="0">E48/E25</x:f>
        <x:v>0.3613288860203762</x:v>
      </x:c>
      <x:c r="F164" s="42" t="n">
        <x:f aca="0">F48/F25</x:f>
        <x:v>0.23286874601268565</x:v>
      </x:c>
      <x:c r="G164" s="42" t="n">
        <x:f aca="0">G48/G25</x:f>
        <x:v>0.17756419966841014</x:v>
      </x:c>
    </x:row>
    <x:row r="165" ht="15" hidden="0">
      <x:c r="A165" s="33" t="s">
        <x:v>112</x:v>
      </x:c>
      <x:c r="B165" s="33"/>
      <x:c r="C165" s="42" t="n">
        <x:f aca="0">C55/C25</x:f>
        <x:v>0.31758158908750495</x:v>
      </x:c>
      <x:c r="D165" s="42" t="n">
        <x:f aca="0">D55/D25</x:f>
        <x:v>0.34032817749984395</x:v>
      </x:c>
      <x:c r="E165" s="42" t="n">
        <x:f aca="0">E55/E25</x:f>
        <x:v>0.3156948164877674</x:v>
      </x:c>
      <x:c r="F165" s="42" t="n">
        <x:f aca="0">F55/F25</x:f>
        <x:v>0.2480154568511438</x:v>
      </x:c>
      <x:c r="G165" s="42" t="n">
        <x:f aca="0">G55/G25</x:f>
        <x:v>0.15012653655508287</x:v>
      </x:c>
    </x:row>
    <x:row r="166" ht="15" hidden="0">
      <x:c r="A166" s="40" t="s">
        <x:v>241</x:v>
      </x:c>
      <x:c r="B166" s="40"/>
      <x:c r="C166" s="41" t="s">
        <x:v>48</x:v>
      </x:c>
      <x:c r="D166" s="41" t="s">
        <x:v>49</x:v>
      </x:c>
      <x:c r="E166" s="41" t="s">
        <x:v>50</x:v>
      </x:c>
      <x:c r="F166" s="41" t="s">
        <x:v>51</x:v>
      </x:c>
      <x:c r="G166" s="41" t="s">
        <x:v>52</x:v>
      </x:c>
    </x:row>
    <x:row r="167" ht="15" hidden="0">
      <x:c r="A167" s="33" t="s">
        <x:v>120</x:v>
      </x:c>
      <x:c r="B167" s="33"/>
      <x:c r="C167" s="42" t="n">
        <x:f aca="0">C65/C64</x:f>
        <x:v>-0.8210528626050236</x:v>
      </x:c>
      <x:c r="D167" s="42" t="n">
        <x:f aca="0">D65/D64</x:f>
        <x:v>-0.8203373886400359</x:v>
      </x:c>
      <x:c r="E167" s="42" t="n">
        <x:f aca="0">E65/E64</x:f>
        <x:v>-0.852951475414165</x:v>
      </x:c>
      <x:c r="F167" s="42" t="n">
        <x:f aca="0">F65/F64</x:f>
        <x:v>-0.8405743639156738</x:v>
      </x:c>
      <x:c r="G167" s="42" t="n">
        <x:f aca="0">G65/G64</x:f>
        <x:v>-0.7425936745269908</x:v>
      </x:c>
    </x:row>
    <x:row r="168" ht="15" hidden="0">
      <x:c r="A168" s="33" t="s">
        <x:v>121</x:v>
      </x:c>
      <x:c r="B168" s="33"/>
      <x:c r="C168" s="42" t="n">
        <x:f aca="0">C66/C64</x:f>
        <x:v>0.1789471373949763</x:v>
      </x:c>
      <x:c r="D168" s="42" t="n">
        <x:f aca="0">D66/D64</x:f>
        <x:v>0.1796626113599641</x:v>
      </x:c>
      <x:c r="E168" s="42" t="n">
        <x:f aca="0">E66/E64</x:f>
        <x:v>0.147048524585835</x:v>
      </x:c>
      <x:c r="F168" s="42" t="n">
        <x:f aca="0">F66/F64</x:f>
        <x:v>0.1594256360843263</x:v>
      </x:c>
      <x:c r="G168" s="42" t="n">
        <x:f aca="0">G66/G64</x:f>
        <x:v>0.25740632547300923</x:v>
      </x:c>
    </x:row>
    <x:row r="169" ht="15" hidden="0">
      <x:c r="A169" s="33" t="s">
        <x:v>242</x:v>
      </x:c>
      <x:c r="B169" s="33"/>
      <x:c r="C169" s="42" t="n">
        <x:f aca="0">(C67+C68+C69+C70)/C64</x:f>
        <x:v>-0.06443313767563802</x:v>
      </x:c>
      <x:c r="D169" s="42" t="n">
        <x:f aca="0">(D67+D68+D69+D70)/D64</x:f>
        <x:v>-0.061190000396768904</x:v>
      </x:c>
      <x:c r="E169" s="42" t="n">
        <x:f aca="0">(E67+E68+E69+E70)/E64</x:f>
        <x:v>-0.04459477690608559</x:v>
      </x:c>
      <x:c r="F169" s="42" t="n">
        <x:f aca="0">(F67+F68+F69+F70)/F64</x:f>
        <x:v>-0.05940520715061439</x:v>
      </x:c>
      <x:c r="G169" s="42" t="n">
        <x:f aca="0">(G67+G68+G69+G70)/G64</x:f>
        <x:v>-0.08209752523745864</x:v>
      </x:c>
    </x:row>
    <x:row r="170" ht="15" hidden="0">
      <x:c r="A170" s="33" t="s">
        <x:v>126</x:v>
      </x:c>
      <x:c r="B170" s="33"/>
      <x:c r="C170" s="42" t="n">
        <x:f aca="0">C71/C64</x:f>
        <x:v>0.11451399971933833</x:v>
      </x:c>
      <x:c r="D170" s="42" t="n">
        <x:f aca="0">D71/D64</x:f>
        <x:v>0.11847261096319517</x:v>
      </x:c>
      <x:c r="E170" s="42" t="n">
        <x:f aca="0">E71/E64</x:f>
        <x:v>0.10245374767974941</x:v>
      </x:c>
      <x:c r="F170" s="42" t="n">
        <x:f aca="0">F71/F64</x:f>
        <x:v>0.1000204289337119</x:v>
      </x:c>
      <x:c r="G170" s="42" t="n">
        <x:f aca="0">G71/G64</x:f>
        <x:v>0.17530880023555062</x:v>
      </x:c>
    </x:row>
    <x:row r="171" ht="15" hidden="0">
      <x:c r="A171" s="33" t="s">
        <x:v>127</x:v>
      </x:c>
      <x:c r="B171" s="33"/>
      <x:c r="C171" s="42" t="n">
        <x:f aca="0">(C72+C73+C74)/C64</x:f>
        <x:v>0.0560174551168548</x:v>
      </x:c>
      <x:c r="D171" s="42" t="n">
        <x:f aca="0">(D72+D73+D74)/D64</x:f>
        <x:v>0.04676360014149989</x:v>
      </x:c>
      <x:c r="E171" s="42" t="n">
        <x:f aca="0">(E72+E73+E74)/E64</x:f>
        <x:v>0.04996626775763154</x:v>
      </x:c>
      <x:c r="F171" s="42" t="n">
        <x:f aca="0">(F72+F73+F74)/F64</x:f>
        <x:v>0.06412600044195305</x:v>
      </x:c>
      <x:c r="G171" s="42" t="n">
        <x:f aca="0">(G72+G73+G74)/G64</x:f>
        <x:v>0.05941579409364524</x:v>
      </x:c>
    </x:row>
    <x:row r="172" ht="15" hidden="0">
      <x:c r="A172" s="33" t="s">
        <x:v>130</x:v>
      </x:c>
      <x:c r="B172" s="33"/>
      <x:c r="C172" s="42" t="n">
        <x:f aca="0">C75/C64</x:f>
        <x:v>-0.06475337132094328</x:v>
      </x:c>
      <x:c r="D172" s="42" t="n">
        <x:f aca="0">D75/D64</x:f>
        <x:v>-0.06152566034414353</x:v>
      </x:c>
      <x:c r="E172" s="42" t="n">
        <x:f aca="0">E75/E64</x:f>
        <x:v>-0.10375339424870077</x:v>
      </x:c>
      <x:c r="F172" s="42" t="n">
        <x:f aca="0">F75/F64</x:f>
        <x:v>-0.12115784127695206</x:v>
      </x:c>
      <x:c r="G172" s="42" t="n">
        <x:f aca="0">G75/G64</x:f>
        <x:v>-0.05383575278855667</x:v>
      </x:c>
    </x:row>
    <x:row r="173" ht="15" hidden="0">
      <x:c r="A173" s="33" t="s">
        <x:v>131</x:v>
      </x:c>
      <x:c r="B173" s="33"/>
      <x:c r="C173" s="42" t="n">
        <x:f aca="0">C76/C64</x:f>
        <x:v>0.10577808351524985</x:v>
      </x:c>
      <x:c r="D173" s="42" t="n">
        <x:f aca="0">D76/D64</x:f>
        <x:v>0.10371055076055154</x:v>
      </x:c>
      <x:c r="E173" s="42" t="n">
        <x:f aca="0">E76/E64</x:f>
        <x:v>0.04866662118868018</x:v>
      </x:c>
      <x:c r="F173" s="42" t="n">
        <x:f aca="0">F76/F64</x:f>
        <x:v>0.042988588098712886</x:v>
      </x:c>
      <x:c r="G173" s="42" t="n">
        <x:f aca="0">G76/G64</x:f>
        <x:v>0.18088884154063914</x:v>
      </x:c>
    </x:row>
    <x:row r="174" ht="15" hidden="0">
      <x:c r="A174" s="33" t="s">
        <x:v>243</x:v>
      </x:c>
      <x:c r="B174" s="33"/>
      <x:c r="C174" s="42" t="n">
        <x:f aca="0">(C77+C78)/C64</x:f>
        <x:v>-0.023280553714898723</x:v>
      </x:c>
      <x:c r="D174" s="42" t="n">
        <x:f aca="0">(D77+D78)/D64</x:f>
        <x:v>-0.05250561975862978</x:v>
      </x:c>
      <x:c r="E174" s="42" t="n">
        <x:f aca="0">(E77+E78)/E64</x:f>
        <x:v>-0.10461864038435044</x:v>
      </x:c>
      <x:c r="F174" s="42" t="n">
        <x:f aca="0">(F77+F78)/F64</x:f>
        <x:v>-0.03477528150202982</x:v>
      </x:c>
      <x:c r="G174" s="42" t="n">
        <x:f aca="0">(G77+G78)/G64</x:f>
        <x:v>-0.06022231394206908</x:v>
      </x:c>
    </x:row>
    <x:row r="175" ht="15" hidden="0">
      <x:c r="A175" s="33" t="s">
        <x:v>134</x:v>
      </x:c>
      <x:c r="B175" s="33"/>
      <x:c r="C175" s="42" t="n">
        <x:f aca="0">C79/C64</x:f>
        <x:v>0.08249752980035112</x:v>
      </x:c>
      <x:c r="D175" s="42" t="n">
        <x:f aca="0">D79/D64</x:f>
        <x:v>0.05120493100192175</x:v>
      </x:c>
      <x:c r="E175" s="42" t="n">
        <x:f aca="0">E79/E64</x:f>
        <x:v>-0.05595201919567025</x:v>
      </x:c>
      <x:c r="F175" s="42" t="n">
        <x:f aca="0">F79/F64</x:f>
        <x:v>0.008213306596683071</x:v>
      </x:c>
      <x:c r="G175" s="42" t="n">
        <x:f aca="0">G79/G64</x:f>
        <x:v>0.12066652759857006</x:v>
      </x:c>
    </x:row>
    <x:row r="176" ht="15" hidden="0">
      <x:c r="A176" s="33" t="s">
        <x:v>138</x:v>
      </x:c>
      <x:c r="B176" s="33"/>
      <x:c r="C176" s="42" t="n">
        <x:f aca="0">C83/C64</x:f>
        <x:v>0.24991497015253938</x:v>
      </x:c>
      <x:c r="D176" s="42" t="n">
        <x:f aca="0">D83/D64</x:f>
        <x:v>0.23265570728812449</x:v>
      </x:c>
      <x:c r="E176" s="42" t="n">
        <x:f aca="0">E83/E64</x:f>
        <x:v>0.2131140149484285</x:v>
      </x:c>
      <x:c r="F176" s="42" t="n">
        <x:f aca="0">F83/F64</x:f>
        <x:v>0.2224978603073117</x:v>
      </x:c>
      <x:c r="G176" s="42" t="n">
        <x:f aca="0">G83/G64</x:f>
        <x:v>0.2880345228273576</x:v>
      </x:c>
    </x:row>
    <x:row r="178" ht="19.5" hidden="0" customHeight="1">
      <x:c r="A178" s="5" t="s">
        <x:v>244</x:v>
      </x:c>
      <x:c r="B178" s="6"/>
      <x:c r="C178" s="6"/>
      <x:c r="D178" s="6"/>
      <x:c r="E178" s="6"/>
      <x:c r="F178" s="6"/>
      <x:c r="G178" s="6"/>
    </x:row>
    <x:row r="179" ht="15" hidden="0">
      <x:c r="A179" s="40" t="s">
        <x:v>245</x:v>
      </x:c>
      <x:c r="B179" s="40"/>
      <x:c r="C179" s="41" t="s">
        <x:v>48</x:v>
      </x:c>
      <x:c r="D179" s="41" t="s">
        <x:v>49</x:v>
      </x:c>
      <x:c r="E179" s="41" t="s">
        <x:v>50</x:v>
      </x:c>
      <x:c r="F179" s="41" t="s">
        <x:v>51</x:v>
      </x:c>
      <x:c r="G179" s="41" t="s">
        <x:v>52</x:v>
      </x:c>
    </x:row>
    <x:row r="180" ht="15" hidden="0">
      <x:c r="A180" s="33" t="s">
        <x:v>119</x:v>
      </x:c>
      <x:c r="B180" s="33"/>
      <x:c r="C180" s="38" t="n">
        <x:f aca="0">IF(H64&lt;=0,"n/m",C64/H64-1)</x:f>
        <x:v>0.18601064692976577</x:v>
      </x:c>
      <x:c r="D180" s="38" t="n">
        <x:f aca="0">IF(C64&lt;=0,"n/m",D64/C64-1)</x:f>
        <x:v>0.28678420464448506</x:v>
      </x:c>
      <x:c r="E180" s="38" t="n">
        <x:f aca="0">IF(D64&lt;=0,"n/m",E64/D64-1)</x:f>
        <x:v>0.1195640269497571</x:v>
      </x:c>
      <x:c r="F180" s="38" t="n">
        <x:f aca="0">IF(E64&lt;=0,"n/m",F64/E64-1)</x:f>
        <x:v>0.01623277892508046</x:v>
      </x:c>
      <x:c r="G180" s="38" t="n">
        <x:f aca="0">IF(F64&lt;=0,"n/m",G64/F64-1)</x:f>
        <x:v>0.08864724737342988</x:v>
      </x:c>
    </x:row>
    <x:row r="181" ht="15" hidden="0">
      <x:c r="A181" s="33" t="s">
        <x:v>121</x:v>
      </x:c>
      <x:c r="B181" s="33"/>
      <x:c r="C181" s="38" t="n">
        <x:f aca="0">IF(H66&lt;=0,"n/m",C66/H66-1)</x:f>
        <x:v>4.08976698492848</x:v>
      </x:c>
      <x:c r="D181" s="38" t="n">
        <x:f aca="0">IF(C66&lt;=0,"n/m",D66/C66-1)</x:f>
        <x:v>0.2919290793286131</x:v>
      </x:c>
      <x:c r="E181" s="38" t="n">
        <x:f aca="0">IF(D66&lt;=0,"n/m",E66/D66-1)</x:f>
        <x:v>-0.08367001294169152</x:v>
      </x:c>
      <x:c r="F181" s="38" t="n">
        <x:f aca="0">IF(E66&lt;=0,"n/m",F66/E66-1)</x:f>
        <x:v>0.10176934890158051</x:v>
      </x:c>
      <x:c r="G181" s="38" t="n">
        <x:f aca="0">IF(F66&lt;=0,"n/m",G66/F66-1)</x:f>
        <x:v>0.7577140952066153</x:v>
      </x:c>
    </x:row>
    <x:row r="182" ht="15" hidden="0">
      <x:c r="A182" s="33" t="s">
        <x:v>126</x:v>
      </x:c>
      <x:c r="B182" s="33"/>
      <x:c r="C182" s="38" t="str">
        <x:f aca="0">IF(H71&lt;=0,"n/m",C71/H71-1)</x:f>
        <x:v>n/m</x:v>
      </x:c>
      <x:c r="D182" s="38" t="n">
        <x:f aca="0">IF(C71&lt;=0,"n/m",D71/C71-1)</x:f>
        <x:v>0.33126678697858924</x:v>
      </x:c>
      <x:c r="E182" s="38" t="n">
        <x:f aca="0">IF(D71&lt;=0,"n/m",E71/D71-1)</x:f>
        <x:v>-0.031813940826639686</x:v>
      </x:c>
      <x:c r="F182" s="38" t="n">
        <x:f aca="0">IF(E71&lt;=0,"n/m",F71/E71-1)</x:f>
        <x:v>-0.007903168537044092</x:v>
      </x:c>
      <x:c r="G182" s="38" t="n">
        <x:f aca="0">IF(F71&lt;=0,"n/m",G71/F71-1)</x:f>
        <x:v>0.9081046227391736</x:v>
      </x:c>
    </x:row>
    <x:row r="183" ht="15" hidden="0">
      <x:c r="A183" s="33" t="s">
        <x:v>138</x:v>
      </x:c>
      <x:c r="B183" s="33"/>
      <x:c r="C183" s="38" t="n">
        <x:f aca="0">IF(H83&lt;=0,"n/m",C83/H83-1)</x:f>
        <x:v>1.456974829769769</x:v>
      </x:c>
      <x:c r="D183" s="38" t="n">
        <x:f aca="0">IF(C83&lt;=0,"n/m",D83/C83-1)</x:f>
        <x:v>0.19791819223962337</x:v>
      </x:c>
      <x:c r="E183" s="38" t="n">
        <x:f aca="0">IF(D83&lt;=0,"n/m",E83/D83-1)</x:f>
        <x:v>0.02552732342651609</x:v>
      </x:c>
      <x:c r="F183" s="38" t="n">
        <x:f aca="0">IF(E83&lt;=0,"n/m",F83/E83-1)</x:f>
        <x:v>0.06097958381432589</x:v>
      </x:c>
      <x:c r="G183" s="38" t="n">
        <x:f aca="0">IF(F83&lt;=0,"n/m",G83/F83-1)</x:f>
        <x:v>0.409307891731747</x:v>
      </x:c>
    </x:row>
    <x:row r="184" ht="15" hidden="0">
      <x:c r="A184" s="33" t="s">
        <x:v>134</x:v>
      </x:c>
      <x:c r="B184" s="33"/>
      <x:c r="C184" s="38" t="str">
        <x:f aca="0">IF(H79&lt;=0,"n/m",C79/H79-1)</x:f>
        <x:v>n/m</x:v>
      </x:c>
      <x:c r="D184" s="38" t="n">
        <x:f aca="0">IF(C79&lt;=0,"n/m",D79/C79-1)</x:f>
        <x:v>-0.20131309903895833</x:v>
      </x:c>
      <x:c r="E184" s="38" t="n">
        <x:f aca="0">IF(D79&lt;=0,"n/m",E79/D79-1)</x:f>
        <x:v>-2.2233561631852155</x:v>
      </x:c>
      <x:c r="F184" s="38" t="str">
        <x:f aca="0">IF(E79&lt;=0,"n/m",F79/E79-1)</x:f>
        <x:v>n/m</x:v>
      </x:c>
      <x:c r="G184" s="38" t="n">
        <x:f aca="0">IF(F79&lt;=0,"n/m",G79/F79-1)</x:f>
        <x:v>14.993958288777888</x:v>
      </x:c>
    </x:row>
    <x:row r="185" ht="15" hidden="0">
      <x:c r="A185" s="33" t="s">
        <x:v>146</x:v>
      </x:c>
      <x:c r="B185" s="33"/>
      <x:c r="C185" s="38" t="str">
        <x:f aca="0">IF(H93&lt;=0,"n/m",C93/H93-1)</x:f>
        <x:v>n/m</x:v>
      </x:c>
      <x:c r="D185" s="38" t="n">
        <x:f aca="0">IF(C93&lt;=0,"n/m",D93/C93-1)</x:f>
        <x:v>-1.6382661466372568</x:v>
      </x:c>
      <x:c r="E185" s="38" t="str">
        <x:f aca="0">IF(D93&lt;=0,"n/m",E93/D93-1)</x:f>
        <x:v>n/m</x:v>
      </x:c>
      <x:c r="F185" s="38" t="n">
        <x:f aca="0">IF(E93&lt;=0,"n/m",F93/E93-1)</x:f>
        <x:v>-0.07298153787209993</x:v>
      </x:c>
      <x:c r="G185" s="38" t="n">
        <x:f aca="0">IF(F93&lt;=0,"n/m",G93/F93-1)</x:f>
        <x:v>0.664160728545852</x:v>
      </x:c>
    </x:row>
    <x:row r="186" ht="15" hidden="0">
      <x:c r="A186" s="33" t="s">
        <x:v>246</x:v>
      </x:c>
      <x:c r="B186" s="33"/>
      <x:c r="C186" s="38" t="n">
        <x:f aca="0">IF(H25&lt;=0,"n/m",C25/H25-1)</x:f>
        <x:v>0.06440034125724847</x:v>
      </x:c>
      <x:c r="D186" s="38" t="n">
        <x:f aca="0">IF(C25&lt;=0,"n/m",D25/C25-1)</x:f>
        <x:v>-0.009664505082454422</x:v>
      </x:c>
      <x:c r="E186" s="38" t="n">
        <x:f aca="0">IF(D25&lt;=0,"n/m",E25/D25-1)</x:f>
        <x:v>-0.01353787161880804</x:v>
      </x:c>
      <x:c r="F186" s="38" t="n">
        <x:f aca="0">IF(E25&lt;=0,"n/m",F25/E25-1)</x:f>
        <x:v>0.02726160857193749</x:v>
      </x:c>
      <x:c r="G186" s="38" t="n">
        <x:f aca="0">IF(F25&lt;=0,"n/m",G25/F25-1)</x:f>
        <x:v>0.05447440059473152</x:v>
      </x:c>
    </x:row>
    <x:row r="187" ht="15" hidden="0">
      <x:c r="A187" s="33" t="s">
        <x:v>86</x:v>
      </x:c>
      <x:c r="B187" s="33"/>
      <x:c r="C187" s="38" t="n">
        <x:f aca="0">IF(H29&lt;=0,"n/m",C29/H29-1)</x:f>
        <x:v>0.1025403622406087</x:v>
      </x:c>
      <x:c r="D187" s="38" t="n">
        <x:f aca="0">IF(C29&lt;=0,"n/m",D29/C29-1)</x:f>
        <x:v>-0.048446843310230414</x:v>
      </x:c>
      <x:c r="E187" s="38" t="n">
        <x:f aca="0">IF(D29&lt;=0,"n/m",E29/D29-1)</x:f>
        <x:v>-0.08189331283620938</x:v>
      </x:c>
      <x:c r="F187" s="38" t="n">
        <x:f aca="0">IF(E29&lt;=0,"n/m",F29/E29-1)</x:f>
        <x:v>0.18156796338600034</x:v>
      </x:c>
      <x:c r="G187" s="38" t="n">
        <x:f aca="0">IF(F29&lt;=0,"n/m",G29/F29-1)</x:f>
        <x:v>0.24812855494399844</x:v>
      </x:c>
    </x:row>
    <x:row r="188" ht="15" hidden="0">
      <x:c r="A188" s="33" t="s">
        <x:v>112</x:v>
      </x:c>
      <x:c r="B188" s="33"/>
      <x:c r="C188" s="38" t="n">
        <x:f aca="0">IF(H55&lt;=0,"n/m",C55/H55-1)</x:f>
        <x:v>-0.07763017299503516</x:v>
      </x:c>
      <x:c r="D188" s="38" t="n">
        <x:f aca="0">IF(C55&lt;=0,"n/m",D55/C55-1)</x:f>
        <x:v>0.06126767318941817</x:v>
      </x:c>
      <x:c r="E188" s="38" t="n">
        <x:f aca="0">IF(D55&lt;=0,"n/m",E55/D55-1)</x:f>
        <x:v>-0.08493918170623505</x:v>
      </x:c>
      <x:c r="F188" s="38" t="n">
        <x:f aca="0">IF(E55&lt;=0,"n/m",F55/E55-1)</x:f>
        <x:v>-0.19296502872582932</x:v>
      </x:c>
      <x:c r="G188" s="38" t="n">
        <x:f aca="0">IF(F55&lt;=0,"n/m",G55/F55-1)</x:f>
        <x:v>-0.3617148235148232</x:v>
      </x:c>
    </x:row>
    <x:row r="189" ht="15" hidden="0">
      <x:c r="A189" s="33" t="s">
        <x:v>240</x:v>
      </x:c>
      <x:c r="B189" s="33"/>
      <x:c r="C189" s="38" t="n">
        <x:f aca="0">IF(H54&lt;=0,"n/m",C54/H54-1)</x:f>
        <x:v>0.23961207165285314</x:v>
      </x:c>
      <x:c r="D189" s="38" t="n">
        <x:f aca="0">IF(C54&lt;=0,"n/m",D54/C54-1)</x:f>
        <x:v>0.4605003851566034</x:v>
      </x:c>
      <x:c r="E189" s="38" t="n">
        <x:f aca="0">IF(D54&lt;=0,"n/m",E54/D54-1)</x:f>
        <x:v>-0.003080577930685946</x:v>
      </x:c>
      <x:c r="F189" s="38" t="n">
        <x:f aca="0">IF(E54&lt;=0,"n/m",F54/E54-1)</x:f>
        <x:v>-0.10879273756967767</x:v>
      </x:c>
      <x:c r="G189" s="38" t="n">
        <x:f aca="0">IF(F54&lt;=0,"n/m",G54/F54-1)</x:f>
        <x:v>0.011974418798824216</x:v>
      </x:c>
    </x:row>
    <x:row r="190" ht="15" hidden="0">
      <x:c r="A190" s="33" t="s">
        <x:v>77</x:v>
      </x:c>
      <x:c r="B190" s="33"/>
      <x:c r="C190" s="38" t="n">
        <x:f aca="0">IF(H20&lt;=0,"n/m",C20/H20-1)</x:f>
        <x:v>-0.26676141384131113</x:v>
      </x:c>
      <x:c r="D190" s="38" t="n">
        <x:f aca="0">IF(C20&lt;=0,"n/m",D20/C20-1)</x:f>
        <x:v>-0.12431535962821649</x:v>
      </x:c>
      <x:c r="E190" s="38" t="n">
        <x:f aca="0">IF(D20&lt;=0,"n/m",E20/D20-1)</x:f>
        <x:v>-0.18695354195421643</x:v>
      </x:c>
      <x:c r="F190" s="38" t="n">
        <x:f aca="0">IF(E20&lt;=0,"n/m",F20/E20-1)</x:f>
        <x:v>-0.28296185815793007</x:v>
      </x:c>
      <x:c r="G190" s="38" t="n">
        <x:f aca="0">IF(F20&lt;=0,"n/m",G20/F20-1)</x:f>
        <x:v>0.7447782158641272</x:v>
      </x:c>
    </x:row>
    <x:row r="191" ht="15" hidden="0">
      <x:c r="A191" s="33" t="s">
        <x:v>79</x:v>
      </x:c>
      <x:c r="B191" s="33"/>
      <x:c r="C191" s="38" t="n">
        <x:f aca="0">IF(H22&lt;=0,"n/m",C22/H22-1)</x:f>
        <x:v>1.3182696343658185</x:v>
      </x:c>
      <x:c r="D191" s="38" t="n">
        <x:f aca="0">IF(C22&lt;=0,"n/m",D22/C22-1)</x:f>
        <x:v>-0.4905546192642859</x:v>
      </x:c>
      <x:c r="E191" s="38" t="n">
        <x:f aca="0">IF(D22&lt;=0,"n/m",E22/D22-1)</x:f>
        <x:v>0.6430551870361219</x:v>
      </x:c>
      <x:c r="F191" s="38" t="n">
        <x:f aca="0">IF(E22&lt;=0,"n/m",F22/E22-1)</x:f>
        <x:v>0.08473832988627672</x:v>
      </x:c>
      <x:c r="G191" s="38" t="n">
        <x:f aca="0">IF(F22&lt;=0,"n/m",G22/F22-1)</x:f>
        <x:v>-0.22308541209121402</x:v>
      </x:c>
    </x:row>
    <x:row r="193" ht="15" hidden="0">
      <x:c r="A193" s="15" t="s">
        <x:v>247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FA98A"/>
  </x:sheetPr>
  <x:sheetViews>
    <x:sheetView showGridLines="0" workbookViewId="0">
      <x:pane xSplit="2" ySplit="5" topLeftCell="C6" activePane="bottomRight" state="frozen"/>
    </x:sheetView>
  </x:sheetViews>
  <x:sheetFormatPr defaultColWidth="8.6796875" defaultRowHeight="15"/>
  <x:cols>
    <x:col min="1" max="1" width="44" hidden="0" customWidth="1"/>
    <x:col min="2" max="2" width="36" hidden="0" customWidth="1"/>
    <x:col min="3" max="8" width="12" hidden="0" customWidth="1"/>
  </x:cols>
  <x:sheetData>
    <x:row r="1" ht="19.700000762939453" hidden="0">
      <x:c r="A1" s="1" t="s">
        <x:v>252</x:v>
      </x:c>
    </x:row>
    <x:row r="2" ht="15" hidden="0">
      <x:c r="A2" s="16" t="s">
        <x:v>253</x:v>
      </x:c>
    </x:row>
    <x:row r="3" ht="15" hidden="0">
      <x:c r="A3" s="15" t="s">
        <x:v>61</x:v>
      </x:c>
    </x:row>
    <x:row r="6" ht="19.5" hidden="0" customHeight="1">
      <x:c r="A6" s="5" t="s">
        <x:v>62</x:v>
      </x:c>
      <x:c r="B6" s="6"/>
      <x:c r="C6" s="6"/>
      <x:c r="D6" s="6"/>
      <x:c r="E6" s="6"/>
      <x:c r="F6" s="6"/>
      <x:c r="G6" s="6"/>
      <x:c r="H6" s="6"/>
    </x:row>
    <x:row r="7" ht="16.5" hidden="0" customHeight="1">
      <x:c r="A7" s="17" t="s">
        <x:v>63</x:v>
      </x:c>
      <x:c r="B7" s="18"/>
      <x:c r="C7" s="19" t="s">
        <x:v>48</x:v>
      </x:c>
      <x:c r="D7" s="19" t="s">
        <x:v>49</x:v>
      </x:c>
      <x:c r="E7" s="19" t="s">
        <x:v>50</x:v>
      </x:c>
      <x:c r="F7" s="19" t="s">
        <x:v>51</x:v>
      </x:c>
      <x:c r="G7" s="19" t="s">
        <x:v>52</x:v>
      </x:c>
      <x:c r="H7" s="19" t="s">
        <x:v>64</x:v>
      </x:c>
    </x:row>
    <x:row r="8" ht="15" hidden="0">
      <x:c r="A8" s="20" t="s">
        <x:v>65</x:v>
      </x:c>
      <x:c r="B8" s="21"/>
      <x:c r="C8" s="21"/>
      <x:c r="D8" s="21"/>
      <x:c r="E8" s="21"/>
      <x:c r="F8" s="21"/>
      <x:c r="G8" s="21"/>
      <x:c r="H8" s="21"/>
    </x:row>
    <x:row r="9" ht="15" hidden="0">
      <x:c r="A9" s="22" t="s">
        <x:v>66</x:v>
      </x:c>
      <x:c r="B9" s="23"/>
      <x:c r="C9" s="24" t="n">
        <x:v>44215.539</x:v>
      </x:c>
      <x:c r="D9" s="24" t="n">
        <x:v>56784.84</x:v>
      </x:c>
      <x:c r="E9" s="24" t="n">
        <x:v>62354.608</x:v>
      </x:c>
      <x:c r="F9" s="24" t="n">
        <x:v>65995.598</x:v>
      </x:c>
      <x:c r="G9" s="24" t="n">
        <x:v>62836.212</x:v>
      </x:c>
      <x:c r="H9" s="24" t="n">
        <x:v>44297.941</x:v>
      </x:c>
    </x:row>
    <x:row r="10" ht="15" hidden="0">
      <x:c r="A10" s="22" t="s">
        <x:v>67</x:v>
      </x:c>
      <x:c r="B10" s="23"/>
      <x:c r="C10" s="24" t="n">
        <x:v>2854.293</x:v>
      </x:c>
      <x:c r="D10" s="24" t="n">
        <x:v>15352.8</x:v>
      </x:c>
      <x:c r="E10" s="24" t="n">
        <x:v>1676.796</x:v>
      </x:c>
      <x:c r="F10" s="24" t="n">
        <x:v>471.174</x:v>
      </x:c>
      <x:c r="G10" s="24" t="n">
        <x:v>125.704</x:v>
      </x:c>
      <x:c r="H10" s="24" t="n">
        <x:v>871.386</x:v>
      </x:c>
    </x:row>
    <x:row r="11" ht="15" hidden="0">
      <x:c r="A11" s="22" t="s">
        <x:v>68</x:v>
      </x:c>
      <x:c r="B11" s="23"/>
      <x:c r="C11" s="24" t="n">
        <x:v>0</x:v>
      </x:c>
      <x:c r="D11" s="24" t="n">
        <x:v>0</x:v>
      </x:c>
      <x:c r="E11" s="24" t="n">
        <x:v>0</x:v>
      </x:c>
      <x:c r="F11" s="24" t="n">
        <x:v>0</x:v>
      </x:c>
      <x:c r="G11" s="24" t="n">
        <x:v>0</x:v>
      </x:c>
      <x:c r="H11" s="24" t="n">
        <x:v>0</x:v>
      </x:c>
    </x:row>
    <x:row r="12" ht="15" hidden="0">
      <x:c r="A12" s="22" t="s">
        <x:v>69</x:v>
      </x:c>
      <x:c r="B12" s="23"/>
      <x:c r="C12" s="24" t="n">
        <x:v>6.017</x:v>
      </x:c>
      <x:c r="D12" s="24" t="n">
        <x:v>10.415</x:v>
      </x:c>
      <x:c r="E12" s="24" t="n">
        <x:v>6.946</x:v>
      </x:c>
      <x:c r="F12" s="24" t="n">
        <x:v>84.81</x:v>
      </x:c>
      <x:c r="G12" s="24" t="n">
        <x:v>62.426</x:v>
      </x:c>
      <x:c r="H12" s="24" t="n">
        <x:v>9.023</x:v>
      </x:c>
    </x:row>
    <x:row r="13" ht="15" hidden="0">
      <x:c r="A13" s="22" t="s">
        <x:v>70</x:v>
      </x:c>
      <x:c r="B13" s="23"/>
      <x:c r="C13" s="24" t="n">
        <x:v>0</x:v>
      </x:c>
      <x:c r="D13" s="24" t="n">
        <x:v>0</x:v>
      </x:c>
      <x:c r="E13" s="24" t="n">
        <x:v>0</x:v>
      </x:c>
      <x:c r="F13" s="24" t="n">
        <x:v>0</x:v>
      </x:c>
      <x:c r="G13" s="24" t="n">
        <x:v>0</x:v>
      </x:c>
      <x:c r="H13" s="24" t="n">
        <x:v>0</x:v>
      </x:c>
    </x:row>
    <x:row r="14" ht="15" hidden="0">
      <x:c r="A14" s="22" t="s">
        <x:v>71</x:v>
      </x:c>
      <x:c r="B14" s="23"/>
      <x:c r="C14" s="24" t="n">
        <x:v>5020</x:v>
      </x:c>
      <x:c r="D14" s="24" t="n">
        <x:v>5020</x:v>
      </x:c>
      <x:c r="E14" s="24" t="n">
        <x:v>5030</x:v>
      </x:c>
      <x:c r="F14" s="24" t="n">
        <x:v>6322</x:v>
      </x:c>
      <x:c r="G14" s="24" t="n">
        <x:v>20371.11</x:v>
      </x:c>
      <x:c r="H14" s="24" t="n">
        <x:v>5020</x:v>
      </x:c>
    </x:row>
    <x:row r="15" ht="15" hidden="0">
      <x:c r="A15" s="22" t="s">
        <x:v>72</x:v>
      </x:c>
      <x:c r="B15" s="23"/>
      <x:c r="C15" s="24" t="n">
        <x:v>74.306</x:v>
      </x:c>
      <x:c r="D15" s="24" t="n">
        <x:v>76.966</x:v>
      </x:c>
      <x:c r="E15" s="24" t="n">
        <x:v>76.49</x:v>
      </x:c>
      <x:c r="F15" s="24" t="n">
        <x:v>95.437</x:v>
      </x:c>
      <x:c r="G15" s="24" t="n">
        <x:v>83.919</x:v>
      </x:c>
      <x:c r="H15" s="24" t="n">
        <x:v>75.616</x:v>
      </x:c>
    </x:row>
    <x:row r="16" ht="15" hidden="0">
      <x:c r="A16" s="25" t="s">
        <x:v>73</x:v>
      </x:c>
      <x:c r="B16" s="26"/>
      <x:c r="C16" s="27" t="n">
        <x:f aca="0">C9+C11+C12+C13+C14+C15</x:f>
        <x:v>49315.861999999994</x:v>
      </x:c>
      <x:c r="D16" s="27" t="n">
        <x:f aca="0">D9+D11+D12+D13+D14+D15</x:f>
        <x:v>61892.221</x:v>
      </x:c>
      <x:c r="E16" s="27" t="n">
        <x:f aca="0">E9+E11+E12+E13+E14+E15</x:f>
        <x:v>67468.04400000001</x:v>
      </x:c>
      <x:c r="F16" s="27" t="n">
        <x:f aca="0">F9+F11+F12+F13+F14+F15</x:f>
        <x:v>72497.845</x:v>
      </x:c>
      <x:c r="G16" s="27" t="n">
        <x:f aca="0">G9+G11+G12+G13+G14+G15</x:f>
        <x:v>83353.66699999999</x:v>
      </x:c>
      <x:c r="H16" s="27" t="n">
        <x:f aca="0">H9+H11+H12+H13+H14+H15</x:f>
        <x:v>49402.58</x:v>
      </x:c>
    </x:row>
    <x:row r="17" ht="15" hidden="0">
      <x:c r="A17" s="20" t="s">
        <x:v>74</x:v>
      </x:c>
      <x:c r="B17" s="21"/>
      <x:c r="C17" s="21"/>
      <x:c r="D17" s="21"/>
      <x:c r="E17" s="21"/>
      <x:c r="F17" s="21"/>
      <x:c r="G17" s="21"/>
      <x:c r="H17" s="21"/>
    </x:row>
    <x:row r="18" ht="15" hidden="0">
      <x:c r="A18" s="22" t="s">
        <x:v>75</x:v>
      </x:c>
      <x:c r="B18" s="23"/>
      <x:c r="C18" s="24" t="n">
        <x:v>9738.717</x:v>
      </x:c>
      <x:c r="D18" s="24" t="n">
        <x:v>12853.605</x:v>
      </x:c>
      <x:c r="E18" s="24" t="n">
        <x:v>9925.855</x:v>
      </x:c>
      <x:c r="F18" s="24" t="n">
        <x:v>12277.288</x:v>
      </x:c>
      <x:c r="G18" s="24" t="n">
        <x:v>12461.312</x:v>
      </x:c>
      <x:c r="H18" s="24" t="n">
        <x:v>8395.61</x:v>
      </x:c>
    </x:row>
    <x:row r="19" ht="15" hidden="0">
      <x:c r="A19" s="22" t="s">
        <x:v>76</x:v>
      </x:c>
      <x:c r="B19" s="23"/>
      <x:c r="C19" s="24" t="n">
        <x:v>2150.183</x:v>
      </x:c>
      <x:c r="D19" s="24" t="n">
        <x:v>2695.621</x:v>
      </x:c>
      <x:c r="E19" s="24" t="n">
        <x:v>3874.605</x:v>
      </x:c>
      <x:c r="F19" s="24" t="n">
        <x:v>3256.553</x:v>
      </x:c>
      <x:c r="G19" s="24" t="n">
        <x:v>4442.989</x:v>
      </x:c>
      <x:c r="H19" s="24" t="n">
        <x:v>1779.404</x:v>
      </x:c>
    </x:row>
    <x:row r="20" ht="15" hidden="0">
      <x:c r="A20" s="22" t="s">
        <x:v>77</x:v>
      </x:c>
      <x:c r="B20" s="23"/>
      <x:c r="C20" s="24" t="n">
        <x:v>1679.704</x:v>
      </x:c>
      <x:c r="D20" s="24" t="n">
        <x:v>2066.212</x:v>
      </x:c>
      <x:c r="E20" s="24" t="n">
        <x:v>2600.985</x:v>
      </x:c>
      <x:c r="F20" s="24" t="n">
        <x:v>4188.745</x:v>
      </x:c>
      <x:c r="G20" s="24" t="n">
        <x:v>4610.182</x:v>
      </x:c>
      <x:c r="H20" s="24" t="n">
        <x:v>3052.13</x:v>
      </x:c>
    </x:row>
    <x:row r="21" ht="15" hidden="0">
      <x:c r="A21" s="22" t="s">
        <x:v>78</x:v>
      </x:c>
      <x:c r="B21" s="23"/>
      <x:c r="C21" s="24" t="n">
        <x:v>149.148</x:v>
      </x:c>
      <x:c r="D21" s="24" t="n">
        <x:v>198.346</x:v>
      </x:c>
      <x:c r="E21" s="24" t="n">
        <x:v>3689.556</x:v>
      </x:c>
      <x:c r="F21" s="24" t="n">
        <x:v>4220.262</x:v>
      </x:c>
      <x:c r="G21" s="24" t="n">
        <x:v>11102.413</x:v>
      </x:c>
      <x:c r="H21" s="24" t="n">
        <x:v>75.245</x:v>
      </x:c>
    </x:row>
    <x:row r="22" ht="15" hidden="0">
      <x:c r="A22" s="22" t="s">
        <x:v>79</x:v>
      </x:c>
      <x:c r="B22" s="23"/>
      <x:c r="C22" s="24" t="n">
        <x:v>490.329</x:v>
      </x:c>
      <x:c r="D22" s="24" t="n">
        <x:v>793.576</x:v>
      </x:c>
      <x:c r="E22" s="24" t="n">
        <x:v>740.707</x:v>
      </x:c>
      <x:c r="F22" s="24" t="n">
        <x:v>1133.412</x:v>
      </x:c>
      <x:c r="G22" s="24" t="n">
        <x:v>1615.481</x:v>
      </x:c>
      <x:c r="H22" s="24" t="n">
        <x:v>1046.267</x:v>
      </x:c>
    </x:row>
    <x:row r="23" ht="15" hidden="0">
      <x:c r="A23" s="22" t="s">
        <x:v>80</x:v>
      </x:c>
      <x:c r="B23" s="23"/>
      <x:c r="C23" s="24" t="n">
        <x:v>2715.335</x:v>
      </x:c>
      <x:c r="D23" s="24" t="n">
        <x:v>1714.629</x:v>
      </x:c>
      <x:c r="E23" s="24" t="n">
        <x:v>1407.959</x:v>
      </x:c>
      <x:c r="F23" s="24" t="n">
        <x:v>1791.577</x:v>
      </x:c>
      <x:c r="G23" s="24" t="n">
        <x:v>1520.227</x:v>
      </x:c>
      <x:c r="H23" s="24" t="n">
        <x:v>2258.535</x:v>
      </x:c>
    </x:row>
    <x:row r="24" ht="15" hidden="0">
      <x:c r="A24" s="25" t="s">
        <x:v>81</x:v>
      </x:c>
      <x:c r="B24" s="26"/>
      <x:c r="C24" s="27" t="n">
        <x:f aca="0">C18+C19+C20+C21+C22+C23</x:f>
        <x:v>16923.416</x:v>
      </x:c>
      <x:c r="D24" s="27" t="n">
        <x:f aca="0">D18+D19+D20+D21+D22+D23</x:f>
        <x:v>20321.989</x:v>
      </x:c>
      <x:c r="E24" s="27" t="n">
        <x:f aca="0">E18+E19+E20+E21+E22+E23</x:f>
        <x:v>22239.666999999998</x:v>
      </x:c>
      <x:c r="F24" s="27" t="n">
        <x:f aca="0">F18+F19+F20+F21+F22+F23</x:f>
        <x:v>26867.837</x:v>
      </x:c>
      <x:c r="G24" s="27" t="n">
        <x:f aca="0">G18+G19+G20+G21+G22+G23</x:f>
        <x:v>35752.604</x:v>
      </x:c>
      <x:c r="H24" s="27" t="n">
        <x:f aca="0">H18+H19+H20+H21+H22+H23</x:f>
        <x:v>16607.191</x:v>
      </x:c>
    </x:row>
    <x:row r="25" ht="15" hidden="0">
      <x:c r="A25" s="25" t="s">
        <x:v>82</x:v>
      </x:c>
      <x:c r="B25" s="26"/>
      <x:c r="C25" s="27" t="n">
        <x:f aca="0">C16+C24</x:f>
        <x:v>66239.27799999999</x:v>
      </x:c>
      <x:c r="D25" s="27" t="n">
        <x:f aca="0">D16+D24</x:f>
        <x:v>82214.20999999999</x:v>
      </x:c>
      <x:c r="E25" s="27" t="n">
        <x:f aca="0">E16+E24</x:f>
        <x:v>89707.71100000001</x:v>
      </x:c>
      <x:c r="F25" s="27" t="n">
        <x:f aca="0">F16+F24</x:f>
        <x:v>99365.682</x:v>
      </x:c>
      <x:c r="G25" s="27" t="n">
        <x:f aca="0">G16+G24</x:f>
        <x:v>119106.27099999998</x:v>
      </x:c>
      <x:c r="H25" s="27" t="n">
        <x:f aca="0">H16+H24</x:f>
        <x:v>66009.77100000001</x:v>
      </x:c>
    </x:row>
    <x:row r="26" ht="15" hidden="0">
      <x:c r="A26" s="20" t="s">
        <x:v>83</x:v>
      </x:c>
      <x:c r="B26" s="21"/>
      <x:c r="C26" s="21"/>
      <x:c r="D26" s="21"/>
      <x:c r="E26" s="21"/>
      <x:c r="F26" s="21"/>
      <x:c r="G26" s="21"/>
      <x:c r="H26" s="21"/>
    </x:row>
    <x:row r="27" ht="15" hidden="0">
      <x:c r="A27" s="22" t="s">
        <x:v>84</x:v>
      </x:c>
      <x:c r="B27" s="23"/>
      <x:c r="C27" s="24" t="n">
        <x:v>10983.462</x:v>
      </x:c>
      <x:c r="D27" s="24" t="n">
        <x:v>10983.462</x:v>
      </x:c>
      <x:c r="E27" s="24" t="n">
        <x:v>10733.462</x:v>
      </x:c>
      <x:c r="F27" s="24" t="n">
        <x:v>10475.626</x:v>
      </x:c>
      <x:c r="G27" s="24" t="n">
        <x:v>10475.626</x:v>
      </x:c>
      <x:c r="H27" s="24" t="n">
        <x:v>10983.462</x:v>
      </x:c>
    </x:row>
    <x:row r="28" ht="15" hidden="0">
      <x:c r="A28" s="22" t="s">
        <x:v>85</x:v>
      </x:c>
      <x:c r="B28" s="23"/>
      <x:c r="C28" s="24" t="n">
        <x:v>26559.079</x:v>
      </x:c>
      <x:c r="D28" s="24" t="n">
        <x:v>29575.553</x:v>
      </x:c>
      <x:c r="E28" s="24" t="n">
        <x:v>34179.652</x:v>
      </x:c>
      <x:c r="F28" s="24" t="n">
        <x:v>42140.282</x:v>
      </x:c>
      <x:c r="G28" s="24" t="n">
        <x:v>60985.966</x:v>
      </x:c>
      <x:c r="H28" s="24" t="n">
        <x:v>20337.369</x:v>
      </x:c>
    </x:row>
    <x:row r="29" ht="15" hidden="0">
      <x:c r="A29" s="25" t="s">
        <x:v>86</x:v>
      </x:c>
      <x:c r="B29" s="26"/>
      <x:c r="C29" s="27" t="n">
        <x:f aca="0">C27+C28</x:f>
        <x:v>37542.541</x:v>
      </x:c>
      <x:c r="D29" s="27" t="n">
        <x:f aca="0">D27+D28</x:f>
        <x:v>40559.015</x:v>
      </x:c>
      <x:c r="E29" s="27" t="n">
        <x:f aca="0">E27+E28</x:f>
        <x:v>44913.114</x:v>
      </x:c>
      <x:c r="F29" s="27" t="n">
        <x:f aca="0">F27+F28</x:f>
        <x:v>52615.907999999996</x:v>
      </x:c>
      <x:c r="G29" s="27" t="n">
        <x:f aca="0">G27+G28</x:f>
        <x:v>71461.592</x:v>
      </x:c>
      <x:c r="H29" s="27" t="n">
        <x:f aca="0">H27+H28</x:f>
        <x:v>31320.831</x:v>
      </x:c>
    </x:row>
    <x:row r="30" ht="15" hidden="0">
      <x:c r="A30" s="20" t="s">
        <x:v>87</x:v>
      </x:c>
      <x:c r="B30" s="21"/>
      <x:c r="C30" s="21"/>
      <x:c r="D30" s="21"/>
      <x:c r="E30" s="21"/>
      <x:c r="F30" s="21"/>
      <x:c r="G30" s="21"/>
      <x:c r="H30" s="21"/>
    </x:row>
    <x:row r="31" ht="15" hidden="0">
      <x:c r="A31" s="22" t="s">
        <x:v>88</x:v>
      </x:c>
      <x:c r="B31" s="23"/>
      <x:c r="C31" s="24" t="n">
        <x:v>12636.749</x:v>
      </x:c>
      <x:c r="D31" s="24" t="n">
        <x:v>18747.868</x:v>
      </x:c>
      <x:c r="E31" s="24" t="n">
        <x:v>17233.337</x:v>
      </x:c>
      <x:c r="F31" s="24" t="n">
        <x:v>14285.786</x:v>
      </x:c>
      <x:c r="G31" s="24" t="n">
        <x:v>9781.639</x:v>
      </x:c>
      <x:c r="H31" s="24" t="n">
        <x:v>15173.102</x:v>
      </x:c>
    </x:row>
    <x:row r="32" ht="15" hidden="0">
      <x:c r="A32" s="22" t="s">
        <x:v>89</x:v>
      </x:c>
      <x:c r="B32" s="23"/>
      <x:c r="C32" s="24" t="n">
        <x:v>0</x:v>
      </x:c>
      <x:c r="D32" s="24" t="n">
        <x:v>27.136</x:v>
      </x:c>
      <x:c r="E32" s="24" t="n">
        <x:v>31.408</x:v>
      </x:c>
      <x:c r="F32" s="24" t="n">
        <x:v>34.67</x:v>
      </x:c>
      <x:c r="G32" s="24" t="n">
        <x:v>28.495</x:v>
      </x:c>
      <x:c r="H32" s="24" t="n">
        <x:v>0</x:v>
      </x:c>
    </x:row>
    <x:row r="33" ht="15" hidden="0">
      <x:c r="A33" s="22" t="s">
        <x:v>90</x:v>
      </x:c>
      <x:c r="B33" s="23"/>
      <x:c r="C33" s="24" t="n">
        <x:v>49.569</x:v>
      </x:c>
      <x:c r="D33" s="24" t="n">
        <x:v>786.758</x:v>
      </x:c>
      <x:c r="E33" s="24" t="n">
        <x:v>605.926</x:v>
      </x:c>
      <x:c r="F33" s="24" t="n">
        <x:v>450.487</x:v>
      </x:c>
      <x:c r="G33" s="24" t="n">
        <x:v>322.304</x:v>
      </x:c>
      <x:c r="H33" s="24" t="n">
        <x:v>0</x:v>
      </x:c>
    </x:row>
    <x:row r="34" ht="15" hidden="0">
      <x:c r="A34" s="22" t="s">
        <x:v>91</x:v>
      </x:c>
      <x:c r="B34" s="23"/>
      <x:c r="C34" s="24" t="n">
        <x:v>3889.907</x:v>
      </x:c>
      <x:c r="D34" s="24" t="n">
        <x:v>5656.499</x:v>
      </x:c>
      <x:c r="E34" s="24" t="n">
        <x:v>8669.211</x:v>
      </x:c>
      <x:c r="F34" s="24" t="n">
        <x:v>13044.29</x:v>
      </x:c>
      <x:c r="G34" s="24" t="n">
        <x:v>13822.898</x:v>
      </x:c>
      <x:c r="H34" s="24" t="n">
        <x:v>3379.44</x:v>
      </x:c>
    </x:row>
    <x:row r="35" ht="15" hidden="0">
      <x:c r="A35" s="22" t="s">
        <x:v>92</x:v>
      </x:c>
      <x:c r="B35" s="23"/>
      <x:c r="C35" s="24" t="n">
        <x:v>671.064</x:v>
      </x:c>
      <x:c r="D35" s="24" t="n">
        <x:v>243.543</x:v>
      </x:c>
      <x:c r="E35" s="24" t="n">
        <x:v>2039.694</x:v>
      </x:c>
      <x:c r="F35" s="24" t="n">
        <x:v>336.741</x:v>
      </x:c>
      <x:c r="G35" s="24" t="n">
        <x:v>358.852</x:v>
      </x:c>
      <x:c r="H35" s="24" t="n">
        <x:v>822.623</x:v>
      </x:c>
    </x:row>
    <x:row r="36" ht="15" hidden="0">
      <x:c r="A36" s="25" t="s">
        <x:v>93</x:v>
      </x:c>
      <x:c r="B36" s="26"/>
      <x:c r="C36" s="27" t="n">
        <x:f aca="0">C31+C32+C33+C34+C35</x:f>
        <x:v>17247.288999999997</x:v>
      </x:c>
      <x:c r="D36" s="27" t="n">
        <x:f aca="0">D31+D32+D33+D34+D35</x:f>
        <x:v>25461.804</x:v>
      </x:c>
      <x:c r="E36" s="27" t="n">
        <x:f aca="0">E31+E32+E33+E34+E35</x:f>
        <x:v>28579.575999999997</x:v>
      </x:c>
      <x:c r="F36" s="27" t="n">
        <x:f aca="0">F31+F32+F33+F34+F35</x:f>
        <x:v>28151.974000000002</x:v>
      </x:c>
      <x:c r="G36" s="27" t="n">
        <x:f aca="0">G31+G32+G33+G34+G35</x:f>
        <x:v>24314.188</x:v>
      </x:c>
      <x:c r="H36" s="27" t="n">
        <x:f aca="0">H31+H32+H33+H34+H35</x:f>
        <x:v>19375.165</x:v>
      </x:c>
    </x:row>
    <x:row r="37" ht="15" hidden="0">
      <x:c r="A37" s="20" t="s">
        <x:v>94</x:v>
      </x:c>
      <x:c r="B37" s="21"/>
      <x:c r="C37" s="21"/>
      <x:c r="D37" s="21"/>
      <x:c r="E37" s="21"/>
      <x:c r="F37" s="21"/>
      <x:c r="G37" s="21"/>
      <x:c r="H37" s="21"/>
    </x:row>
    <x:row r="38" ht="15" hidden="0">
      <x:c r="A38" s="22" t="s">
        <x:v>95</x:v>
      </x:c>
      <x:c r="B38" s="23"/>
      <x:c r="C38" s="24" t="n">
        <x:v>7511.637</x:v>
      </x:c>
      <x:c r="D38" s="24" t="n">
        <x:v>9117.414</x:v>
      </x:c>
      <x:c r="E38" s="24" t="n">
        <x:v>12518.18</x:v>
      </x:c>
      <x:c r="F38" s="24" t="n">
        <x:v>12482.233</x:v>
      </x:c>
      <x:c r="G38" s="24" t="n">
        <x:v>17926.267</x:v>
      </x:c>
      <x:c r="H38" s="24" t="n">
        <x:v>7951.221</x:v>
      </x:c>
    </x:row>
    <x:row r="39" ht="15" hidden="0">
      <x:c r="A39" s="22" t="s">
        <x:v>96</x:v>
      </x:c>
      <x:c r="B39" s="23"/>
      <x:c r="C39" s="24" t="n">
        <x:v>0</x:v>
      </x:c>
      <x:c r="D39" s="24" t="n">
        <x:v>0</x:v>
      </x:c>
      <x:c r="E39" s="24" t="n">
        <x:v>0</x:v>
      </x:c>
      <x:c r="F39" s="24" t="n">
        <x:v>0</x:v>
      </x:c>
      <x:c r="G39" s="24" t="n">
        <x:v>0</x:v>
      </x:c>
      <x:c r="H39" s="24" t="n">
        <x:v>0</x:v>
      </x:c>
    </x:row>
    <x:row r="40" ht="15" hidden="0">
      <x:c r="A40" s="22" t="s">
        <x:v>97</x:v>
      </x:c>
      <x:c r="B40" s="23"/>
      <x:c r="C40" s="24" t="n">
        <x:v>260.953</x:v>
      </x:c>
      <x:c r="D40" s="24" t="n">
        <x:v>665.122</x:v>
      </x:c>
      <x:c r="E40" s="24" t="n">
        <x:v>880.039</x:v>
      </x:c>
      <x:c r="F40" s="24" t="n">
        <x:v>865.945</x:v>
      </x:c>
      <x:c r="G40" s="24" t="n">
        <x:v>320.434</x:v>
      </x:c>
      <x:c r="H40" s="24" t="n">
        <x:v>547.189</x:v>
      </x:c>
    </x:row>
    <x:row r="41" ht="15" hidden="0">
      <x:c r="A41" s="22" t="s">
        <x:v>98</x:v>
      </x:c>
      <x:c r="B41" s="23"/>
      <x:c r="C41" s="24" t="n">
        <x:v>1894.115</x:v>
      </x:c>
      <x:c r="D41" s="24" t="n">
        <x:v>3572.073</x:v>
      </x:c>
      <x:c r="E41" s="24" t="n">
        <x:v>0</x:v>
      </x:c>
      <x:c r="F41" s="24" t="n">
        <x:v>1645.316</x:v>
      </x:c>
      <x:c r="G41" s="24" t="n">
        <x:v>822.285</x:v>
      </x:c>
      <x:c r="H41" s="24" t="n">
        <x:v>6642.312</x:v>
      </x:c>
    </x:row>
    <x:row r="42" ht="15" hidden="0">
      <x:c r="A42" s="22" t="s">
        <x:v>99</x:v>
      </x:c>
      <x:c r="B42" s="23"/>
      <x:c r="C42" s="24" t="n">
        <x:v>1704.612</x:v>
      </x:c>
      <x:c r="D42" s="24" t="n">
        <x:v>2619.8</x:v>
      </x:c>
      <x:c r="E42" s="24" t="n">
        <x:v>2599.401</x:v>
      </x:c>
      <x:c r="F42" s="24" t="n">
        <x:v>3407.702</x:v>
      </x:c>
      <x:c r="G42" s="24" t="n">
        <x:v>3933.328</x:v>
      </x:c>
      <x:c r="H42" s="24" t="n">
        <x:v>125</x:v>
      </x:c>
    </x:row>
    <x:row r="43" ht="15" hidden="0">
      <x:c r="A43" s="22" t="s">
        <x:v>100</x:v>
      </x:c>
      <x:c r="B43" s="23"/>
      <x:c r="C43" s="24" t="n">
        <x:v>0</x:v>
      </x:c>
      <x:c r="D43" s="24" t="n">
        <x:v>6.837</x:v>
      </x:c>
      <x:c r="E43" s="24" t="n">
        <x:v>10.257</x:v>
      </x:c>
      <x:c r="F43" s="24" t="n">
        <x:v>13.909</x:v>
      </x:c>
      <x:c r="G43" s="24" t="n">
        <x:v>14.323</x:v>
      </x:c>
      <x:c r="H43" s="24" t="n">
        <x:v>0</x:v>
      </x:c>
    </x:row>
    <x:row r="44" ht="15" hidden="0">
      <x:c r="A44" s="22" t="s">
        <x:v>101</x:v>
      </x:c>
      <x:c r="B44" s="23"/>
      <x:c r="C44" s="24" t="n">
        <x:v>49.997</x:v>
      </x:c>
      <x:c r="D44" s="24" t="n">
        <x:v>184.576</x:v>
      </x:c>
      <x:c r="E44" s="24" t="n">
        <x:v>179.766</x:v>
      </x:c>
      <x:c r="F44" s="24" t="n">
        <x:v>155.439</x:v>
      </x:c>
      <x:c r="G44" s="24" t="n">
        <x:v>128.183</x:v>
      </x:c>
      <x:c r="H44" s="24" t="n">
        <x:v>0</x:v>
      </x:c>
    </x:row>
    <x:row r="45" ht="15" hidden="0">
      <x:c r="A45" s="22" t="s">
        <x:v>102</x:v>
      </x:c>
      <x:c r="B45" s="23"/>
      <x:c r="C45" s="24" t="n">
        <x:v>28.134</x:v>
      </x:c>
      <x:c r="D45" s="24" t="n">
        <x:v>27.569</x:v>
      </x:c>
      <x:c r="E45" s="24" t="n">
        <x:v>27.378</x:v>
      </x:c>
      <x:c r="F45" s="24" t="n">
        <x:v>27.256</x:v>
      </x:c>
      <x:c r="G45" s="24" t="n">
        <x:v>26.877</x:v>
      </x:c>
      <x:c r="H45" s="24" t="n">
        <x:v>48.053</x:v>
      </x:c>
    </x:row>
    <x:row r="46" ht="15" hidden="0">
      <x:c r="A46" s="22" t="s">
        <x:v>103</x:v>
      </x:c>
      <x:c r="B46" s="23"/>
      <x:c r="C46" s="24" t="n">
        <x:v>0</x:v>
      </x:c>
      <x:c r="D46" s="24" t="n">
        <x:v>0</x:v>
      </x:c>
      <x:c r="E46" s="24" t="n">
        <x:v>0</x:v>
      </x:c>
      <x:c r="F46" s="24" t="n">
        <x:v>0</x:v>
      </x:c>
      <x:c r="G46" s="24" t="n">
        <x:v>158.794</x:v>
      </x:c>
      <x:c r="H46" s="24" t="n">
        <x:v>0</x:v>
      </x:c>
    </x:row>
    <x:row r="47" ht="15" hidden="0">
      <x:c r="A47" s="22" t="s">
        <x:v>104</x:v>
      </x:c>
      <x:c r="B47" s="23"/>
      <x:c r="C47" s="24" t="n">
        <x:v>0</x:v>
      </x:c>
      <x:c r="D47" s="24" t="n">
        <x:v>0</x:v>
      </x:c>
      <x:c r="E47" s="24" t="n">
        <x:v>0</x:v>
      </x:c>
      <x:c r="F47" s="24" t="n">
        <x:v>0</x:v>
      </x:c>
      <x:c r="G47" s="24" t="n">
        <x:v>0</x:v>
      </x:c>
      <x:c r="H47" s="24" t="n">
        <x:v>0</x:v>
      </x:c>
    </x:row>
    <x:row r="48" ht="15" hidden="0">
      <x:c r="A48" s="25" t="s">
        <x:v>105</x:v>
      </x:c>
      <x:c r="B48" s="26"/>
      <x:c r="C48" s="27" t="n">
        <x:f aca="0">C38+C39+C40+C41+C42+C43+C44+C45+C46+C47</x:f>
        <x:v>11449.447999999999</x:v>
      </x:c>
      <x:c r="D48" s="27" t="n">
        <x:f aca="0">D38+D39+D40+D41+D42+D43+D44+D45+D46+D47</x:f>
        <x:v>16193.390999999998</x:v>
      </x:c>
      <x:c r="E48" s="27" t="n">
        <x:f aca="0">E38+E39+E40+E41+E42+E43+E44+E45+E46+E47</x:f>
        <x:v>16215.021</x:v>
      </x:c>
      <x:c r="F48" s="27" t="n">
        <x:f aca="0">F38+F39+F40+F41+F42+F43+F44+F45+F46+F47</x:f>
        <x:v>18597.8</x:v>
      </x:c>
      <x:c r="G48" s="27" t="n">
        <x:f aca="0">G38+G39+G40+G41+G42+G43+G44+G45+G46+G47</x:f>
        <x:v>23330.491000000005</x:v>
      </x:c>
      <x:c r="H48" s="27" t="n">
        <x:f aca="0">H38+H39+H40+H41+H42+H43+H44+H45+H46+H47</x:f>
        <x:v>15313.775</x:v>
      </x:c>
    </x:row>
    <x:row r="49" ht="15" hidden="0">
      <x:c r="A49" s="25" t="s">
        <x:v>106</x:v>
      </x:c>
      <x:c r="B49" s="26"/>
      <x:c r="C49" s="27" t="n">
        <x:f aca="0">C36+C48</x:f>
        <x:v>28696.736999999994</x:v>
      </x:c>
      <x:c r="D49" s="27" t="n">
        <x:f aca="0">D36+D48</x:f>
        <x:v>41655.195</x:v>
      </x:c>
      <x:c r="E49" s="27" t="n">
        <x:f aca="0">E36+E48</x:f>
        <x:v>44794.596999999994</x:v>
      </x:c>
      <x:c r="F49" s="27" t="n">
        <x:f aca="0">F36+F48</x:f>
        <x:v>46749.774000000005</x:v>
      </x:c>
      <x:c r="G49" s="27" t="n">
        <x:f aca="0">G36+G48</x:f>
        <x:v>47644.679000000004</x:v>
      </x:c>
      <x:c r="H49" s="27" t="n">
        <x:f aca="0">H36+H48</x:f>
        <x:v>34688.94</x:v>
      </x:c>
    </x:row>
    <x:row r="50" ht="15" hidden="0">
      <x:c r="A50" s="25" t="s">
        <x:v>107</x:v>
      </x:c>
      <x:c r="B50" s="26"/>
      <x:c r="C50" s="27" t="n">
        <x:f aca="0">C29+C49</x:f>
        <x:v>66239.27799999999</x:v>
      </x:c>
      <x:c r="D50" s="27" t="n">
        <x:f aca="0">D29+D49</x:f>
        <x:v>82214.20999999999</x:v>
      </x:c>
      <x:c r="E50" s="27" t="n">
        <x:f aca="0">E29+E49</x:f>
        <x:v>89707.711</x:v>
      </x:c>
      <x:c r="F50" s="27" t="n">
        <x:f aca="0">F29+F49</x:f>
        <x:v>99365.682</x:v>
      </x:c>
      <x:c r="G50" s="27" t="n">
        <x:f aca="0">G29+G49</x:f>
        <x:v>119106.27100000001</x:v>
      </x:c>
      <x:c r="H50" s="27" t="n">
        <x:f aca="0">H29+H49</x:f>
        <x:v>66009.77100000001</x:v>
      </x:c>
    </x:row>
    <x:row r="51" ht="15" hidden="0">
      <x:c r="A51" s="20" t="s">
        <x:v>108</x:v>
      </x:c>
      <x:c r="B51" s="21"/>
      <x:c r="C51" s="21"/>
      <x:c r="D51" s="21"/>
      <x:c r="E51" s="21"/>
      <x:c r="F51" s="21"/>
      <x:c r="G51" s="21"/>
      <x:c r="H51" s="21"/>
    </x:row>
    <x:row r="52" ht="15" hidden="0">
      <x:c r="A52" s="22" t="s">
        <x:v>109</x:v>
      </x:c>
      <x:c r="B52" s="23"/>
      <x:c r="C52" s="24" t="n">
        <x:v>3515.408</x:v>
      </x:c>
      <x:c r="D52" s="24" t="n">
        <x:v>3975.712</x:v>
      </x:c>
      <x:c r="E52" s="24" t="n">
        <x:v>4804.356</x:v>
      </x:c>
      <x:c r="F52" s="24" t="n">
        <x:v>4575.18</x:v>
      </x:c>
      <x:c r="G52" s="24" t="n">
        <x:v>5869.802</x:v>
      </x:c>
      <x:c r="H52" s="24" t="n">
        <x:v>3886.684</x:v>
      </x:c>
    </x:row>
    <x:row r="53" ht="15" hidden="0">
      <x:c r="A53" s="22" t="s">
        <x:v>110</x:v>
      </x:c>
      <x:c r="B53" s="23"/>
      <x:c r="C53" s="24" t="n">
        <x:f aca="0">C9-C10</x:f>
        <x:v>41361.246</x:v>
      </x:c>
      <x:c r="D53" s="24" t="n">
        <x:f aca="0">D9-D10</x:f>
        <x:v>41432.03999999999</x:v>
      </x:c>
      <x:c r="E53" s="24" t="n">
        <x:f aca="0">E9-E10</x:f>
        <x:v>60677.812</x:v>
      </x:c>
      <x:c r="F53" s="24" t="n">
        <x:f aca="0">F9-F10</x:f>
        <x:v>65524.424</x:v>
      </x:c>
      <x:c r="G53" s="24" t="n">
        <x:f aca="0">G9-G10</x:f>
        <x:v>62710.508</x:v>
      </x:c>
      <x:c r="H53" s="24" t="n">
        <x:f aca="0">H9-H10</x:f>
        <x:v>43426.555</x:v>
      </x:c>
    </x:row>
    <x:row r="54" ht="15" hidden="0">
      <x:c r="A54" s="22" t="s">
        <x:v>111</x:v>
      </x:c>
      <x:c r="B54" s="23"/>
      <x:c r="C54" s="24" t="n">
        <x:f aca="0">C18+C19</x:f>
        <x:v>11888.900000000001</x:v>
      </x:c>
      <x:c r="D54" s="24" t="n">
        <x:f aca="0">D18+D19</x:f>
        <x:v>15549.225999999999</x:v>
      </x:c>
      <x:c r="E54" s="24" t="n">
        <x:f aca="0">E18+E19</x:f>
        <x:v>13800.46</x:v>
      </x:c>
      <x:c r="F54" s="24" t="n">
        <x:f aca="0">F18+F19</x:f>
        <x:v>15533.841</x:v>
      </x:c>
      <x:c r="G54" s="24" t="n">
        <x:f aca="0">G18+G19</x:f>
        <x:v>16904.301</x:v>
      </x:c>
      <x:c r="H54" s="24" t="n">
        <x:f aca="0">H18+H19</x:f>
        <x:v>10175.014000000001</x:v>
      </x:c>
    </x:row>
    <x:row r="55" ht="15" hidden="0">
      <x:c r="A55" s="22" t="s">
        <x:v>112</x:v>
      </x:c>
      <x:c r="B55" s="23"/>
      <x:c r="C55" s="24" t="n">
        <x:f aca="0">C31+C32+C41+C42+C43</x:f>
        <x:v>16235.475999999999</x:v>
      </x:c>
      <x:c r="D55" s="24" t="n">
        <x:f aca="0">D31+D32+D41+D42+D43</x:f>
        <x:v>24973.713999999996</x:v>
      </x:c>
      <x:c r="E55" s="24" t="n">
        <x:f aca="0">E31+E32+E41+E42+E43</x:f>
        <x:v>19874.403000000002</x:v>
      </x:c>
      <x:c r="F55" s="24" t="n">
        <x:f aca="0">F31+F32+F41+F42+F43</x:f>
        <x:v>19387.383</x:v>
      </x:c>
      <x:c r="G55" s="24" t="n">
        <x:f aca="0">G31+G32+G41+G42+G43</x:f>
        <x:v>14580.07</x:v>
      </x:c>
      <x:c r="H55" s="24" t="n">
        <x:f aca="0">H31+H32+H41+H42+H43</x:f>
        <x:v>21940.414</x:v>
      </x:c>
    </x:row>
    <x:row r="56" ht="15" hidden="0">
      <x:c r="A56" s="22" t="s">
        <x:v>113</x:v>
      </x:c>
      <x:c r="B56" s="23"/>
      <x:c r="C56" s="24" t="n">
        <x:f aca="0">C31+C32</x:f>
        <x:v>12636.749</x:v>
      </x:c>
      <x:c r="D56" s="24" t="n">
        <x:f aca="0">D31+D32</x:f>
        <x:v>18775.003999999997</x:v>
      </x:c>
      <x:c r="E56" s="24" t="n">
        <x:f aca="0">E31+E32</x:f>
        <x:v>17264.745</x:v>
      </x:c>
      <x:c r="F56" s="24" t="n">
        <x:f aca="0">F31+F32</x:f>
        <x:v>14320.456</x:v>
      </x:c>
      <x:c r="G56" s="24" t="n">
        <x:f aca="0">G31+G32</x:f>
        <x:v>9810.134</x:v>
      </x:c>
      <x:c r="H56" s="24" t="n">
        <x:f aca="0">H31+H32</x:f>
        <x:v>15173.102</x:v>
      </x:c>
    </x:row>
    <x:row r="57" ht="15" hidden="0">
      <x:c r="A57" s="22" t="s">
        <x:v>114</x:v>
      </x:c>
      <x:c r="B57" s="23"/>
      <x:c r="C57" s="24" t="n">
        <x:f aca="0">C55-C22</x:f>
        <x:v>15745.146999999999</x:v>
      </x:c>
      <x:c r="D57" s="24" t="n">
        <x:f aca="0">D55-D22</x:f>
        <x:v>24180.137999999995</x:v>
      </x:c>
      <x:c r="E57" s="24" t="n">
        <x:f aca="0">E55-E22</x:f>
        <x:v>19133.696000000004</x:v>
      </x:c>
      <x:c r="F57" s="24" t="n">
        <x:f aca="0">F55-F22</x:f>
        <x:v>18253.971</x:v>
      </x:c>
      <x:c r="G57" s="24" t="n">
        <x:f aca="0">G55-G22</x:f>
        <x:v>12964.589</x:v>
      </x:c>
      <x:c r="H57" s="24" t="n">
        <x:f aca="0">H55-H22</x:f>
        <x:v>20894.147</x:v>
      </x:c>
    </x:row>
    <x:row r="58" ht="15" hidden="0">
      <x:c r="A58" s="22" t="s">
        <x:v>115</x:v>
      </x:c>
      <x:c r="B58" s="23"/>
      <x:c r="C58" s="24" t="n">
        <x:f aca="0">C55+C29</x:f>
        <x:v>53778.01699999999</x:v>
      </x:c>
      <x:c r="D58" s="24" t="n">
        <x:f aca="0">D55+D29</x:f>
        <x:v>65532.72899999999</x:v>
      </x:c>
      <x:c r="E58" s="24" t="n">
        <x:f aca="0">E55+E29</x:f>
        <x:v>64787.51700000001</x:v>
      </x:c>
      <x:c r="F58" s="24" t="n">
        <x:f aca="0">F55+F29</x:f>
        <x:v>72003.291</x:v>
      </x:c>
      <x:c r="G58" s="24" t="n">
        <x:f aca="0">G55+G29</x:f>
        <x:v>86041.66200000001</x:v>
      </x:c>
      <x:c r="H58" s="24" t="n">
        <x:f aca="0">H55+H29</x:f>
        <x:v>53261.244999999995</x:v>
      </x:c>
    </x:row>
    <x:row r="59" ht="15" hidden="0">
      <x:c r="A59" s="22" t="s">
        <x:v>116</x:v>
      </x:c>
      <x:c r="B59" s="23"/>
      <x:c r="C59" s="24" t="n">
        <x:f aca="0">C24-C22-C21</x:f>
        <x:v>16283.939</x:v>
      </x:c>
      <x:c r="D59" s="24" t="n">
        <x:f aca="0">D24-D22-D21</x:f>
        <x:v>19330.067</x:v>
      </x:c>
      <x:c r="E59" s="24" t="n">
        <x:f aca="0">E24-E22-E21</x:f>
        <x:v>17809.404</x:v>
      </x:c>
      <x:c r="F59" s="24" t="n">
        <x:f aca="0">F24-F22-F21</x:f>
        <x:v>21514.163</x:v>
      </x:c>
      <x:c r="G59" s="24" t="n">
        <x:f aca="0">G24-G22-G21</x:f>
        <x:v>23034.71</x:v>
      </x:c>
      <x:c r="H59" s="24" t="n">
        <x:f aca="0">H24-H22-H21</x:f>
        <x:v>15485.678999999998</x:v>
      </x:c>
    </x:row>
    <x:row r="60" ht="15" hidden="0">
      <x:c r="A60" s="22" t="s">
        <x:v>117</x:v>
      </x:c>
      <x:c r="B60" s="23"/>
      <x:c r="C60" s="24" t="n">
        <x:f aca="0">C48-C41-C42-C43-C44-C40-C45</x:f>
        <x:v>7511.636999999999</x:v>
      </x:c>
      <x:c r="D60" s="24" t="n">
        <x:f aca="0">D48-D41-D42-D43-D44-D40-D45</x:f>
        <x:v>9117.413999999999</x:v>
      </x:c>
      <x:c r="E60" s="24" t="n">
        <x:f aca="0">E48-E41-E42-E43-E44-E40-E45</x:f>
        <x:v>12518.18</x:v>
      </x:c>
      <x:c r="F60" s="24" t="n">
        <x:f aca="0">F48-F41-F42-F43-F44-F40-F45</x:f>
        <x:v>12482.233</x:v>
      </x:c>
      <x:c r="G60" s="24" t="n">
        <x:f aca="0">G48-G41-G42-G43-G44-G40-G45</x:f>
        <x:v>18085.061</x:v>
      </x:c>
      <x:c r="H60" s="24" t="n">
        <x:f aca="0">H48-H41-H42-H43-H44-H40-H45</x:f>
        <x:v>7951.221</x:v>
      </x:c>
    </x:row>
    <x:row r="62" ht="19.5" hidden="0" customHeight="1">
      <x:c r="A62" s="5" t="s">
        <x:v>118</x:v>
      </x:c>
      <x:c r="B62" s="6"/>
      <x:c r="C62" s="6"/>
      <x:c r="D62" s="6"/>
      <x:c r="E62" s="6"/>
      <x:c r="F62" s="6"/>
      <x:c r="G62" s="6"/>
      <x:c r="H62" s="6"/>
    </x:row>
    <x:row r="63" ht="16.5" hidden="0" customHeight="1">
      <x:c r="A63" s="17" t="s">
        <x:v>63</x:v>
      </x:c>
      <x:c r="B63" s="18"/>
      <x:c r="C63" s="19" t="s">
        <x:v>48</x:v>
      </x:c>
      <x:c r="D63" s="19" t="s">
        <x:v>49</x:v>
      </x:c>
      <x:c r="E63" s="19" t="s">
        <x:v>50</x:v>
      </x:c>
      <x:c r="F63" s="19" t="s">
        <x:v>51</x:v>
      </x:c>
      <x:c r="G63" s="19" t="s">
        <x:v>52</x:v>
      </x:c>
      <x:c r="H63" s="19" t="s">
        <x:v>64</x:v>
      </x:c>
    </x:row>
    <x:row r="64" ht="15" hidden="0">
      <x:c r="A64" s="22" t="s">
        <x:v>119</x:v>
      </x:c>
      <x:c r="B64" s="23"/>
      <x:c r="C64" s="24" t="n">
        <x:v>35538.301</x:v>
      </x:c>
      <x:c r="D64" s="24" t="n">
        <x:v>48519.622</x:v>
      </x:c>
      <x:c r="E64" s="24" t="n">
        <x:v>62075.259</x:v>
      </x:c>
      <x:c r="F64" s="24" t="n">
        <x:v>66452.348</x:v>
      </x:c>
      <x:c r="G64" s="24" t="n">
        <x:v>68942.446</x:v>
      </x:c>
      <x:c r="H64" s="24" t="n">
        <x:v>29117.734</x:v>
      </x:c>
    </x:row>
    <x:row r="65" ht="15" hidden="0">
      <x:c r="A65" s="22" t="s">
        <x:v>120</x:v>
      </x:c>
      <x:c r="B65" s="23"/>
      <x:c r="C65" s="24" t="n">
        <x:v>-28135.419</x:v>
      </x:c>
      <x:c r="D65" s="24" t="n">
        <x:v>-36244.156</x:v>
      </x:c>
      <x:c r="E65" s="24" t="n">
        <x:v>-43901.906</x:v>
      </x:c>
      <x:c r="F65" s="24" t="n">
        <x:v>-45488.064</x:v>
      </x:c>
      <x:c r="G65" s="24" t="n">
        <x:v>-45195.63</x:v>
      </x:c>
      <x:c r="H65" s="24" t="n">
        <x:v>-29816.947</x:v>
      </x:c>
    </x:row>
    <x:row r="66" ht="15" hidden="0">
      <x:c r="A66" s="25" t="s">
        <x:v>121</x:v>
      </x:c>
      <x:c r="B66" s="26"/>
      <x:c r="C66" s="27" t="n">
        <x:f aca="0">C64+C65</x:f>
        <x:v>7402.881999999998</x:v>
      </x:c>
      <x:c r="D66" s="27" t="n">
        <x:f aca="0">D64+D65</x:f>
        <x:v>12275.466</x:v>
      </x:c>
      <x:c r="E66" s="27" t="n">
        <x:f aca="0">E64+E65</x:f>
        <x:v>18173.352999999996</x:v>
      </x:c>
      <x:c r="F66" s="27" t="n">
        <x:f aca="0">F64+F65</x:f>
        <x:v>20964.284</x:v>
      </x:c>
      <x:c r="G66" s="27" t="n">
        <x:f aca="0">G64+G65</x:f>
        <x:v>23746.816</x:v>
      </x:c>
      <x:c r="H66" s="27" t="n">
        <x:f aca="0">H64+H65</x:f>
        <x:v>-699.2129999999997</x:v>
      </x:c>
    </x:row>
    <x:row r="67" ht="15" hidden="0">
      <x:c r="A67" s="22" t="s">
        <x:v>122</x:v>
      </x:c>
      <x:c r="B67" s="23"/>
      <x:c r="C67" s="24" t="n">
        <x:v>-1013.852</x:v>
      </x:c>
      <x:c r="D67" s="24" t="n">
        <x:v>-1483.876</x:v>
      </x:c>
      <x:c r="E67" s="24" t="n">
        <x:v>-3751.096</x:v>
      </x:c>
      <x:c r="F67" s="24" t="n">
        <x:v>-5471.808</x:v>
      </x:c>
      <x:c r="G67" s="24" t="n">
        <x:v>-4123.754</x:v>
      </x:c>
      <x:c r="H67" s="24" t="n">
        <x:v>-845.379</x:v>
      </x:c>
    </x:row>
    <x:row r="68" ht="15" hidden="0">
      <x:c r="A68" s="22" t="s">
        <x:v>123</x:v>
      </x:c>
      <x:c r="B68" s="23"/>
      <x:c r="C68" s="24" t="n">
        <x:v>-813.489</x:v>
      </x:c>
      <x:c r="D68" s="24" t="n">
        <x:v>-971.453</x:v>
      </x:c>
      <x:c r="E68" s="24" t="n">
        <x:v>-1380.607</x:v>
      </x:c>
      <x:c r="F68" s="24" t="n">
        <x:v>-1852.148</x:v>
      </x:c>
      <x:c r="G68" s="24" t="n">
        <x:v>-2176.32</x:v>
      </x:c>
      <x:c r="H68" s="24" t="n">
        <x:v>-784.706</x:v>
      </x:c>
    </x:row>
    <x:row r="69" ht="15" hidden="0">
      <x:c r="A69" s="22" t="s">
        <x:v>124</x:v>
      </x:c>
      <x:c r="B69" s="23"/>
      <x:c r="C69" s="24" t="n">
        <x:v>0</x:v>
      </x:c>
      <x:c r="D69" s="24" t="n">
        <x:v>-209.92</x:v>
      </x:c>
      <x:c r="E69" s="24" t="n">
        <x:v>-191.421</x:v>
      </x:c>
      <x:c r="F69" s="24" t="n">
        <x:v>-357.191</x:v>
      </x:c>
      <x:c r="G69" s="24" t="n">
        <x:v>-514.43</x:v>
      </x:c>
      <x:c r="H69" s="24" t="n">
        <x:v>0</x:v>
      </x:c>
    </x:row>
    <x:row r="70" ht="15" hidden="0">
      <x:c r="A70" s="22" t="s">
        <x:v>125</x:v>
      </x:c>
      <x:c r="B70" s="23"/>
      <x:c r="C70" s="24" t="n">
        <x:v>-524.142</x:v>
      </x:c>
      <x:c r="D70" s="24" t="n">
        <x:v>-742.28</x:v>
      </x:c>
      <x:c r="E70" s="24" t="n">
        <x:v>-995.46</x:v>
      </x:c>
      <x:c r="F70" s="24" t="n">
        <x:v>-569.545</x:v>
      </x:c>
      <x:c r="G70" s="24" t="n">
        <x:v>-1207.018</x:v>
      </x:c>
      <x:c r="H70" s="24" t="n">
        <x:v>-89.999</x:v>
      </x:c>
    </x:row>
    <x:row r="71" ht="15" hidden="0">
      <x:c r="A71" s="25" t="s">
        <x:v>126</x:v>
      </x:c>
      <x:c r="B71" s="26"/>
      <x:c r="C71" s="27" t="n">
        <x:f aca="0">C66+C67+C68+C69+C70</x:f>
        <x:v>5051.398999999998</x:v>
      </x:c>
      <x:c r="D71" s="27" t="n">
        <x:f aca="0">D66+D67+D68+D69+D70</x:f>
        <x:v>8867.937</x:v>
      </x:c>
      <x:c r="E71" s="27" t="n">
        <x:f aca="0">E66+E67+E68+E69+E70</x:f>
        <x:v>11854.768999999997</x:v>
      </x:c>
      <x:c r="F71" s="27" t="n">
        <x:f aca="0">F66+F67+F68+F69+F70</x:f>
        <x:v>12713.591999999999</x:v>
      </x:c>
      <x:c r="G71" s="27" t="n">
        <x:f aca="0">G66+G67+G68+G69+G70</x:f>
        <x:v>15725.293999999998</x:v>
      </x:c>
      <x:c r="H71" s="27" t="n">
        <x:f aca="0">H66+H67+H68+H69+H70</x:f>
        <x:v>-2419.2969999999996</x:v>
      </x:c>
    </x:row>
    <x:row r="72" ht="15" hidden="0">
      <x:c r="A72" s="22" t="s">
        <x:v>127</x:v>
      </x:c>
      <x:c r="B72" s="23"/>
      <x:c r="C72" s="24" t="n">
        <x:v>3732.132</x:v>
      </x:c>
      <x:c r="D72" s="24" t="n">
        <x:v>56.601</x:v>
      </x:c>
      <x:c r="E72" s="24" t="n">
        <x:v>146.646</x:v>
      </x:c>
      <x:c r="F72" s="24" t="n">
        <x:v>238.451</x:v>
      </x:c>
      <x:c r="G72" s="24" t="n">
        <x:v>8462.656</x:v>
      </x:c>
      <x:c r="H72" s="24" t="n">
        <x:v>131.978</x:v>
      </x:c>
    </x:row>
    <x:row r="73" ht="15" hidden="0">
      <x:c r="A73" s="22" t="s">
        <x:v>128</x:v>
      </x:c>
      <x:c r="B73" s="23"/>
      <x:c r="C73" s="24" t="n">
        <x:v>0</x:v>
      </x:c>
      <x:c r="D73" s="24" t="n">
        <x:v>0</x:v>
      </x:c>
      <x:c r="E73" s="24" t="n">
        <x:v>0</x:v>
      </x:c>
      <x:c r="F73" s="24" t="n">
        <x:v>117.691</x:v>
      </x:c>
      <x:c r="G73" s="24" t="n">
        <x:v>1031.075</x:v>
      </x:c>
      <x:c r="H73" s="24" t="n">
        <x:v>0</x:v>
      </x:c>
    </x:row>
    <x:row r="74" ht="15" hidden="0">
      <x:c r="A74" s="22" t="s">
        <x:v>129</x:v>
      </x:c>
      <x:c r="B74" s="23"/>
      <x:c r="C74" s="24" t="n">
        <x:v>0</x:v>
      </x:c>
      <x:c r="D74" s="24" t="n">
        <x:v>0</x:v>
      </x:c>
      <x:c r="E74" s="24" t="n">
        <x:v>0</x:v>
      </x:c>
      <x:c r="F74" s="24" t="n">
        <x:v>0</x:v>
      </x:c>
      <x:c r="G74" s="24" t="n">
        <x:v>0</x:v>
      </x:c>
      <x:c r="H74" s="24" t="n">
        <x:v>0</x:v>
      </x:c>
    </x:row>
    <x:row r="75" ht="15" hidden="0">
      <x:c r="A75" s="22" t="s">
        <x:v>130</x:v>
      </x:c>
      <x:c r="B75" s="23"/>
      <x:c r="C75" s="24" t="n">
        <x:v>-1493.93</x:v>
      </x:c>
      <x:c r="D75" s="24" t="n">
        <x:v>-1741.026</x:v>
      </x:c>
      <x:c r="E75" s="24" t="n">
        <x:v>-2750.748</x:v>
      </x:c>
      <x:c r="F75" s="24" t="n">
        <x:v>-4138.286</x:v>
      </x:c>
      <x:c r="G75" s="24" t="n">
        <x:v>-3554.788</x:v>
      </x:c>
      <x:c r="H75" s="24" t="n">
        <x:v>-2981.722</x:v>
      </x:c>
    </x:row>
    <x:row r="76" ht="15" hidden="0">
      <x:c r="A76" s="25" t="s">
        <x:v>131</x:v>
      </x:c>
      <x:c r="B76" s="26"/>
      <x:c r="C76" s="27" t="n">
        <x:f aca="0">C71+C72+C73+C74+C75</x:f>
        <x:v>7289.600999999997</x:v>
      </x:c>
      <x:c r="D76" s="27" t="n">
        <x:f aca="0">D71+D72+D73+D74+D75</x:f>
        <x:v>7183.512000000001</x:v>
      </x:c>
      <x:c r="E76" s="27" t="n">
        <x:f aca="0">E71+E72+E73+E74+E75</x:f>
        <x:v>9250.666999999998</x:v>
      </x:c>
      <x:c r="F76" s="27" t="n">
        <x:f aca="0">F71+F72+F73+F74+F75</x:f>
        <x:v>8931.447999999999</x:v>
      </x:c>
      <x:c r="G76" s="27" t="n">
        <x:f aca="0">G71+G72+G73+G74+G75</x:f>
        <x:v>21664.236999999997</x:v>
      </x:c>
      <x:c r="H76" s="27" t="n">
        <x:f aca="0">H71+H72+H73+H74+H75</x:f>
        <x:v>-5269.040999999999</x:v>
      </x:c>
    </x:row>
    <x:row r="77" ht="15" hidden="0">
      <x:c r="A77" s="22" t="s">
        <x:v>132</x:v>
      </x:c>
      <x:c r="B77" s="23"/>
      <x:c r="C77" s="24" t="n">
        <x:v>0</x:v>
      </x:c>
      <x:c r="D77" s="24" t="n">
        <x:v>0</x:v>
      </x:c>
      <x:c r="E77" s="24" t="n">
        <x:v>-12.192</x:v>
      </x:c>
      <x:c r="F77" s="24" t="n">
        <x:v>-45.804</x:v>
      </x:c>
      <x:c r="G77" s="24" t="n">
        <x:v>-38.972</x:v>
      </x:c>
      <x:c r="H77" s="24" t="n">
        <x:v>0</x:v>
      </x:c>
    </x:row>
    <x:row r="78" ht="15" hidden="0">
      <x:c r="A78" s="22" t="s">
        <x:v>133</x:v>
      </x:c>
      <x:c r="B78" s="23"/>
      <x:c r="C78" s="24" t="n">
        <x:v>-1035.492</x:v>
      </x:c>
      <x:c r="D78" s="24" t="n">
        <x:v>-3557.172</x:v>
      </x:c>
      <x:c r="E78" s="24" t="n">
        <x:v>-4746.806</x:v>
      </x:c>
      <x:c r="F78" s="24" t="n">
        <x:v>-3613.117</x:v>
      </x:c>
      <x:c r="G78" s="24" t="n">
        <x:v>-4588.891</x:v>
      </x:c>
      <x:c r="H78" s="24" t="n">
        <x:v>425.776</x:v>
      </x:c>
    </x:row>
    <x:row r="79" ht="15" hidden="0">
      <x:c r="A79" s="25" t="s">
        <x:v>134</x:v>
      </x:c>
      <x:c r="B79" s="26"/>
      <x:c r="C79" s="27" t="n">
        <x:f aca="0">C76+C77+C78</x:f>
        <x:v>6254.108999999997</x:v>
      </x:c>
      <x:c r="D79" s="27" t="n">
        <x:f aca="0">D76+D77+D78</x:f>
        <x:v>3626.3400000000006</x:v>
      </x:c>
      <x:c r="E79" s="27" t="n">
        <x:f aca="0">E76+E77+E78</x:f>
        <x:v>4491.668999999999</x:v>
      </x:c>
      <x:c r="F79" s="27" t="n">
        <x:f aca="0">F76+F77+F78</x:f>
        <x:v>5272.526999999998</x:v>
      </x:c>
      <x:c r="G79" s="27" t="n">
        <x:f aca="0">G76+G77+G78</x:f>
        <x:v>17036.373999999996</x:v>
      </x:c>
      <x:c r="H79" s="27" t="n">
        <x:f aca="0">H76+H77+H78</x:f>
        <x:v>-4843.264999999999</x:v>
      </x:c>
    </x:row>
    <x:row r="80" ht="15" hidden="0">
      <x:c r="A80" s="20" t="s">
        <x:v>135</x:v>
      </x:c>
      <x:c r="B80" s="21"/>
      <x:c r="C80" s="21"/>
      <x:c r="D80" s="21"/>
      <x:c r="E80" s="21"/>
      <x:c r="F80" s="21"/>
      <x:c r="G80" s="21"/>
      <x:c r="H80" s="21"/>
    </x:row>
    <x:row r="81" ht="15" hidden="0">
      <x:c r="A81" s="22" t="s">
        <x:v>136</x:v>
      </x:c>
      <x:c r="B81" s="23"/>
      <x:c r="C81" s="24" t="n">
        <x:v>3287.702</x:v>
      </x:c>
      <x:c r="D81" s="24" t="n">
        <x:v>3233.977</x:v>
      </x:c>
      <x:c r="E81" s="24" t="n">
        <x:v>3475.349</x:v>
      </x:c>
      <x:c r="F81" s="24" t="n">
        <x:v>4520.347</x:v>
      </x:c>
      <x:c r="G81" s="24" t="n">
        <x:v>4413.3</x:v>
      </x:c>
      <x:c r="H81" s="24" t="n">
        <x:v>3305.561</x:v>
      </x:c>
    </x:row>
    <x:row r="82" ht="15" hidden="0">
      <x:c r="A82" s="22" t="s">
        <x:v>137</x:v>
      </x:c>
      <x:c r="B82" s="23"/>
      <x:c r="C82" s="24" t="n">
        <x:f aca="0">C76-C75</x:f>
        <x:v>8783.530999999997</x:v>
      </x:c>
      <x:c r="D82" s="24" t="n">
        <x:f aca="0">D76-D75</x:f>
        <x:v>8924.538</x:v>
      </x:c>
      <x:c r="E82" s="24" t="n">
        <x:f aca="0">E76-E75</x:f>
        <x:v>12001.414999999997</x:v>
      </x:c>
      <x:c r="F82" s="24" t="n">
        <x:f aca="0">F76-F75</x:f>
        <x:v>13069.733999999999</x:v>
      </x:c>
      <x:c r="G82" s="24" t="n">
        <x:f aca="0">G76-G75</x:f>
        <x:v>25219.024999999998</x:v>
      </x:c>
      <x:c r="H82" s="24" t="n">
        <x:f aca="0">H76-H75</x:f>
        <x:v>-2287.318999999999</x:v>
      </x:c>
    </x:row>
    <x:row r="83" ht="15" hidden="0">
      <x:c r="A83" s="22" t="s">
        <x:v>138</x:v>
      </x:c>
      <x:c r="B83" s="23"/>
      <x:c r="C83" s="24" t="n">
        <x:f aca="0">C82+C81</x:f>
        <x:v>12071.232999999997</x:v>
      </x:c>
      <x:c r="D83" s="24" t="n">
        <x:f aca="0">D82+D81</x:f>
        <x:v>12158.515</x:v>
      </x:c>
      <x:c r="E83" s="24" t="n">
        <x:f aca="0">E82+E81</x:f>
        <x:v>15476.763999999997</x:v>
      </x:c>
      <x:c r="F83" s="24" t="n">
        <x:f aca="0">F82+F81</x:f>
        <x:v>17590.081</x:v>
      </x:c>
      <x:c r="G83" s="24" t="n">
        <x:f aca="0">G82+G81</x:f>
        <x:v>29632.324999999997</x:v>
      </x:c>
      <x:c r="H83" s="24" t="n">
        <x:f aca="0">H82+H81</x:f>
        <x:v>1018.2420000000011</x:v>
      </x:c>
    </x:row>
    <x:row r="84" ht="15" hidden="0">
      <x:c r="A84" s="22" t="s">
        <x:v>139</x:v>
      </x:c>
      <x:c r="B84" s="23"/>
      <x:c r="C84" s="24" t="n">
        <x:v>46.652</x:v>
      </x:c>
      <x:c r="D84" s="24" t="n">
        <x:v>51.001</x:v>
      </x:c>
      <x:c r="E84" s="24" t="n">
        <x:v>67.573</x:v>
      </x:c>
      <x:c r="F84" s="24" t="n">
        <x:v>82.866</x:v>
      </x:c>
      <x:c r="G84" s="24" t="n">
        <x:v>140.834</x:v>
      </x:c>
      <x:c r="H84" s="28"/>
    </x:row>
    <x:row r="85" ht="15" hidden="0">
      <x:c r="A85" s="22" t="s">
        <x:v>140</x:v>
      </x:c>
      <x:c r="B85" s="23"/>
      <x:c r="C85" s="24" t="n">
        <x:f aca="0">-C75-C84</x:f>
        <x:v>1447.278</x:v>
      </x:c>
      <x:c r="D85" s="24" t="n">
        <x:f aca="0">-D75-D84</x:f>
        <x:v>1690.025</x:v>
      </x:c>
      <x:c r="E85" s="24" t="n">
        <x:f aca="0">-E75-E84</x:f>
        <x:v>2683.175</x:v>
      </x:c>
      <x:c r="F85" s="24" t="n">
        <x:f aca="0">-F75-F84</x:f>
        <x:v>4055.42</x:v>
      </x:c>
      <x:c r="G85" s="24" t="n">
        <x:f aca="0">-G75-G84</x:f>
        <x:v>3413.954</x:v>
      </x:c>
      <x:c r="H85" s="28"/>
    </x:row>
    <x:row r="86" ht="15" hidden="0">
      <x:c r="A86" s="22" t="s">
        <x:v>141</x:v>
      </x:c>
      <x:c r="B86" s="23"/>
      <x:c r="C86" s="29" t="n">
        <x:f aca="0">IF(C76&lt;=0,"n/m",-(C77+C78)/C76)</x:f>
        <x:v>0.14205057313836525</x:v>
      </x:c>
      <x:c r="D86" s="29" t="n">
        <x:f aca="0">IF(D76&lt;=0,"n/m",-(D77+D78)/D76)</x:f>
        <x:v>0.4951856417863574</x:v>
      </x:c>
      <x:c r="E86" s="29" t="n">
        <x:f aca="0">IF(E76&lt;=0,"n/m",-(E77+E78)/E76)</x:f>
        <x:v>0.5144491743135928</x:v>
      </x:c>
      <x:c r="F86" s="29" t="n">
        <x:f aca="0">IF(F76&lt;=0,"n/m",-(F77+F78)/F76)</x:f>
        <x:v>0.4096671670707819</x:v>
      </x:c>
      <x:c r="G86" s="29" t="n">
        <x:f aca="0">IF(G76&lt;=0,"n/m",-(G77+G78)/G76)</x:f>
        <x:v>0.2136176316756505</x:v>
      </x:c>
      <x:c r="H86" s="28"/>
    </x:row>
    <x:row r="87" ht="15" hidden="0">
      <x:c r="A87" s="22" t="s">
        <x:v>142</x:v>
      </x:c>
      <x:c r="B87" s="23"/>
      <x:c r="C87" s="29" t="n">
        <x:f aca="0">IF(AND(ISNUMBER(C86),C86&gt;=0,C86&lt;=0.6),C86,Overview!$C$30)</x:f>
        <x:v>0.14205057313836525</x:v>
      </x:c>
      <x:c r="D87" s="29" t="n">
        <x:f aca="0">IF(AND(ISNUMBER(D86),D86&gt;=0,D86&lt;=0.6),D86,Overview!$D$30)</x:f>
        <x:v>0.4951856417863574</x:v>
      </x:c>
      <x:c r="E87" s="29" t="n">
        <x:f aca="0">IF(AND(ISNUMBER(E86),E86&gt;=0,E86&lt;=0.6),E86,Overview!$E$30)</x:f>
        <x:v>0.5144491743135928</x:v>
      </x:c>
      <x:c r="F87" s="29" t="n">
        <x:f aca="0">IF(AND(ISNUMBER(F86),F86&gt;=0,F86&lt;=0.6),F86,Overview!$F$30)</x:f>
        <x:v>0.4096671670707819</x:v>
      </x:c>
      <x:c r="G87" s="29" t="n">
        <x:f aca="0">IF(AND(ISNUMBER(G86),G86&gt;=0,G86&lt;=0.6),G86,Overview!$G$30)</x:f>
        <x:v>0.2136176316756505</x:v>
      </x:c>
      <x:c r="H87" s="28"/>
    </x:row>
    <x:row r="88" ht="15" hidden="0">
      <x:c r="A88" s="22" t="s">
        <x:v>143</x:v>
      </x:c>
      <x:c r="B88" s="23"/>
      <x:c r="C88" s="24" t="n">
        <x:f aca="0">C82*(1-C87)</x:f>
        <x:v>7535.825387271399</x:v>
      </x:c>
      <x:c r="D88" s="24" t="n">
        <x:f aca="0">D82*(1-D87)</x:f>
        <x:v>4505.234922823266</x:v>
      </x:c>
      <x:c r="E88" s="24" t="n">
        <x:f aca="0">E82*(1-E87)</x:f>
        <x:v>5827.296962655231</x:v>
      </x:c>
      <x:c r="F88" s="24" t="n">
        <x:f aca="0">F82*(1-F87)</x:f>
        <x:v>7715.493097851321</x:v>
      </x:c>
      <x:c r="G88" s="24" t="n">
        <x:f aca="0">G82*(1-G87)</x:f>
        <x:v>19831.796606330976</x:v>
      </x:c>
      <x:c r="H88" s="28"/>
    </x:row>
    <x:row r="90" ht="19.5" hidden="0" customHeight="1">
      <x:c r="A90" s="5" t="s">
        <x:v>144</x:v>
      </x:c>
      <x:c r="B90" s="6"/>
      <x:c r="C90" s="6"/>
      <x:c r="D90" s="6"/>
      <x:c r="E90" s="6"/>
      <x:c r="F90" s="6"/>
      <x:c r="G90" s="6"/>
      <x:c r="H90" s="6"/>
    </x:row>
    <x:row r="91" ht="16.5" hidden="0" customHeight="1">
      <x:c r="A91" s="17" t="s">
        <x:v>63</x:v>
      </x:c>
      <x:c r="B91" s="18"/>
      <x:c r="C91" s="19" t="s">
        <x:v>48</x:v>
      </x:c>
      <x:c r="D91" s="19" t="s">
        <x:v>49</x:v>
      </x:c>
      <x:c r="E91" s="19" t="s">
        <x:v>50</x:v>
      </x:c>
      <x:c r="F91" s="19" t="s">
        <x:v>51</x:v>
      </x:c>
      <x:c r="G91" s="19" t="s">
        <x:v>52</x:v>
      </x:c>
      <x:c r="H91" s="19" t="s">
        <x:v>64</x:v>
      </x:c>
    </x:row>
    <x:row r="92" ht="15" hidden="0">
      <x:c r="A92" s="22" t="s">
        <x:v>145</x:v>
      </x:c>
      <x:c r="B92" s="23"/>
      <x:c r="C92" s="24" t="n">
        <x:v>9013.169</x:v>
      </x:c>
      <x:c r="D92" s="24" t="n">
        <x:v>12905.198</x:v>
      </x:c>
      <x:c r="E92" s="24" t="n">
        <x:v>19906.827</x:v>
      </x:c>
      <x:c r="F92" s="24" t="n">
        <x:v>12810.292</x:v>
      </x:c>
      <x:c r="G92" s="24" t="n">
        <x:v>23320.309</x:v>
      </x:c>
      <x:c r="H92" s="24" t="n">
        <x:v>1047.196</x:v>
      </x:c>
    </x:row>
    <x:row r="93" ht="15" hidden="0">
      <x:c r="A93" s="22" t="s">
        <x:v>146</x:v>
      </x:c>
      <x:c r="B93" s="23"/>
      <x:c r="C93" s="24" t="n">
        <x:v>6551.967</x:v>
      </x:c>
      <x:c r="D93" s="24" t="n">
        <x:v>8330.107</x:v>
      </x:c>
      <x:c r="E93" s="24" t="n">
        <x:v>20143.665</x:v>
      </x:c>
      <x:c r="F93" s="24" t="n">
        <x:v>9496.243</x:v>
      </x:c>
      <x:c r="G93" s="24" t="n">
        <x:v>19316.637</x:v>
      </x:c>
      <x:c r="H93" s="24" t="n">
        <x:v>-937.724</x:v>
      </x:c>
    </x:row>
    <x:row r="94" ht="15" hidden="0">
      <x:c r="A94" s="22" t="s">
        <x:v>147</x:v>
      </x:c>
      <x:c r="B94" s="23"/>
      <x:c r="C94" s="24" t="n">
        <x:v>251.007</x:v>
      </x:c>
      <x:c r="D94" s="24" t="n">
        <x:v>-15819.32</x:v>
      </x:c>
      <x:c r="E94" s="24" t="n">
        <x:v>-12174.483</x:v>
      </x:c>
      <x:c r="F94" s="24" t="n">
        <x:v>-3030.885</x:v>
      </x:c>
      <x:c r="G94" s="24" t="n">
        <x:v>-9999.04</x:v>
      </x:c>
      <x:c r="H94" s="24" t="n">
        <x:v>-823.587</x:v>
      </x:c>
    </x:row>
    <x:row r="95" ht="15" hidden="0">
      <x:c r="A95" s="22" t="s">
        <x:v>148</x:v>
      </x:c>
      <x:c r="B95" s="23"/>
      <x:c r="C95" s="24" t="n">
        <x:v>-6732.688</x:v>
      </x:c>
      <x:c r="D95" s="24" t="n">
        <x:v>6601.516</x:v>
      </x:c>
      <x:c r="E95" s="24" t="n">
        <x:v>-6632.403</x:v>
      </x:c>
      <x:c r="F95" s="24" t="n">
        <x:v>-7482.362</x:v>
      </x:c>
      <x:c r="G95" s="24" t="n">
        <x:v>-7569.161</x:v>
      </x:c>
      <x:c r="H95" s="24" t="n">
        <x:v>2786.392</x:v>
      </x:c>
    </x:row>
    <x:row r="96" ht="15" hidden="0">
      <x:c r="A96" s="22" t="s">
        <x:v>149</x:v>
      </x:c>
      <x:c r="B96" s="23"/>
      <x:c r="C96" s="24" t="n">
        <x:v>-3285.3</x:v>
      </x:c>
      <x:c r="D96" s="24" t="n">
        <x:v>-15790.494</x:v>
      </x:c>
      <x:c r="E96" s="24" t="n">
        <x:v>-9071.126</x:v>
      </x:c>
      <x:c r="F96" s="24" t="n">
        <x:v>-3099.319</x:v>
      </x:c>
      <x:c r="G96" s="24" t="n">
        <x:v>-423.781</x:v>
      </x:c>
      <x:c r="H96" s="24" t="n">
        <x:v>-855.476</x:v>
      </x:c>
    </x:row>
    <x:row r="97" ht="15" hidden="0">
      <x:c r="A97" s="22" t="s">
        <x:v>150</x:v>
      </x:c>
      <x:c r="B97" s="23"/>
      <x:c r="C97" s="24" t="n">
        <x:v>-1733.621</x:v>
      </x:c>
      <x:c r="D97" s="24" t="n">
        <x:v>-1296.781</x:v>
      </x:c>
      <x:c r="E97" s="24" t="n">
        <x:v>-2527.786</x:v>
      </x:c>
      <x:c r="F97" s="24" t="n">
        <x:v>-4145.538</x:v>
      </x:c>
      <x:c r="G97" s="24" t="n">
        <x:v>-4093.012</x:v>
      </x:c>
      <x:c r="H97" s="24" t="n">
        <x:v>-3011.992</x:v>
      </x:c>
    </x:row>
    <x:row r="98" ht="15" hidden="0">
      <x:c r="A98" s="22" t="s">
        <x:v>151</x:v>
      </x:c>
      <x:c r="B98" s="23"/>
      <x:c r="C98" s="24" t="n">
        <x:v>-19.919</x:v>
      </x:c>
      <x:c r="D98" s="24" t="n">
        <x:v>-0.565</x:v>
      </x:c>
      <x:c r="E98" s="24" t="n">
        <x:v>-0.191</x:v>
      </x:c>
      <x:c r="F98" s="24" t="n">
        <x:v>-0.122</x:v>
      </x:c>
      <x:c r="G98" s="24" t="n">
        <x:v>-0.379</x:v>
      </x:c>
      <x:c r="H98" s="24" t="n">
        <x:v>-289.361</x:v>
      </x:c>
    </x:row>
    <x:row r="100" ht="19.5" hidden="0" customHeight="1">
      <x:c r="A100" s="5" t="s">
        <x:v>152</x:v>
      </x:c>
      <x:c r="B100" s="6"/>
      <x:c r="C100" s="6"/>
      <x:c r="D100" s="6"/>
      <x:c r="E100" s="6"/>
      <x:c r="F100" s="6"/>
      <x:c r="G100" s="6"/>
      <x:c r="H100" s="6"/>
    </x:row>
    <x:row r="101" ht="16.5" hidden="0" customHeight="1">
      <x:c r="A101" s="17" t="s">
        <x:v>63</x:v>
      </x:c>
      <x:c r="B101" s="18"/>
      <x:c r="C101" s="19" t="s">
        <x:v>48</x:v>
      </x:c>
      <x:c r="D101" s="19" t="s">
        <x:v>49</x:v>
      </x:c>
      <x:c r="E101" s="19" t="s">
        <x:v>50</x:v>
      </x:c>
      <x:c r="F101" s="19" t="s">
        <x:v>51</x:v>
      </x:c>
      <x:c r="G101" s="19" t="s">
        <x:v>52</x:v>
      </x:c>
    </x:row>
    <x:row r="102" ht="15" hidden="0">
      <x:c r="A102" s="22" t="s">
        <x:v>153</x:v>
      </x:c>
      <x:c r="B102" s="23"/>
      <x:c r="C102" s="30" t="n">
        <x:v>10</x:v>
      </x:c>
      <x:c r="D102" s="30" t="n">
        <x:v>10</x:v>
      </x:c>
      <x:c r="E102" s="30" t="n">
        <x:v>10</x:v>
      </x:c>
      <x:c r="F102" s="30" t="n">
        <x:v>10</x:v>
      </x:c>
      <x:c r="G102" s="30" t="n">
        <x:v>10</x:v>
      </x:c>
    </x:row>
    <x:row r="103" ht="15" hidden="0">
      <x:c r="A103" s="22" t="s">
        <x:v>154</x:v>
      </x:c>
      <x:c r="B103" s="23"/>
      <x:c r="C103" s="31" t="n">
        <x:f aca="0">C27/C102-C107</x:f>
        <x:v>1098.3462</x:v>
      </x:c>
      <x:c r="D103" s="31" t="n">
        <x:f aca="0">D27/D102-D107</x:f>
        <x:v>1079.8011999999999</x:v>
      </x:c>
      <x:c r="E103" s="31" t="n">
        <x:f aca="0">E27/E102-E107</x:f>
        <x:v>1073.3462</x:v>
      </x:c>
      <x:c r="F103" s="31" t="n">
        <x:f aca="0">F27/F102-F107</x:f>
        <x:v>1047.5626</x:v>
      </x:c>
      <x:c r="G103" s="31" t="n">
        <x:f aca="0">G27/G102-G107</x:f>
        <x:v>1047.5626</x:v>
      </x:c>
    </x:row>
    <x:row r="104" ht="15" hidden="0">
      <x:c r="A104" s="22" t="s">
        <x:v>155</x:v>
      </x:c>
      <x:c r="B104" s="23"/>
      <x:c r="C104" s="31" t="n">
        <x:v>1098.346</x:v>
      </x:c>
      <x:c r="D104" s="31" t="n">
        <x:v>1097.524</x:v>
      </x:c>
      <x:c r="E104" s="31" t="n">
        <x:v>1073.405</x:v>
      </x:c>
      <x:c r="F104" s="31" t="n">
        <x:v>1058.911</x:v>
      </x:c>
      <x:c r="G104" s="31" t="n">
        <x:v>1047.563</x:v>
      </x:c>
    </x:row>
    <x:row r="105" ht="15" hidden="0">
      <x:c r="A105" s="22" t="str">
        <x:v>FY-end share price (Rs; last PSX close)</x:v>
      </x:c>
      <x:c r="B105" s="23"/>
      <x:c r="C105" s="30" t="n">
        <x:v>46.98</x:v>
      </x:c>
      <x:c r="D105" s="30" t="n">
        <x:v>27.35</x:v>
      </x:c>
      <x:c r="E105" s="30" t="n">
        <x:v>28.33</x:v>
      </x:c>
      <x:c r="F105" s="30" t="n">
        <x:v>38</x:v>
      </x:c>
      <x:c r="G105" s="30" t="n">
        <x:v>84.28</x:v>
      </x:c>
    </x:row>
    <x:row r="106" ht="15" hidden="0">
      <x:c r="A106" s="22" t="s">
        <x:v>156</x:v>
      </x:c>
      <x:c r="B106" s="23"/>
      <x:c r="C106" s="30" t="n">
        <x:v>0</x:v>
      </x:c>
      <x:c r="D106" s="30" t="n">
        <x:v>0</x:v>
      </x:c>
      <x:c r="E106" s="30" t="n">
        <x:v>0</x:v>
      </x:c>
      <x:c r="F106" s="30" t="n">
        <x:v>0</x:v>
      </x:c>
      <x:c r="G106" s="30" t="n">
        <x:v>0</x:v>
      </x:c>
    </x:row>
    <x:row r="107">
      <x:c r="A107" s="22" t="str">
        <x:v>Treasury shares excluded (million)</x:v>
      </x:c>
      <x:c r="B107" s="23"/>
      <x:c r="C107" s="30" t="n">
        <x:v>0</x:v>
      </x:c>
      <x:c r="D107" s="30" t="n">
        <x:v>18.545</x:v>
      </x:c>
      <x:c r="E107" s="30" t="n">
        <x:v>0</x:v>
      </x:c>
      <x:c r="F107" s="30" t="n">
        <x:v>0</x:v>
      </x:c>
      <x:c r="G107" s="30" t="n">
        <x:v>0</x:v>
      </x:c>
    </x:row>
    <x:row r="108" ht="19.5" hidden="0" customHeight="1">
      <x:c r="A108" s="5" t="s">
        <x:v>157</x:v>
      </x:c>
      <x:c r="B108" s="6"/>
      <x:c r="C108" s="6"/>
      <x:c r="D108" s="6"/>
      <x:c r="E108" s="6"/>
      <x:c r="F108" s="6"/>
      <x:c r="G108" s="6"/>
      <x:c r="H108" s="6"/>
    </x:row>
    <x:row r="109" ht="16.5" hidden="0" customHeight="1">
      <x:c r="A109" s="32" t="s">
        <x:v>158</x:v>
      </x:c>
      <x:c r="B109" s="32" t="s">
        <x:v>159</x:v>
      </x:c>
      <x:c r="C109" s="19" t="s">
        <x:v>48</x:v>
      </x:c>
      <x:c r="D109" s="19" t="s">
        <x:v>49</x:v>
      </x:c>
      <x:c r="E109" s="19" t="s">
        <x:v>50</x:v>
      </x:c>
      <x:c r="F109" s="19" t="s">
        <x:v>51</x:v>
      </x:c>
      <x:c r="G109" s="19" t="s">
        <x:v>52</x:v>
      </x:c>
    </x:row>
    <x:row r="110" ht="15" hidden="0">
      <x:c r="A110" s="20" t="s">
        <x:v>160</x:v>
      </x:c>
      <x:c r="B110" s="21"/>
      <x:c r="C110" s="21"/>
      <x:c r="D110" s="21"/>
      <x:c r="E110" s="21"/>
      <x:c r="F110" s="21"/>
      <x:c r="G110" s="21"/>
    </x:row>
    <x:row r="111" ht="15" hidden="0">
      <x:c r="A111" s="33" t="s">
        <x:v>161</x:v>
      </x:c>
      <x:c r="B111" s="34" t="s">
        <x:v>162</x:v>
      </x:c>
      <x:c r="C111" s="35" t="n">
        <x:f aca="0">C24/C48</x:f>
        <x:v>1.4780988568182505</x:v>
      </x:c>
      <x:c r="D111" s="35" t="n">
        <x:f aca="0">D24/D48</x:f>
        <x:v>1.2549557408945418</x:v>
      </x:c>
      <x:c r="E111" s="35" t="n">
        <x:f aca="0">E24/E48</x:f>
        <x:v>1.3715472215546312</x:v>
      </x:c>
      <x:c r="F111" s="35" t="n">
        <x:f aca="0">F24/F48</x:f>
        <x:v>1.444678241512437</x:v>
      </x:c>
      <x:c r="G111" s="35" t="n">
        <x:f aca="0">G24/G48</x:f>
        <x:v>1.5324411303645513</x:v>
      </x:c>
    </x:row>
    <x:row r="112" ht="15" hidden="0">
      <x:c r="A112" s="33" t="s">
        <x:v>163</x:v>
      </x:c>
      <x:c r="B112" s="34" t="s">
        <x:v>164</x:v>
      </x:c>
      <x:c r="C112" s="35" t="n">
        <x:f aca="0">(C24-C54)/C48</x:f>
        <x:v>0.439716919103873</x:v>
      </x:c>
      <x:c r="D112" s="35" t="n">
        <x:f aca="0">(D24-D54)/D48</x:f>
        <x:v>0.29473524106223353</x:v>
      </x:c>
      <x:c r="E112" s="35" t="n">
        <x:f aca="0">(E24-E54)/E48</x:f>
        <x:v>0.5204561252187091</x:v>
      </x:c>
      <x:c r="F112" s="35" t="n">
        <x:f aca="0">(F24-F54)/F48</x:f>
        <x:v>0.6094267063846261</x:v>
      </x:c>
      <x:c r="G112" s="35" t="n">
        <x:f aca="0">(G24-G54)/G48</x:f>
        <x:v>0.8078828259550986</x:v>
      </x:c>
    </x:row>
    <x:row r="113" ht="15" hidden="0">
      <x:c r="A113" s="33" t="s">
        <x:v>165</x:v>
      </x:c>
      <x:c r="B113" s="34" t="s">
        <x:v>166</x:v>
      </x:c>
      <x:c r="C113" s="35" t="n">
        <x:f aca="0">C22/C48</x:f>
        <x:v>0.0428255580531044</x:v>
      </x:c>
      <x:c r="D113" s="35" t="n">
        <x:f aca="0">D22/D48</x:f>
        <x:v>0.04900616554000333</x:v>
      </x:c>
      <x:c r="E113" s="35" t="n">
        <x:f aca="0">E22/E48</x:f>
        <x:v>0.04568029853307005</x:v>
      </x:c>
      <x:c r="F113" s="35" t="n">
        <x:f aca="0">F22/F48</x:f>
        <x:v>0.06094333738399166</x:v>
      </x:c>
      <x:c r="G113" s="35" t="n">
        <x:f aca="0">G22/G48</x:f>
        <x:v>0.06924333482737245</x:v>
      </x:c>
    </x:row>
    <x:row r="114" ht="15" hidden="0">
      <x:c r="A114" s="33" t="s">
        <x:v>167</x:v>
      </x:c>
      <x:c r="B114" s="34" t="s">
        <x:v>168</x:v>
      </x:c>
      <x:c r="C114" s="36" t="n">
        <x:f aca="0">C24-C48</x:f>
        <x:v>5473.968000000003</x:v>
      </x:c>
      <x:c r="D114" s="36" t="n">
        <x:f aca="0">D24-D48</x:f>
        <x:v>4128.598000000004</x:v>
      </x:c>
      <x:c r="E114" s="36" t="n">
        <x:f aca="0">E24-E48</x:f>
        <x:v>6024.645999999997</x:v>
      </x:c>
      <x:c r="F114" s="36" t="n">
        <x:f aca="0">F24-F48</x:f>
        <x:v>8270.037</x:v>
      </x:c>
      <x:c r="G114" s="36" t="n">
        <x:f aca="0">G24-G48</x:f>
        <x:v>12422.112999999994</x:v>
      </x:c>
    </x:row>
    <x:row r="115" ht="15" hidden="0">
      <x:c r="A115" s="33" t="s">
        <x:v>169</x:v>
      </x:c>
      <x:c r="B115" s="34" t="s">
        <x:v>170</x:v>
      </x:c>
      <x:c r="C115" s="36" t="n">
        <x:f aca="0">C59-C60</x:f>
        <x:v>8772.302000000001</x:v>
      </x:c>
      <x:c r="D115" s="36" t="n">
        <x:f aca="0">D59-D60</x:f>
        <x:v>10212.653</x:v>
      </x:c>
      <x:c r="E115" s="36" t="n">
        <x:f aca="0">E59-E60</x:f>
        <x:v>5291.223999999998</x:v>
      </x:c>
      <x:c r="F115" s="36" t="n">
        <x:f aca="0">F59-F60</x:f>
        <x:v>9031.93</x:v>
      </x:c>
      <x:c r="G115" s="36" t="n">
        <x:f aca="0">G59-G60</x:f>
        <x:v>4949.648999999998</x:v>
      </x:c>
    </x:row>
    <x:row r="116" ht="15" hidden="0">
      <x:c r="A116" s="20" t="s">
        <x:v>171</x:v>
      </x:c>
      <x:c r="B116" s="21"/>
      <x:c r="C116" s="21"/>
      <x:c r="D116" s="21"/>
      <x:c r="E116" s="21"/>
      <x:c r="F116" s="21"/>
      <x:c r="G116" s="21"/>
    </x:row>
    <x:row r="117" ht="15" hidden="0">
      <x:c r="A117" s="33" t="s">
        <x:v>172</x:v>
      </x:c>
      <x:c r="B117" s="34" t="s">
        <x:v>173</x:v>
      </x:c>
      <x:c r="C117" s="35" t="n">
        <x:f aca="0">-C65/AVERAGE(H54,C54)</x:f>
        <x:v>2.5503561154199565</x:v>
      </x:c>
      <x:c r="D117" s="35" t="n">
        <x:f aca="0">-D65/AVERAGE(C54,D54)</x:f>
        <x:v>2.6418827583195736</x:v>
      </x:c>
      <x:c r="E117" s="35" t="n">
        <x:f aca="0">-E65/AVERAGE(D54,E54)</x:f>
        <x:v>2.991643999189634</x:v>
      </x:c>
      <x:c r="F117" s="35" t="n">
        <x:f aca="0">-F65/AVERAGE(E54,F54)</x:f>
        <x:v>3.101356599565812</x:v>
      </x:c>
      <x:c r="G117" s="35" t="n">
        <x:f aca="0">-G65/AVERAGE(F54,G54)</x:f>
        <x:v>2.786573287705566</x:v>
      </x:c>
    </x:row>
    <x:row r="118" ht="15" hidden="0">
      <x:c r="A118" s="33" t="s">
        <x:v>174</x:v>
      </x:c>
      <x:c r="B118" s="34" t="s">
        <x:v>175</x:v>
      </x:c>
      <x:c r="C118" s="35" t="n">
        <x:f aca="0">C64/AVERAGE(H20,C20)</x:f>
        <x:v>15.020941563038772</x:v>
      </x:c>
      <x:c r="D118" s="35" t="n">
        <x:f aca="0">D64/AVERAGE(C20,D20)</x:f>
        <x:v>25.905344380386534</x:v>
      </x:c>
      <x:c r="E118" s="35" t="n">
        <x:f aca="0">E64/AVERAGE(D20,E20)</x:f>
        <x:v>26.600659453629234</x:v>
      </x:c>
      <x:c r="F118" s="35" t="n">
        <x:f aca="0">F64/AVERAGE(E20,F20)</x:f>
        <x:v>19.574371293114748</x:v>
      </x:c>
      <x:c r="G118" s="35" t="n">
        <x:f aca="0">G64/AVERAGE(F20,G20)</x:f>
        <x:v>15.67064847793373</x:v>
      </x:c>
    </x:row>
    <x:row r="119" ht="15" hidden="0">
      <x:c r="A119" s="33" t="s">
        <x:v>176</x:v>
      </x:c>
      <x:c r="B119" s="34" t="s">
        <x:v>177</x:v>
      </x:c>
      <x:c r="C119" s="35" t="n">
        <x:f aca="0">-C65/AVERAGE(H52,C52)</x:f>
        <x:v>7.602018186210061</x:v>
      </x:c>
      <x:c r="D119" s="35" t="n">
        <x:f aca="0">-D65/AVERAGE(C52,D52)</x:f>
        <x:v>9.676565320005555</x:v>
      </x:c>
      <x:c r="E119" s="35" t="n">
        <x:f aca="0">-E65/AVERAGE(D52,E52)</x:f>
        <x:v>10.00035671705504</x:v>
      </x:c>
      <x:c r="F119" s="35" t="n">
        <x:f aca="0">-F65/AVERAGE(E52,F52)</x:f>
        <x:v>9.699427349071424</x:v>
      </x:c>
      <x:c r="G119" s="35" t="n">
        <x:f aca="0">-G65/AVERAGE(F52,G52)</x:f>
        <x:v>8.654036933716114</x:v>
      </x:c>
    </x:row>
    <x:row r="120" ht="15" hidden="0">
      <x:c r="A120" s="33" t="s">
        <x:v>178</x:v>
      </x:c>
      <x:c r="B120" s="34" t="s">
        <x:v>179</x:v>
      </x:c>
      <x:c r="C120" s="37" t="n">
        <x:f aca="0">365/C117</x:f>
        <x:v>143.11726813096334</x:v>
      </x:c>
      <x:c r="D120" s="37" t="n">
        <x:f aca="0">365/D117</x:f>
        <x:v>138.1590454196257</x:v>
      </x:c>
      <x:c r="E120" s="37" t="n">
        <x:f aca="0">365/E117</x:f>
        <x:v>122.0064954583065</x:v>
      </x:c>
      <x:c r="F120" s="37" t="n">
        <x:f aca="0">365/F117</x:f>
        <x:v>117.69043264844157</x:v>
      </x:c>
      <x:c r="G120" s="37" t="n">
        <x:f aca="0">365/G117</x:f>
        <x:v>130.98525045452405</x:v>
      </x:c>
    </x:row>
    <x:row r="121" ht="15" hidden="0">
      <x:c r="A121" s="33" t="s">
        <x:v>180</x:v>
      </x:c>
      <x:c r="B121" s="34" t="s">
        <x:v>181</x:v>
      </x:c>
      <x:c r="C121" s="37" t="n">
        <x:f aca="0">365/C118</x:f>
        <x:v>24.299408826550263</x:v>
      </x:c>
      <x:c r="D121" s="37" t="n">
        <x:f aca="0">365/D118</x:f>
        <x:v>14.089756717395696</x:v>
      </x:c>
      <x:c r="E121" s="37" t="n">
        <x:f aca="0">365/E118</x:f>
        <x:v>13.721464335734789</x:v>
      </x:c>
      <x:c r="F121" s="37" t="n">
        <x:f aca="0">365/F118</x:f>
        <x:v>18.64683133544055</x:v>
      </x:c>
      <x:c r="G121" s="37" t="n">
        <x:f aca="0">365/G118</x:f>
        <x:v>23.29195250049585</x:v>
      </x:c>
    </x:row>
    <x:row r="122" ht="15" hidden="0">
      <x:c r="A122" s="33" t="s">
        <x:v>182</x:v>
      </x:c>
      <x:c r="B122" s="34" t="s">
        <x:v>183</x:v>
      </x:c>
      <x:c r="C122" s="37" t="n">
        <x:f aca="0">365/C119</x:f>
        <x:v>48.013565747856816</x:v>
      </x:c>
      <x:c r="D122" s="37" t="n">
        <x:f aca="0">365/D119</x:f>
        <x:v>37.71999546630358</x:v>
      </x:c>
      <x:c r="E122" s="37" t="n">
        <x:f aca="0">365/E119</x:f>
        <x:v>36.498698029192624</x:v>
      </x:c>
      <x:c r="F122" s="37" t="n">
        <x:f aca="0">365/F119</x:f>
        <x:v>37.63108757497352</x:v>
      </x:c>
      <x:c r="G122" s="37" t="n">
        <x:f aca="0">365/G119</x:f>
        <x:v>42.1768479607431</x:v>
      </x:c>
    </x:row>
    <x:row r="123" ht="15" hidden="0">
      <x:c r="A123" s="33" t="s">
        <x:v>184</x:v>
      </x:c>
      <x:c r="B123" s="34" t="s">
        <x:v>185</x:v>
      </x:c>
      <x:c r="C123" s="37" t="n">
        <x:f aca="0">C120+C121</x:f>
        <x:v>167.4166769575136</x:v>
      </x:c>
      <x:c r="D123" s="37" t="n">
        <x:f aca="0">D120+D121</x:f>
        <x:v>152.24880213702139</x:v>
      </x:c>
      <x:c r="E123" s="37" t="n">
        <x:f aca="0">E120+E121</x:f>
        <x:v>135.72795979404128</x:v>
      </x:c>
      <x:c r="F123" s="37" t="n">
        <x:f aca="0">F120+F121</x:f>
        <x:v>136.3372639838821</x:v>
      </x:c>
      <x:c r="G123" s="37" t="n">
        <x:f aca="0">G120+G121</x:f>
        <x:v>154.2772029550199</x:v>
      </x:c>
    </x:row>
    <x:row r="124" ht="15" hidden="0">
      <x:c r="A124" s="33" t="s">
        <x:v>186</x:v>
      </x:c>
      <x:c r="B124" s="34" t="s">
        <x:v>187</x:v>
      </x:c>
      <x:c r="C124" s="37" t="n">
        <x:f aca="0">C120+C121-C122</x:f>
        <x:v>119.40311120965679</x:v>
      </x:c>
      <x:c r="D124" s="37" t="n">
        <x:f aca="0">D120+D121-D122</x:f>
        <x:v>114.52880667071781</x:v>
      </x:c>
      <x:c r="E124" s="37" t="n">
        <x:f aca="0">E120+E121-E122</x:f>
        <x:v>99.22926176484866</x:v>
      </x:c>
      <x:c r="F124" s="37" t="n">
        <x:f aca="0">F120+F121-F122</x:f>
        <x:v>98.70617640890859</x:v>
      </x:c>
      <x:c r="G124" s="37" t="n">
        <x:f aca="0">G120+G121-G122</x:f>
        <x:v>112.1003549942768</x:v>
      </x:c>
    </x:row>
    <x:row r="125" ht="15" hidden="0">
      <x:c r="A125" s="33" t="s">
        <x:v>188</x:v>
      </x:c>
      <x:c r="B125" s="34" t="s">
        <x:v>189</x:v>
      </x:c>
      <x:c r="C125" s="35" t="n">
        <x:f aca="0">C64/AVERAGE(H25,C25)</x:f>
        <x:v>0.5374450896807583</x:v>
      </x:c>
      <x:c r="D125" s="35" t="n">
        <x:f aca="0">D64/AVERAGE(C25,D25)</x:f>
        <x:v>0.6536676591930263</x:v>
      </x:c>
      <x:c r="E125" s="35" t="n">
        <x:f aca="0">E64/AVERAGE(D25,E25)</x:f>
        <x:v>0.7221331478723996</x:v>
      </x:c>
      <x:c r="F125" s="35" t="n">
        <x:f aca="0">F64/AVERAGE(E25,F25)</x:f>
        <x:v>0.7029264873878895</x:v>
      </x:c>
      <x:c r="G125" s="35" t="n">
        <x:f aca="0">G64/AVERAGE(F25,G25)</x:f>
        <x:v>0.6311331505330572</x:v>
      </x:c>
    </x:row>
    <x:row r="126" ht="15" hidden="0">
      <x:c r="A126" s="33" t="s">
        <x:v>190</x:v>
      </x:c>
      <x:c r="B126" s="34" t="s">
        <x:v>191</x:v>
      </x:c>
      <x:c r="C126" s="35" t="n">
        <x:f aca="0">C64/AVERAGE(H53,C53)</x:f>
        <x:v>0.838288069294308</x:v>
      </x:c>
      <x:c r="D126" s="35" t="n">
        <x:f aca="0">D64/AVERAGE(C53,D53)</x:f>
        <x:v>1.172066585205955</x:v>
      </x:c>
      <x:c r="E126" s="35" t="n">
        <x:f aca="0">E64/AVERAGE(D53,E53)</x:f>
        <x:v>1.2158524918829576</x:v>
      </x:c>
      <x:c r="F126" s="35" t="n">
        <x:f aca="0">F64/AVERAGE(E53,F53)</x:f>
        <x:v>1.0531088846951966</x:v>
      </x:c>
      <x:c r="G126" s="35" t="n">
        <x:f aca="0">G64/AVERAGE(F53,G53)</x:f>
        <x:v>1.0752521941525262</x:v>
      </x:c>
    </x:row>
    <x:row r="127" ht="15" hidden="0">
      <x:c r="A127" s="20" t="s">
        <x:v>192</x:v>
      </x:c>
      <x:c r="B127" s="21"/>
      <x:c r="C127" s="21"/>
      <x:c r="D127" s="21"/>
      <x:c r="E127" s="21"/>
      <x:c r="F127" s="21"/>
      <x:c r="G127" s="21"/>
    </x:row>
    <x:row r="128" ht="15" hidden="0">
      <x:c r="A128" s="33" t="s">
        <x:v>193</x:v>
      </x:c>
      <x:c r="B128" s="34" t="s">
        <x:v>194</x:v>
      </x:c>
      <x:c r="C128" s="38" t="n">
        <x:f aca="0">C49/C25</x:f>
        <x:v>0.4332284086792129</x:v>
      </x:c>
      <x:c r="D128" s="38" t="n">
        <x:f aca="0">D49/D25</x:f>
        <x:v>0.5066666090934888</x:v>
      </x:c>
      <x:c r="E128" s="38" t="n">
        <x:f aca="0">E49/E25</x:f>
        <x:v>0.49933942690835115</x:v>
      </x:c>
      <x:c r="F128" s="38" t="n">
        <x:f aca="0">F49/F25</x:f>
        <x:v>0.4704820926001394</x:v>
      </x:c>
      <x:c r="G128" s="38" t="n">
        <x:f aca="0">G49/G25</x:f>
        <x:v>0.4000182240614351</x:v>
      </x:c>
    </x:row>
    <x:row r="129" ht="15" hidden="0">
      <x:c r="A129" s="33" t="s">
        <x:v>195</x:v>
      </x:c>
      <x:c r="B129" s="34" t="s">
        <x:v>196</x:v>
      </x:c>
      <x:c r="C129" s="35" t="n">
        <x:f aca="0">C49/C29</x:f>
        <x:v>0.7643791878658399</x:v>
      </x:c>
      <x:c r="D129" s="35" t="n">
        <x:f aca="0">D49/D29</x:f>
        <x:v>1.027026790468161</x:v>
      </x:c>
      <x:c r="E129" s="35" t="n">
        <x:f aca="0">E49/E29</x:f>
        <x:v>0.9973611938820361</x:v>
      </x:c>
      <x:c r="F129" s="35" t="n">
        <x:f aca="0">F49/F29</x:f>
        <x:v>0.8885102581523445</x:v>
      </x:c>
      <x:c r="G129" s="35" t="n">
        <x:f aca="0">G49/G29</x:f>
        <x:v>0.6667172905971644</x:v>
      </x:c>
    </x:row>
    <x:row r="130" ht="15" hidden="0">
      <x:c r="A130" s="33" t="s">
        <x:v>197</x:v>
      </x:c>
      <x:c r="B130" s="34" t="s">
        <x:v>198</x:v>
      </x:c>
      <x:c r="C130" s="38" t="n">
        <x:f aca="0">C55/(C55+C29)</x:f>
        <x:v>0.3018980041603245</x:v>
      </x:c>
      <x:c r="D130" s="38" t="n">
        <x:f aca="0">D55/(D55+D29)</x:f>
        <x:v>0.381087654689308</x:v>
      </x:c>
      <x:c r="E130" s="38" t="n">
        <x:f aca="0">E55/(E55+E29)</x:f>
        <x:v>0.30676284445350793</x:v>
      </x:c>
      <x:c r="F130" s="38" t="n">
        <x:f aca="0">F55/(F55+F29)</x:f>
        <x:v>0.2692569010491479</x:v>
      </x:c>
      <x:c r="G130" s="38" t="n">
        <x:f aca="0">G55/(G55+G29)</x:f>
        <x:v>0.1694536072536581</x:v>
      </x:c>
    </x:row>
    <x:row r="131" ht="15" hidden="0">
      <x:c r="A131" s="33" t="s">
        <x:v>199</x:v>
      </x:c>
      <x:c r="B131" s="34" t="s">
        <x:v>200</x:v>
      </x:c>
      <x:c r="C131" s="38" t="n">
        <x:f aca="0">C56/C25</x:f>
        <x:v>0.19077425632568037</x:v>
      </x:c>
      <x:c r="D131" s="38" t="n">
        <x:f aca="0">D56/D25</x:f>
        <x:v>0.22836689667151214</x:v>
      </x:c>
      <x:c r="E131" s="38" t="n">
        <x:f aca="0">E56/E25</x:f>
        <x:v>0.19245552926882725</x:v>
      </x:c>
      <x:c r="F131" s="38" t="n">
        <x:f aca="0">F56/F25</x:f>
        <x:v>0.1441187310524372</x:v>
      </x:c>
      <x:c r="G131" s="38" t="n">
        <x:f aca="0">G56/G25</x:f>
        <x:v>0.08236454653172713</x:v>
      </x:c>
    </x:row>
    <x:row r="132" ht="15" hidden="0">
      <x:c r="A132" s="33" t="s">
        <x:v>201</x:v>
      </x:c>
      <x:c r="B132" s="34" t="s">
        <x:v>202</x:v>
      </x:c>
      <x:c r="C132" s="35" t="n">
        <x:f aca="0">IF(C85&lt;=0,"n/m",C82/C85)</x:f>
        <x:v>6.069000565198944</x:v>
      </x:c>
      <x:c r="D132" s="35" t="n">
        <x:f aca="0">IF(D85&lt;=0,"n/m",D82/D85)</x:f>
        <x:v>5.280713598911259</x:v>
      </x:c>
      <x:c r="E132" s="35" t="n">
        <x:f aca="0">IF(E85&lt;=0,"n/m",E82/E85)</x:f>
        <x:v>4.472840944030858</x:v>
      </x:c>
      <x:c r="F132" s="35" t="n">
        <x:f aca="0">IF(F85&lt;=0,"n/m",F82/F85)</x:f>
        <x:v>3.222781857366191</x:v>
      </x:c>
      <x:c r="G132" s="35" t="n">
        <x:f aca="0">IF(G85&lt;=0,"n/m",G82/G85)</x:f>
        <x:v>7.387043000579386</x:v>
      </x:c>
    </x:row>
    <x:row r="133" ht="15" hidden="0">
      <x:c r="A133" s="33" t="s">
        <x:v>203</x:v>
      </x:c>
      <x:c r="B133" s="34" t="s">
        <x:v>204</x:v>
      </x:c>
      <x:c r="C133" s="35" t="n">
        <x:f aca="0">IF(C83&lt;=0,"n/m",C57/C83)</x:f>
        <x:v>1.3043528362015715</x:v>
      </x:c>
      <x:c r="D133" s="35" t="n">
        <x:f aca="0">IF(D83&lt;=0,"n/m",D57/D83)</x:f>
        <x:v>1.9887410592494228</x:v>
      </x:c>
      <x:c r="E133" s="35" t="n">
        <x:f aca="0">IF(E83&lt;=0,"n/m",E57/E83)</x:f>
        <x:v>1.2362853113221863</x:v>
      </x:c>
      <x:c r="F133" s="35" t="n">
        <x:f aca="0">IF(F83&lt;=0,"n/m",F57/F83)</x:f>
        <x:v>1.0377422935118947</x:v>
      </x:c>
      <x:c r="G133" s="35" t="n">
        <x:f aca="0">IF(G83&lt;=0,"n/m",G57/G83)</x:f>
        <x:v>0.43751507855019817</x:v>
      </x:c>
    </x:row>
    <x:row r="134" ht="15" hidden="0">
      <x:c r="A134" s="20" t="s">
        <x:v>205</x:v>
      </x:c>
      <x:c r="B134" s="21"/>
      <x:c r="C134" s="21"/>
      <x:c r="D134" s="21"/>
      <x:c r="E134" s="21"/>
      <x:c r="F134" s="21"/>
      <x:c r="G134" s="21"/>
    </x:row>
    <x:row r="135" ht="15" hidden="0">
      <x:c r="A135" s="33" t="s">
        <x:v>206</x:v>
      </x:c>
      <x:c r="B135" s="34" t="s">
        <x:v>207</x:v>
      </x:c>
      <x:c r="C135" s="38" t="n">
        <x:f aca="0">C66/C64</x:f>
        <x:v>0.20830714445240356</x:v>
      </x:c>
      <x:c r="D135" s="38" t="n">
        <x:f aca="0">D66/D64</x:f>
        <x:v>0.25300003367709667</x:v>
      </x:c>
      <x:c r="E135" s="38" t="n">
        <x:f aca="0">E66/E64</x:f>
        <x:v>0.2927632247172742</x:v>
      </x:c>
      <x:c r="F135" s="38" t="n">
        <x:f aca="0">F66/F64</x:f>
        <x:v>0.31547845382378364</x:v>
      </x:c>
      <x:c r="G135" s="38" t="n">
        <x:f aca="0">G66/G64</x:f>
        <x:v>0.3444440599046921</x:v>
      </x:c>
    </x:row>
    <x:row r="136" ht="15" hidden="0">
      <x:c r="A136" s="33" t="s">
        <x:v>208</x:v>
      </x:c>
      <x:c r="B136" s="34" t="s">
        <x:v>209</x:v>
      </x:c>
      <x:c r="C136" s="38" t="n">
        <x:f aca="0">C71/C64</x:f>
        <x:v>0.14213957498981164</x:v>
      </x:c>
      <x:c r="D136" s="38" t="n">
        <x:f aca="0">D71/D64</x:f>
        <x:v>0.18277011721154793</x:v>
      </x:c>
      <x:c r="E136" s="38" t="n">
        <x:f aca="0">E71/E64</x:f>
        <x:v>0.19097413673296146</x:v>
      </x:c>
      <x:c r="F136" s="38" t="n">
        <x:f aca="0">F71/F64</x:f>
        <x:v>0.19131892826420518</x:v>
      </x:c>
      <x:c r="G136" s="38" t="n">
        <x:f aca="0">G71/G64</x:f>
        <x:v>0.2280930676582029</x:v>
      </x:c>
    </x:row>
    <x:row r="137" ht="15" hidden="0">
      <x:c r="A137" s="33" t="s">
        <x:v>210</x:v>
      </x:c>
      <x:c r="B137" s="34" t="s">
        <x:v>211</x:v>
      </x:c>
      <x:c r="C137" s="38" t="n">
        <x:f aca="0">C79/C64</x:f>
        <x:v>0.1759822170452098</x:v>
      </x:c>
      <x:c r="D137" s="38" t="n">
        <x:f aca="0">D79/D64</x:f>
        <x:v>0.07473965893633715</x:v>
      </x:c>
      <x:c r="E137" s="38" t="n">
        <x:f aca="0">E79/E64</x:f>
        <x:v>0.07235844154915244</x:v>
      </x:c>
      <x:c r="F137" s="38" t="n">
        <x:f aca="0">F79/F64</x:f>
        <x:v>0.07934297520984508</x:v>
      </x:c>
      <x:c r="G137" s="38" t="n">
        <x:f aca="0">G79/G64</x:f>
        <x:v>0.24711008947956384</x:v>
      </x:c>
    </x:row>
    <x:row r="138" ht="15" hidden="0">
      <x:c r="A138" s="33" t="s">
        <x:v>212</x:v>
      </x:c>
      <x:c r="B138" s="34" t="s">
        <x:v>213</x:v>
      </x:c>
      <x:c r="C138" s="38" t="n">
        <x:f aca="0">C79/AVERAGE(H25,C25)</x:f>
        <x:v>0.09458077842208146</x:v>
      </x:c>
      <x:c r="D138" s="38" t="n">
        <x:f aca="0">D79/AVERAGE(C25,D25)</x:f>
        <x:v>0.04885489790580065</x:v>
      </x:c>
      <x:c r="E138" s="38" t="n">
        <x:f aca="0">E79/AVERAGE(D25,E25)</x:f>
        <x:v>0.05225242917103048</x:v>
      </x:c>
      <x:c r="F138" s="38" t="n">
        <x:f aca="0">F79/AVERAGE(E25,F25)</x:f>
        <x:v>0.0557722788631608</x:v>
      </x:c>
      <x:c r="G138" s="38" t="n">
        <x:f aca="0">G79/AVERAGE(F25,G25)</x:f>
        <x:v>0.1559593693017428</x:v>
      </x:c>
    </x:row>
    <x:row r="139" ht="15" hidden="0">
      <x:c r="A139" s="33" t="s">
        <x:v>214</x:v>
      </x:c>
      <x:c r="B139" s="34" t="s">
        <x:v>215</x:v>
      </x:c>
      <x:c r="C139" s="38" t="n">
        <x:f aca="0">C79/AVERAGE(H29,C29)</x:f>
        <x:v>0.18163818640771748</x:v>
      </x:c>
      <x:c r="D139" s="38" t="n">
        <x:f aca="0">D79/AVERAGE(C29,D29)</x:f>
        <x:v>0.09286217037724577</x:v>
      </x:c>
      <x:c r="E139" s="38" t="n">
        <x:f aca="0">E79/AVERAGE(D29,E29)</x:f>
        <x:v>0.10510254167180039</x:v>
      </x:c>
      <x:c r="F139" s="38" t="n">
        <x:f aca="0">F79/AVERAGE(E29,F29)</x:f>
        <x:v>0.10812221617479151</x:v>
      </x:c>
      <x:c r="G139" s="38" t="n">
        <x:f aca="0">G79/AVERAGE(F29,G29)</x:f>
        <x:v>0.2746085954343051</x:v>
      </x:c>
    </x:row>
    <x:row r="140" ht="15" hidden="0">
      <x:c r="A140" s="33" t="s">
        <x:v>216</x:v>
      </x:c>
      <x:c r="B140" s="34" t="s">
        <x:v>217</x:v>
      </x:c>
      <x:c r="C140" s="38" t="n">
        <x:f aca="0">C88/AVERAGE(H58,C58)</x:f>
        <x:v>0.140804883114224</x:v>
      </x:c>
      <x:c r="D140" s="38" t="n">
        <x:f aca="0">D88/AVERAGE(C58,D58)</x:f>
        <x:v>0.07552102511911654</x:v>
      </x:c>
      <x:c r="E140" s="38" t="n">
        <x:f aca="0">E88/AVERAGE(D58,E58)</x:f>
        <x:v>0.08943041686178571</x:v>
      </x:c>
      <x:c r="F140" s="38" t="n">
        <x:f aca="0">F88/AVERAGE(E58,F58)</x:f>
        <x:v>0.1128071865450392</x:v>
      </x:c>
      <x:c r="G140" s="38" t="n">
        <x:f aca="0">G88/AVERAGE(F58,G58)</x:f>
        <x:v>0.25096399764604915</x:v>
      </x:c>
    </x:row>
    <x:row r="141" ht="15" hidden="0">
      <x:c r="A141" s="33" t="s">
        <x:v>218</x:v>
      </x:c>
      <x:c r="B141" s="34" t="s">
        <x:v>219</x:v>
      </x:c>
      <x:c r="C141" s="38" t="n">
        <x:f aca="0">C82/AVERAGE(H25,C25)</x:f>
        <x:v>0.13283318203671918</x:v>
      </x:c>
      <x:c r="D141" s="38" t="n">
        <x:f aca="0">D82/AVERAGE(C25,D25)</x:f>
        <x:v>0.12023345655576649</x:v>
      </x:c>
      <x:c r="E141" s="38" t="n">
        <x:f aca="0">E82/AVERAGE(D25,E25)</x:f>
        <x:v>0.1396147149844841</x:v>
      </x:c>
      <x:c r="F141" s="38" t="n">
        <x:f aca="0">F82/AVERAGE(E25,F25)</x:f>
        <x:v>0.1382503777250139</x:v>
      </x:c>
      <x:c r="G141" s="38" t="n">
        <x:f aca="0">G82/AVERAGE(F25,G25)</x:f>
        <x:v>0.23086739193474415</x:v>
      </x:c>
    </x:row>
    <x:row r="142" ht="15" hidden="0">
      <x:c r="A142" s="33" t="s">
        <x:v>220</x:v>
      </x:c>
      <x:c r="B142" s="34" t="s">
        <x:v>221</x:v>
      </x:c>
      <x:c r="C142" s="38" t="n">
        <x:f aca="0">C83/C64</x:f>
        <x:v>0.3396682638261181</x:v>
      </x:c>
      <x:c r="D142" s="38" t="n">
        <x:f aca="0">D83/D64</x:f>
        <x:v>0.25058964803971473</x:v>
      </x:c>
      <x:c r="E142" s="38" t="n">
        <x:f aca="0">E83/E64</x:f>
        <x:v>0.2493225843810011</x:v>
      </x:c>
      <x:c r="F142" s="38" t="n">
        <x:f aca="0">F83/F64</x:f>
        <x:v>0.2647021742557539</x:v>
      </x:c>
      <x:c r="G142" s="38" t="n">
        <x:f aca="0">G83/G64</x:f>
        <x:v>0.4298124989647161</x:v>
      </x:c>
    </x:row>
    <x:row r="143" ht="15" hidden="0">
      <x:c r="A143" s="20" t="s">
        <x:v>222</x:v>
      </x:c>
      <x:c r="B143" s="21"/>
      <x:c r="C143" s="21"/>
      <x:c r="D143" s="21"/>
      <x:c r="E143" s="21"/>
      <x:c r="F143" s="21"/>
      <x:c r="G143" s="21"/>
    </x:row>
    <x:row r="144" ht="15" hidden="0">
      <x:c r="A144" s="33" t="s">
        <x:v>223</x:v>
      </x:c>
      <x:c r="B144" s="34" t="s">
        <x:v>224</x:v>
      </x:c>
      <x:c r="C144" s="39" t="n">
        <x:f aca="0">C29/C103</x:f>
        <x:v>34.18097226539319</x:v>
      </x:c>
      <x:c r="D144" s="39" t="n">
        <x:f aca="0">D29/D103</x:f>
        <x:v>37.56155762745958</x:v>
      </x:c>
      <x:c r="E144" s="39" t="n">
        <x:f aca="0">E29/E103</x:f>
        <x:v>41.84401454069526</x:v>
      </x:c>
      <x:c r="F144" s="39" t="n">
        <x:f aca="0">F29/F103</x:f>
        <x:v>50.22698213930126</x:v>
      </x:c>
      <x:c r="G144" s="39" t="n">
        <x:f aca="0">G29/G103</x:f>
        <x:v>68.21701347489879</x:v>
      </x:c>
    </x:row>
    <x:row r="145" ht="15" hidden="0">
      <x:c r="A145" s="33" t="s">
        <x:v>225</x:v>
      </x:c>
      <x:c r="B145" s="34" t="s">
        <x:v>226</x:v>
      </x:c>
      <x:c r="C145" s="35" t="n">
        <x:f aca="0">C105/C144</x:f>
        <x:v>1.3744489078669448</x:v>
      </x:c>
      <x:c r="D145" s="35" t="n">
        <x:f aca="0">D105/D144</x:f>
        <x:v>0.7281380679486422</x:v>
      </x:c>
      <x:c r="E145" s="35" t="n">
        <x:f aca="0">E105/E144</x:f>
        <x:v>0.6770382887724061</x:v>
      </x:c>
      <x:c r="F145" s="35" t="n">
        <x:f aca="0">F105/F144</x:f>
        <x:v>0.7565654630534934</x:v>
      </x:c>
      <x:c r="G145" s="35" t="n">
        <x:f aca="0">G105/G144</x:f>
        <x:v>1.2354689205356633</x:v>
      </x:c>
    </x:row>
    <x:row r="146" ht="15" hidden="0">
      <x:c r="A146" s="33" t="s">
        <x:v>227</x:v>
      </x:c>
      <x:c r="B146" s="34" t="s">
        <x:v>228</x:v>
      </x:c>
      <x:c r="C146" s="39" t="n">
        <x:f aca="0">C79/C104</x:f>
        <x:v>5.694115515511503</x:v>
      </x:c>
      <x:c r="D146" s="39" t="n">
        <x:f aca="0">D79/D104</x:f>
        <x:v>3.3041099784606085</x:v>
      </x:c>
      <x:c r="E146" s="39" t="n">
        <x:f aca="0">E79/E104</x:f>
        <x:v>4.18450538240459</x:v>
      </x:c>
      <x:c r="F146" s="39" t="n">
        <x:f aca="0">F79/F104</x:f>
        <x:v>4.979197496295721</x:v>
      </x:c>
      <x:c r="G146" s="39" t="n">
        <x:f aca="0">G79/G104</x:f>
        <x:v>16.262863426829693</x:v>
      </x:c>
    </x:row>
    <x:row r="147" ht="15" hidden="0">
      <x:c r="A147" s="33" t="s">
        <x:v>229</x:v>
      </x:c>
      <x:c r="B147" s="34" t="s">
        <x:v>230</x:v>
      </x:c>
      <x:c r="C147" s="35" t="n">
        <x:f aca="0">IF(C146&lt;=0,"n/m",C105/C146)</x:f>
        <x:v>8.250622923265333</x:v>
      </x:c>
      <x:c r="D147" s="35" t="n">
        <x:f aca="0">IF(D146&lt;=0,"n/m",D105/D146)</x:f>
        <x:v>8.277569505341472</x:v>
      </x:c>
      <x:c r="E147" s="35" t="n">
        <x:f aca="0">IF(E146&lt;=0,"n/m",E105/E146)</x:f>
        <x:v>6.770214735324442</x:v>
      </x:c>
      <x:c r="F147" s="35" t="n">
        <x:f aca="0">IF(F146&lt;=0,"n/m",F105/F146)</x:f>
        <x:v>7.631751909473391</x:v>
      </x:c>
      <x:c r="G147" s="35" t="n">
        <x:f aca="0">IF(G146&lt;=0,"n/m",G105/G146)</x:f>
        <x:v>5.182359206248938</x:v>
      </x:c>
    </x:row>
    <x:row r="148" ht="15" hidden="0">
      <x:c r="A148" s="33" t="s">
        <x:v>231</x:v>
      </x:c>
      <x:c r="B148" s="34" t="s">
        <x:v>232</x:v>
      </x:c>
      <x:c r="C148" s="38" t="n">
        <x:f aca="0">C106/C105</x:f>
        <x:v>0</x:v>
      </x:c>
      <x:c r="D148" s="38" t="n">
        <x:f aca="0">D106/D105</x:f>
        <x:v>0</x:v>
      </x:c>
      <x:c r="E148" s="38" t="n">
        <x:f aca="0">E106/E105</x:f>
        <x:v>0</x:v>
      </x:c>
      <x:c r="F148" s="38" t="n">
        <x:f aca="0">F106/F105</x:f>
        <x:v>0</x:v>
      </x:c>
      <x:c r="G148" s="38" t="n">
        <x:f aca="0">G106/G105</x:f>
        <x:v>0</x:v>
      </x:c>
    </x:row>
    <x:row r="149" ht="15" hidden="0">
      <x:c r="A149" s="33" t="s">
        <x:v>233</x:v>
      </x:c>
      <x:c r="B149" s="34" t="s">
        <x:v>234</x:v>
      </x:c>
      <x:c r="C149" s="38" t="n">
        <x:f aca="0">IF(C146&lt;=0,"n/m",C106/C146)</x:f>
        <x:v>0</x:v>
      </x:c>
      <x:c r="D149" s="38" t="n">
        <x:f aca="0">IF(D146&lt;=0,"n/m",D106/D146)</x:f>
        <x:v>0</x:v>
      </x:c>
      <x:c r="E149" s="38" t="n">
        <x:f aca="0">IF(E146&lt;=0,"n/m",E106/E146)</x:f>
        <x:v>0</x:v>
      </x:c>
      <x:c r="F149" s="38" t="n">
        <x:f aca="0">IF(F146&lt;=0,"n/m",F106/F146)</x:f>
        <x:v>0</x:v>
      </x:c>
      <x:c r="G149" s="38" t="n">
        <x:f aca="0">IF(G146&lt;=0,"n/m",G106/G146)</x:f>
        <x:v>0</x:v>
      </x:c>
    </x:row>
    <x:row r="150" ht="15" hidden="0">
      <x:c r="A150" s="20" t="s">
        <x:v>235</x:v>
      </x:c>
      <x:c r="B150" s="21"/>
      <x:c r="C150" s="21"/>
      <x:c r="D150" s="21"/>
      <x:c r="E150" s="21"/>
      <x:c r="F150" s="21"/>
      <x:c r="G150" s="21"/>
    </x:row>
    <x:row r="151" ht="15" hidden="0">
      <x:c r="A151" s="33" t="s">
        <x:v>236</x:v>
      </x:c>
      <x:c r="B151" s="34" t="s">
        <x:v>237</x:v>
      </x:c>
      <x:c r="C151" s="35" t="n">
        <x:f aca="0">C93/AVERAGE(H48,C48)</x:f>
        <x:v>0.4896246614243733</x:v>
      </x:c>
      <x:c r="D151" s="35" t="n">
        <x:f aca="0">D93/AVERAGE(C48,D48)</x:f>
        <x:v>0.6026954756709324</x:v>
      </x:c>
      <x:c r="E151" s="35" t="n">
        <x:f aca="0">E93/AVERAGE(D48,E48)</x:f>
        <x:v>1.2431133620493349</x:v>
      </x:c>
      <x:c r="F151" s="35" t="n">
        <x:f aca="0">F93/AVERAGE(E48,F48)</x:f>
        <x:v>0.5455600969539355</x:v>
      </x:c>
      <x:c r="G151" s="35" t="n">
        <x:f aca="0">G93/AVERAGE(F48,G48)</x:f>
        <x:v>0.921413038275278</x:v>
      </x:c>
    </x:row>
    <x:row r="153" ht="19.5" hidden="0" customHeight="1">
      <x:c r="A153" s="5" t="s">
        <x:v>238</x:v>
      </x:c>
      <x:c r="B153" s="6"/>
      <x:c r="C153" s="6"/>
      <x:c r="D153" s="6"/>
      <x:c r="E153" s="6"/>
      <x:c r="F153" s="6"/>
      <x:c r="G153" s="6"/>
    </x:row>
    <x:row r="154" ht="15" hidden="0">
      <x:c r="A154" s="40" t="s">
        <x:v>239</x:v>
      </x:c>
      <x:c r="B154" s="40"/>
      <x:c r="C154" s="41" t="s">
        <x:v>48</x:v>
      </x:c>
      <x:c r="D154" s="41" t="s">
        <x:v>49</x:v>
      </x:c>
      <x:c r="E154" s="41" t="s">
        <x:v>50</x:v>
      </x:c>
      <x:c r="F154" s="41" t="s">
        <x:v>51</x:v>
      </x:c>
      <x:c r="G154" s="41" t="s">
        <x:v>52</x:v>
      </x:c>
    </x:row>
    <x:row r="155" ht="15" hidden="0">
      <x:c r="A155" s="33" t="s">
        <x:v>66</x:v>
      </x:c>
      <x:c r="B155" s="33"/>
      <x:c r="C155" s="42" t="n">
        <x:f aca="0">C9/C25</x:f>
        <x:v>0.6675123934774773</x:v>
      </x:c>
      <x:c r="D155" s="42" t="n">
        <x:f aca="0">D9/D25</x:f>
        <x:v>0.6906937377370652</x:v>
      </x:c>
      <x:c r="E155" s="42" t="n">
        <x:f aca="0">E9/E25</x:f>
        <x:v>0.6950863789178613</x:v>
      </x:c>
      <x:c r="F155" s="42" t="n">
        <x:f aca="0">F9/F25</x:f>
        <x:v>0.6641689230291802</x:v>
      </x:c>
      <x:c r="G155" s="42" t="n">
        <x:f aca="0">G9/G25</x:f>
        <x:v>0.5275642623384625</x:v>
      </x:c>
    </x:row>
    <x:row r="156" ht="15" hidden="0">
      <x:c r="A156" s="33" t="s">
        <x:v>73</x:v>
      </x:c>
      <x:c r="B156" s="33"/>
      <x:c r="C156" s="42" t="n">
        <x:f aca="0">C16/C25</x:f>
        <x:v>0.7445108625731096</x:v>
      </x:c>
      <x:c r="D156" s="42" t="n">
        <x:f aca="0">D16/D25</x:f>
        <x:v>0.752816587302852</x:v>
      </x:c>
      <x:c r="E156" s="42" t="n">
        <x:f aca="0">E16/E25</x:f>
        <x:v>0.7520874543326604</x:v>
      </x:c>
      <x:c r="F156" s="42" t="n">
        <x:f aca="0">F16/F25</x:f>
        <x:v>0.7296064752013678</x:v>
      </x:c>
      <x:c r="G156" s="42" t="n">
        <x:f aca="0">G16/G25</x:f>
        <x:v>0.6998260150382846</x:v>
      </x:c>
    </x:row>
    <x:row r="157" ht="15" hidden="0">
      <x:c r="A157" s="33" t="s">
        <x:v>240</x:v>
      </x:c>
      <x:c r="B157" s="33"/>
      <x:c r="C157" s="42" t="n">
        <x:f aca="0">C54/C25</x:f>
        <x:v>0.1794841423241359</x:v>
      </x:c>
      <x:c r="D157" s="42" t="n">
        <x:f aca="0">D54/D25</x:f>
        <x:v>0.18913063812204728</x:v>
      </x:c>
      <x:c r="E157" s="42" t="n">
        <x:f aca="0">E54/E25</x:f>
        <x:v>0.15383805746643114</x:v>
      </x:c>
      <x:c r="F157" s="42" t="n">
        <x:f aca="0">F54/F25</x:f>
        <x:v>0.156330039580466</x:v>
      </x:c>
      <x:c r="G157" s="42" t="n">
        <x:f aca="0">G54/G25</x:f>
        <x:v>0.14192620470839862</x:v>
      </x:c>
    </x:row>
    <x:row r="158" ht="15" hidden="0">
      <x:c r="A158" s="33" t="s">
        <x:v>77</x:v>
      </x:c>
      <x:c r="B158" s="33"/>
      <x:c r="C158" s="42" t="n">
        <x:f aca="0">C20/C25</x:f>
        <x:v>0.02535812663900111</x:v>
      </x:c>
      <x:c r="D158" s="42" t="n">
        <x:f aca="0">D20/D25</x:f>
        <x:v>0.025132054422222147</x:v>
      </x:c>
      <x:c r="E158" s="42" t="n">
        <x:f aca="0">E20/E25</x:f>
        <x:v>0.028993995845017155</x:v>
      </x:c>
      <x:c r="F158" s="42" t="n">
        <x:f aca="0">F20/F25</x:f>
        <x:v>0.042154845774620656</x:v>
      </x:c>
      <x:c r="G158" s="42" t="n">
        <x:f aca="0">G20/G25</x:f>
        <x:v>0.03870645904110289</x:v>
      </x:c>
    </x:row>
    <x:row r="159" ht="15" hidden="0">
      <x:c r="A159" s="33" t="s">
        <x:v>78</x:v>
      </x:c>
      <x:c r="B159" s="33"/>
      <x:c r="C159" s="42" t="n">
        <x:f aca="0">C21/C25</x:f>
        <x:v>0.0022516549772779834</x:v>
      </x:c>
      <x:c r="D159" s="42" t="n">
        <x:f aca="0">D21/D25</x:f>
        <x:v>0.0024125513095607197</x:v>
      </x:c>
      <x:c r="E159" s="42" t="n">
        <x:f aca="0">E21/E25</x:f>
        <x:v>0.041128638317390574</x:v>
      </x:c>
      <x:c r="F159" s="42" t="n">
        <x:f aca="0">F21/F25</x:f>
        <x:v>0.04247202771677247</x:v>
      </x:c>
      <x:c r="G159" s="42" t="n">
        <x:f aca="0">G21/G25</x:f>
        <x:v>0.0932143446922287</x:v>
      </x:c>
    </x:row>
    <x:row r="160" ht="15" hidden="0">
      <x:c r="A160" s="33" t="s">
        <x:v>79</x:v>
      </x:c>
      <x:c r="B160" s="33"/>
      <x:c r="C160" s="42" t="n">
        <x:f aca="0">C22/C25</x:f>
        <x:v>0.007402390466876769</x:v>
      </x:c>
      <x:c r="D160" s="42" t="n">
        <x:f aca="0">D22/D25</x:f>
        <x:v>0.009652540600949642</x:v>
      </x:c>
      <x:c r="E160" s="42" t="n">
        <x:f aca="0">E22/E25</x:f>
        <x:v>0.008256893323250662</x:v>
      </x:c>
      <x:c r="F160" s="42" t="n">
        <x:f aca="0">F22/F25</x:f>
        <x:v>0.011406473313392042</x:v>
      </x:c>
      <x:c r="G160" s="42" t="n">
        <x:f aca="0">G22/G25</x:f>
        <x:v>0.013563358053582253</x:v>
      </x:c>
    </x:row>
    <x:row r="161" ht="15" hidden="0">
      <x:c r="A161" s="33" t="s">
        <x:v>81</x:v>
      </x:c>
      <x:c r="B161" s="33"/>
      <x:c r="C161" s="42" t="n">
        <x:f aca="0">C24/C25</x:f>
        <x:v>0.2554891374268905</x:v>
      </x:c>
      <x:c r="D161" s="42" t="n">
        <x:f aca="0">D24/D25</x:f>
        <x:v>0.24718341269714814</x:v>
      </x:c>
      <x:c r="E161" s="42" t="n">
        <x:f aca="0">E24/E25</x:f>
        <x:v>0.2479125456673395</x:v>
      </x:c>
      <x:c r="F161" s="42" t="n">
        <x:f aca="0">F24/F25</x:f>
        <x:v>0.27039352479863216</x:v>
      </x:c>
      <x:c r="G161" s="42" t="n">
        <x:f aca="0">G24/G25</x:f>
        <x:v>0.30017398496171543</x:v>
      </x:c>
    </x:row>
    <x:row r="162" ht="15" hidden="0">
      <x:c r="A162" s="33" t="s">
        <x:v>86</x:v>
      </x:c>
      <x:c r="B162" s="33"/>
      <x:c r="C162" s="42" t="n">
        <x:f aca="0">C29/C25</x:f>
        <x:v>0.566771591320787</x:v>
      </x:c>
      <x:c r="D162" s="42" t="n">
        <x:f aca="0">D29/D25</x:f>
        <x:v>0.49333339090651124</x:v>
      </x:c>
      <x:c r="E162" s="42" t="n">
        <x:f aca="0">E29/E25</x:f>
        <x:v>0.5006605730916487</x:v>
      </x:c>
      <x:c r="F162" s="42" t="n">
        <x:f aca="0">F29/F25</x:f>
        <x:v>0.5295179073998606</x:v>
      </x:c>
      <x:c r="G162" s="42" t="n">
        <x:f aca="0">G29/G25</x:f>
        <x:v>0.5999817759385652</x:v>
      </x:c>
    </x:row>
    <x:row r="163" ht="15" hidden="0">
      <x:c r="A163" s="33" t="s">
        <x:v>93</x:v>
      </x:c>
      <x:c r="B163" s="33"/>
      <x:c r="C163" s="42" t="n">
        <x:f aca="0">C36/C25</x:f>
        <x:v>0.26037857779790413</x:v>
      </x:c>
      <x:c r="D163" s="42" t="n">
        <x:f aca="0">D36/D25</x:f>
        <x:v>0.30970076827351384</x:v>
      </x:c>
      <x:c r="E163" s="42" t="n">
        <x:f aca="0">E36/E25</x:f>
        <x:v>0.3185855004147859</x:v>
      </x:c>
      <x:c r="F163" s="42" t="n">
        <x:f aca="0">F36/F25</x:f>
        <x:v>0.2833168699028302</x:v>
      </x:c>
      <x:c r="G163" s="42" t="n">
        <x:f aca="0">G36/G25</x:f>
        <x:v>0.20413860492702354</x:v>
      </x:c>
    </x:row>
    <x:row r="164" ht="15" hidden="0">
      <x:c r="A164" s="33" t="s">
        <x:v>105</x:v>
      </x:c>
      <x:c r="B164" s="33"/>
      <x:c r="C164" s="42" t="n">
        <x:f aca="0">C48/C25</x:f>
        <x:v>0.1728498308813088</x:v>
      </x:c>
      <x:c r="D164" s="42" t="n">
        <x:f aca="0">D48/D25</x:f>
        <x:v>0.19696584081997504</x:v>
      </x:c>
      <x:c r="E164" s="42" t="n">
        <x:f aca="0">E48/E25</x:f>
        <x:v>0.18075392649356528</x:v>
      </x:c>
      <x:c r="F164" s="42" t="n">
        <x:f aca="0">F48/F25</x:f>
        <x:v>0.18716522269730912</x:v>
      </x:c>
      <x:c r="G164" s="42" t="n">
        <x:f aca="0">G48/G25</x:f>
        <x:v>0.19587961913441157</x:v>
      </x:c>
    </x:row>
    <x:row r="165" ht="15" hidden="0">
      <x:c r="A165" s="33" t="s">
        <x:v>112</x:v>
      </x:c>
      <x:c r="B165" s="33"/>
      <x:c r="C165" s="42" t="n">
        <x:f aca="0">C55/C25</x:f>
        <x:v>0.24510345659262772</x:v>
      </x:c>
      <x:c r="D165" s="42" t="n">
        <x:f aca="0">D55/D25</x:f>
        <x:v>0.30376396002588846</x:v>
      </x:c>
      <x:c r="E165" s="42" t="n">
        <x:f aca="0">E55/E25</x:f>
        <x:v>0.2215462057659681</x:v>
      </x:c>
      <x:c r="F165" s="42" t="n">
        <x:f aca="0">F55/F25</x:f>
        <x:v>0.19511145709239938</x:v>
      </x:c>
      <x:c r="G165" s="42" t="n">
        <x:f aca="0">G55/G25</x:f>
        <x:v>0.12241227835938212</x:v>
      </x:c>
    </x:row>
    <x:row r="166" ht="15" hidden="0">
      <x:c r="A166" s="40" t="s">
        <x:v>241</x:v>
      </x:c>
      <x:c r="B166" s="40"/>
      <x:c r="C166" s="41" t="s">
        <x:v>48</x:v>
      </x:c>
      <x:c r="D166" s="41" t="s">
        <x:v>49</x:v>
      </x:c>
      <x:c r="E166" s="41" t="s">
        <x:v>50</x:v>
      </x:c>
      <x:c r="F166" s="41" t="s">
        <x:v>51</x:v>
      </x:c>
      <x:c r="G166" s="41" t="s">
        <x:v>52</x:v>
      </x:c>
    </x:row>
    <x:row r="167" ht="15" hidden="0">
      <x:c r="A167" s="33" t="s">
        <x:v>120</x:v>
      </x:c>
      <x:c r="B167" s="33"/>
      <x:c r="C167" s="42" t="n">
        <x:f aca="0">C65/C64</x:f>
        <x:v>-0.7916928555475964</x:v>
      </x:c>
      <x:c r="D167" s="42" t="n">
        <x:f aca="0">D65/D64</x:f>
        <x:v>-0.7469999663229033</x:v>
      </x:c>
      <x:c r="E167" s="42" t="n">
        <x:f aca="0">E65/E64</x:f>
        <x:v>-0.7072367752827259</x:v>
      </x:c>
      <x:c r="F167" s="42" t="n">
        <x:f aca="0">F65/F64</x:f>
        <x:v>-0.6845215461762164</x:v>
      </x:c>
      <x:c r="G167" s="42" t="n">
        <x:f aca="0">G65/G64</x:f>
        <x:v>-0.6555559400953079</x:v>
      </x:c>
    </x:row>
    <x:row r="168" ht="15" hidden="0">
      <x:c r="A168" s="33" t="s">
        <x:v>121</x:v>
      </x:c>
      <x:c r="B168" s="33"/>
      <x:c r="C168" s="42" t="n">
        <x:f aca="0">C66/C64</x:f>
        <x:v>0.20830714445240356</x:v>
      </x:c>
      <x:c r="D168" s="42" t="n">
        <x:f aca="0">D66/D64</x:f>
        <x:v>0.25300003367709667</x:v>
      </x:c>
      <x:c r="E168" s="42" t="n">
        <x:f aca="0">E66/E64</x:f>
        <x:v>0.2927632247172742</x:v>
      </x:c>
      <x:c r="F168" s="42" t="n">
        <x:f aca="0">F66/F64</x:f>
        <x:v>0.31547845382378364</x:v>
      </x:c>
      <x:c r="G168" s="42" t="n">
        <x:f aca="0">G66/G64</x:f>
        <x:v>0.3444440599046921</x:v>
      </x:c>
    </x:row>
    <x:row r="169" ht="15" hidden="0">
      <x:c r="A169" s="33" t="s">
        <x:v>242</x:v>
      </x:c>
      <x:c r="B169" s="33"/>
      <x:c r="C169" s="42" t="n">
        <x:f aca="0">(C67+C68+C69+C70)/C64</x:f>
        <x:v>-0.06616756946259193</x:v>
      </x:c>
      <x:c r="D169" s="42" t="n">
        <x:f aca="0">(D67+D68+D69+D70)/D64</x:f>
        <x:v>-0.07022991646554871</x:v>
      </x:c>
      <x:c r="E169" s="42" t="n">
        <x:f aca="0">(E67+E68+E69+E70)/E64</x:f>
        <x:v>-0.10178908798431271</x:v>
      </x:c>
      <x:c r="F169" s="42" t="n">
        <x:f aca="0">(F67+F68+F69+F70)/F64</x:f>
        <x:v>-0.12415952555957842</x:v>
      </x:c>
      <x:c r="G169" s="42" t="n">
        <x:f aca="0">(G67+G68+G69+G70)/G64</x:f>
        <x:v>-0.11635099224648922</x:v>
      </x:c>
    </x:row>
    <x:row r="170" ht="15" hidden="0">
      <x:c r="A170" s="33" t="s">
        <x:v>126</x:v>
      </x:c>
      <x:c r="B170" s="33"/>
      <x:c r="C170" s="42" t="n">
        <x:f aca="0">C71/C64</x:f>
        <x:v>0.14213957498981164</x:v>
      </x:c>
      <x:c r="D170" s="42" t="n">
        <x:f aca="0">D71/D64</x:f>
        <x:v>0.18277011721154793</x:v>
      </x:c>
      <x:c r="E170" s="42" t="n">
        <x:f aca="0">E71/E64</x:f>
        <x:v>0.19097413673296146</x:v>
      </x:c>
      <x:c r="F170" s="42" t="n">
        <x:f aca="0">F71/F64</x:f>
        <x:v>0.19131892826420518</x:v>
      </x:c>
      <x:c r="G170" s="42" t="n">
        <x:f aca="0">G71/G64</x:f>
        <x:v>0.2280930676582029</x:v>
      </x:c>
    </x:row>
    <x:row r="171" ht="15" hidden="0">
      <x:c r="A171" s="33" t="s">
        <x:v>127</x:v>
      </x:c>
      <x:c r="B171" s="33"/>
      <x:c r="C171" s="42" t="n">
        <x:f aca="0">(C72+C73+C74)/C64</x:f>
        <x:v>0.10501717569447117</x:v>
      </x:c>
      <x:c r="D171" s="42" t="n">
        <x:f aca="0">(D72+D73+D74)/D64</x:f>
        <x:v>0.0011665589645360385</x:v>
      </x:c>
      <x:c r="E171" s="42" t="n">
        <x:f aca="0">(E72+E73+E74)/E64</x:f>
        <x:v>0.002362390465418759</x:v>
      </x:c>
      <x:c r="F171" s="42" t="n">
        <x:f aca="0">(F72+F73+F74)/F64</x:f>
        <x:v>0.00535935916064245</x:v>
      </x:c>
      <x:c r="G171" s="42" t="n">
        <x:f aca="0">(G72+G73+G74)/G64</x:f>
        <x:v>0.13770516642243882</x:v>
      </x:c>
    </x:row>
    <x:row r="172" ht="15" hidden="0">
      <x:c r="A172" s="33" t="s">
        <x:v>130</x:v>
      </x:c>
      <x:c r="B172" s="33"/>
      <x:c r="C172" s="42" t="n">
        <x:f aca="0">C75/C64</x:f>
        <x:v>-0.04203718123722347</x:v>
      </x:c>
      <x:c r="D172" s="42" t="n">
        <x:f aca="0">D75/D64</x:f>
        <x:v>-0.035882925880997174</x:v>
      </x:c>
      <x:c r="E172" s="42" t="n">
        <x:f aca="0">E75/E64</x:f>
        <x:v>-0.04431311353851943</x:v>
      </x:c>
      <x:c r="F172" s="42" t="n">
        <x:f aca="0">F75/F64</x:f>
        <x:v>-0.062274488781043524</x:v>
      </x:c>
      <x:c r="G172" s="42" t="n">
        <x:f aca="0">G75/G64</x:f>
        <x:v>-0.05156167508185016</x:v>
      </x:c>
    </x:row>
    <x:row r="173" ht="15" hidden="0">
      <x:c r="A173" s="33" t="s">
        <x:v>131</x:v>
      </x:c>
      <x:c r="B173" s="33"/>
      <x:c r="C173" s="42" t="n">
        <x:f aca="0">C76/C64</x:f>
        <x:v>0.2051195694470593</x:v>
      </x:c>
      <x:c r="D173" s="42" t="n">
        <x:f aca="0">D76/D64</x:f>
        <x:v>0.1480537502950868</x:v>
      </x:c>
      <x:c r="E173" s="42" t="n">
        <x:f aca="0">E76/E64</x:f>
        <x:v>0.14902341365986083</x:v>
      </x:c>
      <x:c r="F173" s="42" t="n">
        <x:f aca="0">F76/F64</x:f>
        <x:v>0.1344037986438041</x:v>
      </x:c>
      <x:c r="G173" s="42" t="n">
        <x:f aca="0">G76/G64</x:f>
        <x:v>0.31423655899879155</x:v>
      </x:c>
    </x:row>
    <x:row r="174" ht="15" hidden="0">
      <x:c r="A174" s="33" t="s">
        <x:v>243</x:v>
      </x:c>
      <x:c r="B174" s="33"/>
      <x:c r="C174" s="42" t="n">
        <x:f aca="0">(C77+C78)/C64</x:f>
        <x:v>-0.029137352401849486</x:v>
      </x:c>
      <x:c r="D174" s="42" t="n">
        <x:f aca="0">(D77+D78)/D64</x:f>
        <x:v>-0.07331409135874965</x:v>
      </x:c>
      <x:c r="E174" s="42" t="n">
        <x:f aca="0">(E77+E78)/E64</x:f>
        <x:v>-0.07666497211070838</x:v>
      </x:c>
      <x:c r="F174" s="42" t="n">
        <x:f aca="0">(F77+F78)/F64</x:f>
        <x:v>-0.05506082343395903</x:v>
      </x:c>
      <x:c r="G174" s="42" t="n">
        <x:f aca="0">(G77+G78)/G64</x:f>
        <x:v>-0.06712646951922767</x:v>
      </x:c>
    </x:row>
    <x:row r="175" ht="15" hidden="0">
      <x:c r="A175" s="33" t="s">
        <x:v>134</x:v>
      </x:c>
      <x:c r="B175" s="33"/>
      <x:c r="C175" s="42" t="n">
        <x:f aca="0">C79/C64</x:f>
        <x:v>0.1759822170452098</x:v>
      </x:c>
      <x:c r="D175" s="42" t="n">
        <x:f aca="0">D79/D64</x:f>
        <x:v>0.07473965893633715</x:v>
      </x:c>
      <x:c r="E175" s="42" t="n">
        <x:f aca="0">E79/E64</x:f>
        <x:v>0.07235844154915244</x:v>
      </x:c>
      <x:c r="F175" s="42" t="n">
        <x:f aca="0">F79/F64</x:f>
        <x:v>0.07934297520984508</x:v>
      </x:c>
      <x:c r="G175" s="42" t="n">
        <x:f aca="0">G79/G64</x:f>
        <x:v>0.24711008947956384</x:v>
      </x:c>
    </x:row>
    <x:row r="176" ht="15" hidden="0">
      <x:c r="A176" s="33" t="s">
        <x:v>138</x:v>
      </x:c>
      <x:c r="B176" s="33"/>
      <x:c r="C176" s="42" t="n">
        <x:f aca="0">C83/C64</x:f>
        <x:v>0.3396682638261181</x:v>
      </x:c>
      <x:c r="D176" s="42" t="n">
        <x:f aca="0">D83/D64</x:f>
        <x:v>0.25058964803971473</x:v>
      </x:c>
      <x:c r="E176" s="42" t="n">
        <x:f aca="0">E83/E64</x:f>
        <x:v>0.2493225843810011</x:v>
      </x:c>
      <x:c r="F176" s="42" t="n">
        <x:f aca="0">F83/F64</x:f>
        <x:v>0.2647021742557539</x:v>
      </x:c>
      <x:c r="G176" s="42" t="n">
        <x:f aca="0">G83/G64</x:f>
        <x:v>0.4298124989647161</x:v>
      </x:c>
    </x:row>
    <x:row r="178" ht="19.5" hidden="0" customHeight="1">
      <x:c r="A178" s="5" t="s">
        <x:v>244</x:v>
      </x:c>
      <x:c r="B178" s="6"/>
      <x:c r="C178" s="6"/>
      <x:c r="D178" s="6"/>
      <x:c r="E178" s="6"/>
      <x:c r="F178" s="6"/>
      <x:c r="G178" s="6"/>
    </x:row>
    <x:row r="179" ht="15" hidden="0">
      <x:c r="A179" s="40" t="s">
        <x:v>245</x:v>
      </x:c>
      <x:c r="B179" s="40"/>
      <x:c r="C179" s="41" t="s">
        <x:v>48</x:v>
      </x:c>
      <x:c r="D179" s="41" t="s">
        <x:v>49</x:v>
      </x:c>
      <x:c r="E179" s="41" t="s">
        <x:v>50</x:v>
      </x:c>
      <x:c r="F179" s="41" t="s">
        <x:v>51</x:v>
      </x:c>
      <x:c r="G179" s="41" t="s">
        <x:v>52</x:v>
      </x:c>
    </x:row>
    <x:row r="180" ht="15" hidden="0">
      <x:c r="A180" s="33" t="s">
        <x:v>119</x:v>
      </x:c>
      <x:c r="B180" s="33"/>
      <x:c r="C180" s="38" t="n">
        <x:f aca="0">IF(H64&lt;=0,"n/m",C64/H64-1)</x:f>
        <x:v>0.2205036628193664</x:v>
      </x:c>
      <x:c r="D180" s="38" t="n">
        <x:f aca="0">IF(C64&lt;=0,"n/m",D64/C64-1)</x:f>
        <x:v>0.3652769163050311</x:v>
      </x:c>
      <x:c r="E180" s="38" t="n">
        <x:f aca="0">IF(D64&lt;=0,"n/m",E64/D64-1)</x:f>
        <x:v>0.27938463741535324</x:v>
      </x:c>
      <x:c r="F180" s="38" t="n">
        <x:f aca="0">IF(E64&lt;=0,"n/m",F64/E64-1)</x:f>
        <x:v>0.0705126175953612</x:v>
      </x:c>
      <x:c r="G180" s="38" t="n">
        <x:f aca="0">IF(F64&lt;=0,"n/m",G64/F64-1)</x:f>
        <x:v>0.037471934024061904</x:v>
      </x:c>
    </x:row>
    <x:row r="181" ht="15" hidden="0">
      <x:c r="A181" s="33" t="s">
        <x:v>121</x:v>
      </x:c>
      <x:c r="B181" s="33"/>
      <x:c r="C181" s="38" t="str">
        <x:f aca="0">IF(H66&lt;=0,"n/m",C66/H66-1)</x:f>
        <x:v>n/m</x:v>
      </x:c>
      <x:c r="D181" s="38" t="n">
        <x:f aca="0">IF(C66&lt;=0,"n/m",D66/C66-1)</x:f>
        <x:v>0.6582009547092611</x:v>
      </x:c>
      <x:c r="E181" s="38" t="n">
        <x:f aca="0">IF(D66&lt;=0,"n/m",E66/D66-1)</x:f>
        <x:v>0.4804613527502739</x:v>
      </x:c>
      <x:c r="F181" s="38" t="n">
        <x:f aca="0">IF(E66&lt;=0,"n/m",F66/E66-1)</x:f>
        <x:v>0.15357270614839247</x:v>
      </x:c>
      <x:c r="G181" s="38" t="n">
        <x:f aca="0">IF(F66&lt;=0,"n/m",G66/F66-1)</x:f>
        <x:v>0.13272726127923096</x:v>
      </x:c>
    </x:row>
    <x:row r="182" ht="15" hidden="0">
      <x:c r="A182" s="33" t="s">
        <x:v>126</x:v>
      </x:c>
      <x:c r="B182" s="33"/>
      <x:c r="C182" s="38" t="str">
        <x:f aca="0">IF(H71&lt;=0,"n/m",C71/H71-1)</x:f>
        <x:v>n/m</x:v>
      </x:c>
      <x:c r="D182" s="38" t="n">
        <x:f aca="0">IF(C71&lt;=0,"n/m",D71/C71-1)</x:f>
        <x:v>0.7555407917687762</x:v>
      </x:c>
      <x:c r="E182" s="38" t="n">
        <x:f aca="0">IF(D71&lt;=0,"n/m",E71/D71-1)</x:f>
        <x:v>0.33681249652540335</x:v>
      </x:c>
      <x:c r="F182" s="38" t="n">
        <x:f aca="0">IF(E71&lt;=0,"n/m",F71/E71-1)</x:f>
        <x:v>0.07244535933175933</x:v>
      </x:c>
      <x:c r="G182" s="38" t="n">
        <x:f aca="0">IF(F71&lt;=0,"n/m",G71/F71-1)</x:f>
        <x:v>0.23688836325721319</x:v>
      </x:c>
    </x:row>
    <x:row r="183" ht="15" hidden="0">
      <x:c r="A183" s="33" t="s">
        <x:v>138</x:v>
      </x:c>
      <x:c r="B183" s="33"/>
      <x:c r="C183" s="38" t="n">
        <x:f aca="0">IF(H83&lt;=0,"n/m",C83/H83-1)</x:f>
        <x:v>10.854974554182585</x:v>
      </x:c>
      <x:c r="D183" s="38" t="n">
        <x:f aca="0">IF(C83&lt;=0,"n/m",D83/C83-1)</x:f>
        <x:v>0.007230578682393407</x:v>
      </x:c>
      <x:c r="E183" s="38" t="n">
        <x:f aca="0">IF(D83&lt;=0,"n/m",E83/D83-1)</x:f>
        <x:v>0.272915648004711</x:v>
      </x:c>
      <x:c r="F183" s="38" t="n">
        <x:f aca="0">IF(E83&lt;=0,"n/m",F83/E83-1)</x:f>
        <x:v>0.13654773052041125</x:v>
      </x:c>
      <x:c r="G183" s="38" t="n">
        <x:f aca="0">IF(F83&lt;=0,"n/m",G83/F83-1)</x:f>
        <x:v>0.6846042380361979</x:v>
      </x:c>
    </x:row>
    <x:row r="184" ht="15" hidden="0">
      <x:c r="A184" s="33" t="s">
        <x:v>134</x:v>
      </x:c>
      <x:c r="B184" s="33"/>
      <x:c r="C184" s="38" t="str">
        <x:f aca="0">IF(H79&lt;=0,"n/m",C79/H79-1)</x:f>
        <x:v>n/m</x:v>
      </x:c>
      <x:c r="D184" s="38" t="n">
        <x:f aca="0">IF(C79&lt;=0,"n/m",D79/C79-1)</x:f>
        <x:v>-0.42016680553536845</x:v>
      </x:c>
      <x:c r="E184" s="38" t="n">
        <x:f aca="0">IF(D79&lt;=0,"n/m",E79/D79-1)</x:f>
        <x:v>0.2386232399609518</x:v>
      </x:c>
      <x:c r="F184" s="38" t="n">
        <x:f aca="0">IF(E79&lt;=0,"n/m",F79/E79-1)</x:f>
        <x:v>0.1738458466106918</x:v>
      </x:c>
      <x:c r="G184" s="38" t="n">
        <x:f aca="0">IF(F79&lt;=0,"n/m",G79/F79-1)</x:f>
        <x:v>2.231159176614933</x:v>
      </x:c>
    </x:row>
    <x:row r="185" ht="15" hidden="0">
      <x:c r="A185" s="33" t="s">
        <x:v>146</x:v>
      </x:c>
      <x:c r="B185" s="33"/>
      <x:c r="C185" s="38" t="str">
        <x:f aca="0">IF(H93&lt;=0,"n/m",C93/H93-1)</x:f>
        <x:v>n/m</x:v>
      </x:c>
      <x:c r="D185" s="38" t="n">
        <x:f aca="0">IF(C93&lt;=0,"n/m",D93/C93-1)</x:f>
        <x:v>0.2713902557812029</x:v>
      </x:c>
      <x:c r="E185" s="38" t="n">
        <x:f aca="0">IF(D93&lt;=0,"n/m",E93/D93-1)</x:f>
        <x:v>1.4181760210283016</x:v>
      </x:c>
      <x:c r="F185" s="38" t="n">
        <x:f aca="0">IF(E93&lt;=0,"n/m",F93/E93-1)</x:f>
        <x:v>-0.5285742192396468</x:v>
      </x:c>
      <x:c r="G185" s="38" t="n">
        <x:f aca="0">IF(F93&lt;=0,"n/m",G93/F93-1)</x:f>
        <x:v>1.0341346572534</x:v>
      </x:c>
    </x:row>
    <x:row r="186" ht="15" hidden="0">
      <x:c r="A186" s="33" t="s">
        <x:v>246</x:v>
      </x:c>
      <x:c r="B186" s="33"/>
      <x:c r="C186" s="38" t="n">
        <x:f aca="0">IF(H25&lt;=0,"n/m",C25/H25-1)</x:f>
        <x:v>0.0034768640539593054</x:v>
      </x:c>
      <x:c r="D186" s="38" t="n">
        <x:f aca="0">IF(C25&lt;=0,"n/m",D25/C25-1)</x:f>
        <x:v>0.24117008038644383</x:v>
      </x:c>
      <x:c r="E186" s="38" t="n">
        <x:f aca="0">IF(D25&lt;=0,"n/m",E25/D25-1)</x:f>
        <x:v>0.09114605613798421</x:v>
      </x:c>
      <x:c r="F186" s="38" t="n">
        <x:f aca="0">IF(E25&lt;=0,"n/m",F25/E25-1)</x:f>
        <x:v>0.10766043289188354</x:v>
      </x:c>
      <x:c r="G186" s="38" t="n">
        <x:f aca="0">IF(F25&lt;=0,"n/m",G25/F25-1)</x:f>
        <x:v>0.1986660646076981</x:v>
      </x:c>
    </x:row>
    <x:row r="187" ht="15" hidden="0">
      <x:c r="A187" s="33" t="s">
        <x:v>86</x:v>
      </x:c>
      <x:c r="B187" s="33"/>
      <x:c r="C187" s="38" t="n">
        <x:f aca="0">IF(H29&lt;=0,"n/m",C29/H29-1)</x:f>
        <x:v>0.19864447402433227</x:v>
      </x:c>
      <x:c r="D187" s="38" t="n">
        <x:f aca="0">IF(C29&lt;=0,"n/m",D29/C29-1)</x:f>
        <x:v>0.08034815757409719</x:v>
      </x:c>
      <x:c r="E187" s="38" t="n">
        <x:f aca="0">IF(D29&lt;=0,"n/m",E29/D29-1)</x:f>
        <x:v>0.10735218791679246</x:v>
      </x:c>
      <x:c r="F187" s="38" t="n">
        <x:f aca="0">IF(E29&lt;=0,"n/m",F29/E29-1)</x:f>
        <x:v>0.17150434058079322</x:v>
      </x:c>
      <x:c r="G187" s="38" t="n">
        <x:f aca="0">IF(F29&lt;=0,"n/m",G29/F29-1)</x:f>
        <x:v>0.3581746417832419</x:v>
      </x:c>
    </x:row>
    <x:row r="188" ht="15" hidden="0">
      <x:c r="A188" s="33" t="s">
        <x:v>112</x:v>
      </x:c>
      <x:c r="B188" s="33"/>
      <x:c r="C188" s="38" t="n">
        <x:f aca="0">IF(H55&lt;=0,"n/m",C55/H55-1)</x:f>
        <x:v>-0.2600196149443671</x:v>
      </x:c>
      <x:c r="D188" s="38" t="n">
        <x:f aca="0">IF(C55&lt;=0,"n/m",D55/C55-1)</x:f>
        <x:v>0.5382187747374945</x:v>
      </x:c>
      <x:c r="E188" s="38" t="n">
        <x:f aca="0">IF(D55&lt;=0,"n/m",E55/D55-1)</x:f>
        <x:v>-0.20418713051651005</x:v>
      </x:c>
      <x:c r="F188" s="38" t="n">
        <x:f aca="0">IF(E55&lt;=0,"n/m",F55/E55-1)</x:f>
        <x:v>-0.024504887014719423</x:v>
      </x:c>
      <x:c r="G188" s="38" t="n">
        <x:f aca="0">IF(F55&lt;=0,"n/m",G55/F55-1)</x:f>
        <x:v>-0.24796090323278808</x:v>
      </x:c>
    </x:row>
    <x:row r="189" ht="15" hidden="0">
      <x:c r="A189" s="33" t="s">
        <x:v>240</x:v>
      </x:c>
      <x:c r="B189" s="33"/>
      <x:c r="C189" s="38" t="n">
        <x:f aca="0">IF(H54&lt;=0,"n/m",C54/H54-1)</x:f>
        <x:v>0.16844065275978992</x:v>
      </x:c>
      <x:c r="D189" s="38" t="n">
        <x:f aca="0">IF(C54&lt;=0,"n/m",D54/C54-1)</x:f>
        <x:v>0.30787760011439214</x:v>
      </x:c>
      <x:c r="E189" s="38" t="n">
        <x:f aca="0">IF(D54&lt;=0,"n/m",E54/D54-1)</x:f>
        <x:v>-0.11246643402057444</x:v>
      </x:c>
      <x:c r="F189" s="38" t="n">
        <x:f aca="0">IF(E54&lt;=0,"n/m",F54/E54-1)</x:f>
        <x:v>0.1256031320695108</x:v>
      </x:c>
      <x:c r="G189" s="38" t="n">
        <x:f aca="0">IF(F54&lt;=0,"n/m",G54/F54-1)</x:f>
        <x:v>0.08822415524917493</x:v>
      </x:c>
    </x:row>
    <x:row r="190" ht="15" hidden="0">
      <x:c r="A190" s="33" t="s">
        <x:v>77</x:v>
      </x:c>
      <x:c r="B190" s="33"/>
      <x:c r="C190" s="38" t="n">
        <x:f aca="0">IF(H20&lt;=0,"n/m",C20/H20-1)</x:f>
        <x:v>-0.4496617116571051</x:v>
      </x:c>
      <x:c r="D190" s="38" t="n">
        <x:f aca="0">IF(C20&lt;=0,"n/m",D20/C20-1)</x:f>
        <x:v>0.23010482799350362</x:v>
      </x:c>
      <x:c r="E190" s="38" t="n">
        <x:f aca="0">IF(D20&lt;=0,"n/m",E20/D20-1)</x:f>
        <x:v>0.25881806900743975</x:v>
      </x:c>
      <x:c r="F190" s="38" t="n">
        <x:f aca="0">IF(E20&lt;=0,"n/m",F20/E20-1)</x:f>
        <x:v>0.6104456580872246</x:v>
      </x:c>
      <x:c r="G190" s="38" t="n">
        <x:f aca="0">IF(F20&lt;=0,"n/m",G20/F20-1)</x:f>
        <x:v>0.1006117584145132</x:v>
      </x:c>
    </x:row>
    <x:row r="191" ht="15" hidden="0">
      <x:c r="A191" s="33" t="s">
        <x:v>79</x:v>
      </x:c>
      <x:c r="B191" s="33"/>
      <x:c r="C191" s="38" t="n">
        <x:f aca="0">IF(H22&lt;=0,"n/m",C22/H22-1)</x:f>
        <x:v>-0.5313538513591656</x:v>
      </x:c>
      <x:c r="D191" s="38" t="n">
        <x:f aca="0">IF(C22&lt;=0,"n/m",D22/C22-1)</x:f>
        <x:v>0.618456179422388</x:v>
      </x:c>
      <x:c r="E191" s="38" t="n">
        <x:f aca="0">IF(D22&lt;=0,"n/m",E22/D22-1)</x:f>
        <x:v>-0.06662121838362045</x:v>
      </x:c>
      <x:c r="F191" s="38" t="n">
        <x:f aca="0">IF(E22&lt;=0,"n/m",F22/E22-1)</x:f>
        <x:v>0.5301758995122228</x:v>
      </x:c>
      <x:c r="G191" s="38" t="n">
        <x:f aca="0">IF(F22&lt;=0,"n/m",G22/F22-1)</x:f>
        <x:v>0.4253254774080386</x:v>
      </x:c>
    </x:row>
    <x:row r="193" ht="15" hidden="0">
      <x:c r="A193" s="15" t="s">
        <x:v>247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FA98A"/>
  </x:sheetPr>
  <x:sheetViews>
    <x:sheetView showGridLines="0" workbookViewId="0">
      <x:pane xSplit="2" ySplit="5" topLeftCell="C6" activePane="bottomRight" state="frozen"/>
    </x:sheetView>
  </x:sheetViews>
  <x:sheetFormatPr defaultColWidth="8.6796875" defaultRowHeight="15"/>
  <x:cols>
    <x:col min="1" max="1" width="44" hidden="0" customWidth="1"/>
    <x:col min="2" max="2" width="36" hidden="0" customWidth="1"/>
    <x:col min="3" max="8" width="12" hidden="0" customWidth="1"/>
  </x:cols>
  <x:sheetData>
    <x:row r="1" ht="19.700000762939453" hidden="0">
      <x:c r="A1" s="1" t="s">
        <x:v>254</x:v>
      </x:c>
    </x:row>
    <x:row r="2" ht="15" hidden="0">
      <x:c r="A2" s="16" t="s">
        <x:v>255</x:v>
      </x:c>
    </x:row>
    <x:row r="3" ht="15" hidden="0">
      <x:c r="A3" s="15" t="s">
        <x:v>61</x:v>
      </x:c>
    </x:row>
    <x:row r="6" ht="19.5" hidden="0" customHeight="1">
      <x:c r="A6" s="5" t="s">
        <x:v>62</x:v>
      </x:c>
      <x:c r="B6" s="6"/>
      <x:c r="C6" s="6"/>
      <x:c r="D6" s="6"/>
      <x:c r="E6" s="6"/>
      <x:c r="F6" s="6"/>
      <x:c r="G6" s="6"/>
      <x:c r="H6" s="6"/>
    </x:row>
    <x:row r="7" ht="16.5" hidden="0" customHeight="1">
      <x:c r="A7" s="17" t="s">
        <x:v>63</x:v>
      </x:c>
      <x:c r="B7" s="18"/>
      <x:c r="C7" s="19" t="s">
        <x:v>48</x:v>
      </x:c>
      <x:c r="D7" s="19" t="s">
        <x:v>49</x:v>
      </x:c>
      <x:c r="E7" s="19" t="s">
        <x:v>50</x:v>
      </x:c>
      <x:c r="F7" s="19" t="s">
        <x:v>51</x:v>
      </x:c>
      <x:c r="G7" s="19" t="s">
        <x:v>52</x:v>
      </x:c>
      <x:c r="H7" s="19" t="s">
        <x:v>64</x:v>
      </x:c>
    </x:row>
    <x:row r="8" ht="15" hidden="0">
      <x:c r="A8" s="20" t="s">
        <x:v>65</x:v>
      </x:c>
      <x:c r="B8" s="21"/>
      <x:c r="C8" s="21"/>
      <x:c r="D8" s="21"/>
      <x:c r="E8" s="21"/>
      <x:c r="F8" s="21"/>
      <x:c r="G8" s="21"/>
      <x:c r="H8" s="21"/>
    </x:row>
    <x:row r="9" ht="15" hidden="0">
      <x:c r="A9" s="22" t="s">
        <x:v>66</x:v>
      </x:c>
      <x:c r="B9" s="23"/>
      <x:c r="C9" s="24" t="n">
        <x:v>21422.215</x:v>
      </x:c>
      <x:c r="D9" s="24" t="n">
        <x:v>74126.315</x:v>
      </x:c>
      <x:c r="E9" s="24" t="n">
        <x:v>104425.181</x:v>
      </x:c>
      <x:c r="F9" s="24" t="n">
        <x:v>110845.663</x:v>
      </x:c>
      <x:c r="G9" s="24" t="n">
        <x:v>109579.089</x:v>
      </x:c>
      <x:c r="H9" s="24" t="n">
        <x:v>22065.172</x:v>
      </x:c>
    </x:row>
    <x:row r="10" ht="15" hidden="0">
      <x:c r="A10" s="22" t="s">
        <x:v>67</x:v>
      </x:c>
      <x:c r="B10" s="23"/>
      <x:c r="C10" s="24" t="n">
        <x:v>202.087</x:v>
      </x:c>
      <x:c r="D10" s="24" t="n">
        <x:v>29802.17</x:v>
      </x:c>
      <x:c r="E10" s="24" t="n">
        <x:v>34531.172</x:v>
      </x:c>
      <x:c r="F10" s="24" t="n">
        <x:v>700.153</x:v>
      </x:c>
      <x:c r="G10" s="24" t="n">
        <x:v>296.574</x:v>
      </x:c>
      <x:c r="H10" s="24" t="n">
        <x:v>2.808</x:v>
      </x:c>
    </x:row>
    <x:row r="11" ht="15" hidden="0">
      <x:c r="A11" s="22" t="s">
        <x:v>68</x:v>
      </x:c>
      <x:c r="B11" s="23"/>
      <x:c r="C11" s="24" t="n">
        <x:v>89.334</x:v>
      </x:c>
      <x:c r="D11" s="24" t="n">
        <x:v>132.263</x:v>
      </x:c>
      <x:c r="E11" s="24" t="n">
        <x:v>181.38</x:v>
      </x:c>
      <x:c r="F11" s="24" t="n">
        <x:v>131.165</x:v>
      </x:c>
      <x:c r="G11" s="24" t="n">
        <x:v>126.445</x:v>
      </x:c>
      <x:c r="H11" s="24" t="n">
        <x:v>60.322</x:v>
      </x:c>
    </x:row>
    <x:row r="12" ht="15" hidden="0">
      <x:c r="A12" s="22" t="s">
        <x:v>69</x:v>
      </x:c>
      <x:c r="B12" s="23"/>
      <x:c r="C12" s="24" t="n">
        <x:v>0</x:v>
      </x:c>
      <x:c r="D12" s="24" t="n">
        <x:v>11029.756</x:v>
      </x:c>
      <x:c r="E12" s="24" t="n">
        <x:v>10957.737</x:v>
      </x:c>
      <x:c r="F12" s="24" t="n">
        <x:v>10745.7</x:v>
      </x:c>
      <x:c r="G12" s="24" t="n">
        <x:v>10533.667</x:v>
      </x:c>
      <x:c r="H12" s="24" t="n">
        <x:v>0</x:v>
      </x:c>
    </x:row>
    <x:row r="13" ht="15" hidden="0">
      <x:c r="A13" s="22" t="s">
        <x:v>70</x:v>
      </x:c>
      <x:c r="B13" s="23"/>
      <x:c r="C13" s="24" t="n">
        <x:v>0</x:v>
      </x:c>
      <x:c r="D13" s="24" t="n">
        <x:v>0</x:v>
      </x:c>
      <x:c r="E13" s="24" t="n">
        <x:v>0</x:v>
      </x:c>
      <x:c r="F13" s="24" t="n">
        <x:v>0</x:v>
      </x:c>
      <x:c r="G13" s="24" t="n">
        <x:v>0</x:v>
      </x:c>
      <x:c r="H13" s="24" t="n">
        <x:v>0</x:v>
      </x:c>
    </x:row>
    <x:row r="14" ht="15" hidden="0">
      <x:c r="A14" s="22" t="s">
        <x:v>71</x:v>
      </x:c>
      <x:c r="B14" s="23"/>
      <x:c r="C14" s="24" t="n">
        <x:v>15.349</x:v>
      </x:c>
      <x:c r="D14" s="24" t="n">
        <x:v>66.657</x:v>
      </x:c>
      <x:c r="E14" s="24" t="n">
        <x:v>0</x:v>
      </x:c>
      <x:c r="F14" s="24" t="n">
        <x:v>0</x:v>
      </x:c>
      <x:c r="G14" s="24" t="n">
        <x:v>0</x:v>
      </x:c>
      <x:c r="H14" s="24" t="n">
        <x:v>0</x:v>
      </x:c>
    </x:row>
    <x:row r="15" ht="15" hidden="0">
      <x:c r="A15" s="22" t="s">
        <x:v>72</x:v>
      </x:c>
      <x:c r="B15" s="23"/>
      <x:c r="C15" s="24" t="n">
        <x:v>86.601</x:v>
      </x:c>
      <x:c r="D15" s="24" t="n">
        <x:v>126.274</x:v>
      </x:c>
      <x:c r="E15" s="24" t="n">
        <x:v>129.7</x:v>
      </x:c>
      <x:c r="F15" s="24" t="n">
        <x:v>129.7</x:v>
      </x:c>
      <x:c r="G15" s="24" t="n">
        <x:v>133.425</x:v>
      </x:c>
      <x:c r="H15" s="24" t="n">
        <x:v>99.101</x:v>
      </x:c>
    </x:row>
    <x:row r="16" ht="15" hidden="0">
      <x:c r="A16" s="25" t="s">
        <x:v>73</x:v>
      </x:c>
      <x:c r="B16" s="26"/>
      <x:c r="C16" s="27" t="n">
        <x:f aca="0">C9+C11+C12+C13+C14+C15</x:f>
        <x:v>21613.498999999996</x:v>
      </x:c>
      <x:c r="D16" s="27" t="n">
        <x:f aca="0">D9+D11+D12+D13+D14+D15</x:f>
        <x:v>85481.26500000001</x:v>
      </x:c>
      <x:c r="E16" s="27" t="n">
        <x:f aca="0">E9+E11+E12+E13+E14+E15</x:f>
        <x:v>115693.99799999999</x:v>
      </x:c>
      <x:c r="F16" s="27" t="n">
        <x:f aca="0">F9+F11+F12+F13+F14+F15</x:f>
        <x:v>121852.22799999999</x:v>
      </x:c>
      <x:c r="G16" s="27" t="n">
        <x:f aca="0">G9+G11+G12+G13+G14+G15</x:f>
        <x:v>120372.62600000002</x:v>
      </x:c>
      <x:c r="H16" s="27" t="n">
        <x:f aca="0">H9+H11+H12+H13+H14+H15</x:f>
        <x:v>22224.594999999998</x:v>
      </x:c>
    </x:row>
    <x:row r="17" ht="15" hidden="0">
      <x:c r="A17" s="20" t="s">
        <x:v>74</x:v>
      </x:c>
      <x:c r="B17" s="21"/>
      <x:c r="C17" s="21"/>
      <x:c r="D17" s="21"/>
      <x:c r="E17" s="21"/>
      <x:c r="F17" s="21"/>
      <x:c r="G17" s="21"/>
      <x:c r="H17" s="21"/>
    </x:row>
    <x:row r="18" ht="15" hidden="0">
      <x:c r="A18" s="22" t="s">
        <x:v>75</x:v>
      </x:c>
      <x:c r="B18" s="23"/>
      <x:c r="C18" s="24" t="n">
        <x:v>4250.754</x:v>
      </x:c>
      <x:c r="D18" s="24" t="n">
        <x:v>11939.147</x:v>
      </x:c>
      <x:c r="E18" s="24" t="n">
        <x:v>8011.181</x:v>
      </x:c>
      <x:c r="F18" s="24" t="n">
        <x:v>9099.13</x:v>
      </x:c>
      <x:c r="G18" s="24" t="n">
        <x:v>10377.008</x:v>
      </x:c>
      <x:c r="H18" s="24" t="n">
        <x:v>3505.809</x:v>
      </x:c>
    </x:row>
    <x:row r="19" ht="15" hidden="0">
      <x:c r="A19" s="22" t="s">
        <x:v>76</x:v>
      </x:c>
      <x:c r="B19" s="23"/>
      <x:c r="C19" s="24" t="n">
        <x:v>1189.198</x:v>
      </x:c>
      <x:c r="D19" s="24" t="n">
        <x:v>3697.721</x:v>
      </x:c>
      <x:c r="E19" s="24" t="n">
        <x:v>7112.327</x:v>
      </x:c>
      <x:c r="F19" s="24" t="n">
        <x:v>7495.705</x:v>
      </x:c>
      <x:c r="G19" s="24" t="n">
        <x:v>9337.617</x:v>
      </x:c>
      <x:c r="H19" s="24" t="n">
        <x:v>1187.752</x:v>
      </x:c>
    </x:row>
    <x:row r="20" ht="15" hidden="0">
      <x:c r="A20" s="22" t="s">
        <x:v>77</x:v>
      </x:c>
      <x:c r="B20" s="23"/>
      <x:c r="C20" s="24" t="n">
        <x:v>1449.6</x:v>
      </x:c>
      <x:c r="D20" s="24" t="n">
        <x:v>2412.758</x:v>
      </x:c>
      <x:c r="E20" s="24" t="n">
        <x:v>3572.445</x:v>
      </x:c>
      <x:c r="F20" s="24" t="n">
        <x:v>5545.241</x:v>
      </x:c>
      <x:c r="G20" s="24" t="n">
        <x:v>6911.322</x:v>
      </x:c>
      <x:c r="H20" s="24" t="n">
        <x:v>1050.64</x:v>
      </x:c>
    </x:row>
    <x:row r="21" ht="15" hidden="0">
      <x:c r="A21" s="22" t="s">
        <x:v>78</x:v>
      </x:c>
      <x:c r="B21" s="23"/>
      <x:c r="C21" s="24" t="n">
        <x:v>4397.699</x:v>
      </x:c>
      <x:c r="D21" s="24" t="n">
        <x:v>3843.01</x:v>
      </x:c>
      <x:c r="E21" s="24" t="n">
        <x:v>250</x:v>
      </x:c>
      <x:c r="F21" s="24" t="n">
        <x:v>250</x:v>
      </x:c>
      <x:c r="G21" s="24" t="n">
        <x:v>9210.1</x:v>
      </x:c>
      <x:c r="H21" s="24" t="n">
        <x:v>0</x:v>
      </x:c>
    </x:row>
    <x:row r="22" ht="15" hidden="0">
      <x:c r="A22" s="22" t="s">
        <x:v>79</x:v>
      </x:c>
      <x:c r="B22" s="23"/>
      <x:c r="C22" s="24" t="n">
        <x:v>900.778</x:v>
      </x:c>
      <x:c r="D22" s="24" t="n">
        <x:v>2306.633</x:v>
      </x:c>
      <x:c r="E22" s="24" t="n">
        <x:v>970.457</x:v>
      </x:c>
      <x:c r="F22" s="24" t="n">
        <x:v>2932.984</x:v>
      </x:c>
      <x:c r="G22" s="24" t="n">
        <x:v>2665.338</x:v>
      </x:c>
      <x:c r="H22" s="24" t="n">
        <x:v>561.174</x:v>
      </x:c>
    </x:row>
    <x:row r="23" ht="15" hidden="0">
      <x:c r="A23" s="22" t="s">
        <x:v>80</x:v>
      </x:c>
      <x:c r="B23" s="23"/>
      <x:c r="C23" s="24" t="n">
        <x:v>250.703</x:v>
      </x:c>
      <x:c r="D23" s="24" t="n">
        <x:v>4017.543</x:v>
      </x:c>
      <x:c r="E23" s="24" t="n">
        <x:v>3218.089</x:v>
      </x:c>
      <x:c r="F23" s="24" t="n">
        <x:v>461.011</x:v>
      </x:c>
      <x:c r="G23" s="24" t="n">
        <x:v>1971.18</x:v>
      </x:c>
      <x:c r="H23" s="24" t="n">
        <x:v>677.946</x:v>
      </x:c>
    </x:row>
    <x:row r="24" ht="15" hidden="0">
      <x:c r="A24" s="25" t="s">
        <x:v>81</x:v>
      </x:c>
      <x:c r="B24" s="26"/>
      <x:c r="C24" s="27" t="n">
        <x:f aca="0">C18+C19+C20+C21+C22+C23</x:f>
        <x:v>12438.732</x:v>
      </x:c>
      <x:c r="D24" s="27" t="n">
        <x:f aca="0">D18+D19+D20+D21+D22+D23</x:f>
        <x:v>28216.812</x:v>
      </x:c>
      <x:c r="E24" s="27" t="n">
        <x:f aca="0">E18+E19+E20+E21+E22+E23</x:f>
        <x:v>23134.499</x:v>
      </x:c>
      <x:c r="F24" s="27" t="n">
        <x:f aca="0">F18+F19+F20+F21+F22+F23</x:f>
        <x:v>25784.071</x:v>
      </x:c>
      <x:c r="G24" s="27" t="n">
        <x:f aca="0">G18+G19+G20+G21+G22+G23</x:f>
        <x:v>40472.565</x:v>
      </x:c>
      <x:c r="H24" s="27" t="n">
        <x:f aca="0">H18+H19+H20+H21+H22+H23</x:f>
        <x:v>6983.321</x:v>
      </x:c>
    </x:row>
    <x:row r="25" ht="15" hidden="0">
      <x:c r="A25" s="25" t="s">
        <x:v>82</x:v>
      </x:c>
      <x:c r="B25" s="26"/>
      <x:c r="C25" s="27" t="n">
        <x:f aca="0">C16+C24</x:f>
        <x:v>34052.231</x:v>
      </x:c>
      <x:c r="D25" s="27" t="n">
        <x:f aca="0">D16+D24</x:f>
        <x:v>113698.07700000002</x:v>
      </x:c>
      <x:c r="E25" s="27" t="n">
        <x:f aca="0">E16+E24</x:f>
        <x:v>138828.497</x:v>
      </x:c>
      <x:c r="F25" s="27" t="n">
        <x:f aca="0">F16+F24</x:f>
        <x:v>147636.299</x:v>
      </x:c>
      <x:c r="G25" s="27" t="n">
        <x:f aca="0">G16+G24</x:f>
        <x:v>160845.19100000002</x:v>
      </x:c>
      <x:c r="H25" s="27" t="n">
        <x:f aca="0">H16+H24</x:f>
        <x:v>29207.915999999997</x:v>
      </x:c>
    </x:row>
    <x:row r="26" ht="15" hidden="0">
      <x:c r="A26" s="20" t="s">
        <x:v>83</x:v>
      </x:c>
      <x:c r="B26" s="21"/>
      <x:c r="C26" s="21"/>
      <x:c r="D26" s="21"/>
      <x:c r="E26" s="21"/>
      <x:c r="F26" s="21"/>
      <x:c r="G26" s="21"/>
      <x:c r="H26" s="21"/>
    </x:row>
    <x:row r="27" ht="15" hidden="0">
      <x:c r="A27" s="22" t="s">
        <x:v>84</x:v>
      </x:c>
      <x:c r="B27" s="23"/>
      <x:c r="C27" s="24" t="n">
        <x:v>13798.15</x:v>
      </x:c>
      <x:c r="D27" s="24" t="n">
        <x:v>21803.09</x:v>
      </x:c>
      <x:c r="E27" s="24" t="n">
        <x:v>24528.476</x:v>
      </x:c>
      <x:c r="F27" s="24" t="n">
        <x:v>24528.476</x:v>
      </x:c>
      <x:c r="G27" s="24" t="n">
        <x:v>24528.476</x:v>
      </x:c>
      <x:c r="H27" s="24" t="n">
        <x:v>13798.15</x:v>
      </x:c>
    </x:row>
    <x:row r="28" ht="15" hidden="0">
      <x:c r="A28" s="22" t="s">
        <x:v>85</x:v>
      </x:c>
      <x:c r="B28" s="23"/>
      <x:c r="C28" s="24" t="n">
        <x:v>9477.521</x:v>
      </x:c>
      <x:c r="D28" s="24" t="n">
        <x:v>35932.966</x:v>
      </x:c>
      <x:c r="E28" s="24" t="n">
        <x:v>40647.261</x:v>
      </x:c>
      <x:c r="F28" s="24" t="n">
        <x:v>48870.377</x:v>
      </x:c>
      <x:c r="G28" s="24" t="n">
        <x:v>59743.732</x:v>
      </x:c>
      <x:c r="H28" s="24" t="n">
        <x:v>6006.17</x:v>
      </x:c>
    </x:row>
    <x:row r="29" ht="15" hidden="0">
      <x:c r="A29" s="25" t="s">
        <x:v>86</x:v>
      </x:c>
      <x:c r="B29" s="26"/>
      <x:c r="C29" s="27" t="n">
        <x:f aca="0">C27+C28</x:f>
        <x:v>23275.671000000002</x:v>
      </x:c>
      <x:c r="D29" s="27" t="n">
        <x:f aca="0">D27+D28</x:f>
        <x:v>57736.056</x:v>
      </x:c>
      <x:c r="E29" s="27" t="n">
        <x:f aca="0">E27+E28</x:f>
        <x:v>65175.736999999994</x:v>
      </x:c>
      <x:c r="F29" s="27" t="n">
        <x:f aca="0">F27+F28</x:f>
        <x:v>73398.853</x:v>
      </x:c>
      <x:c r="G29" s="27" t="n">
        <x:f aca="0">G27+G28</x:f>
        <x:v>84272.208</x:v>
      </x:c>
      <x:c r="H29" s="27" t="n">
        <x:f aca="0">H27+H28</x:f>
        <x:v>19804.32</x:v>
      </x:c>
    </x:row>
    <x:row r="30" ht="15" hidden="0">
      <x:c r="A30" s="20" t="s">
        <x:v>87</x:v>
      </x:c>
      <x:c r="B30" s="21"/>
      <x:c r="C30" s="21"/>
      <x:c r="D30" s="21"/>
      <x:c r="E30" s="21"/>
      <x:c r="F30" s="21"/>
      <x:c r="G30" s="21"/>
      <x:c r="H30" s="21"/>
    </x:row>
    <x:row r="31" ht="15" hidden="0">
      <x:c r="A31" s="22" t="s">
        <x:v>88</x:v>
      </x:c>
      <x:c r="B31" s="23"/>
      <x:c r="C31" s="24" t="n">
        <x:v>491.502</x:v>
      </x:c>
      <x:c r="D31" s="24" t="n">
        <x:v>19555.997</x:v>
      </x:c>
      <x:c r="E31" s="24" t="n">
        <x:v>31777.087</x:v>
      </x:c>
      <x:c r="F31" s="24" t="n">
        <x:v>29908.287</x:v>
      </x:c>
      <x:c r="G31" s="24" t="n">
        <x:v>24208.633</x:v>
      </x:c>
      <x:c r="H31" s="24" t="n">
        <x:v>447.327</x:v>
      </x:c>
    </x:row>
    <x:row r="32" ht="15" hidden="0">
      <x:c r="A32" s="22" t="s">
        <x:v>89</x:v>
      </x:c>
      <x:c r="B32" s="23"/>
      <x:c r="C32" s="24" t="n">
        <x:v>73.593</x:v>
      </x:c>
      <x:c r="D32" s="24" t="n">
        <x:v>89.965</x:v>
      </x:c>
      <x:c r="E32" s="24" t="n">
        <x:v>118.972</x:v>
      </x:c>
      <x:c r="F32" s="24" t="n">
        <x:v>117.454</x:v>
      </x:c>
      <x:c r="G32" s="24" t="n">
        <x:v>101.211</x:v>
      </x:c>
      <x:c r="H32" s="24" t="n">
        <x:v>57.656</x:v>
      </x:c>
    </x:row>
    <x:row r="33" ht="15" hidden="0">
      <x:c r="A33" s="22" t="s">
        <x:v>90</x:v>
      </x:c>
      <x:c r="B33" s="23"/>
      <x:c r="C33" s="24" t="n">
        <x:v>6.607</x:v>
      </x:c>
      <x:c r="D33" s="24" t="n">
        <x:v>1982.301</x:v>
      </x:c>
      <x:c r="E33" s="24" t="n">
        <x:v>2745.849</x:v>
      </x:c>
      <x:c r="F33" s="24" t="n">
        <x:v>2164.959</x:v>
      </x:c>
      <x:c r="G33" s="24" t="n">
        <x:v>1647.63</x:v>
      </x:c>
      <x:c r="H33" s="24" t="n">
        <x:v>0</x:v>
      </x:c>
    </x:row>
    <x:row r="34" ht="15" hidden="0">
      <x:c r="A34" s="22" t="s">
        <x:v>91</x:v>
      </x:c>
      <x:c r="B34" s="23"/>
      <x:c r="C34" s="24" t="n">
        <x:v>3960.489</x:v>
      </x:c>
      <x:c r="D34" s="24" t="n">
        <x:v>7433.214</x:v>
      </x:c>
      <x:c r="E34" s="24" t="n">
        <x:v>10312.402</x:v>
      </x:c>
      <x:c r="F34" s="24" t="n">
        <x:v>14931.049</x:v>
      </x:c>
      <x:c r="G34" s="24" t="n">
        <x:v>19694.422</x:v>
      </x:c>
      <x:c r="H34" s="24" t="n">
        <x:v>3643.608</x:v>
      </x:c>
    </x:row>
    <x:row r="35" ht="15" hidden="0">
      <x:c r="A35" s="22" t="s">
        <x:v>92</x:v>
      </x:c>
      <x:c r="B35" s="23"/>
      <x:c r="C35" s="24" t="n">
        <x:v>82.38</x:v>
      </x:c>
      <x:c r="D35" s="24" t="n">
        <x:v>179.291</x:v>
      </x:c>
      <x:c r="E35" s="24" t="n">
        <x:v>211.595</x:v>
      </x:c>
      <x:c r="F35" s="24" t="n">
        <x:v>250.23</x:v>
      </x:c>
      <x:c r="G35" s="24" t="n">
        <x:v>283.59</x:v>
      </x:c>
      <x:c r="H35" s="24" t="n">
        <x:v>72.547</x:v>
      </x:c>
    </x:row>
    <x:row r="36" ht="15" hidden="0">
      <x:c r="A36" s="25" t="s">
        <x:v>93</x:v>
      </x:c>
      <x:c r="B36" s="26"/>
      <x:c r="C36" s="27" t="n">
        <x:f aca="0">C31+C32+C33+C34+C35</x:f>
        <x:v>4614.571</x:v>
      </x:c>
      <x:c r="D36" s="27" t="n">
        <x:f aca="0">D31+D32+D33+D34+D35</x:f>
        <x:v>29240.768</x:v>
      </x:c>
      <x:c r="E36" s="27" t="n">
        <x:f aca="0">E31+E32+E33+E34+E35</x:f>
        <x:v>45165.905000000006</x:v>
      </x:c>
      <x:c r="F36" s="27" t="n">
        <x:f aca="0">F31+F32+F33+F34+F35</x:f>
        <x:v>47371.97900000001</x:v>
      </x:c>
      <x:c r="G36" s="27" t="n">
        <x:f aca="0">G31+G32+G33+G34+G35</x:f>
        <x:v>45935.486</x:v>
      </x:c>
      <x:c r="H36" s="27" t="n">
        <x:f aca="0">H31+H32+H33+H34+H35</x:f>
        <x:v>4221.138</x:v>
      </x:c>
    </x:row>
    <x:row r="37" ht="15" hidden="0">
      <x:c r="A37" s="20" t="s">
        <x:v>94</x:v>
      </x:c>
      <x:c r="B37" s="21"/>
      <x:c r="C37" s="21"/>
      <x:c r="D37" s="21"/>
      <x:c r="E37" s="21"/>
      <x:c r="F37" s="21"/>
      <x:c r="G37" s="21"/>
      <x:c r="H37" s="21"/>
    </x:row>
    <x:row r="38" ht="15" hidden="0">
      <x:c r="A38" s="22" t="s">
        <x:v>95</x:v>
      </x:c>
      <x:c r="B38" s="23"/>
      <x:c r="C38" s="24" t="n">
        <x:v>1822.642</x:v>
      </x:c>
      <x:c r="D38" s="24" t="n">
        <x:v>6917.149</x:v>
      </x:c>
      <x:c r="E38" s="24" t="n">
        <x:v>6516.462</x:v>
      </x:c>
      <x:c r="F38" s="24" t="n">
        <x:v>6108.79</x:v>
      </x:c>
      <x:c r="G38" s="24" t="n">
        <x:v>3934.508</x:v>
      </x:c>
      <x:c r="H38" s="24" t="n">
        <x:v>1163.246</x:v>
      </x:c>
    </x:row>
    <x:row r="39" ht="15" hidden="0">
      <x:c r="A39" s="22" t="s">
        <x:v>96</x:v>
      </x:c>
      <x:c r="B39" s="23"/>
      <x:c r="C39" s="24" t="n">
        <x:v>435.097</x:v>
      </x:c>
      <x:c r="D39" s="24" t="n">
        <x:v>862.309</x:v>
      </x:c>
      <x:c r="E39" s="24" t="n">
        <x:v>584.809</x:v>
      </x:c>
      <x:c r="F39" s="24" t="n">
        <x:v>432.704</x:v>
      </x:c>
      <x:c r="G39" s="24" t="n">
        <x:v>588.076</x:v>
      </x:c>
      <x:c r="H39" s="24" t="n">
        <x:v>367.952</x:v>
      </x:c>
    </x:row>
    <x:row r="40" ht="15" hidden="0">
      <x:c r="A40" s="22" t="s">
        <x:v>97</x:v>
      </x:c>
      <x:c r="B40" s="23"/>
      <x:c r="C40" s="24" t="n">
        <x:v>0</x:v>
      </x:c>
      <x:c r="D40" s="24" t="n">
        <x:v>0</x:v>
      </x:c>
      <x:c r="E40" s="24" t="n">
        <x:v>0</x:v>
      </x:c>
      <x:c r="F40" s="24" t="n">
        <x:v>0</x:v>
      </x:c>
      <x:c r="G40" s="24" t="n">
        <x:v>0</x:v>
      </x:c>
      <x:c r="H40" s="24" t="n">
        <x:v>0</x:v>
      </x:c>
    </x:row>
    <x:row r="41" ht="15" hidden="0">
      <x:c r="A41" s="22" t="s">
        <x:v>98</x:v>
      </x:c>
      <x:c r="B41" s="23"/>
      <x:c r="C41" s="24" t="n">
        <x:v>1616.787</x:v>
      </x:c>
      <x:c r="D41" s="24" t="n">
        <x:v>10605.249</x:v>
      </x:c>
      <x:c r="E41" s="24" t="n">
        <x:v>11917.981</x:v>
      </x:c>
      <x:c r="F41" s="24" t="n">
        <x:v>8837.934</x:v>
      </x:c>
      <x:c r="G41" s="24" t="n">
        <x:v>9764.648</x:v>
      </x:c>
      <x:c r="H41" s="24" t="n">
        <x:v>1869.167</x:v>
      </x:c>
    </x:row>
    <x:row r="42" ht="15" hidden="0">
      <x:c r="A42" s="22" t="s">
        <x:v>99</x:v>
      </x:c>
      <x:c r="B42" s="23"/>
      <x:c r="C42" s="24" t="n">
        <x:v>361.521</x:v>
      </x:c>
      <x:c r="D42" s="24" t="n">
        <x:v>2985.087</x:v>
      </x:c>
      <x:c r="E42" s="24" t="n">
        <x:v>4176.493</x:v>
      </x:c>
      <x:c r="F42" s="24" t="n">
        <x:v>5066.868</x:v>
      </x:c>
      <x:c r="G42" s="24" t="n">
        <x:v>6104.065</x:v>
      </x:c>
      <x:c r="H42" s="24" t="n">
        <x:v>303.912</x:v>
      </x:c>
    </x:row>
    <x:row r="43" ht="15" hidden="0">
      <x:c r="A43" s="22" t="s">
        <x:v>100</x:v>
      </x:c>
      <x:c r="B43" s="23"/>
      <x:c r="C43" s="24" t="n">
        <x:v>24.686</x:v>
      </x:c>
      <x:c r="D43" s="24" t="n">
        <x:v>68.332</x:v>
      </x:c>
      <x:c r="E43" s="24" t="n">
        <x:v>50.463</x:v>
      </x:c>
      <x:c r="F43" s="24" t="n">
        <x:v>46.206</x:v>
      </x:c>
      <x:c r="G43" s="24" t="n">
        <x:v>43.099</x:v>
      </x:c>
      <x:c r="H43" s="24" t="n">
        <x:v>23.737</x:v>
      </x:c>
    </x:row>
    <x:row r="44" ht="15" hidden="0">
      <x:c r="A44" s="22" t="s">
        <x:v>101</x:v>
      </x:c>
      <x:c r="B44" s="23"/>
      <x:c r="C44" s="24" t="n">
        <x:v>15.654</x:v>
      </x:c>
      <x:c r="D44" s="24" t="n">
        <x:v>366.464</x:v>
      </x:c>
      <x:c r="E44" s="24" t="n">
        <x:v>604.292</x:v>
      </x:c>
      <x:c r="F44" s="24" t="n">
        <x:v>580.891</x:v>
      </x:c>
      <x:c r="G44" s="24" t="n">
        <x:v>515.175</x:v>
      </x:c>
      <x:c r="H44" s="24" t="n">
        <x:v>0</x:v>
      </x:c>
    </x:row>
    <x:row r="45" ht="15" hidden="0">
      <x:c r="A45" s="22" t="s">
        <x:v>102</x:v>
      </x:c>
      <x:c r="B45" s="23"/>
      <x:c r="C45" s="24" t="n">
        <x:v>38.479</x:v>
      </x:c>
      <x:c r="D45" s="24" t="n">
        <x:v>37.157</x:v>
      </x:c>
      <x:c r="E45" s="24" t="n">
        <x:v>36.001</x:v>
      </x:c>
      <x:c r="F45" s="24" t="n">
        <x:v>35.646</x:v>
      </x:c>
      <x:c r="G45" s="24" t="n">
        <x:v>41.182</x:v>
      </x:c>
      <x:c r="H45" s="24" t="n">
        <x:v>40.051</x:v>
      </x:c>
    </x:row>
    <x:row r="46" ht="15" hidden="0">
      <x:c r="A46" s="22" t="s">
        <x:v>103</x:v>
      </x:c>
      <x:c r="B46" s="23"/>
      <x:c r="C46" s="24" t="n">
        <x:v>0</x:v>
      </x:c>
      <x:c r="D46" s="24" t="n">
        <x:v>0</x:v>
      </x:c>
      <x:c r="E46" s="24" t="n">
        <x:v>0</x:v>
      </x:c>
      <x:c r="F46" s="24" t="n">
        <x:v>56.81</x:v>
      </x:c>
      <x:c r="G46" s="24" t="n">
        <x:v>0</x:v>
      </x:c>
      <x:c r="H46" s="24" t="n">
        <x:v>0</x:v>
      </x:c>
    </x:row>
    <x:row r="47" ht="15" hidden="0">
      <x:c r="A47" s="22" t="s">
        <x:v>104</x:v>
      </x:c>
      <x:c r="B47" s="23"/>
      <x:c r="C47" s="24" t="n">
        <x:v>1847.123</x:v>
      </x:c>
      <x:c r="D47" s="24" t="n">
        <x:v>4879.506</x:v>
      </x:c>
      <x:c r="E47" s="24" t="n">
        <x:v>4600.354</x:v>
      </x:c>
      <x:c r="F47" s="24" t="n">
        <x:v>5699.618</x:v>
      </x:c>
      <x:c r="G47" s="24" t="n">
        <x:v>9646.744</x:v>
      </x:c>
      <x:c r="H47" s="24" t="n">
        <x:v>1414.393</x:v>
      </x:c>
    </x:row>
    <x:row r="48" ht="15" hidden="0">
      <x:c r="A48" s="25" t="s">
        <x:v>105</x:v>
      </x:c>
      <x:c r="B48" s="26"/>
      <x:c r="C48" s="27" t="n">
        <x:f aca="0">C38+C39+C40+C41+C42+C43+C44+C45+C46+C47</x:f>
        <x:v>6161.989</x:v>
      </x:c>
      <x:c r="D48" s="27" t="n">
        <x:f aca="0">D38+D39+D40+D41+D42+D43+D44+D45+D46+D47</x:f>
        <x:v>26721.253</x:v>
      </x:c>
      <x:c r="E48" s="27" t="n">
        <x:f aca="0">E38+E39+E40+E41+E42+E43+E44+E45+E46+E47</x:f>
        <x:v>28486.855000000003</x:v>
      </x:c>
      <x:c r="F48" s="27" t="n">
        <x:f aca="0">F38+F39+F40+F41+F42+F43+F44+F45+F46+F47</x:f>
        <x:v>26865.467000000004</x:v>
      </x:c>
      <x:c r="G48" s="27" t="n">
        <x:f aca="0">G38+G39+G40+G41+G42+G43+G44+G45+G46+G47</x:f>
        <x:v>30637.496999999996</x:v>
      </x:c>
      <x:c r="H48" s="27" t="n">
        <x:f aca="0">H38+H39+H40+H41+H42+H43+H44+H45+H46+H47</x:f>
        <x:v>5182.458</x:v>
      </x:c>
    </x:row>
    <x:row r="49" ht="15" hidden="0">
      <x:c r="A49" s="25" t="s">
        <x:v>106</x:v>
      </x:c>
      <x:c r="B49" s="26"/>
      <x:c r="C49" s="27" t="n">
        <x:f aca="0">C36+C48</x:f>
        <x:v>10776.56</x:v>
      </x:c>
      <x:c r="D49" s="27" t="n">
        <x:f aca="0">D36+D48</x:f>
        <x:v>55962.021</x:v>
      </x:c>
      <x:c r="E49" s="27" t="n">
        <x:f aca="0">E36+E48</x:f>
        <x:v>73652.76000000001</x:v>
      </x:c>
      <x:c r="F49" s="27" t="n">
        <x:f aca="0">F36+F48</x:f>
        <x:v>74237.44600000001</x:v>
      </x:c>
      <x:c r="G49" s="27" t="n">
        <x:f aca="0">G36+G48</x:f>
        <x:v>76572.983</x:v>
      </x:c>
      <x:c r="H49" s="27" t="n">
        <x:f aca="0">H36+H48</x:f>
        <x:v>9403.596</x:v>
      </x:c>
    </x:row>
    <x:row r="50" ht="15" hidden="0">
      <x:c r="A50" s="25" t="s">
        <x:v>107</x:v>
      </x:c>
      <x:c r="B50" s="26"/>
      <x:c r="C50" s="27" t="n">
        <x:f aca="0">C29+C49</x:f>
        <x:v>34052.231</x:v>
      </x:c>
      <x:c r="D50" s="27" t="n">
        <x:f aca="0">D29+D49</x:f>
        <x:v>113698.07699999999</x:v>
      </x:c>
      <x:c r="E50" s="27" t="n">
        <x:f aca="0">E29+E49</x:f>
        <x:v>138828.497</x:v>
      </x:c>
      <x:c r="F50" s="27" t="n">
        <x:f aca="0">F29+F49</x:f>
        <x:v>147636.299</x:v>
      </x:c>
      <x:c r="G50" s="27" t="n">
        <x:f aca="0">G29+G49</x:f>
        <x:v>160845.191</x:v>
      </x:c>
      <x:c r="H50" s="27" t="n">
        <x:f aca="0">H29+H49</x:f>
        <x:v>29207.915999999997</x:v>
      </x:c>
    </x:row>
    <x:row r="51" ht="15" hidden="0">
      <x:c r="A51" s="20" t="s">
        <x:v>108</x:v>
      </x:c>
      <x:c r="B51" s="21"/>
      <x:c r="C51" s="21"/>
      <x:c r="D51" s="21"/>
      <x:c r="E51" s="21"/>
      <x:c r="F51" s="21"/>
      <x:c r="G51" s="21"/>
      <x:c r="H51" s="21"/>
    </x:row>
    <x:row r="52" ht="15" hidden="0">
      <x:c r="A52" s="22" t="s">
        <x:v>109</x:v>
      </x:c>
      <x:c r="B52" s="23"/>
      <x:c r="C52" s="24" t="n">
        <x:v>863.038</x:v>
      </x:c>
      <x:c r="D52" s="24" t="n">
        <x:v>2683.21</x:v>
      </x:c>
      <x:c r="E52" s="24" t="n">
        <x:v>2623.342</x:v>
      </x:c>
      <x:c r="F52" s="24" t="n">
        <x:v>2726.664</x:v>
      </x:c>
      <x:c r="G52" s="24" t="n">
        <x:v>2034.141</x:v>
      </x:c>
      <x:c r="H52" s="24" t="n">
        <x:v>354.586</x:v>
      </x:c>
    </x:row>
    <x:row r="53" ht="15" hidden="0">
      <x:c r="A53" s="22" t="s">
        <x:v>110</x:v>
      </x:c>
      <x:c r="B53" s="23"/>
      <x:c r="C53" s="24" t="n">
        <x:f aca="0">C9-C10</x:f>
        <x:v>21220.128</x:v>
      </x:c>
      <x:c r="D53" s="24" t="n">
        <x:f aca="0">D9-D10</x:f>
        <x:v>44324.145000000004</x:v>
      </x:c>
      <x:c r="E53" s="24" t="n">
        <x:f aca="0">E9-E10</x:f>
        <x:v>69894.00899999999</x:v>
      </x:c>
      <x:c r="F53" s="24" t="n">
        <x:f aca="0">F9-F10</x:f>
        <x:v>110145.51</x:v>
      </x:c>
      <x:c r="G53" s="24" t="n">
        <x:f aca="0">G9-G10</x:f>
        <x:v>109282.51500000001</x:v>
      </x:c>
      <x:c r="H53" s="24" t="n">
        <x:f aca="0">H9-H10</x:f>
        <x:v>22062.363999999998</x:v>
      </x:c>
    </x:row>
    <x:row r="54" ht="15" hidden="0">
      <x:c r="A54" s="22" t="s">
        <x:v>111</x:v>
      </x:c>
      <x:c r="B54" s="23"/>
      <x:c r="C54" s="24" t="n">
        <x:f aca="0">C18+C19</x:f>
        <x:v>5439.952</x:v>
      </x:c>
      <x:c r="D54" s="24" t="n">
        <x:f aca="0">D18+D19</x:f>
        <x:v>15636.868</x:v>
      </x:c>
      <x:c r="E54" s="24" t="n">
        <x:f aca="0">E18+E19</x:f>
        <x:v>15123.508</x:v>
      </x:c>
      <x:c r="F54" s="24" t="n">
        <x:f aca="0">F18+F19</x:f>
        <x:v>16594.835</x:v>
      </x:c>
      <x:c r="G54" s="24" t="n">
        <x:f aca="0">G18+G19</x:f>
        <x:v>19714.625</x:v>
      </x:c>
      <x:c r="H54" s="24" t="n">
        <x:f aca="0">H18+H19</x:f>
        <x:v>4693.561</x:v>
      </x:c>
    </x:row>
    <x:row r="55" ht="15" hidden="0">
      <x:c r="A55" s="22" t="s">
        <x:v>112</x:v>
      </x:c>
      <x:c r="B55" s="23"/>
      <x:c r="C55" s="24" t="n">
        <x:f aca="0">C31+C32+C41+C42+C43</x:f>
        <x:v>2568.0890000000004</x:v>
      </x:c>
      <x:c r="D55" s="24" t="n">
        <x:f aca="0">D31+D32+D41+D42+D43</x:f>
        <x:v>33304.630000000005</x:v>
      </x:c>
      <x:c r="E55" s="24" t="n">
        <x:f aca="0">E31+E32+E41+E42+E43</x:f>
        <x:v>48040.99600000001</x:v>
      </x:c>
      <x:c r="F55" s="24" t="n">
        <x:f aca="0">F31+F32+F41+F42+F43</x:f>
        <x:v>43976.749</x:v>
      </x:c>
      <x:c r="G55" s="24" t="n">
        <x:f aca="0">G31+G32+G41+G42+G43</x:f>
        <x:v>40221.656</x:v>
      </x:c>
      <x:c r="H55" s="24" t="n">
        <x:f aca="0">H31+H32+H41+H42+H43</x:f>
        <x:v>2701.799</x:v>
      </x:c>
    </x:row>
    <x:row r="56" ht="15" hidden="0">
      <x:c r="A56" s="22" t="s">
        <x:v>113</x:v>
      </x:c>
      <x:c r="B56" s="23"/>
      <x:c r="C56" s="24" t="n">
        <x:f aca="0">C31+C32</x:f>
        <x:v>565.095</x:v>
      </x:c>
      <x:c r="D56" s="24" t="n">
        <x:f aca="0">D31+D32</x:f>
        <x:v>19645.962</x:v>
      </x:c>
      <x:c r="E56" s="24" t="n">
        <x:f aca="0">E31+E32</x:f>
        <x:v>31896.059</x:v>
      </x:c>
      <x:c r="F56" s="24" t="n">
        <x:f aca="0">F31+F32</x:f>
        <x:v>30025.741</x:v>
      </x:c>
      <x:c r="G56" s="24" t="n">
        <x:f aca="0">G31+G32</x:f>
        <x:v>24309.844</x:v>
      </x:c>
      <x:c r="H56" s="24" t="n">
        <x:f aca="0">H31+H32</x:f>
        <x:v>504.983</x:v>
      </x:c>
    </x:row>
    <x:row r="57" ht="15" hidden="0">
      <x:c r="A57" s="22" t="s">
        <x:v>114</x:v>
      </x:c>
      <x:c r="B57" s="23"/>
      <x:c r="C57" s="24" t="n">
        <x:f aca="0">C55-C22</x:f>
        <x:v>1667.3110000000004</x:v>
      </x:c>
      <x:c r="D57" s="24" t="n">
        <x:f aca="0">D55-D22</x:f>
        <x:v>30997.997000000003</x:v>
      </x:c>
      <x:c r="E57" s="24" t="n">
        <x:f aca="0">E55-E22</x:f>
        <x:v>47070.539000000004</x:v>
      </x:c>
      <x:c r="F57" s="24" t="n">
        <x:f aca="0">F55-F22</x:f>
        <x:v>41043.76500000001</x:v>
      </x:c>
      <x:c r="G57" s="24" t="n">
        <x:f aca="0">G55-G22</x:f>
        <x:v>37556.318</x:v>
      </x:c>
      <x:c r="H57" s="24" t="n">
        <x:f aca="0">H55-H22</x:f>
        <x:v>2140.625</x:v>
      </x:c>
    </x:row>
    <x:row r="58" ht="15" hidden="0">
      <x:c r="A58" s="22" t="s">
        <x:v>115</x:v>
      </x:c>
      <x:c r="B58" s="23"/>
      <x:c r="C58" s="24" t="n">
        <x:f aca="0">C55+C29</x:f>
        <x:v>25843.760000000002</x:v>
      </x:c>
      <x:c r="D58" s="24" t="n">
        <x:f aca="0">D55+D29</x:f>
        <x:v>91040.686</x:v>
      </x:c>
      <x:c r="E58" s="24" t="n">
        <x:f aca="0">E55+E29</x:f>
        <x:v>113216.73300000001</x:v>
      </x:c>
      <x:c r="F58" s="24" t="n">
        <x:f aca="0">F55+F29</x:f>
        <x:v>117375.60200000001</x:v>
      </x:c>
      <x:c r="G58" s="24" t="n">
        <x:f aca="0">G55+G29</x:f>
        <x:v>124493.864</x:v>
      </x:c>
      <x:c r="H58" s="24" t="n">
        <x:f aca="0">H55+H29</x:f>
        <x:v>22506.119</x:v>
      </x:c>
    </x:row>
    <x:row r="59" ht="15" hidden="0">
      <x:c r="A59" s="22" t="s">
        <x:v>116</x:v>
      </x:c>
      <x:c r="B59" s="23"/>
      <x:c r="C59" s="24" t="n">
        <x:f aca="0">C24-C22-C21</x:f>
        <x:v>7140.255</x:v>
      </x:c>
      <x:c r="D59" s="24" t="n">
        <x:f aca="0">D24-D22-D21</x:f>
        <x:v>22067.169</x:v>
      </x:c>
      <x:c r="E59" s="24" t="n">
        <x:f aca="0">E24-E22-E21</x:f>
        <x:v>21914.042</x:v>
      </x:c>
      <x:c r="F59" s="24" t="n">
        <x:f aca="0">F24-F22-F21</x:f>
        <x:v>22601.087</x:v>
      </x:c>
      <x:c r="G59" s="24" t="n">
        <x:f aca="0">G24-G22-G21</x:f>
        <x:v>28597.127</x:v>
      </x:c>
      <x:c r="H59" s="24" t="n">
        <x:f aca="0">H24-H22-H21</x:f>
        <x:v>6422.147</x:v>
      </x:c>
    </x:row>
    <x:row r="60" ht="15" hidden="0">
      <x:c r="A60" s="22" t="s">
        <x:v>117</x:v>
      </x:c>
      <x:c r="B60" s="23"/>
      <x:c r="C60" s="24" t="n">
        <x:f aca="0">C48-C41-C42-C43-C44-C40-C45</x:f>
        <x:v>4104.861999999999</x:v>
      </x:c>
      <x:c r="D60" s="24" t="n">
        <x:f aca="0">D48-D41-D42-D43-D44-D40-D45</x:f>
        <x:v>12658.964000000002</x:v>
      </x:c>
      <x:c r="E60" s="24" t="n">
        <x:f aca="0">E48-E41-E42-E43-E44-E40-E45</x:f>
        <x:v>11701.625000000004</x:v>
      </x:c>
      <x:c r="F60" s="24" t="n">
        <x:f aca="0">F48-F41-F42-F43-F44-F40-F45</x:f>
        <x:v>12297.922000000002</x:v>
      </x:c>
      <x:c r="G60" s="24" t="n">
        <x:f aca="0">G48-G41-G42-G43-G44-G40-G45</x:f>
        <x:v>14169.327999999996</x:v>
      </x:c>
      <x:c r="H60" s="24" t="n">
        <x:f aca="0">H48-H41-H42-H43-H44-H40-H45</x:f>
        <x:v>2945.591</x:v>
      </x:c>
    </x:row>
    <x:row r="62" ht="19.5" hidden="0" customHeight="1">
      <x:c r="A62" s="5" t="s">
        <x:v>118</x:v>
      </x:c>
      <x:c r="B62" s="6"/>
      <x:c r="C62" s="6"/>
      <x:c r="D62" s="6"/>
      <x:c r="E62" s="6"/>
      <x:c r="F62" s="6"/>
      <x:c r="G62" s="6"/>
      <x:c r="H62" s="6"/>
    </x:row>
    <x:row r="63" ht="16.5" hidden="0" customHeight="1">
      <x:c r="A63" s="17" t="s">
        <x:v>63</x:v>
      </x:c>
      <x:c r="B63" s="18"/>
      <x:c r="C63" s="19" t="s">
        <x:v>48</x:v>
      </x:c>
      <x:c r="D63" s="19" t="s">
        <x:v>49</x:v>
      </x:c>
      <x:c r="E63" s="19" t="s">
        <x:v>50</x:v>
      </x:c>
      <x:c r="F63" s="19" t="s">
        <x:v>51</x:v>
      </x:c>
      <x:c r="G63" s="19" t="s">
        <x:v>52</x:v>
      </x:c>
      <x:c r="H63" s="19" t="s">
        <x:v>64</x:v>
      </x:c>
    </x:row>
    <x:row r="64" ht="15" hidden="0">
      <x:c r="A64" s="22" t="s">
        <x:v>119</x:v>
      </x:c>
      <x:c r="B64" s="23"/>
      <x:c r="C64" s="24" t="n">
        <x:v>24271.285</x:v>
      </x:c>
      <x:c r="D64" s="24" t="n">
        <x:v>54243.118</x:v>
      </x:c>
      <x:c r="E64" s="24" t="n">
        <x:v>68069.282</x:v>
      </x:c>
      <x:c r="F64" s="24" t="n">
        <x:v>80026.226</x:v>
      </x:c>
      <x:c r="G64" s="24" t="n">
        <x:v>88956.328</x:v>
      </x:c>
      <x:c r="H64" s="24" t="n">
        <x:v>17231.709</x:v>
      </x:c>
    </x:row>
    <x:row r="65" ht="15" hidden="0">
      <x:c r="A65" s="22" t="s">
        <x:v>120</x:v>
      </x:c>
      <x:c r="B65" s="23"/>
      <x:c r="C65" s="24" t="n">
        <x:v>-18206.88</x:v>
      </x:c>
      <x:c r="D65" s="24" t="n">
        <x:v>-38779.542</x:v>
      </x:c>
      <x:c r="E65" s="24" t="n">
        <x:v>-47650.809</x:v>
      </x:c>
      <x:c r="F65" s="24" t="n">
        <x:v>-54345.821</x:v>
      </x:c>
      <x:c r="G65" s="24" t="n">
        <x:v>-57384.978</x:v>
      </x:c>
      <x:c r="H65" s="24" t="n">
        <x:v>-16582.605</x:v>
      </x:c>
    </x:row>
    <x:row r="66" ht="15" hidden="0">
      <x:c r="A66" s="25" t="s">
        <x:v>121</x:v>
      </x:c>
      <x:c r="B66" s="26"/>
      <x:c r="C66" s="27" t="n">
        <x:f aca="0">C64+C65</x:f>
        <x:v>6064.404999999999</x:v>
      </x:c>
      <x:c r="D66" s="27" t="n">
        <x:f aca="0">D64+D65</x:f>
        <x:v>15463.576000000001</x:v>
      </x:c>
      <x:c r="E66" s="27" t="n">
        <x:f aca="0">E64+E65</x:f>
        <x:v>20418.473000000005</x:v>
      </x:c>
      <x:c r="F66" s="27" t="n">
        <x:f aca="0">F64+F65</x:f>
        <x:v>25680.40499999999</x:v>
      </x:c>
      <x:c r="G66" s="27" t="n">
        <x:f aca="0">G64+G65</x:f>
        <x:v>31571.34999999999</x:v>
      </x:c>
      <x:c r="H66" s="27" t="n">
        <x:f aca="0">H64+H65</x:f>
        <x:v>649.1039999999994</x:v>
      </x:c>
    </x:row>
    <x:row r="67" ht="15" hidden="0">
      <x:c r="A67" s="22" t="s">
        <x:v>122</x:v>
      </x:c>
      <x:c r="B67" s="23"/>
      <x:c r="C67" s="24" t="n">
        <x:v>-189.537</x:v>
      </x:c>
      <x:c r="D67" s="24" t="n">
        <x:v>-1603.323</x:v>
      </x:c>
      <x:c r="E67" s="24" t="n">
        <x:v>-2705.263</x:v>
      </x:c>
      <x:c r="F67" s="24" t="n">
        <x:v>-3285.923</x:v>
      </x:c>
      <x:c r="G67" s="24" t="n">
        <x:v>-2935.139</x:v>
      </x:c>
      <x:c r="H67" s="24" t="n">
        <x:v>-204.344</x:v>
      </x:c>
    </x:row>
    <x:row r="68" ht="15" hidden="0">
      <x:c r="A68" s="22" t="s">
        <x:v>123</x:v>
      </x:c>
      <x:c r="B68" s="23"/>
      <x:c r="C68" s="24" t="n">
        <x:v>-524.709</x:v>
      </x:c>
      <x:c r="D68" s="24" t="n">
        <x:v>-1299.439</x:v>
      </x:c>
      <x:c r="E68" s="24" t="n">
        <x:v>-1381.633</x:v>
      </x:c>
      <x:c r="F68" s="24" t="n">
        <x:v>-1516.046</x:v>
      </x:c>
      <x:c r="G68" s="24" t="n">
        <x:v>-1688.886</x:v>
      </x:c>
      <x:c r="H68" s="24" t="n">
        <x:v>-468.651</x:v>
      </x:c>
    </x:row>
    <x:row r="69" ht="15" hidden="0">
      <x:c r="A69" s="22" t="s">
        <x:v>124</x:v>
      </x:c>
      <x:c r="B69" s="23"/>
      <x:c r="C69" s="24" t="n">
        <x:v>0</x:v>
      </x:c>
      <x:c r="D69" s="24" t="n">
        <x:v>0</x:v>
      </x:c>
      <x:c r="E69" s="24" t="n">
        <x:v>0</x:v>
      </x:c>
      <x:c r="F69" s="24" t="n">
        <x:v>0</x:v>
      </x:c>
      <x:c r="G69" s="24" t="n">
        <x:v>0</x:v>
      </x:c>
      <x:c r="H69" s="24" t="n">
        <x:v>0</x:v>
      </x:c>
    </x:row>
    <x:row r="70" ht="15" hidden="0">
      <x:c r="A70" s="22" t="s">
        <x:v>125</x:v>
      </x:c>
      <x:c r="B70" s="23"/>
      <x:c r="C70" s="24" t="n">
        <x:v>-377.946</x:v>
      </x:c>
      <x:c r="D70" s="24" t="n">
        <x:v>-808.964</x:v>
      </x:c>
      <x:c r="E70" s="24" t="n">
        <x:v>-750.078</x:v>
      </x:c>
      <x:c r="F70" s="24" t="n">
        <x:v>-826.875</x:v>
      </x:c>
      <x:c r="G70" s="24" t="n">
        <x:v>-1479.276</x:v>
      </x:c>
      <x:c r="H70" s="24" t="n">
        <x:v>-0.567</x:v>
      </x:c>
    </x:row>
    <x:row r="71" ht="15" hidden="0">
      <x:c r="A71" s="25" t="s">
        <x:v>126</x:v>
      </x:c>
      <x:c r="B71" s="26"/>
      <x:c r="C71" s="27" t="n">
        <x:f aca="0">C66+C67+C68+C69+C70</x:f>
        <x:v>4972.212999999999</x:v>
      </x:c>
      <x:c r="D71" s="27" t="n">
        <x:f aca="0">D66+D67+D68+D69+D70</x:f>
        <x:v>11751.85</x:v>
      </x:c>
      <x:c r="E71" s="27" t="n">
        <x:f aca="0">E66+E67+E68+E69+E70</x:f>
        <x:v>15581.499000000007</x:v>
      </x:c>
      <x:c r="F71" s="27" t="n">
        <x:f aca="0">F66+F67+F68+F69+F70</x:f>
        <x:v>20051.560999999994</x:v>
      </x:c>
      <x:c r="G71" s="27" t="n">
        <x:f aca="0">G66+G67+G68+G69+G70</x:f>
        <x:v>25468.04899999999</x:v>
      </x:c>
      <x:c r="H71" s="27" t="n">
        <x:f aca="0">H66+H67+H68+H69+H70</x:f>
        <x:v>-24.458000000000645</x:v>
      </x:c>
    </x:row>
    <x:row r="72" ht="15" hidden="0">
      <x:c r="A72" s="22" t="s">
        <x:v>127</x:v>
      </x:c>
      <x:c r="B72" s="23"/>
      <x:c r="C72" s="24" t="n">
        <x:v>81.71</x:v>
      </x:c>
      <x:c r="D72" s="24" t="n">
        <x:v>230.695</x:v>
      </x:c>
      <x:c r="E72" s="24" t="n">
        <x:v>436.173</x:v>
      </x:c>
      <x:c r="F72" s="24" t="n">
        <x:v>540.373</x:v>
      </x:c>
      <x:c r="G72" s="24" t="n">
        <x:v>760.772</x:v>
      </x:c>
      <x:c r="H72" s="24" t="n">
        <x:v>36.134</x:v>
      </x:c>
    </x:row>
    <x:row r="73" ht="15" hidden="0">
      <x:c r="A73" s="22" t="s">
        <x:v>128</x:v>
      </x:c>
      <x:c r="B73" s="23"/>
      <x:c r="C73" s="24" t="n">
        <x:v>160.543</x:v>
      </x:c>
      <x:c r="D73" s="24" t="n">
        <x:v>745.852</x:v>
      </x:c>
      <x:c r="E73" s="24" t="n">
        <x:v>527.702</x:v>
      </x:c>
      <x:c r="F73" s="24" t="n">
        <x:v>299.318</x:v>
      </x:c>
      <x:c r="G73" s="24" t="n">
        <x:v>1068.831</x:v>
      </x:c>
      <x:c r="H73" s="24" t="n">
        <x:v>48.857</x:v>
      </x:c>
    </x:row>
    <x:row r="74" ht="15" hidden="0">
      <x:c r="A74" s="22" t="s">
        <x:v>129</x:v>
      </x:c>
      <x:c r="B74" s="23"/>
      <x:c r="C74" s="24" t="n">
        <x:v>2.849</x:v>
      </x:c>
      <x:c r="D74" s="24" t="n">
        <x:v>1.308</x:v>
      </x:c>
      <x:c r="E74" s="24" t="n">
        <x:v>0</x:v>
      </x:c>
      <x:c r="F74" s="24" t="n">
        <x:v>0</x:v>
      </x:c>
      <x:c r="G74" s="24" t="n">
        <x:v>0</x:v>
      </x:c>
      <x:c r="H74" s="24" t="n">
        <x:v>0</x:v>
      </x:c>
    </x:row>
    <x:row r="75" ht="15" hidden="0">
      <x:c r="A75" s="22" t="s">
        <x:v>130</x:v>
      </x:c>
      <x:c r="B75" s="23"/>
      <x:c r="C75" s="24" t="n">
        <x:v>-109.623</x:v>
      </x:c>
      <x:c r="D75" s="24" t="n">
        <x:v>-1201.612</x:v>
      </x:c>
      <x:c r="E75" s="24" t="n">
        <x:v>-3645.265</x:v>
      </x:c>
      <x:c r="F75" s="24" t="n">
        <x:v>-5536.298</x:v>
      </x:c>
      <x:c r="G75" s="24" t="n">
        <x:v>-5772.132</x:v>
      </x:c>
      <x:c r="H75" s="24" t="n">
        <x:v>-233.8</x:v>
      </x:c>
    </x:row>
    <x:row r="76" ht="15" hidden="0">
      <x:c r="A76" s="25" t="s">
        <x:v>131</x:v>
      </x:c>
      <x:c r="B76" s="26"/>
      <x:c r="C76" s="27" t="n">
        <x:f aca="0">C71+C72+C73+C74+C75</x:f>
        <x:v>5107.691999999999</x:v>
      </x:c>
      <x:c r="D76" s="27" t="n">
        <x:f aca="0">D71+D72+D73+D74+D75</x:f>
        <x:v>11528.093</x:v>
      </x:c>
      <x:c r="E76" s="27" t="n">
        <x:f aca="0">E71+E72+E73+E74+E75</x:f>
        <x:v>12900.109000000008</x:v>
      </x:c>
      <x:c r="F76" s="27" t="n">
        <x:f aca="0">F71+F72+F73+F74+F75</x:f>
        <x:v>15354.953999999994</x:v>
      </x:c>
      <x:c r="G76" s="27" t="n">
        <x:f aca="0">G71+G72+G73+G74+G75</x:f>
        <x:v>21525.51999999999</x:v>
      </x:c>
      <x:c r="H76" s="27" t="n">
        <x:f aca="0">H71+H72+H73+H74+H75</x:f>
        <x:v>-173.26700000000065</x:v>
      </x:c>
    </x:row>
    <x:row r="77" ht="15" hidden="0">
      <x:c r="A77" s="22" t="s">
        <x:v>132</x:v>
      </x:c>
      <x:c r="B77" s="23"/>
      <x:c r="C77" s="24" t="n">
        <x:v>0</x:v>
      </x:c>
      <x:c r="D77" s="24" t="n">
        <x:v>0</x:v>
      </x:c>
      <x:c r="E77" s="24" t="n">
        <x:v>-45.66</x:v>
      </x:c>
      <x:c r="F77" s="24" t="n">
        <x:v>-55.223</x:v>
      </x:c>
      <x:c r="G77" s="24" t="n">
        <x:v>0</x:v>
      </x:c>
      <x:c r="H77" s="24" t="n">
        <x:v>0</x:v>
      </x:c>
    </x:row>
    <x:row r="78" ht="15" hidden="0">
      <x:c r="A78" s="22" t="s">
        <x:v>133</x:v>
      </x:c>
      <x:c r="B78" s="23"/>
      <x:c r="C78" s="24" t="n">
        <x:v>-1636.341</x:v>
      </x:c>
      <x:c r="D78" s="24" t="n">
        <x:v>-4415.553</x:v>
      </x:c>
      <x:c r="E78" s="24" t="n">
        <x:v>-5414.768</x:v>
      </x:c>
      <x:c r="F78" s="24" t="n">
        <x:v>-7076.615</x:v>
      </x:c>
      <x:c r="G78" s="24" t="n">
        <x:v>-8199.318</x:v>
      </x:c>
      <x:c r="H78" s="24" t="n">
        <x:v>113.886</x:v>
      </x:c>
    </x:row>
    <x:row r="79" ht="15" hidden="0">
      <x:c r="A79" s="25" t="s">
        <x:v>134</x:v>
      </x:c>
      <x:c r="B79" s="26"/>
      <x:c r="C79" s="27" t="n">
        <x:f aca="0">C76+C77+C78</x:f>
        <x:v>3471.350999999999</x:v>
      </x:c>
      <x:c r="D79" s="27" t="n">
        <x:f aca="0">D76+D77+D78</x:f>
        <x:v>7112.540000000001</x:v>
      </x:c>
      <x:c r="E79" s="27" t="n">
        <x:f aca="0">E76+E77+E78</x:f>
        <x:v>7439.681000000008</x:v>
      </x:c>
      <x:c r="F79" s="27" t="n">
        <x:f aca="0">F76+F77+F78</x:f>
        <x:v>8223.115999999995</x:v>
      </x:c>
      <x:c r="G79" s="27" t="n">
        <x:f aca="0">G76+G77+G78</x:f>
        <x:v>13326.20199999999</x:v>
      </x:c>
      <x:c r="H79" s="27" t="n">
        <x:f aca="0">H76+H77+H78</x:f>
        <x:v>-59.381000000000654</x:v>
      </x:c>
    </x:row>
    <x:row r="80" ht="15" hidden="0">
      <x:c r="A80" s="20" t="s">
        <x:v>135</x:v>
      </x:c>
      <x:c r="B80" s="21"/>
      <x:c r="C80" s="21"/>
      <x:c r="D80" s="21"/>
      <x:c r="E80" s="21"/>
      <x:c r="F80" s="21"/>
      <x:c r="G80" s="21"/>
      <x:c r="H80" s="21"/>
    </x:row>
    <x:row r="81" ht="15" hidden="0">
      <x:c r="A81" s="22" t="s">
        <x:v>136</x:v>
      </x:c>
      <x:c r="B81" s="23"/>
      <x:c r="C81" s="24" t="n">
        <x:v>1599.551</x:v>
      </x:c>
      <x:c r="D81" s="24" t="n">
        <x:v>2950.143</x:v>
      </x:c>
      <x:c r="E81" s="24" t="n">
        <x:v>3649.886</x:v>
      </x:c>
      <x:c r="F81" s="24" t="n">
        <x:v>4058.051</x:v>
      </x:c>
      <x:c r="G81" s="24" t="n">
        <x:v>4969.739</x:v>
      </x:c>
      <x:c r="H81" s="24" t="n">
        <x:v>1728.817</x:v>
      </x:c>
    </x:row>
    <x:row r="82" ht="15" hidden="0">
      <x:c r="A82" s="22" t="s">
        <x:v>137</x:v>
      </x:c>
      <x:c r="B82" s="23"/>
      <x:c r="C82" s="24" t="n">
        <x:f aca="0">C76-C75</x:f>
        <x:v>5217.314999999999</x:v>
      </x:c>
      <x:c r="D82" s="24" t="n">
        <x:f aca="0">D76-D75</x:f>
        <x:v>12729.705000000002</x:v>
      </x:c>
      <x:c r="E82" s="24" t="n">
        <x:f aca="0">E76-E75</x:f>
        <x:v>16545.374000000007</x:v>
      </x:c>
      <x:c r="F82" s="24" t="n">
        <x:f aca="0">F76-F75</x:f>
        <x:v>20891.251999999993</x:v>
      </x:c>
      <x:c r="G82" s="24" t="n">
        <x:f aca="0">G76-G75</x:f>
        <x:v>27297.651999999987</x:v>
      </x:c>
      <x:c r="H82" s="24" t="n">
        <x:f aca="0">H76-H75</x:f>
        <x:v>60.53299999999936</x:v>
      </x:c>
    </x:row>
    <x:row r="83" ht="15" hidden="0">
      <x:c r="A83" s="22" t="s">
        <x:v>138</x:v>
      </x:c>
      <x:c r="B83" s="23"/>
      <x:c r="C83" s="24" t="n">
        <x:f aca="0">C82+C81</x:f>
        <x:v>6816.865999999998</x:v>
      </x:c>
      <x:c r="D83" s="24" t="n">
        <x:f aca="0">D82+D81</x:f>
        <x:v>15679.848000000002</x:v>
      </x:c>
      <x:c r="E83" s="24" t="n">
        <x:f aca="0">E82+E81</x:f>
        <x:v>20195.260000000006</x:v>
      </x:c>
      <x:c r="F83" s="24" t="n">
        <x:f aca="0">F82+F81</x:f>
        <x:v>24949.302999999993</x:v>
      </x:c>
      <x:c r="G83" s="24" t="n">
        <x:f aca="0">G82+G81</x:f>
        <x:v>32267.39099999999</x:v>
      </x:c>
      <x:c r="H83" s="24" t="n">
        <x:f aca="0">H82+H81</x:f>
        <x:v>1789.3499999999995</x:v>
      </x:c>
    </x:row>
    <x:row r="84" ht="15" hidden="0">
      <x:c r="A84" s="22" t="s">
        <x:v>139</x:v>
      </x:c>
      <x:c r="B84" s="23"/>
      <x:c r="C84" s="24" t="n">
        <x:v>17.511</x:v>
      </x:c>
      <x:c r="D84" s="24" t="n">
        <x:v>206.388</x:v>
      </x:c>
      <x:c r="E84" s="24" t="n">
        <x:v>1020.455</x:v>
      </x:c>
      <x:c r="F84" s="24" t="n">
        <x:v>12.561</x:v>
      </x:c>
      <x:c r="G84" s="24" t="n">
        <x:v>97.854</x:v>
      </x:c>
      <x:c r="H84" s="28"/>
    </x:row>
    <x:row r="85" ht="15" hidden="0">
      <x:c r="A85" s="22" t="s">
        <x:v>140</x:v>
      </x:c>
      <x:c r="B85" s="23"/>
      <x:c r="C85" s="24" t="n">
        <x:f aca="0">-C75-C84</x:f>
        <x:v>92.11200000000001</x:v>
      </x:c>
      <x:c r="D85" s="24" t="n">
        <x:f aca="0">-D75-D84</x:f>
        <x:v>995.224</x:v>
      </x:c>
      <x:c r="E85" s="24" t="n">
        <x:f aca="0">-E75-E84</x:f>
        <x:v>2624.81</x:v>
      </x:c>
      <x:c r="F85" s="24" t="n">
        <x:f aca="0">-F75-F84</x:f>
        <x:v>5523.737</x:v>
      </x:c>
      <x:c r="G85" s="24" t="n">
        <x:f aca="0">-G75-G84</x:f>
        <x:v>5674.277999999999</x:v>
      </x:c>
      <x:c r="H85" s="28"/>
    </x:row>
    <x:row r="86" ht="15" hidden="0">
      <x:c r="A86" s="22" t="s">
        <x:v>141</x:v>
      </x:c>
      <x:c r="B86" s="23"/>
      <x:c r="C86" s="29" t="n">
        <x:f aca="0">IF(C76&lt;=0,"n/m",-(C77+C78)/C76)</x:f>
        <x:v>0.32036798616674617</x:v>
      </x:c>
      <x:c r="D86" s="29" t="n">
        <x:f aca="0">IF(D76&lt;=0,"n/m",-(D77+D78)/D76)</x:f>
        <x:v>0.383025449222174</x:v>
      </x:c>
      <x:c r="E86" s="29" t="n">
        <x:f aca="0">IF(E76&lt;=0,"n/m",-(E77+E78)/E76)</x:f>
        <x:v>0.42328541565036365</x:v>
      </x:c>
      <x:c r="F86" s="29" t="n">
        <x:f aca="0">IF(F76&lt;=0,"n/m",-(F77+F78)/F76)</x:f>
        <x:v>0.4644649537862505</x:v>
      </x:c>
      <x:c r="G86" s="29" t="n">
        <x:f aca="0">IF(G76&lt;=0,"n/m",-(G77+G78)/G76)</x:f>
        <x:v>0.3809114948210312</x:v>
      </x:c>
      <x:c r="H86" s="28"/>
    </x:row>
    <x:row r="87" ht="15" hidden="0">
      <x:c r="A87" s="22" t="s">
        <x:v>142</x:v>
      </x:c>
      <x:c r="B87" s="23"/>
      <x:c r="C87" s="29" t="n">
        <x:f aca="0">IF(AND(ISNUMBER(C86),C86&gt;=0,C86&lt;=0.6),C86,Overview!$C$30)</x:f>
        <x:v>0.32036798616674617</x:v>
      </x:c>
      <x:c r="D87" s="29" t="n">
        <x:f aca="0">IF(AND(ISNUMBER(D86),D86&gt;=0,D86&lt;=0.6),D86,Overview!$D$30)</x:f>
        <x:v>0.383025449222174</x:v>
      </x:c>
      <x:c r="E87" s="29" t="n">
        <x:f aca="0">IF(AND(ISNUMBER(E86),E86&gt;=0,E86&lt;=0.6),E86,Overview!$E$30)</x:f>
        <x:v>0.42328541565036365</x:v>
      </x:c>
      <x:c r="F87" s="29" t="n">
        <x:f aca="0">IF(AND(ISNUMBER(F86),F86&gt;=0,F86&lt;=0.6),F86,Overview!$F$30)</x:f>
        <x:v>0.4644649537862505</x:v>
      </x:c>
      <x:c r="G87" s="29" t="n">
        <x:f aca="0">IF(AND(ISNUMBER(G86),G86&gt;=0,G86&lt;=0.6),G86,Overview!$G$30)</x:f>
        <x:v>0.3809114948210312</x:v>
      </x:c>
      <x:c r="H87" s="28"/>
    </x:row>
    <x:row r="88" ht="15" hidden="0">
      <x:c r="A88" s="22" t="s">
        <x:v>143</x:v>
      </x:c>
      <x:c r="B88" s="23"/>
      <x:c r="C88" s="24" t="n">
        <x:f aca="0">C82*(1-C87)</x:f>
        <x:v>3545.854300252442</x:v>
      </x:c>
      <x:c r="D88" s="24" t="n">
        <x:f aca="0">D82*(1-D87)</x:f>
        <x:v>7853.904023909246</x:v>
      </x:c>
      <x:c r="E88" s="24" t="n">
        <x:f aca="0">E82*(1-E87)</x:f>
        <x:v>9541.958489319286</x:v>
      </x:c>
      <x:c r="F88" s="24" t="n">
        <x:f aca="0">F82*(1-F87)</x:f>
        <x:v>11187.997605283083</x:v>
      </x:c>
      <x:c r="G88" s="24" t="n">
        <x:f aca="0">G82*(1-G87)</x:f>
        <x:v>16899.662571575678</x:v>
      </x:c>
      <x:c r="H88" s="28"/>
    </x:row>
    <x:row r="90" ht="19.5" hidden="0" customHeight="1">
      <x:c r="A90" s="5" t="s">
        <x:v>144</x:v>
      </x:c>
      <x:c r="B90" s="6"/>
      <x:c r="C90" s="6"/>
      <x:c r="D90" s="6"/>
      <x:c r="E90" s="6"/>
      <x:c r="F90" s="6"/>
      <x:c r="G90" s="6"/>
      <x:c r="H90" s="6"/>
    </x:row>
    <x:row r="91" ht="16.5" hidden="0" customHeight="1">
      <x:c r="A91" s="17" t="s">
        <x:v>63</x:v>
      </x:c>
      <x:c r="B91" s="18"/>
      <x:c r="C91" s="19" t="s">
        <x:v>48</x:v>
      </x:c>
      <x:c r="D91" s="19" t="s">
        <x:v>49</x:v>
      </x:c>
      <x:c r="E91" s="19" t="s">
        <x:v>50</x:v>
      </x:c>
      <x:c r="F91" s="19" t="s">
        <x:v>51</x:v>
      </x:c>
      <x:c r="G91" s="19" t="s">
        <x:v>52</x:v>
      </x:c>
      <x:c r="H91" s="19" t="s">
        <x:v>64</x:v>
      </x:c>
    </x:row>
    <x:row r="92" ht="15" hidden="0">
      <x:c r="A92" s="22" t="s">
        <x:v>145</x:v>
      </x:c>
      <x:c r="B92" s="23"/>
      <x:c r="C92" s="24" t="n">
        <x:v>0</x:v>
      </x:c>
      <x:c r="D92" s="24" t="n">
        <x:v>0</x:v>
      </x:c>
      <x:c r="E92" s="24" t="n">
        <x:v>0</x:v>
      </x:c>
      <x:c r="F92" s="24" t="n">
        <x:v>0</x:v>
      </x:c>
      <x:c r="G92" s="24" t="n">
        <x:v>0</x:v>
      </x:c>
      <x:c r="H92" s="24" t="n">
        <x:v>0</x:v>
      </x:c>
    </x:row>
    <x:row r="93" ht="15" hidden="0">
      <x:c r="A93" s="22" t="s">
        <x:v>146</x:v>
      </x:c>
      <x:c r="B93" s="23"/>
      <x:c r="C93" s="24" t="n">
        <x:v>5739.097</x:v>
      </x:c>
      <x:c r="D93" s="24" t="n">
        <x:v>7567.564</x:v>
      </x:c>
      <x:c r="E93" s="24" t="n">
        <x:v>16030.998</x:v>
      </x:c>
      <x:c r="F93" s="24" t="n">
        <x:v>22284.607</x:v>
      </x:c>
      <x:c r="G93" s="24" t="n">
        <x:v>24313.208</x:v>
      </x:c>
      <x:c r="H93" s="24" t="n">
        <x:v>1013.426</x:v>
      </x:c>
    </x:row>
    <x:row r="94" ht="15" hidden="0">
      <x:c r="A94" s="22" t="s">
        <x:v>147</x:v>
      </x:c>
      <x:c r="B94" s="23"/>
      <x:c r="C94" s="24" t="n">
        <x:v>-5141.658</x:v>
      </x:c>
      <x:c r="D94" s="24" t="n">
        <x:v>-26064.704</x:v>
      </x:c>
      <x:c r="E94" s="24" t="n">
        <x:v>-29667.173</x:v>
      </x:c>
      <x:c r="F94" s="24" t="n">
        <x:v>-8158.036</x:v>
      </x:c>
      <x:c r="G94" s="24" t="n">
        <x:v>-11259.19</x:v>
      </x:c>
      <x:c r="H94" s="24" t="n">
        <x:v>-545.109</x:v>
      </x:c>
    </x:row>
    <x:row r="95" ht="15" hidden="0">
      <x:c r="A95" s="22" t="s">
        <x:v>148</x:v>
      </x:c>
      <x:c r="B95" s="23"/>
      <x:c r="C95" s="24" t="n">
        <x:v>-5.455</x:v>
      </x:c>
      <x:c r="D95" s="24" t="n">
        <x:v>19345.923</x:v>
      </x:c>
      <x:c r="E95" s="24" t="n">
        <x:v>10897.767</x:v>
      </x:c>
      <x:c r="F95" s="24" t="n">
        <x:v>-8479.996</x:v>
      </x:c>
      <x:c r="G95" s="24" t="n">
        <x:v>-12739.192</x:v>
      </x:c>
      <x:c r="H95" s="24" t="n">
        <x:v>-1181.854</x:v>
      </x:c>
    </x:row>
    <x:row r="96" ht="15" hidden="0">
      <x:c r="A96" s="22" t="s">
        <x:v>149</x:v>
      </x:c>
      <x:c r="B96" s="23"/>
      <x:c r="C96" s="24" t="n">
        <x:v>-1007.205</x:v>
      </x:c>
      <x:c r="D96" s="24" t="n">
        <x:v>-28425.596</x:v>
      </x:c>
      <x:c r="E96" s="24" t="n">
        <x:v>-33903.442</x:v>
      </x:c>
      <x:c r="F96" s="24" t="n">
        <x:v>-8478.876</x:v>
      </x:c>
      <x:c r="G96" s="24" t="n">
        <x:v>-3477.647</x:v>
      </x:c>
      <x:c r="H96" s="24" t="n">
        <x:v>-586.409</x:v>
      </x:c>
    </x:row>
    <x:row r="97" ht="15" hidden="0">
      <x:c r="A97" s="22" t="s">
        <x:v>150</x:v>
      </x:c>
      <x:c r="B97" s="23"/>
      <x:c r="C97" s="24" t="n">
        <x:v>-94.843</x:v>
      </x:c>
      <x:c r="D97" s="24" t="n">
        <x:v>-985.172</x:v>
      </x:c>
      <x:c r="E97" s="24" t="n">
        <x:v>-2483.101</x:v>
      </x:c>
      <x:c r="F97" s="24" t="n">
        <x:v>-6993.06</x:v>
      </x:c>
      <x:c r="G97" s="24" t="n">
        <x:v>-5559.451</x:v>
      </x:c>
      <x:c r="H97" s="24" t="n">
        <x:v>-232.706</x:v>
      </x:c>
    </x:row>
    <x:row r="98" ht="15" hidden="0">
      <x:c r="A98" s="22" t="s">
        <x:v>151</x:v>
      </x:c>
      <x:c r="B98" s="23"/>
      <x:c r="C98" s="24" t="n">
        <x:v>-1.572</x:v>
      </x:c>
      <x:c r="D98" s="24" t="n">
        <x:v>-1.322</x:v>
      </x:c>
      <x:c r="E98" s="24" t="n">
        <x:v>-1.156</x:v>
      </x:c>
      <x:c r="F98" s="24" t="n">
        <x:v>-0.355</x:v>
      </x:c>
      <x:c r="G98" s="24" t="n">
        <x:v>-2447.311</x:v>
      </x:c>
      <x:c r="H98" s="24" t="n">
        <x:v>-1038.557</x:v>
      </x:c>
    </x:row>
    <x:row r="100" ht="19.5" hidden="0" customHeight="1">
      <x:c r="A100" s="5" t="s">
        <x:v>152</x:v>
      </x:c>
      <x:c r="B100" s="6"/>
      <x:c r="C100" s="6"/>
      <x:c r="D100" s="6"/>
      <x:c r="E100" s="6"/>
      <x:c r="F100" s="6"/>
      <x:c r="G100" s="6"/>
      <x:c r="H100" s="6"/>
    </x:row>
    <x:row r="101" ht="16.5" hidden="0" customHeight="1">
      <x:c r="A101" s="17" t="s">
        <x:v>63</x:v>
      </x:c>
      <x:c r="B101" s="18"/>
      <x:c r="C101" s="19" t="s">
        <x:v>48</x:v>
      </x:c>
      <x:c r="D101" s="19" t="s">
        <x:v>49</x:v>
      </x:c>
      <x:c r="E101" s="19" t="s">
        <x:v>50</x:v>
      </x:c>
      <x:c r="F101" s="19" t="s">
        <x:v>51</x:v>
      </x:c>
      <x:c r="G101" s="19" t="s">
        <x:v>52</x:v>
      </x:c>
    </x:row>
    <x:row r="102" ht="15" hidden="0">
      <x:c r="A102" s="22" t="s">
        <x:v>153</x:v>
      </x:c>
      <x:c r="B102" s="23"/>
      <x:c r="C102" s="30" t="n">
        <x:v>10</x:v>
      </x:c>
      <x:c r="D102" s="30" t="n">
        <x:v>10</x:v>
      </x:c>
      <x:c r="E102" s="30" t="n">
        <x:v>10</x:v>
      </x:c>
      <x:c r="F102" s="30" t="n">
        <x:v>10</x:v>
      </x:c>
      <x:c r="G102" s="30" t="n">
        <x:v>10</x:v>
      </x:c>
    </x:row>
    <x:row r="103" ht="15" hidden="0">
      <x:c r="A103" s="22" t="s">
        <x:v>154</x:v>
      </x:c>
      <x:c r="B103" s="23"/>
      <x:c r="C103" s="31" t="n">
        <x:f aca="0">C27/C102-C107</x:f>
        <x:v>1379.815</x:v>
      </x:c>
      <x:c r="D103" s="31" t="n">
        <x:f aca="0">D27/D102-D107</x:f>
        <x:v>2180.309</x:v>
      </x:c>
      <x:c r="E103" s="31" t="n">
        <x:f aca="0">E27/E102-E107</x:f>
        <x:v>2452.8476</x:v>
      </x:c>
      <x:c r="F103" s="31" t="n">
        <x:f aca="0">F27/F102-F107</x:f>
        <x:v>2452.8476</x:v>
      </x:c>
      <x:c r="G103" s="31" t="n">
        <x:f aca="0">G27/G102-G107</x:f>
        <x:v>2452.8476</x:v>
      </x:c>
    </x:row>
    <x:row r="104" ht="15" hidden="0">
      <x:c r="A104" s="22" t="s">
        <x:v>155</x:v>
      </x:c>
      <x:c r="B104" s="23"/>
      <x:c r="C104" s="31" t="n">
        <x:v>1379.815</x:v>
      </x:c>
      <x:c r="D104" s="31" t="n">
        <x:v>2180.309</x:v>
      </x:c>
      <x:c r="E104" s="31" t="n">
        <x:f>E103</x:f>
        <x:v>2452.8476</x:v>
      </x:c>
      <x:c r="F104" s="31" t="n">
        <x:v>2452.847</x:v>
      </x:c>
      <x:c r="G104" s="31" t="n">
        <x:v>2452.847</x:v>
      </x:c>
    </x:row>
    <x:row r="105" ht="15" hidden="0">
      <x:c r="A105" s="22" t="str">
        <x:v>FY-end share price (Rs; last PSX close)</x:v>
      </x:c>
      <x:c r="B105" s="23"/>
      <x:c r="C105" s="30" t="n">
        <x:v>23</x:v>
      </x:c>
      <x:c r="D105" s="30" t="n">
        <x:v>14.17</x:v>
      </x:c>
      <x:c r="E105" s="30" t="n">
        <x:v>11.76</x:v>
      </x:c>
      <x:c r="F105" s="30" t="n">
        <x:v>22.91</x:v>
      </x:c>
      <x:c r="G105" s="30" t="n">
        <x:v>44.67</x:v>
      </x:c>
    </x:row>
    <x:row r="106" ht="15" hidden="0">
      <x:c r="A106" s="22" t="s">
        <x:v>156</x:v>
      </x:c>
      <x:c r="B106" s="23"/>
      <x:c r="C106" s="30" t="n">
        <x:v>0</x:v>
      </x:c>
      <x:c r="D106" s="30" t="n">
        <x:v>0</x:v>
      </x:c>
      <x:c r="E106" s="30" t="n">
        <x:v>0</x:v>
      </x:c>
      <x:c r="F106" s="30" t="n">
        <x:v>1</x:v>
      </x:c>
      <x:c r="G106" s="30" t="n">
        <x:v>1.25</x:v>
      </x:c>
    </x:row>
    <x:row r="107">
      <x:c r="A107" s="22" t="str">
        <x:v>Treasury shares excluded (million)</x:v>
      </x:c>
      <x:c r="B107" s="23"/>
      <x:c r="C107" s="30" t="n">
        <x:v>0</x:v>
      </x:c>
      <x:c r="D107" s="30" t="n">
        <x:v>0</x:v>
      </x:c>
      <x:c r="E107" s="30" t="n">
        <x:v>0</x:v>
      </x:c>
      <x:c r="F107" s="30" t="n">
        <x:v>0</x:v>
      </x:c>
      <x:c r="G107" s="30" t="n">
        <x:v>0</x:v>
      </x:c>
    </x:row>
    <x:row r="108" ht="19.5" hidden="0" customHeight="1">
      <x:c r="A108" s="5" t="s">
        <x:v>157</x:v>
      </x:c>
      <x:c r="B108" s="6"/>
      <x:c r="C108" s="6"/>
      <x:c r="D108" s="6"/>
      <x:c r="E108" s="6"/>
      <x:c r="F108" s="6"/>
      <x:c r="G108" s="6"/>
      <x:c r="H108" s="6"/>
    </x:row>
    <x:row r="109" ht="16.5" hidden="0" customHeight="1">
      <x:c r="A109" s="32" t="s">
        <x:v>158</x:v>
      </x:c>
      <x:c r="B109" s="32" t="s">
        <x:v>159</x:v>
      </x:c>
      <x:c r="C109" s="19" t="s">
        <x:v>48</x:v>
      </x:c>
      <x:c r="D109" s="19" t="s">
        <x:v>49</x:v>
      </x:c>
      <x:c r="E109" s="19" t="s">
        <x:v>50</x:v>
      </x:c>
      <x:c r="F109" s="19" t="s">
        <x:v>51</x:v>
      </x:c>
      <x:c r="G109" s="19" t="s">
        <x:v>52</x:v>
      </x:c>
    </x:row>
    <x:row r="110" ht="15" hidden="0">
      <x:c r="A110" s="20" t="s">
        <x:v>160</x:v>
      </x:c>
      <x:c r="B110" s="21"/>
      <x:c r="C110" s="21"/>
      <x:c r="D110" s="21"/>
      <x:c r="E110" s="21"/>
      <x:c r="F110" s="21"/>
      <x:c r="G110" s="21"/>
    </x:row>
    <x:row r="111" ht="15" hidden="0">
      <x:c r="A111" s="33" t="s">
        <x:v>161</x:v>
      </x:c>
      <x:c r="B111" s="34" t="s">
        <x:v>162</x:v>
      </x:c>
      <x:c r="C111" s="35" t="n">
        <x:f aca="0">C24/C48</x:f>
        <x:v>2.01862288296847</x:v>
      </x:c>
      <x:c r="D111" s="35" t="n">
        <x:f aca="0">D24/D48</x:f>
        <x:v>1.0559688948718087</x:v>
      </x:c>
      <x:c r="E111" s="35" t="n">
        <x:f aca="0">E24/E48</x:f>
        <x:v>0.8121113755800701</x:v>
      </x:c>
      <x:c r="F111" s="35" t="n">
        <x:f aca="0">F24/F48</x:f>
        <x:v>0.9597477311673009</x:v>
      </x:c>
      <x:c r="G111" s="35" t="n">
        <x:f aca="0">G24/G48</x:f>
        <x:v>1.3210140828410366</x:v>
      </x:c>
    </x:row>
    <x:row r="112" ht="15" hidden="0">
      <x:c r="A112" s="33" t="s">
        <x:v>163</x:v>
      </x:c>
      <x:c r="B112" s="34" t="s">
        <x:v>164</x:v>
      </x:c>
      <x:c r="C112" s="35" t="n">
        <x:f aca="0">(C24-C54)/C48</x:f>
        <x:v>1.1357988467684703</x:v>
      </x:c>
      <x:c r="D112" s="35" t="n">
        <x:f aca="0">(D24-D54)/D48</x:f>
        <x:v>0.4707842106056928</x:v>
      </x:c>
      <x:c r="E112" s="35" t="n">
        <x:f aca="0">(E24-E54)/E48</x:f>
        <x:v>0.2812171087331332</x:v>
      </x:c>
      <x:c r="F112" s="35" t="n">
        <x:f aca="0">(F24-F54)/F48</x:f>
        <x:v>0.3420463898878065</x:v>
      </x:c>
      <x:c r="G112" s="35" t="n">
        <x:f aca="0">(G24-G54)/G48</x:f>
        <x:v>0.6775338076736492</x:v>
      </x:c>
    </x:row>
    <x:row r="113" ht="15" hidden="0">
      <x:c r="A113" s="33" t="s">
        <x:v>165</x:v>
      </x:c>
      <x:c r="B113" s="34" t="s">
        <x:v>166</x:v>
      </x:c>
      <x:c r="C113" s="35" t="n">
        <x:f aca="0">C22/C48</x:f>
        <x:v>0.14618299383526975</x:v>
      </x:c>
      <x:c r="D113" s="35" t="n">
        <x:f aca="0">D22/D48</x:f>
        <x:v>0.08632203736853207</x:v>
      </x:c>
      <x:c r="E113" s="35" t="n">
        <x:f aca="0">E22/E48</x:f>
        <x:v>0.03406683538776042</x:v>
      </x:c>
      <x:c r="F113" s="35" t="n">
        <x:f aca="0">F22/F48</x:f>
        <x:v>0.10917301381732912</x:v>
      </x:c>
      <x:c r="G113" s="35" t="n">
        <x:f aca="0">G22/G48</x:f>
        <x:v>0.08699594487108397</x:v>
      </x:c>
    </x:row>
    <x:row r="114" ht="15" hidden="0">
      <x:c r="A114" s="33" t="s">
        <x:v>167</x:v>
      </x:c>
      <x:c r="B114" s="34" t="s">
        <x:v>168</x:v>
      </x:c>
      <x:c r="C114" s="36" t="n">
        <x:f aca="0">C24-C48</x:f>
        <x:v>6276.743</x:v>
      </x:c>
      <x:c r="D114" s="36" t="n">
        <x:f aca="0">D24-D48</x:f>
        <x:v>1495.559000000001</x:v>
      </x:c>
      <x:c r="E114" s="36" t="n">
        <x:f aca="0">E24-E48</x:f>
        <x:v>-5352.356000000003</x:v>
      </x:c>
      <x:c r="F114" s="36" t="n">
        <x:f aca="0">F24-F48</x:f>
        <x:v>-1081.3960000000043</x:v>
      </x:c>
      <x:c r="G114" s="36" t="n">
        <x:f aca="0">G24-G48</x:f>
        <x:v>9835.068000000007</x:v>
      </x:c>
    </x:row>
    <x:row r="115" ht="15" hidden="0">
      <x:c r="A115" s="33" t="s">
        <x:v>169</x:v>
      </x:c>
      <x:c r="B115" s="34" t="s">
        <x:v>170</x:v>
      </x:c>
      <x:c r="C115" s="36" t="n">
        <x:f aca="0">C59-C60</x:f>
        <x:v>3035.393000000001</x:v>
      </x:c>
      <x:c r="D115" s="36" t="n">
        <x:f aca="0">D59-D60</x:f>
        <x:v>9408.205</x:v>
      </x:c>
      <x:c r="E115" s="36" t="n">
        <x:f aca="0">E59-E60</x:f>
        <x:v>10212.416999999998</x:v>
      </x:c>
      <x:c r="F115" s="36" t="n">
        <x:f aca="0">F59-F60</x:f>
        <x:v>10303.164999999997</x:v>
      </x:c>
      <x:c r="G115" s="36" t="n">
        <x:f aca="0">G59-G60</x:f>
        <x:v>14427.799000000005</x:v>
      </x:c>
    </x:row>
    <x:row r="116" ht="15" hidden="0">
      <x:c r="A116" s="20" t="s">
        <x:v>171</x:v>
      </x:c>
      <x:c r="B116" s="21"/>
      <x:c r="C116" s="21"/>
      <x:c r="D116" s="21"/>
      <x:c r="E116" s="21"/>
      <x:c r="F116" s="21"/>
      <x:c r="G116" s="21"/>
    </x:row>
    <x:row r="117" ht="15" hidden="0">
      <x:c r="A117" s="33" t="s">
        <x:v>172</x:v>
      </x:c>
      <x:c r="B117" s="34" t="s">
        <x:v>173</x:v>
      </x:c>
      <x:c r="C117" s="35" t="n">
        <x:f aca="0">-C65/AVERAGE(H54,C54)</x:f>
        <x:v>3.593399445976929</x:v>
      </x:c>
      <x:c r="D117" s="35" t="n">
        <x:f aca="0">-D65/AVERAGE(C54,D54)</x:f>
        <x:v>3.679828550986344</x:v>
      </x:c>
      <x:c r="E117" s="35" t="n">
        <x:f aca="0">-E65/AVERAGE(D54,E54)</x:f>
        <x:v>3.0981941833220765</x:v>
      </x:c>
      <x:c r="F117" s="35" t="n">
        <x:f aca="0">-F65/AVERAGE(E54,F54)</x:f>
        <x:v>3.4267755412065504</x:v>
      </x:c>
      <x:c r="G117" s="35" t="n">
        <x:f aca="0">-G65/AVERAGE(F54,G54)</x:f>
        <x:v>3.1608830315846066</x:v>
      </x:c>
    </x:row>
    <x:row r="118" ht="15" hidden="0">
      <x:c r="A118" s="33" t="s">
        <x:v>174</x:v>
      </x:c>
      <x:c r="B118" s="34" t="s">
        <x:v>175</x:v>
      </x:c>
      <x:c r="C118" s="35" t="n">
        <x:f aca="0">C64/AVERAGE(H20,C20)</x:f>
        <x:v>19.415164144242155</x:v>
      </x:c>
      <x:c r="D118" s="35" t="n">
        <x:f aca="0">D64/AVERAGE(C20,D20)</x:f>
        <x:v>28.088084014998095</x:v>
      </x:c>
      <x:c r="E118" s="35" t="n">
        <x:f aca="0">E64/AVERAGE(D20,E20)</x:f>
        <x:v>22.74585573789227</x:v>
      </x:c>
      <x:c r="F118" s="35" t="n">
        <x:f aca="0">F64/AVERAGE(E20,F20)</x:f>
        <x:v>17.554064923929165</x:v>
      </x:c>
      <x:c r="G118" s="35" t="n">
        <x:f aca="0">G64/AVERAGE(F20,G20)</x:f>
        <x:v>14.28264409693107</x:v>
      </x:c>
    </x:row>
    <x:row r="119" ht="15" hidden="0">
      <x:c r="A119" s="33" t="s">
        <x:v>176</x:v>
      </x:c>
      <x:c r="B119" s="34" t="s">
        <x:v>177</x:v>
      </x:c>
      <x:c r="C119" s="35" t="n">
        <x:f aca="0">-C65/AVERAGE(H52,C52)</x:f>
        <x:v>29.905586617872185</x:v>
      </x:c>
      <x:c r="D119" s="35" t="n">
        <x:f aca="0">-D65/AVERAGE(C52,D52)</x:f>
        <x:v>21.870744516457957</x:v>
      </x:c>
      <x:c r="E119" s="35" t="n">
        <x:f aca="0">-E65/AVERAGE(D52,E52)</x:f>
        <x:v>17.959235676951813</x:v>
      </x:c>
      <x:c r="F119" s="35" t="n">
        <x:f aca="0">-F65/AVERAGE(E52,F52)</x:f>
        <x:v>20.3161719818632</x:v>
      </x:c>
      <x:c r="G119" s="35" t="n">
        <x:f aca="0">-G65/AVERAGE(F52,G52)</x:f>
        <x:v>24.107258331311616</x:v>
      </x:c>
    </x:row>
    <x:row r="120" ht="15" hidden="0">
      <x:c r="A120" s="33" t="s">
        <x:v>178</x:v>
      </x:c>
      <x:c r="B120" s="34" t="s">
        <x:v>179</x:v>
      </x:c>
      <x:c r="C120" s="37" t="n">
        <x:f aca="0">365/C117</x:f>
        <x:v>101.57512558439446</x:v>
      </x:c>
      <x:c r="D120" s="37" t="n">
        <x:f aca="0">365/D117</x:f>
        <x:v>99.18940378408801</x:v>
      </x:c>
      <x:c r="E120" s="37" t="n">
        <x:f aca="0">365/E117</x:f>
        <x:v>117.81056267061489</x:v>
      </x:c>
      <x:c r="F120" s="37" t="n">
        <x:f aca="0">365/F117</x:f>
        <x:v>106.51412548353994</x:v>
      </x:c>
      <x:c r="G120" s="37" t="n">
        <x:f aca="0">365/G117</x:f>
        <x:v>115.47406099903009</x:v>
      </x:c>
    </x:row>
    <x:row r="121" ht="15" hidden="0">
      <x:c r="A121" s="33" t="s">
        <x:v>180</x:v>
      </x:c>
      <x:c r="B121" s="34" t="s">
        <x:v>181</x:v>
      </x:c>
      <x:c r="C121" s="37" t="n">
        <x:f aca="0">365/C118</x:f>
        <x:v>18.799738044359824</x:v>
      </x:c>
      <x:c r="D121" s="37" t="n">
        <x:f aca="0">365/D118</x:f>
        <x:v>12.994834386179642</x:v>
      </x:c>
      <x:c r="E121" s="37" t="n">
        <x:f aca="0">365/E118</x:f>
        <x:v>16.04687922960609</x:v>
      </x:c>
      <x:c r="F121" s="37" t="n">
        <x:f aca="0">365/F118</x:f>
        <x:v>20.792904753499183</x:v>
      </x:c>
      <x:c r="G121" s="37" t="n">
        <x:f aca="0">365/G118</x:f>
        <x:v>25.55549221298793</x:v>
      </x:c>
    </x:row>
    <x:row r="122" ht="15" hidden="0">
      <x:c r="A122" s="33" t="s">
        <x:v>182</x:v>
      </x:c>
      <x:c r="B122" s="34" t="s">
        <x:v>183</x:v>
      </x:c>
      <x:c r="C122" s="37" t="n">
        <x:f aca="0">365/C119</x:f>
        <x:v>12.205077421282503</x:v>
      </x:c>
      <x:c r="D122" s="37" t="n">
        <x:f aca="0">365/D119</x:f>
        <x:v>16.688960895928066</x:v>
      </x:c>
      <x:c r="E122" s="37" t="n">
        <x:f aca="0">365/E119</x:f>
        <x:v>20.323804785769745</x:v>
      </x:c>
      <x:c r="F122" s="37" t="n">
        <x:f aca="0">365/F119</x:f>
        <x:v>17.965982977789587</x:v>
      </x:c>
      <x:c r="G122" s="37" t="n">
        <x:f aca="0">365/G119</x:f>
        <x:v>15.14066821634052</x:v>
      </x:c>
    </x:row>
    <x:row r="123" ht="15" hidden="0">
      <x:c r="A123" s="33" t="s">
        <x:v>184</x:v>
      </x:c>
      <x:c r="B123" s="34" t="s">
        <x:v>185</x:v>
      </x:c>
      <x:c r="C123" s="37" t="n">
        <x:f aca="0">C120+C121</x:f>
        <x:v>120.37486362875428</x:v>
      </x:c>
      <x:c r="D123" s="37" t="n">
        <x:f aca="0">D120+D121</x:f>
        <x:v>112.18423817026766</x:v>
      </x:c>
      <x:c r="E123" s="37" t="n">
        <x:f aca="0">E120+E121</x:f>
        <x:v>133.85744190022098</x:v>
      </x:c>
      <x:c r="F123" s="37" t="n">
        <x:f aca="0">F120+F121</x:f>
        <x:v>127.30703023703913</x:v>
      </x:c>
      <x:c r="G123" s="37" t="n">
        <x:f aca="0">G120+G121</x:f>
        <x:v>141.02955321201802</x:v>
      </x:c>
    </x:row>
    <x:row r="124" ht="15" hidden="0">
      <x:c r="A124" s="33" t="s">
        <x:v>186</x:v>
      </x:c>
      <x:c r="B124" s="34" t="s">
        <x:v>187</x:v>
      </x:c>
      <x:c r="C124" s="37" t="n">
        <x:f aca="0">C120+C121-C122</x:f>
        <x:v>108.16978620747179</x:v>
      </x:c>
      <x:c r="D124" s="37" t="n">
        <x:f aca="0">D120+D121-D122</x:f>
        <x:v>95.4952772743396</x:v>
      </x:c>
      <x:c r="E124" s="37" t="n">
        <x:f aca="0">E120+E121-E122</x:f>
        <x:v>113.53363711445124</x:v>
      </x:c>
      <x:c r="F124" s="37" t="n">
        <x:f aca="0">F120+F121-F122</x:f>
        <x:v>109.34104725924954</x:v>
      </x:c>
      <x:c r="G124" s="37" t="n">
        <x:f aca="0">G120+G121-G122</x:f>
        <x:v>125.8888849956775</x:v>
      </x:c>
    </x:row>
    <x:row r="125" ht="15" hidden="0">
      <x:c r="A125" s="33" t="s">
        <x:v>188</x:v>
      </x:c>
      <x:c r="B125" s="34" t="s">
        <x:v>189</x:v>
      </x:c>
      <x:c r="C125" s="35" t="n">
        <x:f aca="0">C64/AVERAGE(H25,C25)</x:f>
        <x:v>0.7673483591494026</x:v>
      </x:c>
      <x:c r="D125" s="35" t="n">
        <x:f aca="0">D64/AVERAGE(C25,D25)</x:f>
        <x:v>0.7342538737719585</x:v>
      </x:c>
      <x:c r="E125" s="35" t="n">
        <x:f aca="0">E64/AVERAGE(D25,E25)</x:f>
        <x:v>0.5391058922773014</x:v>
      </x:c>
      <x:c r="F125" s="35" t="n">
        <x:f aca="0">F64/AVERAGE(E25,F25)</x:f>
        <x:v>0.5587159547520806</x:v>
      </x:c>
      <x:c r="G125" s="35" t="n">
        <x:f aca="0">G64/AVERAGE(F25,G25)</x:f>
        <x:v>0.576736892706269</x:v>
      </x:c>
    </x:row>
    <x:row r="126" ht="15" hidden="0">
      <x:c r="A126" s="33" t="s">
        <x:v>190</x:v>
      </x:c>
      <x:c r="B126" s="34" t="s">
        <x:v>191</x:v>
      </x:c>
      <x:c r="C126" s="35" t="n">
        <x:f aca="0">C64/AVERAGE(H53,C53)</x:f>
        <x:v>1.121529000686929</x:v>
      </x:c>
      <x:c r="D126" s="35" t="n">
        <x:f aca="0">D64/AVERAGE(C53,D53)</x:f>
        <x:v>1.6551596506379742</x:v>
      </x:c>
      <x:c r="E126" s="35" t="n">
        <x:f aca="0">E64/AVERAGE(D53,E53)</x:f>
        <x:v>1.1919170397378338</x:v>
      </x:c>
      <x:c r="F126" s="35" t="n">
        <x:f aca="0">F64/AVERAGE(E53,F53)</x:f>
        <x:v>0.8889851122075039</x:v>
      </x:c>
      <x:c r="G126" s="35" t="n">
        <x:f aca="0">G64/AVERAGE(F53,G53)</x:f>
        <x:v>0.8108018836700552</x:v>
      </x:c>
    </x:row>
    <x:row r="127" ht="15" hidden="0">
      <x:c r="A127" s="20" t="s">
        <x:v>192</x:v>
      </x:c>
      <x:c r="B127" s="21"/>
      <x:c r="C127" s="21"/>
      <x:c r="D127" s="21"/>
      <x:c r="E127" s="21"/>
      <x:c r="F127" s="21"/>
      <x:c r="G127" s="21"/>
    </x:row>
    <x:row r="128" ht="15" hidden="0">
      <x:c r="A128" s="33" t="s">
        <x:v>193</x:v>
      </x:c>
      <x:c r="B128" s="34" t="s">
        <x:v>194</x:v>
      </x:c>
      <x:c r="C128" s="38" t="n">
        <x:f aca="0">C49/C25</x:f>
        <x:v>0.3164714817070282</x:v>
      </x:c>
      <x:c r="D128" s="38" t="n">
        <x:f aca="0">D49/D25</x:f>
        <x:v>0.4921984828292214</x:v>
      </x:c>
      <x:c r="E128" s="38" t="n">
        <x:f aca="0">E49/E25</x:f>
        <x:v>0.530530558146142</x:v>
      </x:c>
      <x:c r="F128" s="38" t="n">
        <x:f aca="0">F49/F25</x:f>
        <x:v>0.5028400637434024</x:v>
      </x:c>
      <x:c r="G128" s="38" t="n">
        <x:f aca="0">G49/G25</x:f>
        <x:v>0.4760663500346739</x:v>
      </x:c>
    </x:row>
    <x:row r="129" ht="15" hidden="0">
      <x:c r="A129" s="33" t="s">
        <x:v>195</x:v>
      </x:c>
      <x:c r="B129" s="34" t="s">
        <x:v>196</x:v>
      </x:c>
      <x:c r="C129" s="35" t="n">
        <x:f aca="0">C49/C29</x:f>
        <x:v>0.4629967488370152</x:v>
      </x:c>
      <x:c r="D129" s="35" t="n">
        <x:f aca="0">D49/D29</x:f>
        <x:v>0.9692733601339171</x:v>
      </x:c>
      <x:c r="E129" s="35" t="n">
        <x:f aca="0">E49/E29</x:f>
        <x:v>1.130064091181662</x:v>
      </x:c>
      <x:c r="F129" s="35" t="n">
        <x:f aca="0">F49/F29</x:f>
        <x:v>1.0114251512894896</x:v>
      </x:c>
      <x:c r="G129" s="35" t="n">
        <x:f aca="0">G49/G29</x:f>
        <x:v>0.9086386225931091</x:v>
      </x:c>
    </x:row>
    <x:row r="130" ht="15" hidden="0">
      <x:c r="A130" s="33" t="s">
        <x:v>197</x:v>
      </x:c>
      <x:c r="B130" s="34" t="s">
        <x:v>198</x:v>
      </x:c>
      <x:c r="C130" s="38" t="n">
        <x:f aca="0">C55/(C55+C29)</x:f>
        <x:v>0.09936978984482135</x:v>
      </x:c>
      <x:c r="D130" s="38" t="n">
        <x:f aca="0">D55/(D55+D29)</x:f>
        <x:v>0.36582138671494635</x:v>
      </x:c>
      <x:c r="E130" s="38" t="n">
        <x:f aca="0">E55/(E55+E29)</x:f>
        <x:v>0.42432770074720316</x:v>
      </x:c>
      <x:c r="F130" s="38" t="n">
        <x:f aca="0">F55/(F55+F29)</x:f>
        <x:v>0.3746668664583292</x:v>
      </x:c>
      <x:c r="G130" s="38" t="n">
        <x:f aca="0">G55/(G55+G29)</x:f>
        <x:v>0.3230814331540067</x:v>
      </x:c>
    </x:row>
    <x:row r="131" ht="15" hidden="0">
      <x:c r="A131" s="33" t="s">
        <x:v>199</x:v>
      </x:c>
      <x:c r="B131" s="34" t="s">
        <x:v>200</x:v>
      </x:c>
      <x:c r="C131" s="38" t="n">
        <x:f aca="0">C56/C25</x:f>
        <x:v>0.01659494791985876</x:v>
      </x:c>
      <x:c r="D131" s="38" t="n">
        <x:f aca="0">D56/D25</x:f>
        <x:v>0.1727906268810509</x:v>
      </x:c>
      <x:c r="E131" s="38" t="n">
        <x:f aca="0">E56/E25</x:f>
        <x:v>0.22975152572601862</x:v>
      </x:c>
      <x:c r="F131" s="38" t="n">
        <x:f aca="0">F56/F25</x:f>
        <x:v>0.203376413547186</x:v>
      </x:c>
      <x:c r="G131" s="38" t="n">
        <x:f aca="0">G56/G25</x:f>
        <x:v>0.15113814624398686</x:v>
      </x:c>
    </x:row>
    <x:row r="132" ht="15" hidden="0">
      <x:c r="A132" s="33" t="s">
        <x:v>201</x:v>
      </x:c>
      <x:c r="B132" s="34" t="s">
        <x:v>202</x:v>
      </x:c>
      <x:c r="C132" s="35" t="n">
        <x:f aca="0">IF(C85&lt;=0,"n/m",C82/C85)</x:f>
        <x:v>56.640991401771736</x:v>
      </x:c>
      <x:c r="D132" s="35" t="n">
        <x:f aca="0">IF(D85&lt;=0,"n/m",D82/D85)</x:f>
        <x:v>12.790793831338474</x:v>
      </x:c>
      <x:c r="E132" s="35" t="n">
        <x:f aca="0">IF(E85&lt;=0,"n/m",E82/E85)</x:f>
        <x:v>6.303455869186725</x:v>
      </x:c>
      <x:c r="F132" s="35" t="n">
        <x:f aca="0">IF(F85&lt;=0,"n/m",F82/F85)</x:f>
        <x:v>3.782086656189459</x:v>
      </x:c>
      <x:c r="G132" s="35" t="n">
        <x:f aca="0">IF(G85&lt;=0,"n/m",G82/G85)</x:f>
        <x:v>4.810770991481205</x:v>
      </x:c>
    </x:row>
    <x:row r="133" ht="15" hidden="0">
      <x:c r="A133" s="33" t="s">
        <x:v>203</x:v>
      </x:c>
      <x:c r="B133" s="34" t="s">
        <x:v>204</x:v>
      </x:c>
      <x:c r="C133" s="35" t="n">
        <x:f aca="0">IF(C83&lt;=0,"n/m",C57/C83)</x:f>
        <x:v>0.24458614853218485</x:v>
      </x:c>
      <x:c r="D133" s="35" t="n">
        <x:f aca="0">IF(D83&lt;=0,"n/m",D57/D83)</x:f>
        <x:v>1.9769322381186347</x:v>
      </x:c>
      <x:c r="E133" s="35" t="n">
        <x:f aca="0">IF(E83&lt;=0,"n/m",E57/E83)</x:f>
        <x:v>2.330771626609412</x:v>
      </x:c>
      <x:c r="F133" s="35" t="n">
        <x:f aca="0">IF(F83&lt;=0,"n/m",F57/F83)</x:f>
        <x:v>1.6450866382920604</x:v>
      </x:c>
      <x:c r="G133" s="35" t="n">
        <x:f aca="0">IF(G83&lt;=0,"n/m",G57/G83)</x:f>
        <x:v>1.1639093473655806</x:v>
      </x:c>
    </x:row>
    <x:row r="134" ht="15" hidden="0">
      <x:c r="A134" s="20" t="s">
        <x:v>205</x:v>
      </x:c>
      <x:c r="B134" s="21"/>
      <x:c r="C134" s="21"/>
      <x:c r="D134" s="21"/>
      <x:c r="E134" s="21"/>
      <x:c r="F134" s="21"/>
      <x:c r="G134" s="21"/>
    </x:row>
    <x:row r="135" ht="15" hidden="0">
      <x:c r="A135" s="33" t="s">
        <x:v>206</x:v>
      </x:c>
      <x:c r="B135" s="34" t="s">
        <x:v>207</x:v>
      </x:c>
      <x:c r="C135" s="38" t="n">
        <x:f aca="0">C66/C64</x:f>
        <x:v>0.24985924725452316</x:v>
      </x:c>
      <x:c r="D135" s="38" t="n">
        <x:f aca="0">D66/D64</x:f>
        <x:v>0.28507903988852556</x:v>
      </x:c>
      <x:c r="E135" s="38" t="n">
        <x:f aca="0">E66/E64</x:f>
        <x:v>0.2999660404821077</x:v>
      </x:c>
      <x:c r="F135" s="38" t="n">
        <x:f aca="0">F66/F64</x:f>
        <x:v>0.3208998635022473</x:v>
      </x:c>
      <x:c r="G135" s="38" t="n">
        <x:f aca="0">G66/G64</x:f>
        <x:v>0.3549084220292905</x:v>
      </x:c>
    </x:row>
    <x:row r="136" ht="15" hidden="0">
      <x:c r="A136" s="33" t="s">
        <x:v>208</x:v>
      </x:c>
      <x:c r="B136" s="34" t="s">
        <x:v>209</x:v>
      </x:c>
      <x:c r="C136" s="38" t="n">
        <x:f aca="0">C71/C64</x:f>
        <x:v>0.20485989925955708</x:v>
      </x:c>
      <x:c r="D136" s="38" t="n">
        <x:f aca="0">D71/D64</x:f>
        <x:v>0.21665144691719232</x:v>
      </x:c>
      <x:c r="E136" s="38" t="n">
        <x:f aca="0">E71/E64</x:f>
        <x:v>0.2289064691471258</x:v>
      </x:c>
      <x:c r="F136" s="38" t="n">
        <x:f aca="0">F71/F64</x:f>
        <x:v>0.25056237189043495</x:v>
      </x:c>
      <x:c r="G136" s="38" t="n">
        <x:f aca="0">G71/G64</x:f>
        <x:v>0.2862983395627571</x:v>
      </x:c>
    </x:row>
    <x:row r="137" ht="15" hidden="0">
      <x:c r="A137" s="33" t="s">
        <x:v>210</x:v>
      </x:c>
      <x:c r="B137" s="34" t="s">
        <x:v>211</x:v>
      </x:c>
      <x:c r="C137" s="38" t="n">
        <x:f aca="0">C79/C64</x:f>
        <x:v>0.14302295902338913</x:v>
      </x:c>
      <x:c r="D137" s="38" t="n">
        <x:f aca="0">D79/D64</x:f>
        <x:v>0.13112336204567002</x:v>
      </x:c>
      <x:c r="E137" s="38" t="n">
        <x:f aca="0">E79/E64</x:f>
        <x:v>0.10929571726641699</x:v>
      </x:c>
      <x:c r="F137" s="38" t="n">
        <x:f aca="0">F79/F64</x:f>
        <x:v>0.10275526425549537</x:v>
      </x:c>
      <x:c r="G137" s="38" t="n">
        <x:f aca="0">G79/G64</x:f>
        <x:v>0.14980611609777766</x:v>
      </x:c>
    </x:row>
    <x:row r="138" ht="15" hidden="0">
      <x:c r="A138" s="33" t="s">
        <x:v>212</x:v>
      </x:c>
      <x:c r="B138" s="34" t="s">
        <x:v>213</x:v>
      </x:c>
      <x:c r="C138" s="38" t="n">
        <x:f aca="0">C79/AVERAGE(H25,C25)</x:f>
        <x:v>0.10974843292728989</x:v>
      </x:c>
      <x:c r="D138" s="38" t="n">
        <x:f aca="0">D79/AVERAGE(C25,D25)</x:f>
        <x:v>0.09627783652403621</x:v>
      </x:c>
      <x:c r="E138" s="38" t="n">
        <x:f aca="0">E79/AVERAGE(D25,E25)</x:f>
        <x:v>0.0589219651789994</x:v>
      </x:c>
      <x:c r="F138" s="38" t="n">
        <x:f aca="0">F79/AVERAGE(E25,F25)</x:f>
        <x:v>0.05741100557431145</x:v>
      </x:c>
      <x:c r="G138" s="38" t="n">
        <x:f aca="0">G79/AVERAGE(F25,G25)</x:f>
        <x:v>0.08639871390662689</x:v>
      </x:c>
    </x:row>
    <x:row r="139" ht="15" hidden="0">
      <x:c r="A139" s="33" t="s">
        <x:v>214</x:v>
      </x:c>
      <x:c r="B139" s="34" t="s">
        <x:v>215</x:v>
      </x:c>
      <x:c r="C139" s="38" t="n">
        <x:f aca="0">C79/AVERAGE(H29,C29)</x:f>
        <x:v>0.16115839021414832</x:v>
      </x:c>
      <x:c r="D139" s="38" t="n">
        <x:f aca="0">D79/AVERAGE(C29,D29)</x:f>
        <x:v>0.17559284966237051</x:v>
      </x:c>
      <x:c r="E139" s="38" t="n">
        <x:f aca="0">E79/AVERAGE(D29,E29)</x:f>
        <x:v>0.12105723655011702</x:v>
      </x:c>
      <x:c r="F139" s="38" t="n">
        <x:f aca="0">F79/AVERAGE(E29,F29)</x:f>
        <x:v>0.11868144080382984</x:v>
      </x:c>
      <x:c r="G139" s="38" t="n">
        <x:f aca="0">G79/AVERAGE(F29,G29)</x:f>
        <x:v>0.1690380202363196</x:v>
      </x:c>
    </x:row>
    <x:row r="140" ht="15" hidden="0">
      <x:c r="A140" s="33" t="s">
        <x:v>216</x:v>
      </x:c>
      <x:c r="B140" s="34" t="s">
        <x:v>217</x:v>
      </x:c>
      <x:c r="C140" s="38" t="n">
        <x:f aca="0">C88/AVERAGE(H58,C58)</x:f>
        <x:v>0.14667479520486254</x:v>
      </x:c>
      <x:c r="D140" s="38" t="n">
        <x:f aca="0">D88/AVERAGE(C58,D58)</x:f>
        <x:v>0.13438749624409813</x:v>
      </x:c>
      <x:c r="E140" s="38" t="n">
        <x:f aca="0">E88/AVERAGE(D58,E58)</x:f>
        <x:v>0.09343071635815868</x:v>
      </x:c>
      <x:c r="F140" s="38" t="n">
        <x:f aca="0">F88/AVERAGE(E58,F58)</x:f>
        <x:v>0.09703702948567723</x:v>
      </x:c>
      <x:c r="G140" s="38" t="n">
        <x:f aca="0">G88/AVERAGE(F58,G58)</x:f>
        <x:v>0.1397420092007453</x:v>
      </x:c>
    </x:row>
    <x:row r="141" ht="15" hidden="0">
      <x:c r="A141" s="33" t="s">
        <x:v>218</x:v>
      </x:c>
      <x:c r="B141" s="34" t="s">
        <x:v>219</x:v>
      </x:c>
      <x:c r="C141" s="38" t="n">
        <x:f aca="0">C82/AVERAGE(H25,C25)</x:f>
        <x:v>0.16494792527118216</x:v>
      </x:c>
      <x:c r="D141" s="38" t="n">
        <x:f aca="0">D82/AVERAGE(C25,D25)</x:f>
        <x:v>0.1723137524694703</x:v>
      </x:c>
      <x:c r="E141" s="38" t="n">
        <x:f aca="0">E82/AVERAGE(D25,E25)</x:f>
        <x:v>0.13103867634936517</x:v>
      </x:c>
      <x:c r="F141" s="38" t="n">
        <x:f aca="0">F82/AVERAGE(E25,F25)</x:f>
        <x:v>0.1458556324666155</x:v>
      </x:c>
      <x:c r="G141" s="38" t="n">
        <x:f aca="0">G82/AVERAGE(F25,G25)</x:f>
        <x:v>0.1769808100965798</x:v>
      </x:c>
    </x:row>
    <x:row r="142" ht="15" hidden="0">
      <x:c r="A142" s="33" t="s">
        <x:v>220</x:v>
      </x:c>
      <x:c r="B142" s="34" t="s">
        <x:v>221</x:v>
      </x:c>
      <x:c r="C142" s="38" t="n">
        <x:f aca="0">C83/C64</x:f>
        <x:v>0.28086135530113043</x:v>
      </x:c>
      <x:c r="D142" s="38" t="n">
        <x:f aca="0">D83/D64</x:f>
        <x:v>0.2890661263240804</x:v>
      </x:c>
      <x:c r="E142" s="38" t="n">
        <x:f aca="0">E83/E64</x:f>
        <x:v>0.29668683739017554</x:v>
      </x:c>
      <x:c r="F142" s="38" t="n">
        <x:f aca="0">F83/F64</x:f>
        <x:v>0.3117640834393464</x:v>
      </x:c>
      <x:c r="G142" s="38" t="n">
        <x:f aca="0">G83/G64</x:f>
        <x:v>0.36273294689052354</x:v>
      </x:c>
    </x:row>
    <x:row r="143" ht="15" hidden="0">
      <x:c r="A143" s="20" t="s">
        <x:v>222</x:v>
      </x:c>
      <x:c r="B143" s="21"/>
      <x:c r="C143" s="21"/>
      <x:c r="D143" s="21"/>
      <x:c r="E143" s="21"/>
      <x:c r="F143" s="21"/>
      <x:c r="G143" s="21"/>
    </x:row>
    <x:row r="144" ht="15" hidden="0">
      <x:c r="A144" s="33" t="s">
        <x:v>223</x:v>
      </x:c>
      <x:c r="B144" s="34" t="s">
        <x:v>224</x:v>
      </x:c>
      <x:c r="C144" s="39" t="n">
        <x:f aca="0">C29/C103</x:f>
        <x:v>16.868689643176804</x:v>
      </x:c>
      <x:c r="D144" s="39" t="n">
        <x:f aca="0">D29/D103</x:f>
        <x:v>26.480675904195227</x:v>
      </x:c>
      <x:c r="E144" s="39" t="n">
        <x:f aca="0">E29/E103</x:f>
        <x:v>26.57145800660424</x:v>
      </x:c>
      <x:c r="F144" s="39" t="n">
        <x:f aca="0">F29/F103</x:f>
        <x:v>29.923935347634316</x:v>
      </x:c>
      <x:c r="G144" s="39" t="n">
        <x:f aca="0">G29/G103</x:f>
        <x:v>34.35688707280468</x:v>
      </x:c>
    </x:row>
    <x:row r="145" ht="15" hidden="0">
      <x:c r="A145" s="33" t="s">
        <x:v>225</x:v>
      </x:c>
      <x:c r="B145" s="34" t="s">
        <x:v>226</x:v>
      </x:c>
      <x:c r="C145" s="35" t="n">
        <x:f aca="0">C105/C144</x:f>
        <x:v>1.3634728296339984</x:v>
      </x:c>
      <x:c r="D145" s="35" t="n">
        <x:f aca="0">D105/D144</x:f>
        <x:v>0.535107187266134</x:v>
      </x:c>
      <x:c r="E145" s="35" t="n">
        <x:f aca="0">E105/E144</x:f>
        <x:v>0.4425801548818697</x:v>
      </x:c>
      <x:c r="F145" s="35" t="n">
        <x:f aca="0">F105/F144</x:f>
        <x:v>0.7656078565151421</x:v>
      </x:c>
      <x:c r="G145" s="35" t="n">
        <x:f aca="0">G105/G144</x:f>
        <x:v>1.3001759998029245</x:v>
      </x:c>
    </x:row>
    <x:row r="146" ht="15" hidden="0">
      <x:c r="A146" s="33" t="s">
        <x:v>227</x:v>
      </x:c>
      <x:c r="B146" s="34" t="s">
        <x:v>228</x:v>
      </x:c>
      <x:c r="C146" s="39" t="n">
        <x:f aca="0">C79/C104</x:f>
        <x:v>2.5158090033808875</x:v>
      </x:c>
      <x:c r="D146" s="39" t="n">
        <x:f aca="0">D79/D104</x:f>
        <x:v>3.2621706372812294</x:v>
      </x:c>
      <x:c r="E146" s="39" t="n">
        <x:f aca="0">E79/E104</x:f>
        <x:v>3.0330791851886794</x:v>
      </x:c>
      <x:c r="F146" s="39" t="n">
        <x:f aca="0">F79/F104</x:f>
        <x:v>3.3524781610919856</x:v>
      </x:c>
      <x:c r="G146" s="39" t="n">
        <x:f aca="0">G79/G104</x:f>
        <x:v>5.432952809531124</x:v>
      </x:c>
    </x:row>
    <x:row r="147" ht="15" hidden="0">
      <x:c r="A147" s="33" t="s">
        <x:v>229</x:v>
      </x:c>
      <x:c r="B147" s="34" t="s">
        <x:v>230</x:v>
      </x:c>
      <x:c r="C147" s="35" t="n">
        <x:f aca="0">IF(C146&lt;=0,"n/m",C105/C146)</x:f>
        <x:v>9.14218844478706</x:v>
      </x:c>
      <x:c r="D147" s="35" t="n">
        <x:f aca="0">IF(D146&lt;=0,"n/m",D105/D146)</x:f>
        <x:v>4.343733536823694</x:v>
      </x:c>
      <x:c r="E147" s="35" t="n">
        <x:f aca="0">IF(E146&lt;=0,"n/m",E105/E146)</x:f>
        <x:v>3.877247932539039</x:v>
      </x:c>
      <x:c r="F147" s="35" t="n">
        <x:f aca="0">IF(F146&lt;=0,"n/m",F105/F146)</x:f>
        <x:v>6.833750705936781</x:v>
      </x:c>
      <x:c r="G147" s="35" t="n">
        <x:f aca="0">IF(G146&lt;=0,"n/m",G105/G146)</x:f>
        <x:v>8.222048224242743</x:v>
      </x:c>
    </x:row>
    <x:row r="148" ht="15" hidden="0">
      <x:c r="A148" s="33" t="s">
        <x:v>231</x:v>
      </x:c>
      <x:c r="B148" s="34" t="s">
        <x:v>232</x:v>
      </x:c>
      <x:c r="C148" s="38" t="n">
        <x:f aca="0">C106/C105</x:f>
        <x:v>0</x:v>
      </x:c>
      <x:c r="D148" s="38" t="n">
        <x:f aca="0">D106/D105</x:f>
        <x:v>0</x:v>
      </x:c>
      <x:c r="E148" s="38" t="n">
        <x:f aca="0">E106/E105</x:f>
        <x:v>0</x:v>
      </x:c>
      <x:c r="F148" s="38" t="n">
        <x:f aca="0">F106/F105</x:f>
        <x:v>0.04364906154517678</x:v>
      </x:c>
      <x:c r="G148" s="38" t="n">
        <x:f aca="0">G106/G105</x:f>
        <x:v>0.027982986344302664</x:v>
      </x:c>
    </x:row>
    <x:row r="149" ht="15" hidden="0">
      <x:c r="A149" s="33" t="s">
        <x:v>233</x:v>
      </x:c>
      <x:c r="B149" s="34" t="s">
        <x:v>234</x:v>
      </x:c>
      <x:c r="C149" s="38" t="n">
        <x:f aca="0">IF(C146&lt;=0,"n/m",C106/C146)</x:f>
        <x:v>0</x:v>
      </x:c>
      <x:c r="D149" s="38" t="n">
        <x:f aca="0">IF(D146&lt;=0,"n/m",D106/D146)</x:f>
        <x:v>0</x:v>
      </x:c>
      <x:c r="E149" s="38" t="n">
        <x:f aca="0">IF(E146&lt;=0,"n/m",E106/E146)</x:f>
        <x:v>0</x:v>
      </x:c>
      <x:c r="F149" s="38" t="n">
        <x:f aca="0">IF(F146&lt;=0,"n/m",F106/F146)</x:f>
        <x:v>0.29828680514782985</x:v>
      </x:c>
      <x:c r="G149" s="38" t="n">
        <x:f aca="0">IF(G146&lt;=0,"n/m",G106/G146)</x:f>
        <x:v>0.23007746318118263</x:v>
      </x:c>
    </x:row>
    <x:row r="150" ht="15" hidden="0">
      <x:c r="A150" s="20" t="s">
        <x:v>235</x:v>
      </x:c>
      <x:c r="B150" s="21"/>
      <x:c r="C150" s="21"/>
      <x:c r="D150" s="21"/>
      <x:c r="E150" s="21"/>
      <x:c r="F150" s="21"/>
      <x:c r="G150" s="21"/>
    </x:row>
    <x:row r="151" ht="15" hidden="0">
      <x:c r="A151" s="33" t="s">
        <x:v>236</x:v>
      </x:c>
      <x:c r="B151" s="34" t="s">
        <x:v>237</x:v>
      </x:c>
      <x:c r="C151" s="35" t="n">
        <x:f aca="0">C93/AVERAGE(H48,C48)</x:f>
        <x:v>1.0117896447486598</x:v>
      </x:c>
      <x:c r="D151" s="35" t="n">
        <x:f aca="0">D93/AVERAGE(C48,D48)</x:f>
        <x:v>0.46026872897751386</x:v>
      </x:c>
      <x:c r="E151" s="35" t="n">
        <x:f aca="0">E93/AVERAGE(D48,E48)</x:f>
        <x:v>0.5807479582527986</x:v>
      </x:c>
      <x:c r="F151" s="35" t="n">
        <x:f aca="0">F93/AVERAGE(E48,F48)</x:f>
        <x:v>0.8051914064237449</x:v>
      </x:c>
      <x:c r="G151" s="35" t="n">
        <x:f aca="0">G93/AVERAGE(F48,G48)</x:f>
        <x:v>0.8456332094463861</x:v>
      </x:c>
    </x:row>
    <x:row r="153" ht="19.5" hidden="0" customHeight="1">
      <x:c r="A153" s="5" t="s">
        <x:v>238</x:v>
      </x:c>
      <x:c r="B153" s="6"/>
      <x:c r="C153" s="6"/>
      <x:c r="D153" s="6"/>
      <x:c r="E153" s="6"/>
      <x:c r="F153" s="6"/>
      <x:c r="G153" s="6"/>
    </x:row>
    <x:row r="154" ht="15" hidden="0">
      <x:c r="A154" s="40" t="s">
        <x:v>239</x:v>
      </x:c>
      <x:c r="B154" s="40"/>
      <x:c r="C154" s="41" t="s">
        <x:v>48</x:v>
      </x:c>
      <x:c r="D154" s="41" t="s">
        <x:v>49</x:v>
      </x:c>
      <x:c r="E154" s="41" t="s">
        <x:v>50</x:v>
      </x:c>
      <x:c r="F154" s="41" t="s">
        <x:v>51</x:v>
      </x:c>
      <x:c r="G154" s="41" t="s">
        <x:v>52</x:v>
      </x:c>
    </x:row>
    <x:row r="155" ht="15" hidden="0">
      <x:c r="A155" s="33" t="s">
        <x:v>66</x:v>
      </x:c>
      <x:c r="B155" s="33"/>
      <x:c r="C155" s="42" t="n">
        <x:f aca="0">C9/C25</x:f>
        <x:v>0.6290987219016575</x:v>
      </x:c>
      <x:c r="D155" s="42" t="n">
        <x:f aca="0">D9/D25</x:f>
        <x:v>0.6519575084809921</x:v>
      </x:c>
      <x:c r="E155" s="42" t="n">
        <x:f aca="0">E9/E25</x:f>
        <x:v>0.7521883709509583</x:v>
      </x:c>
      <x:c r="F155" s="42" t="n">
        <x:f aca="0">F9/F25</x:f>
        <x:v>0.7508022332637856</x:v>
      </x:c>
      <x:c r="G155" s="42" t="n">
        <x:f aca="0">G9/G25</x:f>
        <x:v>0.6812705329809954</x:v>
      </x:c>
    </x:row>
    <x:row r="156" ht="15" hidden="0">
      <x:c r="A156" s="33" t="s">
        <x:v>73</x:v>
      </x:c>
      <x:c r="B156" s="33"/>
      <x:c r="C156" s="42" t="n">
        <x:f aca="0">C16/C25</x:f>
        <x:v>0.6347160924639562</x:v>
      </x:c>
      <x:c r="D156" s="42" t="n">
        <x:f aca="0">D16/D25</x:f>
        <x:v>0.751826831688631</x:v>
      </x:c>
      <x:c r="E156" s="42" t="n">
        <x:f aca="0">E16/E25</x:f>
        <x:v>0.8333591481581767</x:v>
      </x:c>
      <x:c r="F156" s="42" t="n">
        <x:f aca="0">F16/F25</x:f>
        <x:v>0.8253541224302838</x:v>
      </x:c>
      <x:c r="G156" s="42" t="n">
        <x:f aca="0">G16/G25</x:f>
        <x:v>0.7483756601712761</x:v>
      </x:c>
    </x:row>
    <x:row r="157" ht="15" hidden="0">
      <x:c r="A157" s="33" t="s">
        <x:v>240</x:v>
      </x:c>
      <x:c r="B157" s="33"/>
      <x:c r="C157" s="42" t="n">
        <x:f aca="0">C54/C25</x:f>
        <x:v>0.15975317446895038</x:v>
      </x:c>
      <x:c r="D157" s="42" t="n">
        <x:f aca="0">D54/D25</x:f>
        <x:v>0.1375297490739443</x:v>
      </x:c>
      <x:c r="E157" s="42" t="n">
        <x:f aca="0">E54/E25</x:f>
        <x:v>0.10893662559784105</x:v>
      </x:c>
      <x:c r="F157" s="42" t="n">
        <x:f aca="0">F54/F25</x:f>
        <x:v>0.11240348825054196</x:v>
      </x:c>
      <x:c r="G157" s="42" t="n">
        <x:f aca="0">G54/G25</x:f>
        <x:v>0.12256894270466562</x:v>
      </x:c>
    </x:row>
    <x:row r="158" ht="15" hidden="0">
      <x:c r="A158" s="33" t="s">
        <x:v>77</x:v>
      </x:c>
      <x:c r="B158" s="33"/>
      <x:c r="C158" s="42" t="n">
        <x:f aca="0">C20/C25</x:f>
        <x:v>0.04256989798994374</x:v>
      </x:c>
      <x:c r="D158" s="42" t="n">
        <x:f aca="0">D20/D25</x:f>
        <x:v>0.021220745888252793</x:v>
      </x:c>
      <x:c r="E158" s="42" t="n">
        <x:f aca="0">E20/E25</x:f>
        <x:v>0.02573279317430052</x:v>
      </x:c>
      <x:c r="F158" s="42" t="n">
        <x:f aca="0">F20/F25</x:f>
        <x:v>0.0375601463702365</x:v>
      </x:c>
      <x:c r="G158" s="42" t="n">
        <x:f aca="0">G20/G25</x:f>
        <x:v>0.04296878232436554</x:v>
      </x:c>
    </x:row>
    <x:row r="159" ht="15" hidden="0">
      <x:c r="A159" s="33" t="s">
        <x:v>78</x:v>
      </x:c>
      <x:c r="B159" s="33"/>
      <x:c r="C159" s="42" t="n">
        <x:f aca="0">C21/C25</x:f>
        <x:v>0.12914569386070474</x:v>
      </x:c>
      <x:c r="D159" s="42" t="n">
        <x:f aca="0">D21/D25</x:f>
        <x:v>0.03380013190548508</x:v>
      </x:c>
      <x:c r="E159" s="42" t="n">
        <x:f aca="0">E21/E25</x:f>
        <x:v>0.0018007830193537283</x:v>
      </x:c>
      <x:c r="F159" s="42" t="n">
        <x:f aca="0">F21/F25</x:f>
        <x:v>0.0016933504950567746</x:v>
      </x:c>
      <x:c r="G159" s="42" t="n">
        <x:f aca="0">G21/G25</x:f>
        <x:v>0.05726064884339625</x:v>
      </x:c>
    </x:row>
    <x:row r="160" ht="15" hidden="0">
      <x:c r="A160" s="33" t="s">
        <x:v>79</x:v>
      </x:c>
      <x:c r="B160" s="33"/>
      <x:c r="C160" s="42" t="n">
        <x:f aca="0">C22/C25</x:f>
        <x:v>0.02645283358966994</x:v>
      </x:c>
      <x:c r="D160" s="42" t="n">
        <x:f aca="0">D22/D25</x:f>
        <x:v>0.020287352793134747</x:v>
      </x:c>
      <x:c r="E160" s="42" t="n">
        <x:f aca="0">E22/E25</x:f>
        <x:v>0.006990329946451844</x:v>
      </x:c>
      <x:c r="F160" s="42" t="n">
        <x:f aca="0">F22/F25</x:f>
        <x:v>0.019866279633574395</x:v>
      </x:c>
      <x:c r="G160" s="42" t="n">
        <x:f aca="0">G22/G25</x:f>
        <x:v>0.016570828033024624</x:v>
      </x:c>
    </x:row>
    <x:row r="161" ht="15" hidden="0">
      <x:c r="A161" s="33" t="s">
        <x:v>81</x:v>
      </x:c>
      <x:c r="B161" s="33"/>
      <x:c r="C161" s="42" t="n">
        <x:f aca="0">C24/C25</x:f>
        <x:v>0.3652839075360437</x:v>
      </x:c>
      <x:c r="D161" s="42" t="n">
        <x:f aca="0">D24/D25</x:f>
        <x:v>0.24817316831136904</x:v>
      </x:c>
      <x:c r="E161" s="42" t="n">
        <x:f aca="0">E24/E25</x:f>
        <x:v>0.16664085184182323</x:v>
      </x:c>
      <x:c r="F161" s="42" t="n">
        <x:f aca="0">F24/F25</x:f>
        <x:v>0.1746458775697161</x:v>
      </x:c>
      <x:c r="G161" s="42" t="n">
        <x:f aca="0">G24/G25</x:f>
        <x:v>0.25162433982872384</x:v>
      </x:c>
    </x:row>
    <x:row r="162" ht="15" hidden="0">
      <x:c r="A162" s="33" t="s">
        <x:v>86</x:v>
      </x:c>
      <x:c r="B162" s="33"/>
      <x:c r="C162" s="42" t="n">
        <x:f aca="0">C29/C25</x:f>
        <x:v>0.6835285182929718</x:v>
      </x:c>
      <x:c r="D162" s="42" t="n">
        <x:f aca="0">D29/D25</x:f>
        <x:v>0.5078015171707784</x:v>
      </x:c>
      <x:c r="E162" s="42" t="n">
        <x:f aca="0">E29/E25</x:f>
        <x:v>0.46946944185385797</x:v>
      </x:c>
      <x:c r="F162" s="42" t="n">
        <x:f aca="0">F29/F25</x:f>
        <x:v>0.4971599362565977</x:v>
      </x:c>
      <x:c r="G162" s="42" t="n">
        <x:f aca="0">G29/G25</x:f>
        <x:v>0.5239336499653259</x:v>
      </x:c>
    </x:row>
    <x:row r="163" ht="15" hidden="0">
      <x:c r="A163" s="33" t="s">
        <x:v>93</x:v>
      </x:c>
      <x:c r="B163" s="33"/>
      <x:c r="C163" s="42" t="n">
        <x:f aca="0">C36/C25</x:f>
        <x:v>0.1355144983011539</x:v>
      </x:c>
      <x:c r="D163" s="42" t="n">
        <x:f aca="0">D36/D25</x:f>
        <x:v>0.25717909019692564</x:v>
      </x:c>
      <x:c r="E163" s="42" t="n">
        <x:f aca="0">E36/E25</x:f>
        <x:v>0.3253359791109746</x:v>
      </x:c>
      <x:c r="F163" s="42" t="n">
        <x:f aca="0">F36/F25</x:f>
        <x:v>0.32086945636587655</x:v>
      </x:c>
      <x:c r="G163" s="42" t="n">
        <x:f aca="0">G36/G25</x:f>
        <x:v>0.285588183982448</x:v>
      </x:c>
    </x:row>
    <x:row r="164" ht="15" hidden="0">
      <x:c r="A164" s="33" t="s">
        <x:v>105</x:v>
      </x:c>
      <x:c r="B164" s="33"/>
      <x:c r="C164" s="42" t="n">
        <x:f aca="0">C48/C25</x:f>
        <x:v>0.18095698340587432</x:v>
      </x:c>
      <x:c r="D164" s="42" t="n">
        <x:f aca="0">D48/D25</x:f>
        <x:v>0.23501939263229576</x:v>
      </x:c>
      <x:c r="E164" s="42" t="n">
        <x:f aca="0">E48/E25</x:f>
        <x:v>0.2051945790351674</x:v>
      </x:c>
      <x:c r="F164" s="42" t="n">
        <x:f aca="0">F48/F25</x:f>
        <x:v>0.1819706073775258</x:v>
      </x:c>
      <x:c r="G164" s="42" t="n">
        <x:f aca="0">G48/G25</x:f>
        <x:v>0.1904781660522259</x:v>
      </x:c>
    </x:row>
    <x:row r="165" ht="15" hidden="0">
      <x:c r="A165" s="33" t="s">
        <x:v>112</x:v>
      </x:c>
      <x:c r="B165" s="33"/>
      <x:c r="C165" s="42" t="n">
        <x:f aca="0">C55/C25</x:f>
        <x:v>0.07541617464065718</x:v>
      </x:c>
      <x:c r="D165" s="42" t="n">
        <x:f aca="0">D55/D25</x:f>
        <x:v>0.29292166480528953</x:v>
      </x:c>
      <x:c r="E165" s="42" t="n">
        <x:f aca="0">E55/E25</x:f>
        <x:v>0.3460456393185616</x:v>
      </x:c>
      <x:c r="F165" s="42" t="n">
        <x:f aca="0">F55/F25</x:f>
        <x:v>0.2978721987605501</x:v>
      </x:c>
      <x:c r="G165" s="42" t="n">
        <x:f aca="0">G55/G25</x:f>
        <x:v>0.25006439887904386</x:v>
      </x:c>
    </x:row>
    <x:row r="166" ht="15" hidden="0">
      <x:c r="A166" s="40" t="s">
        <x:v>241</x:v>
      </x:c>
      <x:c r="B166" s="40"/>
      <x:c r="C166" s="41" t="s">
        <x:v>48</x:v>
      </x:c>
      <x:c r="D166" s="41" t="s">
        <x:v>49</x:v>
      </x:c>
      <x:c r="E166" s="41" t="s">
        <x:v>50</x:v>
      </x:c>
      <x:c r="F166" s="41" t="s">
        <x:v>51</x:v>
      </x:c>
      <x:c r="G166" s="41" t="s">
        <x:v>52</x:v>
      </x:c>
    </x:row>
    <x:row r="167" ht="15" hidden="0">
      <x:c r="A167" s="33" t="s">
        <x:v>120</x:v>
      </x:c>
      <x:c r="B167" s="33"/>
      <x:c r="C167" s="42" t="n">
        <x:f aca="0">C65/C64</x:f>
        <x:v>-0.7501407527454769</x:v>
      </x:c>
      <x:c r="D167" s="42" t="n">
        <x:f aca="0">D65/D64</x:f>
        <x:v>-0.7149209601114744</x:v>
      </x:c>
      <x:c r="E167" s="42" t="n">
        <x:f aca="0">E65/E64</x:f>
        <x:v>-0.7000339595178923</x:v>
      </x:c>
      <x:c r="F167" s="42" t="n">
        <x:f aca="0">F65/F64</x:f>
        <x:v>-0.6791001364977527</x:v>
      </x:c>
      <x:c r="G167" s="42" t="n">
        <x:f aca="0">G65/G64</x:f>
        <x:v>-0.6450915779707095</x:v>
      </x:c>
    </x:row>
    <x:row r="168" ht="15" hidden="0">
      <x:c r="A168" s="33" t="s">
        <x:v>121</x:v>
      </x:c>
      <x:c r="B168" s="33"/>
      <x:c r="C168" s="42" t="n">
        <x:f aca="0">C66/C64</x:f>
        <x:v>0.24985924725452316</x:v>
      </x:c>
      <x:c r="D168" s="42" t="n">
        <x:f aca="0">D66/D64</x:f>
        <x:v>0.28507903988852556</x:v>
      </x:c>
      <x:c r="E168" s="42" t="n">
        <x:f aca="0">E66/E64</x:f>
        <x:v>0.2999660404821077</x:v>
      </x:c>
      <x:c r="F168" s="42" t="n">
        <x:f aca="0">F66/F64</x:f>
        <x:v>0.3208998635022473</x:v>
      </x:c>
      <x:c r="G168" s="42" t="n">
        <x:f aca="0">G66/G64</x:f>
        <x:v>0.3549084220292905</x:v>
      </x:c>
    </x:row>
    <x:row r="169" ht="15" hidden="0">
      <x:c r="A169" s="33" t="s">
        <x:v>242</x:v>
      </x:c>
      <x:c r="B169" s="33"/>
      <x:c r="C169" s="42" t="n">
        <x:f aca="0">(C67+C68+C69+C70)/C64</x:f>
        <x:v>-0.04499934799496607</x:v>
      </x:c>
      <x:c r="D169" s="42" t="n">
        <x:f aca="0">(D67+D68+D69+D70)/D64</x:f>
        <x:v>-0.06842759297133325</x:v>
      </x:c>
      <x:c r="E169" s="42" t="n">
        <x:f aca="0">(E67+E68+E69+E70)/E64</x:f>
        <x:v>-0.0710595713349819</x:v>
      </x:c>
      <x:c r="F169" s="42" t="n">
        <x:f aca="0">(F67+F68+F69+F70)/F64</x:f>
        <x:v>-0.07033749161181237</x:v>
      </x:c>
      <x:c r="G169" s="42" t="n">
        <x:f aca="0">(G67+G68+G69+G70)/G64</x:f>
        <x:v>-0.06861008246653347</x:v>
      </x:c>
    </x:row>
    <x:row r="170" ht="15" hidden="0">
      <x:c r="A170" s="33" t="s">
        <x:v>126</x:v>
      </x:c>
      <x:c r="B170" s="33"/>
      <x:c r="C170" s="42" t="n">
        <x:f aca="0">C71/C64</x:f>
        <x:v>0.20485989925955708</x:v>
      </x:c>
      <x:c r="D170" s="42" t="n">
        <x:f aca="0">D71/D64</x:f>
        <x:v>0.21665144691719232</x:v>
      </x:c>
      <x:c r="E170" s="42" t="n">
        <x:f aca="0">E71/E64</x:f>
        <x:v>0.2289064691471258</x:v>
      </x:c>
      <x:c r="F170" s="42" t="n">
        <x:f aca="0">F71/F64</x:f>
        <x:v>0.25056237189043495</x:v>
      </x:c>
      <x:c r="G170" s="42" t="n">
        <x:f aca="0">G71/G64</x:f>
        <x:v>0.2862983395627571</x:v>
      </x:c>
    </x:row>
    <x:row r="171" ht="15" hidden="0">
      <x:c r="A171" s="33" t="s">
        <x:v>127</x:v>
      </x:c>
      <x:c r="B171" s="33"/>
      <x:c r="C171" s="42" t="n">
        <x:f aca="0">(C72+C73+C74)/C64</x:f>
        <x:v>0.010098435249719987</x:v>
      </x:c>
      <x:c r="D171" s="42" t="n">
        <x:f aca="0">(D72+D73+D74)/D64</x:f>
        <x:v>0.018027263845710344</x:v>
      </x:c>
      <x:c r="E171" s="42" t="n">
        <x:f aca="0">(E72+E73+E74)/E64</x:f>
        <x:v>0.014160205186239512</x:v>
      </x:c>
      <x:c r="F171" s="42" t="n">
        <x:f aca="0">(F72+F73+F74)/F64</x:f>
        <x:v>0.010492697731366216</x:v>
      </x:c>
      <x:c r="G171" s="42" t="n">
        <x:f aca="0">(G72+G73+G74)/G64</x:f>
        <x:v>0.020567429446952893</x:v>
      </x:c>
    </x:row>
    <x:row r="172" ht="15" hidden="0">
      <x:c r="A172" s="33" t="s">
        <x:v>130</x:v>
      </x:c>
      <x:c r="B172" s="33"/>
      <x:c r="C172" s="42" t="n">
        <x:f aca="0">C75/C64</x:f>
        <x:v>-0.004516571743111253</x:v>
      </x:c>
      <x:c r="D172" s="42" t="n">
        <x:f aca="0">D75/D64</x:f>
        <x:v>-0.022152340136494367</x:v>
      </x:c>
      <x:c r="E172" s="42" t="n">
        <x:f aca="0">E75/E64</x:f>
        <x:v>-0.05355227634103735</x:v>
      </x:c>
      <x:c r="F172" s="42" t="n">
        <x:f aca="0">F75/F64</x:f>
        <x:v>-0.06918104572368564</x:v>
      </x:c>
      <x:c r="G172" s="42" t="n">
        <x:f aca="0">G75/G64</x:f>
        <x:v>-0.06488725568798208</x:v>
      </x:c>
    </x:row>
    <x:row r="173" ht="15" hidden="0">
      <x:c r="A173" s="33" t="s">
        <x:v>131</x:v>
      </x:c>
      <x:c r="B173" s="33"/>
      <x:c r="C173" s="42" t="n">
        <x:f aca="0">C76/C64</x:f>
        <x:v>0.21044176276616583</x:v>
      </x:c>
      <x:c r="D173" s="42" t="n">
        <x:f aca="0">D76/D64</x:f>
        <x:v>0.2125263706264083</x:v>
      </x:c>
      <x:c r="E173" s="42" t="n">
        <x:f aca="0">E76/E64</x:f>
        <x:v>0.18951439799232797</x:v>
      </x:c>
      <x:c r="F173" s="42" t="n">
        <x:f aca="0">F76/F64</x:f>
        <x:v>0.19187402389811553</x:v>
      </x:c>
      <x:c r="G173" s="42" t="n">
        <x:f aca="0">G76/G64</x:f>
        <x:v>0.24197851332172784</x:v>
      </x:c>
    </x:row>
    <x:row r="174" ht="15" hidden="0">
      <x:c r="A174" s="33" t="s">
        <x:v>243</x:v>
      </x:c>
      <x:c r="B174" s="33"/>
      <x:c r="C174" s="42" t="n">
        <x:f aca="0">(C77+C78)/C64</x:f>
        <x:v>-0.0674188037427767</x:v>
      </x:c>
      <x:c r="D174" s="42" t="n">
        <x:f aca="0">(D77+D78)/D64</x:f>
        <x:v>-0.08140300858073829</x:v>
      </x:c>
      <x:c r="E174" s="42" t="n">
        <x:f aca="0">(E77+E78)/E64</x:f>
        <x:v>-0.08021868072591098</x:v>
      </x:c>
      <x:c r="F174" s="42" t="n">
        <x:f aca="0">(F77+F78)/F64</x:f>
        <x:v>-0.08911875964262016</x:v>
      </x:c>
      <x:c r="G174" s="42" t="n">
        <x:f aca="0">(G77+G78)/G64</x:f>
        <x:v>-0.09217239722395015</x:v>
      </x:c>
    </x:row>
    <x:row r="175" ht="15" hidden="0">
      <x:c r="A175" s="33" t="s">
        <x:v>134</x:v>
      </x:c>
      <x:c r="B175" s="33"/>
      <x:c r="C175" s="42" t="n">
        <x:f aca="0">C79/C64</x:f>
        <x:v>0.14302295902338913</x:v>
      </x:c>
      <x:c r="D175" s="42" t="n">
        <x:f aca="0">D79/D64</x:f>
        <x:v>0.13112336204567002</x:v>
      </x:c>
      <x:c r="E175" s="42" t="n">
        <x:f aca="0">E79/E64</x:f>
        <x:v>0.10929571726641699</x:v>
      </x:c>
      <x:c r="F175" s="42" t="n">
        <x:f aca="0">F79/F64</x:f>
        <x:v>0.10275526425549537</x:v>
      </x:c>
      <x:c r="G175" s="42" t="n">
        <x:f aca="0">G79/G64</x:f>
        <x:v>0.14980611609777766</x:v>
      </x:c>
    </x:row>
    <x:row r="176" ht="15" hidden="0">
      <x:c r="A176" s="33" t="s">
        <x:v>138</x:v>
      </x:c>
      <x:c r="B176" s="33"/>
      <x:c r="C176" s="42" t="n">
        <x:f aca="0">C83/C64</x:f>
        <x:v>0.28086135530113043</x:v>
      </x:c>
      <x:c r="D176" s="42" t="n">
        <x:f aca="0">D83/D64</x:f>
        <x:v>0.2890661263240804</x:v>
      </x:c>
      <x:c r="E176" s="42" t="n">
        <x:f aca="0">E83/E64</x:f>
        <x:v>0.29668683739017554</x:v>
      </x:c>
      <x:c r="F176" s="42" t="n">
        <x:f aca="0">F83/F64</x:f>
        <x:v>0.3117640834393464</x:v>
      </x:c>
      <x:c r="G176" s="42" t="n">
        <x:f aca="0">G83/G64</x:f>
        <x:v>0.36273294689052354</x:v>
      </x:c>
    </x:row>
    <x:row r="178" ht="19.5" hidden="0" customHeight="1">
      <x:c r="A178" s="5" t="s">
        <x:v>244</x:v>
      </x:c>
      <x:c r="B178" s="6"/>
      <x:c r="C178" s="6"/>
      <x:c r="D178" s="6"/>
      <x:c r="E178" s="6"/>
      <x:c r="F178" s="6"/>
      <x:c r="G178" s="6"/>
    </x:row>
    <x:row r="179" ht="15" hidden="0">
      <x:c r="A179" s="40" t="s">
        <x:v>245</x:v>
      </x:c>
      <x:c r="B179" s="40"/>
      <x:c r="C179" s="41" t="s">
        <x:v>48</x:v>
      </x:c>
      <x:c r="D179" s="41" t="s">
        <x:v>49</x:v>
      </x:c>
      <x:c r="E179" s="41" t="s">
        <x:v>50</x:v>
      </x:c>
      <x:c r="F179" s="41" t="s">
        <x:v>51</x:v>
      </x:c>
      <x:c r="G179" s="41" t="s">
        <x:v>52</x:v>
      </x:c>
    </x:row>
    <x:row r="180" ht="15" hidden="0">
      <x:c r="A180" s="33" t="s">
        <x:v>119</x:v>
      </x:c>
      <x:c r="B180" s="33"/>
      <x:c r="C180" s="38" t="n">
        <x:f aca="0">IF(H64&lt;=0,"n/m",C64/H64-1)</x:f>
        <x:v>0.4085245404271858</x:v>
      </x:c>
      <x:c r="D180" s="38" t="n">
        <x:f aca="0">IF(C64&lt;=0,"n/m",D64/C64-1)</x:f>
        <x:v>1.234867993186187</x:v>
      </x:c>
      <x:c r="E180" s="38" t="n">
        <x:f aca="0">IF(D64&lt;=0,"n/m",E64/D64-1)</x:f>
        <x:v>0.25489250083300896</x:v>
      </x:c>
      <x:c r="F180" s="38" t="n">
        <x:f aca="0">IF(E64&lt;=0,"n/m",F64/E64-1)</x:f>
        <x:v>0.1756584416447935</x:v>
      </x:c>
      <x:c r="G180" s="38" t="n">
        <x:f aca="0">IF(F64&lt;=0,"n/m",G64/F64-1)</x:f>
        <x:v>0.11158969310885669</x:v>
      </x:c>
    </x:row>
    <x:row r="181" ht="15" hidden="0">
      <x:c r="A181" s="33" t="s">
        <x:v>121</x:v>
      </x:c>
      <x:c r="B181" s="33"/>
      <x:c r="C181" s="38" t="n">
        <x:f aca="0">IF(H66&lt;=0,"n/m",C66/H66-1)</x:f>
        <x:v>8.342732443491343</x:v>
      </x:c>
      <x:c r="D181" s="38" t="n">
        <x:f aca="0">IF(C66&lt;=0,"n/m",D66/C66-1)</x:f>
        <x:v>1.5498917041325577</x:v>
      </x:c>
      <x:c r="E181" s="38" t="n">
        <x:f aca="0">IF(D66&lt;=0,"n/m",E66/D66-1)</x:f>
        <x:v>0.3204237493319788</x:v>
      </x:c>
      <x:c r="F181" s="38" t="n">
        <x:f aca="0">IF(E66&lt;=0,"n/m",F66/E66-1)</x:f>
        <x:v>0.25770448162308646</x:v>
      </x:c>
      <x:c r="G181" s="38" t="n">
        <x:f aca="0">IF(F66&lt;=0,"n/m",G66/F66-1)</x:f>
        <x:v>0.22939455199402037</x:v>
      </x:c>
    </x:row>
    <x:row r="182" ht="15" hidden="0">
      <x:c r="A182" s="33" t="s">
        <x:v>126</x:v>
      </x:c>
      <x:c r="B182" s="33"/>
      <x:c r="C182" s="38" t="str">
        <x:f aca="0">IF(H71&lt;=0,"n/m",C71/H71-1)</x:f>
        <x:v>n/m</x:v>
      </x:c>
      <x:c r="D182" s="38" t="n">
        <x:f aca="0">IF(C71&lt;=0,"n/m",D71/C71-1)</x:f>
        <x:v>1.3635049423667094</x:v>
      </x:c>
      <x:c r="E182" s="38" t="n">
        <x:f aca="0">IF(D71&lt;=0,"n/m",E71/D71-1)</x:f>
        <x:v>0.325876266289989</x:v>
      </x:c>
      <x:c r="F182" s="38" t="n">
        <x:f aca="0">IF(E71&lt;=0,"n/m",F71/E71-1)</x:f>
        <x:v>0.28688266770738724</x:v>
      </x:c>
      <x:c r="G182" s="38" t="n">
        <x:f aca="0">IF(F71&lt;=0,"n/m",G71/F71-1)</x:f>
        <x:v>0.2701279965185752</x:v>
      </x:c>
    </x:row>
    <x:row r="183" ht="15" hidden="0">
      <x:c r="A183" s="33" t="s">
        <x:v>138</x:v>
      </x:c>
      <x:c r="B183" s="33"/>
      <x:c r="C183" s="38" t="n">
        <x:f aca="0">IF(H83&lt;=0,"n/m",C83/H83-1)</x:f>
        <x:v>2.8096884343476685</x:v>
      </x:c>
      <x:c r="D183" s="38" t="n">
        <x:f aca="0">IF(C83&lt;=0,"n/m",D83/C83-1)</x:f>
        <x:v>1.3001549392345408</x:v>
      </x:c>
      <x:c r="E183" s="38" t="n">
        <x:f aca="0">IF(D83&lt;=0,"n/m",E83/D83-1)</x:f>
        <x:v>0.2879754956808256</x:v>
      </x:c>
      <x:c r="F183" s="38" t="n">
        <x:f aca="0">IF(E83&lt;=0,"n/m",F83/E83-1)</x:f>
        <x:v>0.2354039017076277</x:v>
      </x:c>
      <x:c r="G183" s="38" t="n">
        <x:f aca="0">IF(F83&lt;=0,"n/m",G83/F83-1)</x:f>
        <x:v>0.2933183343839305</x:v>
      </x:c>
    </x:row>
    <x:row r="184" ht="15" hidden="0">
      <x:c r="A184" s="33" t="s">
        <x:v>134</x:v>
      </x:c>
      <x:c r="B184" s="33"/>
      <x:c r="C184" s="38" t="str">
        <x:f aca="0">IF(H79&lt;=0,"n/m",C79/H79-1)</x:f>
        <x:v>n/m</x:v>
      </x:c>
      <x:c r="D184" s="38" t="n">
        <x:f aca="0">IF(C79&lt;=0,"n/m",D79/C79-1)</x:f>
        <x:v>1.0489256200251726</x:v>
      </x:c>
      <x:c r="E184" s="38" t="n">
        <x:f aca="0">IF(D79&lt;=0,"n/m",E79/D79-1)</x:f>
        <x:v>0.04599496101252254</x:v>
      </x:c>
      <x:c r="F184" s="38" t="n">
        <x:f aca="0">IF(E79&lt;=0,"n/m",F79/E79-1)</x:f>
        <x:v>0.1053049183157162</x:v>
      </x:c>
      <x:c r="G184" s="38" t="n">
        <x:f aca="0">IF(F79&lt;=0,"n/m",G79/F79-1)</x:f>
        <x:v>0.6205781360739651</x:v>
      </x:c>
    </x:row>
    <x:row r="185" ht="15" hidden="0">
      <x:c r="A185" s="33" t="s">
        <x:v>146</x:v>
      </x:c>
      <x:c r="B185" s="33"/>
      <x:c r="C185" s="38" t="n">
        <x:f aca="0">IF(H93&lt;=0,"n/m",C93/H93-1)</x:f>
        <x:v>4.663064693426061</x:v>
      </x:c>
      <x:c r="D185" s="38" t="n">
        <x:f aca="0">IF(C93&lt;=0,"n/m",D93/C93-1)</x:f>
        <x:v>0.31859837880419173</x:v>
      </x:c>
      <x:c r="E185" s="38" t="n">
        <x:f aca="0">IF(D93&lt;=0,"n/m",E93/D93-1)</x:f>
        <x:v>1.118382877237642</x:v>
      </x:c>
      <x:c r="F185" s="38" t="n">
        <x:f aca="0">IF(E93&lt;=0,"n/m",F93/E93-1)</x:f>
        <x:v>0.39009480258184803</x:v>
      </x:c>
      <x:c r="G185" s="38" t="n">
        <x:f aca="0">IF(F93&lt;=0,"n/m",G93/F93-1)</x:f>
        <x:v>0.0910314909300396</x:v>
      </x:c>
    </x:row>
    <x:row r="186" ht="15" hidden="0">
      <x:c r="A186" s="33" t="s">
        <x:v>246</x:v>
      </x:c>
      <x:c r="B186" s="33"/>
      <x:c r="C186" s="38" t="n">
        <x:f aca="0">IF(H25&lt;=0,"n/m",C25/H25-1)</x:f>
        <x:v>0.16585623568624341</x:v>
      </x:c>
      <x:c r="D186" s="38" t="n">
        <x:f aca="0">IF(C25&lt;=0,"n/m",D25/C25-1)</x:f>
        <x:v>2.3389318015609613</x:v>
      </x:c>
      <x:c r="E186" s="38" t="n">
        <x:f aca="0">IF(D25&lt;=0,"n/m",E25/D25-1)</x:f>
        <x:v>0.2210276608284234</x:v>
      </x:c>
      <x:c r="F186" s="38" t="n">
        <x:f aca="0">IF(E25&lt;=0,"n/m",F25/E25-1)</x:f>
        <x:v>0.06344376111771921</x:v>
      </x:c>
      <x:c r="G186" s="38" t="n">
        <x:f aca="0">IF(F25&lt;=0,"n/m",G25/F25-1)</x:f>
        <x:v>0.08946913522940592</x:v>
      </x:c>
    </x:row>
    <x:row r="187" ht="15" hidden="0">
      <x:c r="A187" s="33" t="s">
        <x:v>86</x:v>
      </x:c>
      <x:c r="B187" s="33"/>
      <x:c r="C187" s="38" t="n">
        <x:f aca="0">IF(H29&lt;=0,"n/m",C29/H29-1)</x:f>
        <x:v>0.175282514118132</x:v>
      </x:c>
      <x:c r="D187" s="38" t="n">
        <x:f aca="0">IF(C29&lt;=0,"n/m",D29/C29-1)</x:f>
        <x:v>1.4805323979703955</x:v>
      </x:c>
      <x:c r="E187" s="38" t="n">
        <x:f aca="0">IF(D29&lt;=0,"n/m",E29/D29-1)</x:f>
        <x:v>0.1288567580715938</x:v>
      </x:c>
      <x:c r="F187" s="38" t="n">
        <x:f aca="0">IF(E29&lt;=0,"n/m",F29/E29-1)</x:f>
        <x:v>0.1261683623155656</x:v>
      </x:c>
      <x:c r="G187" s="38" t="n">
        <x:f aca="0">IF(F29&lt;=0,"n/m",G29/F29-1)</x:f>
        <x:v>0.14814066644883406</x:v>
      </x:c>
    </x:row>
    <x:row r="188" ht="15" hidden="0">
      <x:c r="A188" s="33" t="s">
        <x:v>112</x:v>
      </x:c>
      <x:c r="B188" s="33"/>
      <x:c r="C188" s="38" t="n">
        <x:f aca="0">IF(H55&lt;=0,"n/m",C55/H55-1)</x:f>
        <x:v>-0.04948924771975993</x:v>
      </x:c>
      <x:c r="D188" s="38" t="n">
        <x:f aca="0">IF(C55&lt;=0,"n/m",D55/C55-1)</x:f>
        <x:v>11.968643220698349</x:v>
      </x:c>
      <x:c r="E188" s="38" t="n">
        <x:f aca="0">IF(D55&lt;=0,"n/m",E55/D55-1)</x:f>
        <x:v>0.4424719926328562</x:v>
      </x:c>
      <x:c r="F188" s="38" t="n">
        <x:f aca="0">IF(E55&lt;=0,"n/m",F55/E55-1)</x:f>
        <x:v>-0.08459955742799341</x:v>
      </x:c>
      <x:c r="G188" s="38" t="n">
        <x:f aca="0">IF(F55&lt;=0,"n/m",G55/F55-1)</x:f>
        <x:v>-0.08538814453974308</x:v>
      </x:c>
    </x:row>
    <x:row r="189" ht="15" hidden="0">
      <x:c r="A189" s="33" t="s">
        <x:v>240</x:v>
      </x:c>
      <x:c r="B189" s="33"/>
      <x:c r="C189" s="38" t="n">
        <x:f aca="0">IF(H54&lt;=0,"n/m",C54/H54-1)</x:f>
        <x:v>0.15902445925385877</x:v>
      </x:c>
      <x:c r="D189" s="38" t="n">
        <x:f aca="0">IF(C54&lt;=0,"n/m",D54/C54-1)</x:f>
        <x:v>1.874449627496713</x:v>
      </x:c>
      <x:c r="E189" s="38" t="n">
        <x:f aca="0">IF(D54&lt;=0,"n/m",E54/D54-1)</x:f>
        <x:v>-0.03283010382897655</x:v>
      </x:c>
      <x:c r="F189" s="38" t="n">
        <x:f aca="0">IF(E54&lt;=0,"n/m",F54/E54-1)</x:f>
        <x:v>0.09728741506269567</x:v>
      </x:c>
      <x:c r="G189" s="38" t="n">
        <x:f aca="0">IF(F54&lt;=0,"n/m",G54/F54-1)</x:f>
        <x:v>0.18799765107637412</x:v>
      </x:c>
    </x:row>
    <x:row r="190" ht="15" hidden="0">
      <x:c r="A190" s="33" t="s">
        <x:v>77</x:v>
      </x:c>
      <x:c r="B190" s="33"/>
      <x:c r="C190" s="38" t="n">
        <x:f aca="0">IF(H20&lt;=0,"n/m",C20/H20-1)</x:f>
        <x:v>0.37973045001142136</x:v>
      </x:c>
      <x:c r="D190" s="38" t="n">
        <x:f aca="0">IF(C20&lt;=0,"n/m",D20/C20-1)</x:f>
        <x:v>0.664430187637969</x:v>
      </x:c>
      <x:c r="E190" s="38" t="n">
        <x:f aca="0">IF(D20&lt;=0,"n/m",E20/D20-1)</x:f>
        <x:v>0.48064787268346043</x:v>
      </x:c>
      <x:c r="F190" s="38" t="n">
        <x:f aca="0">IF(E20&lt;=0,"n/m",F20/E20-1)</x:f>
        <x:v>0.5522257165610667</x:v>
      </x:c>
      <x:c r="G190" s="38" t="n">
        <x:f aca="0">IF(F20&lt;=0,"n/m",G20/F20-1)</x:f>
        <x:v>0.2463519619796506</x:v>
      </x:c>
    </x:row>
    <x:row r="191" ht="15" hidden="0">
      <x:c r="A191" s="33" t="s">
        <x:v>79</x:v>
      </x:c>
      <x:c r="B191" s="33"/>
      <x:c r="C191" s="38" t="n">
        <x:f aca="0">IF(H22&lt;=0,"n/m",C22/H22-1)</x:f>
        <x:v>0.6051670248443444</x:v>
      </x:c>
      <x:c r="D191" s="38" t="n">
        <x:f aca="0">IF(C22&lt;=0,"n/m",D22/C22-1)</x:f>
        <x:v>1.5607119623259003</x:v>
      </x:c>
      <x:c r="E191" s="38" t="n">
        <x:f aca="0">IF(D22&lt;=0,"n/m",E22/D22-1)</x:f>
        <x:v>-0.5792755067667894</x:v>
      </x:c>
      <x:c r="F191" s="38" t="n">
        <x:f aca="0">IF(E22&lt;=0,"n/m",F22/E22-1)</x:f>
        <x:v>2.0222709506964245</x:v>
      </x:c>
      <x:c r="G191" s="38" t="n">
        <x:f aca="0">IF(F22&lt;=0,"n/m",G22/F22-1)</x:f>
        <x:v>-0.0912538220460799</x:v>
      </x:c>
    </x:row>
    <x:row r="193" ht="15" hidden="0">
      <x:c r="A193" s="15" t="s">
        <x:v>247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5F7F99"/>
  </x:sheetPr>
  <x:sheetViews>
    <x:sheetView showGridLines="0" workbookViewId="0">
      <x:pane xSplit="2" ySplit="4" topLeftCell="C5" activePane="bottomRight" state="frozen"/>
    </x:sheetView>
  </x:sheetViews>
  <x:sheetFormatPr defaultColWidth="8.6796875" defaultRowHeight="15"/>
  <x:cols>
    <x:col min="1" max="2" width="34" hidden="0" customWidth="1"/>
    <x:col min="3" max="7" width="12" hidden="0" customWidth="1"/>
    <x:col min="8" max="8" width="44" hidden="0" customWidth="1"/>
  </x:cols>
  <x:sheetData>
    <x:row r="1" ht="19.700000762939453" hidden="0">
      <x:c r="A1" s="1" t="s">
        <x:v>256</x:v>
      </x:c>
    </x:row>
    <x:row r="2" ht="15" hidden="0">
      <x:c r="A2" s="16" t="s">
        <x:v>257</x:v>
      </x:c>
    </x:row>
    <x:row r="4" ht="15" hidden="0">
      <x:c r="A4" s="40" t="s">
        <x:v>11</x:v>
      </x:c>
      <x:c r="B4" s="40" t="s">
        <x:v>159</x:v>
      </x:c>
      <x:c r="C4" s="41" t="s">
        <x:v>48</x:v>
      </x:c>
      <x:c r="D4" s="41" t="s">
        <x:v>49</x:v>
      </x:c>
      <x:c r="E4" s="41" t="s">
        <x:v>50</x:v>
      </x:c>
      <x:c r="F4" s="41" t="s">
        <x:v>51</x:v>
      </x:c>
      <x:c r="G4" s="41" t="s">
        <x:v>52</x:v>
      </x:c>
    </x:row>
    <x:row r="5" ht="19.5" hidden="0" customHeight="1">
      <x:c r="A5" s="5" t="s">
        <x:v>258</x:v>
      </x:c>
      <x:c r="B5" s="6"/>
      <x:c r="C5" s="6"/>
      <x:c r="D5" s="6"/>
      <x:c r="E5" s="6"/>
      <x:c r="F5" s="6"/>
      <x:c r="G5" s="6"/>
    </x:row>
    <x:row r="6" ht="15" hidden="0">
      <x:c r="A6" s="20" t="s">
        <x:v>161</x:v>
      </x:c>
      <x:c r="B6" s="43" t="s">
        <x:v>162</x:v>
      </x:c>
      <x:c r="C6" s="21"/>
      <x:c r="D6" s="21"/>
      <x:c r="E6" s="21"/>
      <x:c r="F6" s="21"/>
      <x:c r="G6" s="21"/>
    </x:row>
    <x:row r="7" ht="15" hidden="0">
      <x:c r="A7" s="8" t="s">
        <x:v>259</x:v>
      </x:c>
      <x:c r="B7" s="33"/>
      <x:c r="C7" s="44" t="n">
        <x:f aca="0">KOHC!C111</x:f>
        <x:v>1.3006446691414961</x:v>
      </x:c>
      <x:c r="D7" s="44" t="n">
        <x:f aca="0">KOHC!D111</x:f>
        <x:v>1.8735085276109804</x:v>
      </x:c>
      <x:c r="E7" s="44" t="n">
        <x:f aca="0">KOHC!E111</x:f>
        <x:v>2.311570515459215</x:v>
      </x:c>
      <x:c r="F7" s="44" t="n">
        <x:f aca="0">KOHC!F111</x:f>
        <x:v>2.903159053016002</x:v>
      </x:c>
      <x:c r="G7" s="44" t="n">
        <x:f aca="0">KOHC!G111</x:f>
        <x:v>3.311248687172772</x:v>
      </x:c>
    </x:row>
    <x:row r="8" ht="15" hidden="0">
      <x:c r="A8" s="10" t="s">
        <x:v>260</x:v>
      </x:c>
      <x:c r="B8" s="33"/>
      <x:c r="C8" s="45" t="n">
        <x:f aca="0">LUCK!C111</x:f>
        <x:v>1.3386079458938223</x:v>
      </x:c>
      <x:c r="D8" s="45" t="n">
        <x:f aca="0">LUCK!D111</x:f>
        <x:v>1.4760766300374313</x:v>
      </x:c>
      <x:c r="E8" s="45" t="n">
        <x:f aca="0">LUCK!E111</x:f>
        <x:v>1.290071633326858</x:v>
      </x:c>
      <x:c r="F8" s="45" t="n">
        <x:f aca="0">LUCK!F111</x:f>
        <x:v>1.2632222354743232</x:v>
      </x:c>
      <x:c r="G8" s="45" t="n">
        <x:f aca="0">LUCK!G111</x:f>
        <x:v>1.7146143875904156</x:v>
      </x:c>
    </x:row>
    <x:row r="9" ht="15" hidden="0">
      <x:c r="A9" s="10" t="s">
        <x:v>261</x:v>
      </x:c>
      <x:c r="B9" s="33"/>
      <x:c r="C9" s="45" t="n">
        <x:f aca="0">DGKC!C111</x:f>
        <x:v>0.9145250886450902</x:v>
      </x:c>
      <x:c r="D9" s="45" t="n">
        <x:f aca="0">DGKC!D111</x:f>
        <x:v>0.8855287714771004</x:v>
      </x:c>
      <x:c r="E9" s="45" t="n">
        <x:f aca="0">DGKC!E111</x:f>
        <x:v>0.8017674905738562</x:v>
      </x:c>
      <x:c r="F9" s="45" t="n">
        <x:f aca="0">DGKC!F111</x:f>
        <x:v>1.296185931254842</x:v>
      </x:c>
      <x:c r="G9" s="45" t="n">
        <x:f aca="0">DGKC!G111</x:f>
        <x:v>1.8489517932979607</x:v>
      </x:c>
    </x:row>
    <x:row r="10" ht="15" hidden="0">
      <x:c r="A10" s="10" t="s">
        <x:v>262</x:v>
      </x:c>
      <x:c r="B10" s="33"/>
      <x:c r="C10" s="45" t="n">
        <x:f aca="0">MLCF!C111</x:f>
        <x:v>1.4780988568182505</x:v>
      </x:c>
      <x:c r="D10" s="45" t="n">
        <x:f aca="0">MLCF!D111</x:f>
        <x:v>1.2549557408945418</x:v>
      </x:c>
      <x:c r="E10" s="45" t="n">
        <x:f aca="0">MLCF!E111</x:f>
        <x:v>1.3715472215546312</x:v>
      </x:c>
      <x:c r="F10" s="45" t="n">
        <x:f aca="0">MLCF!F111</x:f>
        <x:v>1.444678241512437</x:v>
      </x:c>
      <x:c r="G10" s="45" t="n">
        <x:f aca="0">MLCF!G111</x:f>
        <x:v>1.5324411303645513</x:v>
      </x:c>
    </x:row>
    <x:row r="11" ht="15" hidden="0">
      <x:c r="A11" s="10" t="s">
        <x:v>263</x:v>
      </x:c>
      <x:c r="B11" s="33"/>
      <x:c r="C11" s="45" t="n">
        <x:f aca="0">FCCL!C111</x:f>
        <x:v>2.01862288296847</x:v>
      </x:c>
      <x:c r="D11" s="45" t="n">
        <x:f aca="0">FCCL!D111</x:f>
        <x:v>1.0559688948718087</x:v>
      </x:c>
      <x:c r="E11" s="45" t="n">
        <x:f aca="0">FCCL!E111</x:f>
        <x:v>0.8121113755800701</x:v>
      </x:c>
      <x:c r="F11" s="45" t="n">
        <x:f aca="0">FCCL!F111</x:f>
        <x:v>0.9597477311673009</x:v>
      </x:c>
      <x:c r="G11" s="45" t="n">
        <x:f aca="0">FCCL!G111</x:f>
        <x:v>1.3210140828410366</x:v>
      </x:c>
    </x:row>
    <x:row r="12" ht="15" hidden="0">
      <x:c r="A12" s="46" t="s">
        <x:v>264</x:v>
      </x:c>
      <x:c r="B12" s="47"/>
      <x:c r="C12" s="48" t="n">
        <x:f aca="0">IF(COUNT(C7:C11)=0,"n/m",AVERAGE(C7:C11))</x:f>
        <x:v>1.410099888693426</x:v>
      </x:c>
      <x:c r="D12" s="48" t="n">
        <x:f aca="0">IF(COUNT(D7:D11)=0,"n/m",AVERAGE(D7:D11))</x:f>
        <x:v>1.3092077129783726</x:v>
      </x:c>
      <x:c r="E12" s="48" t="n">
        <x:f aca="0">IF(COUNT(E7:E11)=0,"n/m",AVERAGE(E7:E11))</x:f>
        <x:v>1.3174136472989262</x:v>
      </x:c>
      <x:c r="F12" s="48" t="n">
        <x:f aca="0">IF(COUNT(F7:F11)=0,"n/m",AVERAGE(F7:F11))</x:f>
        <x:v>1.5733986384849812</x:v>
      </x:c>
      <x:c r="G12" s="48" t="n">
        <x:f aca="0">IF(COUNT(G7:G11)=0,"n/m",AVERAGE(G7:G11))</x:f>
        <x:v>1.9456540162533476</x:v>
      </x:c>
    </x:row>
    <x:row r="14" ht="15" hidden="0">
      <x:c r="A14" s="20" t="s">
        <x:v>163</x:v>
      </x:c>
      <x:c r="B14" s="43" t="s">
        <x:v>164</x:v>
      </x:c>
      <x:c r="C14" s="21"/>
      <x:c r="D14" s="21"/>
      <x:c r="E14" s="21"/>
      <x:c r="F14" s="21"/>
      <x:c r="G14" s="21"/>
    </x:row>
    <x:row r="15" ht="15" hidden="0">
      <x:c r="A15" s="8" t="s">
        <x:v>259</x:v>
      </x:c>
      <x:c r="B15" s="33"/>
      <x:c r="C15" s="44" t="n">
        <x:f aca="0">KOHC!C112</x:f>
        <x:v>0.748160438555549</x:v>
      </x:c>
      <x:c r="D15" s="44" t="n">
        <x:f aca="0">KOHC!D112</x:f>
        <x:v>1.2758070110452304</x:v>
      </x:c>
      <x:c r="E15" s="44" t="n">
        <x:f aca="0">KOHC!E112</x:f>
        <x:v>1.5392110300634694</x:v>
      </x:c>
      <x:c r="F15" s="44" t="n">
        <x:f aca="0">KOHC!F112</x:f>
        <x:v>2.220059339921235</x:v>
      </x:c>
      <x:c r="G15" s="44" t="n">
        <x:f aca="0">KOHC!G112</x:f>
        <x:v>2.6677003784340947</x:v>
      </x:c>
    </x:row>
    <x:row r="16" ht="15" hidden="0">
      <x:c r="A16" s="10" t="s">
        <x:v>260</x:v>
      </x:c>
      <x:c r="B16" s="33"/>
      <x:c r="C16" s="45" t="n">
        <x:f aca="0">LUCK!C112</x:f>
        <x:v>0.890008861006851</x:v>
      </x:c>
      <x:c r="D16" s="45" t="n">
        <x:f aca="0">LUCK!D112</x:f>
        <x:v>0.8707609191920863</x:v>
      </x:c>
      <x:c r="E16" s="45" t="n">
        <x:f aca="0">LUCK!E112</x:f>
        <x:v>0.8541222656242641</x:v>
      </x:c>
      <x:c r="F16" s="45" t="n">
        <x:f aca="0">LUCK!F112</x:f>
        <x:v>0.8369831163170072</x:v>
      </x:c>
      <x:c r="G16" s="45" t="n">
        <x:f aca="0">LUCK!G112</x:f>
        <x:v>1.2939267138361998</x:v>
      </x:c>
    </x:row>
    <x:row r="17" ht="15" hidden="0">
      <x:c r="A17" s="10" t="s">
        <x:v>261</x:v>
      </x:c>
      <x:c r="B17" s="33"/>
      <x:c r="C17" s="45" t="n">
        <x:f aca="0">DGKC!C112</x:f>
        <x:v>0.527188307782106</x:v>
      </x:c>
      <x:c r="D17" s="45" t="n">
        <x:f aca="0">DGKC!D112</x:f>
        <x:v>0.3909339078966533</x:v>
      </x:c>
      <x:c r="E17" s="45" t="n">
        <x:f aca="0">DGKC!E112</x:f>
        <x:v>0.3348993616744587</x:v>
      </x:c>
      <x:c r="F17" s="45" t="n">
        <x:f aca="0">DGKC!F112</x:f>
        <x:v>0.6677176492302713</x:v>
      </x:c>
      <x:c r="G17" s="45" t="n">
        <x:f aca="0">DGKC!G112</x:f>
        <x:v>1.0579587679634685</x:v>
      </x:c>
    </x:row>
    <x:row r="18" ht="15" hidden="0">
      <x:c r="A18" s="10" t="s">
        <x:v>262</x:v>
      </x:c>
      <x:c r="B18" s="33"/>
      <x:c r="C18" s="45" t="n">
        <x:f aca="0">MLCF!C112</x:f>
        <x:v>0.439716919103873</x:v>
      </x:c>
      <x:c r="D18" s="45" t="n">
        <x:f aca="0">MLCF!D112</x:f>
        <x:v>0.29473524106223353</x:v>
      </x:c>
      <x:c r="E18" s="45" t="n">
        <x:f aca="0">MLCF!E112</x:f>
        <x:v>0.5204561252187091</x:v>
      </x:c>
      <x:c r="F18" s="45" t="n">
        <x:f aca="0">MLCF!F112</x:f>
        <x:v>0.6094267063846261</x:v>
      </x:c>
      <x:c r="G18" s="45" t="n">
        <x:f aca="0">MLCF!G112</x:f>
        <x:v>0.8078828259550986</x:v>
      </x:c>
    </x:row>
    <x:row r="19" ht="15" hidden="0">
      <x:c r="A19" s="10" t="s">
        <x:v>263</x:v>
      </x:c>
      <x:c r="B19" s="33"/>
      <x:c r="C19" s="45" t="n">
        <x:f aca="0">FCCL!C112</x:f>
        <x:v>1.1357988467684703</x:v>
      </x:c>
      <x:c r="D19" s="45" t="n">
        <x:f aca="0">FCCL!D112</x:f>
        <x:v>0.4707842106056928</x:v>
      </x:c>
      <x:c r="E19" s="45" t="n">
        <x:f aca="0">FCCL!E112</x:f>
        <x:v>0.2812171087331332</x:v>
      </x:c>
      <x:c r="F19" s="45" t="n">
        <x:f aca="0">FCCL!F112</x:f>
        <x:v>0.3420463898878065</x:v>
      </x:c>
      <x:c r="G19" s="45" t="n">
        <x:f aca="0">FCCL!G112</x:f>
        <x:v>0.6775338076736492</x:v>
      </x:c>
    </x:row>
    <x:row r="20" ht="15" hidden="0">
      <x:c r="A20" s="46" t="s">
        <x:v>264</x:v>
      </x:c>
      <x:c r="B20" s="47"/>
      <x:c r="C20" s="48" t="n">
        <x:f aca="0">IF(COUNT(C15:C19)=0,"n/m",AVERAGE(C15:C19))</x:f>
        <x:v>0.74817467464337</x:v>
      </x:c>
      <x:c r="D20" s="48" t="n">
        <x:f aca="0">IF(COUNT(D15:D19)=0,"n/m",AVERAGE(D15:D19))</x:f>
        <x:v>0.6606042579603792</x:v>
      </x:c>
      <x:c r="E20" s="48" t="n">
        <x:f aca="0">IF(COUNT(E15:E19)=0,"n/m",AVERAGE(E15:E19))</x:f>
        <x:v>0.7059811782628069</x:v>
      </x:c>
      <x:c r="F20" s="48" t="n">
        <x:f aca="0">IF(COUNT(F15:F19)=0,"n/m",AVERAGE(F15:F19))</x:f>
        <x:v>0.9352466403481893</x:v>
      </x:c>
      <x:c r="G20" s="48" t="n">
        <x:f aca="0">IF(COUNT(G15:G19)=0,"n/m",AVERAGE(G15:G19))</x:f>
        <x:v>1.3010004987725021</x:v>
      </x:c>
    </x:row>
    <x:row r="22" ht="15" hidden="0">
      <x:c r="A22" s="20" t="s">
        <x:v>165</x:v>
      </x:c>
      <x:c r="B22" s="43" t="s">
        <x:v>166</x:v>
      </x:c>
      <x:c r="C22" s="21"/>
      <x:c r="D22" s="21"/>
      <x:c r="E22" s="21"/>
      <x:c r="F22" s="21"/>
      <x:c r="G22" s="21"/>
    </x:row>
    <x:row r="23" ht="15" hidden="0">
      <x:c r="A23" s="8" t="s">
        <x:v>259</x:v>
      </x:c>
      <x:c r="B23" s="33"/>
      <x:c r="C23" s="44" t="n">
        <x:f aca="0">KOHC!C113</x:f>
        <x:v>0.15817363525137568</x:v>
      </x:c>
      <x:c r="D23" s="44" t="n">
        <x:f aca="0">KOHC!D113</x:f>
        <x:v>0.05067096377572231</x:v>
      </x:c>
      <x:c r="E23" s="44" t="n">
        <x:f aca="0">KOHC!E113</x:f>
        <x:v>0.09417804645207263</x:v>
      </x:c>
      <x:c r="F23" s="44" t="n">
        <x:f aca="0">KOHC!F113</x:f>
        <x:v>0.09937683148978137</x:v>
      </x:c>
      <x:c r="G23" s="44" t="n">
        <x:f aca="0">KOHC!G113</x:f>
        <x:v>0.1243988942257843</x:v>
      </x:c>
    </x:row>
    <x:row r="24" ht="15" hidden="0">
      <x:c r="A24" s="10" t="s">
        <x:v>260</x:v>
      </x:c>
      <x:c r="B24" s="33"/>
      <x:c r="C24" s="45" t="n">
        <x:f aca="0">LUCK!C113</x:f>
        <x:v>0.09298113875159913</x:v>
      </x:c>
      <x:c r="D24" s="45" t="n">
        <x:f aca="0">LUCK!D113</x:f>
        <x:v>0.12750015990720837</x:v>
      </x:c>
      <x:c r="E24" s="45" t="n">
        <x:f aca="0">LUCK!E113</x:f>
        <x:v>0.08913171618062964</x:v>
      </x:c>
      <x:c r="F24" s="45" t="n">
        <x:f aca="0">LUCK!F113</x:f>
        <x:v>0.04737494632853006</x:v>
      </x:c>
      <x:c r="G24" s="45" t="n">
        <x:f aca="0">LUCK!G113</x:f>
        <x:v>0.04758283071188822</x:v>
      </x:c>
    </x:row>
    <x:row r="25" ht="15" hidden="0">
      <x:c r="A25" s="10" t="s">
        <x:v>261</x:v>
      </x:c>
      <x:c r="B25" s="33"/>
      <x:c r="C25" s="45" t="n">
        <x:f aca="0">DGKC!C113</x:f>
        <x:v>0.020011480184397672</x:v>
      </x:c>
      <x:c r="D25" s="45" t="n">
        <x:f aca="0">DGKC!D113</x:f>
        <x:v>0.008913248794490819</x:v>
      </x:c>
      <x:c r="E25" s="45" t="n">
        <x:f aca="0">DGKC!E113</x:f>
        <x:v>0.013866688142092815</x:v>
      </x:c>
      <x:c r="F25" s="45" t="n">
        <x:f aca="0">DGKC!F113</x:f>
        <x:v>0.022719990993528554</x:v>
      </x:c>
      <x:c r="G25" s="45" t="n">
        <x:f aca="0">DGKC!G113</x:f>
        <x:v>0.02195336946739058</x:v>
      </x:c>
    </x:row>
    <x:row r="26" ht="15" hidden="0">
      <x:c r="A26" s="10" t="s">
        <x:v>262</x:v>
      </x:c>
      <x:c r="B26" s="33"/>
      <x:c r="C26" s="45" t="n">
        <x:f aca="0">MLCF!C113</x:f>
        <x:v>0.0428255580531044</x:v>
      </x:c>
      <x:c r="D26" s="45" t="n">
        <x:f aca="0">MLCF!D113</x:f>
        <x:v>0.04900616554000333</x:v>
      </x:c>
      <x:c r="E26" s="45" t="n">
        <x:f aca="0">MLCF!E113</x:f>
        <x:v>0.04568029853307005</x:v>
      </x:c>
      <x:c r="F26" s="45" t="n">
        <x:f aca="0">MLCF!F113</x:f>
        <x:v>0.06094333738399166</x:v>
      </x:c>
      <x:c r="G26" s="45" t="n">
        <x:f aca="0">MLCF!G113</x:f>
        <x:v>0.06924333482737245</x:v>
      </x:c>
    </x:row>
    <x:row r="27" ht="15" hidden="0">
      <x:c r="A27" s="10" t="s">
        <x:v>263</x:v>
      </x:c>
      <x:c r="B27" s="33"/>
      <x:c r="C27" s="45" t="n">
        <x:f aca="0">FCCL!C113</x:f>
        <x:v>0.14618299383526975</x:v>
      </x:c>
      <x:c r="D27" s="45" t="n">
        <x:f aca="0">FCCL!D113</x:f>
        <x:v>0.08632203736853207</x:v>
      </x:c>
      <x:c r="E27" s="45" t="n">
        <x:f aca="0">FCCL!E113</x:f>
        <x:v>0.03406683538776042</x:v>
      </x:c>
      <x:c r="F27" s="45" t="n">
        <x:f aca="0">FCCL!F113</x:f>
        <x:v>0.10917301381732912</x:v>
      </x:c>
      <x:c r="G27" s="45" t="n">
        <x:f aca="0">FCCL!G113</x:f>
        <x:v>0.08699594487108397</x:v>
      </x:c>
    </x:row>
    <x:row r="28" ht="15" hidden="0">
      <x:c r="A28" s="46" t="s">
        <x:v>264</x:v>
      </x:c>
      <x:c r="B28" s="47"/>
      <x:c r="C28" s="48" t="n">
        <x:f aca="0">IF(COUNT(C23:C27)=0,"n/m",AVERAGE(C23:C27))</x:f>
        <x:v>0.09203496121514934</x:v>
      </x:c>
      <x:c r="D28" s="48" t="n">
        <x:f aca="0">IF(COUNT(D23:D27)=0,"n/m",AVERAGE(D23:D27))</x:f>
        <x:v>0.06448251507719138</x:v>
      </x:c>
      <x:c r="E28" s="48" t="n">
        <x:f aca="0">IF(COUNT(E23:E27)=0,"n/m",AVERAGE(E23:E27))</x:f>
        <x:v>0.05538471693912511</x:v>
      </x:c>
      <x:c r="F28" s="48" t="n">
        <x:f aca="0">IF(COUNT(F23:F27)=0,"n/m",AVERAGE(F23:F27))</x:f>
        <x:v>0.06791762400263215</x:v>
      </x:c>
      <x:c r="G28" s="48" t="n">
        <x:f aca="0">IF(COUNT(G23:G27)=0,"n/m",AVERAGE(G23:G27))</x:f>
        <x:v>0.0700348748207039</x:v>
      </x:c>
    </x:row>
    <x:row r="30" ht="15" hidden="0">
      <x:c r="A30" s="20" t="s">
        <x:v>167</x:v>
      </x:c>
      <x:c r="B30" s="43" t="s">
        <x:v>168</x:v>
      </x:c>
      <x:c r="C30" s="21"/>
      <x:c r="D30" s="21"/>
      <x:c r="E30" s="21"/>
      <x:c r="F30" s="21"/>
      <x:c r="G30" s="21"/>
      <x:c r="H30" s="15" t="s">
        <x:v>265</x:v>
      </x:c>
    </x:row>
    <x:row r="31" ht="15" hidden="0">
      <x:c r="A31" s="8" t="s">
        <x:v>259</x:v>
      </x:c>
      <x:c r="B31" s="33"/>
      <x:c r="C31" s="49" t="n">
        <x:f aca="0">KOHC!C114</x:f>
        <x:v>2276.5547739999984</x:v>
      </x:c>
      <x:c r="D31" s="49" t="n">
        <x:f aca="0">KOHC!D114</x:f>
        <x:v>8287.840767999996</x:v>
      </x:c>
      <x:c r="E31" s="49" t="n">
        <x:f aca="0">KOHC!E114</x:f>
        <x:v>13000.905238000001</x:v>
      </x:c>
      <x:c r="F31" s="49" t="n">
        <x:f aca="0">KOHC!F114</x:f>
        <x:v>21116.760542</x:v>
      </x:c>
      <x:c r="G31" s="49" t="n">
        <x:f aca="0">KOHC!G114</x:f>
        <x:v>26953.091383000003</x:v>
      </x:c>
    </x:row>
    <x:row r="32" ht="15" hidden="0">
      <x:c r="A32" s="10" t="s">
        <x:v>260</x:v>
      </x:c>
      <x:c r="B32" s="33"/>
      <x:c r="C32" s="50" t="n">
        <x:f aca="0">LUCK!C114</x:f>
        <x:v>10289.302000000007</x:v>
      </x:c>
      <x:c r="D32" s="50" t="n">
        <x:f aca="0">LUCK!D114</x:f>
        <x:v>14454.333000000006</x:v>
      </x:c>
      <x:c r="E32" s="50" t="n">
        <x:f aca="0">LUCK!E114</x:f>
        <x:v>13395.762999999999</x:v>
      </x:c>
      <x:c r="F32" s="50" t="n">
        <x:f aca="0">LUCK!F114</x:f>
        <x:v>14263.611000000004</x:v>
      </x:c>
      <x:c r="G32" s="50" t="n">
        <x:f aca="0">LUCK!G114</x:f>
        <x:v>41905.97600000001</x:v>
      </x:c>
    </x:row>
    <x:row r="33" ht="15" hidden="0">
      <x:c r="A33" s="10" t="s">
        <x:v>261</x:v>
      </x:c>
      <x:c r="B33" s="33"/>
      <x:c r="C33" s="50" t="n">
        <x:f aca="0">DGKC!C114</x:f>
        <x:v>-3444.255999999994</x:v>
      </x:c>
      <x:c r="D33" s="50" t="n">
        <x:f aca="0">DGKC!D114</x:f>
        <x:v>-5275.868000000002</x:v>
      </x:c>
      <x:c r="E33" s="50" t="n">
        <x:f aca="0">DGKC!E114</x:f>
        <x:v>-9649.123999999996</x:v>
      </x:c>
      <x:c r="F33" s="50" t="n">
        <x:f aca="0">DGKC!F114</x:f>
        <x:v>9544.803999999993</x:v>
      </x:c>
      <x:c r="G33" s="50" t="n">
        <x:f aca="0">DGKC!G114</x:f>
        <x:v>21997.122</x:v>
      </x:c>
    </x:row>
    <x:row r="34" ht="15" hidden="0">
      <x:c r="A34" s="10" t="s">
        <x:v>262</x:v>
      </x:c>
      <x:c r="B34" s="33"/>
      <x:c r="C34" s="50" t="n">
        <x:f aca="0">MLCF!C114</x:f>
        <x:v>5473.968000000003</x:v>
      </x:c>
      <x:c r="D34" s="50" t="n">
        <x:f aca="0">MLCF!D114</x:f>
        <x:v>4128.598000000004</x:v>
      </x:c>
      <x:c r="E34" s="50" t="n">
        <x:f aca="0">MLCF!E114</x:f>
        <x:v>6024.645999999997</x:v>
      </x:c>
      <x:c r="F34" s="50" t="n">
        <x:f aca="0">MLCF!F114</x:f>
        <x:v>8270.037</x:v>
      </x:c>
      <x:c r="G34" s="50" t="n">
        <x:f aca="0">MLCF!G114</x:f>
        <x:v>12422.112999999994</x:v>
      </x:c>
    </x:row>
    <x:row r="35" ht="15" hidden="0">
      <x:c r="A35" s="10" t="s">
        <x:v>263</x:v>
      </x:c>
      <x:c r="B35" s="33"/>
      <x:c r="C35" s="50" t="n">
        <x:f aca="0">FCCL!C114</x:f>
        <x:v>6276.743</x:v>
      </x:c>
      <x:c r="D35" s="50" t="n">
        <x:f aca="0">FCCL!D114</x:f>
        <x:v>1495.559000000001</x:v>
      </x:c>
      <x:c r="E35" s="50" t="n">
        <x:f aca="0">FCCL!E114</x:f>
        <x:v>-5352.356000000003</x:v>
      </x:c>
      <x:c r="F35" s="50" t="n">
        <x:f aca="0">FCCL!F114</x:f>
        <x:v>-1081.3960000000043</x:v>
      </x:c>
      <x:c r="G35" s="50" t="n">
        <x:f aca="0">FCCL!G114</x:f>
        <x:v>9835.068000000007</x:v>
      </x:c>
    </x:row>
    <x:row r="36" ht="15" hidden="0">
      <x:c r="A36" s="46" t="s">
        <x:v>264</x:v>
      </x:c>
      <x:c r="B36" s="47"/>
      <x:c r="C36" s="51" t="n">
        <x:f aca="0">IF(COUNT(C31:C35)=0,"n/m",AVERAGE(C31:C35))</x:f>
        <x:v>4174.462354800004</x:v>
      </x:c>
      <x:c r="D36" s="51" t="n">
        <x:f aca="0">IF(COUNT(D31:D35)=0,"n/m",AVERAGE(D31:D35))</x:f>
        <x:v>4618.092553600001</x:v>
      </x:c>
      <x:c r="E36" s="51" t="n">
        <x:f aca="0">IF(COUNT(E31:E35)=0,"n/m",AVERAGE(E31:E35))</x:f>
        <x:v>3483.9668475999993</x:v>
      </x:c>
      <x:c r="F36" s="51" t="n">
        <x:f aca="0">IF(COUNT(F31:F35)=0,"n/m",AVERAGE(F31:F35))</x:f>
        <x:v>10422.763308399997</x:v>
      </x:c>
      <x:c r="G36" s="51" t="n">
        <x:f aca="0">IF(COUNT(G31:G35)=0,"n/m",AVERAGE(G31:G35))</x:f>
        <x:v>22622.674076600008</x:v>
      </x:c>
    </x:row>
    <x:row r="38" ht="15" hidden="0">
      <x:c r="A38" s="20" t="s">
        <x:v>169</x:v>
      </x:c>
      <x:c r="B38" s="43" t="s">
        <x:v>170</x:v>
      </x:c>
      <x:c r="C38" s="21"/>
      <x:c r="D38" s="21"/>
      <x:c r="E38" s="21"/>
      <x:c r="F38" s="21"/>
      <x:c r="G38" s="21"/>
      <x:c r="H38" s="15" t="s">
        <x:v>265</x:v>
      </x:c>
    </x:row>
    <x:row r="39" ht="15" hidden="0">
      <x:c r="A39" s="8" t="s">
        <x:v>259</x:v>
      </x:c>
      <x:c r="B39" s="33"/>
      <x:c r="C39" s="49" t="n">
        <x:f aca="0">KOHC!C115</x:f>
        <x:v>-106.83863200000178</x:v>
      </x:c>
      <x:c r="D39" s="49" t="n">
        <x:f aca="0">KOHC!D115</x:f>
        <x:v>-1057.2881590000015</x:v>
      </x:c>
      <x:c r="E39" s="49" t="n">
        <x:f aca="0">KOHC!E115</x:f>
        <x:v>1004.8001120000008</x:v>
      </x:c>
      <x:c r="F39" s="49" t="n">
        <x:f aca="0">KOHC!F115</x:f>
        <x:v>949.0612429999965</x:v>
      </x:c>
      <x:c r="G39" s="49" t="n">
        <x:f aca="0">KOHC!G115</x:f>
        <x:v>-555.9981459999999</x:v>
      </x:c>
    </x:row>
    <x:row r="40" ht="15" hidden="0">
      <x:c r="A40" s="10" t="s">
        <x:v>260</x:v>
      </x:c>
      <x:c r="B40" s="33"/>
      <x:c r="C40" s="50" t="n">
        <x:f aca="0">LUCK!C115</x:f>
        <x:v>-1081.9909999999945</x:v>
      </x:c>
      <x:c r="D40" s="50" t="n">
        <x:f aca="0">LUCK!D115</x:f>
        <x:v>-494.2159999999931</x:v>
      </x:c>
      <x:c r="E40" s="50" t="n">
        <x:f aca="0">LUCK!E115</x:f>
        <x:v>-5586.400999999998</x:v>
      </x:c>
      <x:c r="F40" s="50" t="n">
        <x:f aca="0">LUCK!F115</x:f>
        <x:v>-10154.963000000003</x:v>
      </x:c>
      <x:c r="G40" s="50" t="n">
        <x:f aca="0">LUCK!G115</x:f>
        <x:v>-13579.952999999994</x:v>
      </x:c>
    </x:row>
    <x:row r="41" ht="15" hidden="0">
      <x:c r="A41" s="10" t="s">
        <x:v>261</x:v>
      </x:c>
      <x:c r="B41" s="33"/>
      <x:c r="C41" s="50" t="n">
        <x:f aca="0">DGKC!C115</x:f>
        <x:v>8099.147000000006</x:v>
      </x:c>
      <x:c r="D41" s="50" t="n">
        <x:f aca="0">DGKC!D115</x:f>
        <x:v>17790.203999999998</x:v>
      </x:c>
      <x:c r="E41" s="50" t="n">
        <x:f aca="0">DGKC!E115</x:f>
        <x:v>15215.495000000003</x:v>
      </x:c>
      <x:c r="F41" s="50" t="n">
        <x:f aca="0">DGKC!F115</x:f>
        <x:v>10223.228999999994</x:v>
      </x:c>
      <x:c r="G41" s="50" t="n">
        <x:f aca="0">DGKC!G115</x:f>
        <x:v>9579.732</x:v>
      </x:c>
    </x:row>
    <x:row r="42" ht="15" hidden="0">
      <x:c r="A42" s="10" t="s">
        <x:v>262</x:v>
      </x:c>
      <x:c r="B42" s="33"/>
      <x:c r="C42" s="50" t="n">
        <x:f aca="0">MLCF!C115</x:f>
        <x:v>8772.302000000001</x:v>
      </x:c>
      <x:c r="D42" s="50" t="n">
        <x:f aca="0">MLCF!D115</x:f>
        <x:v>10212.653</x:v>
      </x:c>
      <x:c r="E42" s="50" t="n">
        <x:f aca="0">MLCF!E115</x:f>
        <x:v>5291.223999999998</x:v>
      </x:c>
      <x:c r="F42" s="50" t="n">
        <x:f aca="0">MLCF!F115</x:f>
        <x:v>9031.93</x:v>
      </x:c>
      <x:c r="G42" s="50" t="n">
        <x:f aca="0">MLCF!G115</x:f>
        <x:v>4949.648999999998</x:v>
      </x:c>
    </x:row>
    <x:row r="43" ht="15" hidden="0">
      <x:c r="A43" s="10" t="s">
        <x:v>263</x:v>
      </x:c>
      <x:c r="B43" s="33"/>
      <x:c r="C43" s="50" t="n">
        <x:f aca="0">FCCL!C115</x:f>
        <x:v>3035.393000000001</x:v>
      </x:c>
      <x:c r="D43" s="50" t="n">
        <x:f aca="0">FCCL!D115</x:f>
        <x:v>9408.205</x:v>
      </x:c>
      <x:c r="E43" s="50" t="n">
        <x:f aca="0">FCCL!E115</x:f>
        <x:v>10212.416999999998</x:v>
      </x:c>
      <x:c r="F43" s="50" t="n">
        <x:f aca="0">FCCL!F115</x:f>
        <x:v>10303.164999999997</x:v>
      </x:c>
      <x:c r="G43" s="50" t="n">
        <x:f aca="0">FCCL!G115</x:f>
        <x:v>14427.799000000005</x:v>
      </x:c>
    </x:row>
    <x:row r="44" ht="15" hidden="0">
      <x:c r="A44" s="46" t="s">
        <x:v>264</x:v>
      </x:c>
      <x:c r="B44" s="47"/>
      <x:c r="C44" s="51" t="n">
        <x:f aca="0">IF(COUNT(C39:C43)=0,"n/m",AVERAGE(C39:C43))</x:f>
        <x:v>3743.602473600002</x:v>
      </x:c>
      <x:c r="D44" s="51" t="n">
        <x:f aca="0">IF(COUNT(D39:D43)=0,"n/m",AVERAGE(D39:D43))</x:f>
        <x:v>7171.9115682</x:v>
      </x:c>
      <x:c r="E44" s="51" t="n">
        <x:f aca="0">IF(COUNT(E39:E43)=0,"n/m",AVERAGE(E39:E43))</x:f>
        <x:v>5227.5070224</x:v>
      </x:c>
      <x:c r="F44" s="51" t="n">
        <x:f aca="0">IF(COUNT(F39:F43)=0,"n/m",AVERAGE(F39:F43))</x:f>
        <x:v>4070.4844485999974</x:v>
      </x:c>
      <x:c r="G44" s="51" t="n">
        <x:f aca="0">IF(COUNT(G39:G43)=0,"n/m",AVERAGE(G39:G43))</x:f>
        <x:v>2964.2457708000015</x:v>
      </x:c>
    </x:row>
    <x:row r="47" ht="19.5" hidden="0" customHeight="1">
      <x:c r="A47" s="5" t="s">
        <x:v>266</x:v>
      </x:c>
      <x:c r="B47" s="6"/>
      <x:c r="C47" s="6"/>
      <x:c r="D47" s="6"/>
      <x:c r="E47" s="6"/>
      <x:c r="F47" s="6"/>
      <x:c r="G47" s="6"/>
    </x:row>
    <x:row r="48" ht="15" hidden="0">
      <x:c r="A48" s="20" t="s">
        <x:v>172</x:v>
      </x:c>
      <x:c r="B48" s="43" t="s">
        <x:v>173</x:v>
      </x:c>
      <x:c r="C48" s="21"/>
      <x:c r="D48" s="21"/>
      <x:c r="E48" s="21"/>
      <x:c r="F48" s="21"/>
      <x:c r="G48" s="21"/>
    </x:row>
    <x:row r="49" ht="15" hidden="0">
      <x:c r="A49" s="8" t="s">
        <x:v>259</x:v>
      </x:c>
      <x:c r="B49" s="33"/>
      <x:c r="C49" s="44" t="n">
        <x:f aca="0">KOHC!C117</x:f>
        <x:v>4.857098601325517</x:v>
      </x:c>
      <x:c r="D49" s="44" t="n">
        <x:f aca="0">KOHC!D117</x:f>
        <x:v>4.681131721571692</x:v>
      </x:c>
      <x:c r="E49" s="44" t="n">
        <x:f aca="0">KOHC!E117</x:f>
        <x:v>4.275379143771386</x:v>
      </x:c>
      <x:c r="F49" s="44" t="n">
        <x:f aca="0">KOHC!F117</x:f>
        <x:v>3.5957369645110586</x:v>
      </x:c>
      <x:c r="G49" s="44" t="n">
        <x:f aca="0">KOHC!G117</x:f>
        <x:v>3.024880626442934</x:v>
      </x:c>
    </x:row>
    <x:row r="50" ht="15" hidden="0">
      <x:c r="A50" s="10" t="s">
        <x:v>260</x:v>
      </x:c>
      <x:c r="B50" s="33"/>
      <x:c r="C50" s="45" t="n">
        <x:f aca="0">LUCK!C117</x:f>
        <x:v>3.813607312713928</x:v>
      </x:c>
      <x:c r="D50" s="45" t="n">
        <x:f aca="0">LUCK!D117</x:f>
        <x:v>3.657733126059421</x:v>
      </x:c>
      <x:c r="E50" s="45" t="n">
        <x:f aca="0">LUCK!E117</x:f>
        <x:v>3.6234818387767853</x:v>
      </x:c>
      <x:c r="F50" s="45" t="n">
        <x:f aca="0">LUCK!F117</x:f>
        <x:v>3.5401699550948362</x:v>
      </x:c>
      <x:c r="G50" s="45" t="n">
        <x:f aca="0">LUCK!G117</x:f>
        <x:v>3.426094952590027</x:v>
      </x:c>
    </x:row>
    <x:row r="51" ht="15" hidden="0">
      <x:c r="A51" s="10" t="s">
        <x:v>261</x:v>
      </x:c>
      <x:c r="B51" s="33"/>
      <x:c r="C51" s="45" t="n">
        <x:f aca="0">DGKC!C117</x:f>
        <x:v>2.626752753172622</x:v>
      </x:c>
      <x:c r="D51" s="45" t="n">
        <x:f aca="0">DGKC!D117</x:f>
        <x:v>2.479761249901864</x:v>
      </x:c>
      <x:c r="E51" s="45" t="n">
        <x:f aca="0">DGKC!E117</x:f>
        <x:v>2.4352964976956684</x:v>
      </x:c>
      <x:c r="F51" s="45" t="n">
        <x:f aca="0">DGKC!F117</x:f>
        <x:v>2.583201095183174</x:v>
      </x:c>
      <x:c r="G51" s="45" t="n">
        <x:f aca="0">DGKC!G117</x:f>
        <x:v>2.6203448800361673</x:v>
      </x:c>
    </x:row>
    <x:row r="52" ht="15" hidden="0">
      <x:c r="A52" s="10" t="s">
        <x:v>262</x:v>
      </x:c>
      <x:c r="B52" s="33"/>
      <x:c r="C52" s="45" t="n">
        <x:f aca="0">MLCF!C117</x:f>
        <x:v>2.5503561154199565</x:v>
      </x:c>
      <x:c r="D52" s="45" t="n">
        <x:f aca="0">MLCF!D117</x:f>
        <x:v>2.6418827583195736</x:v>
      </x:c>
      <x:c r="E52" s="45" t="n">
        <x:f aca="0">MLCF!E117</x:f>
        <x:v>2.991643999189634</x:v>
      </x:c>
      <x:c r="F52" s="45" t="n">
        <x:f aca="0">MLCF!F117</x:f>
        <x:v>3.101356599565812</x:v>
      </x:c>
      <x:c r="G52" s="45" t="n">
        <x:f aca="0">MLCF!G117</x:f>
        <x:v>2.786573287705566</x:v>
      </x:c>
    </x:row>
    <x:row r="53" ht="15" hidden="0">
      <x:c r="A53" s="10" t="s">
        <x:v>263</x:v>
      </x:c>
      <x:c r="B53" s="33"/>
      <x:c r="C53" s="45" t="n">
        <x:f aca="0">FCCL!C117</x:f>
        <x:v>3.593399445976929</x:v>
      </x:c>
      <x:c r="D53" s="45" t="n">
        <x:f aca="0">FCCL!D117</x:f>
        <x:v>3.679828550986344</x:v>
      </x:c>
      <x:c r="E53" s="45" t="n">
        <x:f aca="0">FCCL!E117</x:f>
        <x:v>3.0981941833220765</x:v>
      </x:c>
      <x:c r="F53" s="45" t="n">
        <x:f aca="0">FCCL!F117</x:f>
        <x:v>3.4267755412065504</x:v>
      </x:c>
      <x:c r="G53" s="45" t="n">
        <x:f aca="0">FCCL!G117</x:f>
        <x:v>3.1608830315846066</x:v>
      </x:c>
    </x:row>
    <x:row r="54" ht="15" hidden="0">
      <x:c r="A54" s="46" t="s">
        <x:v>264</x:v>
      </x:c>
      <x:c r="B54" s="47"/>
      <x:c r="C54" s="48" t="n">
        <x:f aca="0">IF(COUNT(C49:C53)=0,"n/m",AVERAGE(C49:C53))</x:f>
        <x:v>3.4882428457217904</x:v>
      </x:c>
      <x:c r="D54" s="48" t="n">
        <x:f aca="0">IF(COUNT(D49:D53)=0,"n/m",AVERAGE(D49:D53))</x:f>
        <x:v>3.428067481367779</x:v>
      </x:c>
      <x:c r="E54" s="48" t="n">
        <x:f aca="0">IF(COUNT(E49:E53)=0,"n/m",AVERAGE(E49:E53))</x:f>
        <x:v>3.28479913255111</x:v>
      </x:c>
      <x:c r="F54" s="48" t="n">
        <x:f aca="0">IF(COUNT(F49:F53)=0,"n/m",AVERAGE(F49:F53))</x:f>
        <x:v>3.2494480311122858</x:v>
      </x:c>
      <x:c r="G54" s="48" t="n">
        <x:f aca="0">IF(COUNT(G49:G53)=0,"n/m",AVERAGE(G49:G53))</x:f>
        <x:v>3.00375535567186</x:v>
      </x:c>
    </x:row>
    <x:row r="56" ht="15" hidden="0">
      <x:c r="A56" s="20" t="s">
        <x:v>174</x:v>
      </x:c>
      <x:c r="B56" s="43" t="s">
        <x:v>175</x:v>
      </x:c>
      <x:c r="C56" s="21"/>
      <x:c r="D56" s="21"/>
      <x:c r="E56" s="21"/>
      <x:c r="F56" s="21"/>
      <x:c r="G56" s="21"/>
    </x:row>
    <x:row r="57" ht="15" hidden="0">
      <x:c r="A57" s="8" t="s">
        <x:v>259</x:v>
      </x:c>
      <x:c r="B57" s="33"/>
      <x:c r="C57" s="44" t="n">
        <x:f aca="0">KOHC!C118</x:f>
        <x:v>32.55652715218313</x:v>
      </x:c>
      <x:c r="D57" s="44" t="n">
        <x:f aca="0">KOHC!D118</x:f>
        <x:v>34.61446204651397</x:v>
      </x:c>
      <x:c r="E57" s="44" t="n">
        <x:f aca="0">KOHC!E118</x:f>
        <x:v>36.690956476472735</x:v>
      </x:c>
      <x:c r="F57" s="44" t="n">
        <x:f aca="0">KOHC!F118</x:f>
        <x:v>23.311269128267483</x:v>
      </x:c>
      <x:c r="G57" s="44" t="n">
        <x:f aca="0">KOHC!G118</x:f>
        <x:v>19.742821104933064</x:v>
      </x:c>
    </x:row>
    <x:row r="58" ht="15" hidden="0">
      <x:c r="A58" s="10" t="s">
        <x:v>260</x:v>
      </x:c>
      <x:c r="B58" s="33"/>
      <x:c r="C58" s="45" t="n">
        <x:f aca="0">LUCK!C118</x:f>
        <x:v>20.525799758937445</x:v>
      </x:c>
      <x:c r="D58" s="45" t="n">
        <x:f aca="0">LUCK!D118</x:f>
        <x:v>26.020654219821807</x:v>
      </x:c>
      <x:c r="E58" s="45" t="n">
        <x:f aca="0">LUCK!E118</x:f>
        <x:v>22.253946370189343</x:v>
      </x:c>
      <x:c r="F58" s="45" t="n">
        <x:f aca="0">LUCK!F118</x:f>
        <x:v>19.185416979630755</x:v>
      </x:c>
      <x:c r="G58" s="45" t="n">
        <x:f aca="0">LUCK!G118</x:f>
        <x:v>18.743761644592638</x:v>
      </x:c>
    </x:row>
    <x:row r="59" ht="15" hidden="0">
      <x:c r="A59" s="10" t="s">
        <x:v>261</x:v>
      </x:c>
      <x:c r="B59" s="33"/>
      <x:c r="C59" s="45" t="n">
        <x:f aca="0">DGKC!C118</x:f>
        <x:v>22.768270883109405</x:v>
      </x:c>
      <x:c r="D59" s="45" t="n">
        <x:f aca="0">DGKC!D118</x:f>
        <x:v>36.92232039176783</x:v>
      </x:c>
      <x:c r="E59" s="45" t="n">
        <x:f aca="0">DGKC!E118</x:f>
        <x:v>48.836111797909446</x:v>
      </x:c>
      <x:c r="F59" s="45" t="n">
        <x:f aca="0">DGKC!F118</x:f>
        <x:v>64.45370786977438</x:v>
      </x:c>
      <x:c r="G59" s="45" t="n">
        <x:f aca="0">DGKC!G118</x:f>
        <x:v>61.21607937936548</x:v>
      </x:c>
    </x:row>
    <x:row r="60" ht="15" hidden="0">
      <x:c r="A60" s="10" t="s">
        <x:v>262</x:v>
      </x:c>
      <x:c r="B60" s="33"/>
      <x:c r="C60" s="45" t="n">
        <x:f aca="0">MLCF!C118</x:f>
        <x:v>15.020941563038772</x:v>
      </x:c>
      <x:c r="D60" s="45" t="n">
        <x:f aca="0">MLCF!D118</x:f>
        <x:v>25.905344380386534</x:v>
      </x:c>
      <x:c r="E60" s="45" t="n">
        <x:f aca="0">MLCF!E118</x:f>
        <x:v>26.600659453629234</x:v>
      </x:c>
      <x:c r="F60" s="45" t="n">
        <x:f aca="0">MLCF!F118</x:f>
        <x:v>19.574371293114748</x:v>
      </x:c>
      <x:c r="G60" s="45" t="n">
        <x:f aca="0">MLCF!G118</x:f>
        <x:v>15.67064847793373</x:v>
      </x:c>
    </x:row>
    <x:row r="61" ht="15" hidden="0">
      <x:c r="A61" s="10" t="s">
        <x:v>263</x:v>
      </x:c>
      <x:c r="B61" s="33"/>
      <x:c r="C61" s="45" t="n">
        <x:f aca="0">FCCL!C118</x:f>
        <x:v>19.415164144242155</x:v>
      </x:c>
      <x:c r="D61" s="45" t="n">
        <x:f aca="0">FCCL!D118</x:f>
        <x:v>28.088084014998095</x:v>
      </x:c>
      <x:c r="E61" s="45" t="n">
        <x:f aca="0">FCCL!E118</x:f>
        <x:v>22.74585573789227</x:v>
      </x:c>
      <x:c r="F61" s="45" t="n">
        <x:f aca="0">FCCL!F118</x:f>
        <x:v>17.554064923929165</x:v>
      </x:c>
      <x:c r="G61" s="45" t="n">
        <x:f aca="0">FCCL!G118</x:f>
        <x:v>14.28264409693107</x:v>
      </x:c>
    </x:row>
    <x:row r="62" ht="15" hidden="0">
      <x:c r="A62" s="46" t="s">
        <x:v>264</x:v>
      </x:c>
      <x:c r="B62" s="47"/>
      <x:c r="C62" s="48" t="n">
        <x:f aca="0">IF(COUNT(C57:C61)=0,"n/m",AVERAGE(C57:C61))</x:f>
        <x:v>22.057340700302184</x:v>
      </x:c>
      <x:c r="D62" s="48" t="n">
        <x:f aca="0">IF(COUNT(D57:D61)=0,"n/m",AVERAGE(D57:D61))</x:f>
        <x:v>30.31017301069765</x:v>
      </x:c>
      <x:c r="E62" s="48" t="n">
        <x:f aca="0">IF(COUNT(E57:E61)=0,"n/m",AVERAGE(E57:E61))</x:f>
        <x:v>31.4255059672186</x:v>
      </x:c>
      <x:c r="F62" s="48" t="n">
        <x:f aca="0">IF(COUNT(F57:F61)=0,"n/m",AVERAGE(F57:F61))</x:f>
        <x:v>28.81576603894331</x:v>
      </x:c>
      <x:c r="G62" s="48" t="n">
        <x:f aca="0">IF(COUNT(G57:G61)=0,"n/m",AVERAGE(G57:G61))</x:f>
        <x:v>25.931190940751197</x:v>
      </x:c>
    </x:row>
    <x:row r="64" ht="15" hidden="0">
      <x:c r="A64" s="20" t="s">
        <x:v>176</x:v>
      </x:c>
      <x:c r="B64" s="43" t="s">
        <x:v>177</x:v>
      </x:c>
      <x:c r="C64" s="21"/>
      <x:c r="D64" s="21"/>
      <x:c r="E64" s="21"/>
      <x:c r="F64" s="21"/>
      <x:c r="G64" s="21"/>
    </x:row>
    <x:row r="65" ht="15" hidden="0">
      <x:c r="A65" s="8" t="s">
        <x:v>259</x:v>
      </x:c>
      <x:c r="B65" s="33"/>
      <x:c r="C65" s="44" t="n">
        <x:f aca="0">KOHC!C119</x:f>
        <x:v>13.672632178905467</x:v>
      </x:c>
      <x:c r="D65" s="44" t="n">
        <x:f aca="0">KOHC!D119</x:f>
        <x:v>16.26188152658038</x:v>
      </x:c>
      <x:c r="E65" s="44" t="n">
        <x:f aca="0">KOHC!E119</x:f>
        <x:v>29.126311219807445</x:v>
      </x:c>
      <x:c r="F65" s="44" t="n">
        <x:f aca="0">KOHC!F119</x:f>
        <x:v>22.3044994512903</x:v>
      </x:c>
      <x:c r="G65" s="44" t="n">
        <x:f aca="0">KOHC!G119</x:f>
        <x:v>11.733886186566796</x:v>
      </x:c>
    </x:row>
    <x:row r="66" ht="15" hidden="0">
      <x:c r="A66" s="10" t="s">
        <x:v>260</x:v>
      </x:c>
      <x:c r="B66" s="33"/>
      <x:c r="C66" s="45" t="n">
        <x:f aca="0">LUCK!C119</x:f>
        <x:v>16.04782473542995</x:v>
      </x:c>
      <x:c r="D66" s="45" t="n">
        <x:f aca="0">LUCK!D119</x:f>
        <x:v>18.777106060975406</x:v>
      </x:c>
      <x:c r="E66" s="45" t="n">
        <x:f aca="0">LUCK!E119</x:f>
        <x:v>16.644862602259856</x:v>
      </x:c>
      <x:c r="F66" s="45" t="n">
        <x:f aca="0">LUCK!F119</x:f>
        <x:v>12.541557640159668</x:v>
      </x:c>
      <x:c r="G66" s="45" t="n">
        <x:f aca="0">LUCK!G119</x:f>
        <x:v>12.034170742972393</x:v>
      </x:c>
    </x:row>
    <x:row r="67" ht="15" hidden="0">
      <x:c r="A67" s="10" t="s">
        <x:v>261</x:v>
      </x:c>
      <x:c r="B67" s="33"/>
      <x:c r="C67" s="45" t="n">
        <x:f aca="0">DGKC!C119</x:f>
        <x:v>6.330391634867254</x:v>
      </x:c>
      <x:c r="D67" s="45" t="n">
        <x:f aca="0">DGKC!D119</x:f>
        <x:v>8.467367491855711</x:v>
      </x:c>
      <x:c r="E67" s="45" t="n">
        <x:f aca="0">DGKC!E119</x:f>
        <x:v>10.657952462664126</x:v>
      </x:c>
      <x:c r="F67" s="45" t="n">
        <x:f aca="0">DGKC!F119</x:f>
        <x:v>9.58994930634071</x:v>
      </x:c>
      <x:c r="G67" s="45" t="n">
        <x:f aca="0">DGKC!G119</x:f>
        <x:v>11.93424527818953</x:v>
      </x:c>
    </x:row>
    <x:row r="68" ht="15" hidden="0">
      <x:c r="A68" s="10" t="s">
        <x:v>262</x:v>
      </x:c>
      <x:c r="B68" s="33"/>
      <x:c r="C68" s="45" t="n">
        <x:f aca="0">MLCF!C119</x:f>
        <x:v>7.602018186210061</x:v>
      </x:c>
      <x:c r="D68" s="45" t="n">
        <x:f aca="0">MLCF!D119</x:f>
        <x:v>9.676565320005555</x:v>
      </x:c>
      <x:c r="E68" s="45" t="n">
        <x:f aca="0">MLCF!E119</x:f>
        <x:v>10.00035671705504</x:v>
      </x:c>
      <x:c r="F68" s="45" t="n">
        <x:f aca="0">MLCF!F119</x:f>
        <x:v>9.699427349071424</x:v>
      </x:c>
      <x:c r="G68" s="45" t="n">
        <x:f aca="0">MLCF!G119</x:f>
        <x:v>8.654036933716114</x:v>
      </x:c>
    </x:row>
    <x:row r="69" ht="15" hidden="0">
      <x:c r="A69" s="10" t="s">
        <x:v>263</x:v>
      </x:c>
      <x:c r="B69" s="33"/>
      <x:c r="C69" s="45" t="n">
        <x:f aca="0">FCCL!C119</x:f>
        <x:v>29.905586617872185</x:v>
      </x:c>
      <x:c r="D69" s="45" t="n">
        <x:f aca="0">FCCL!D119</x:f>
        <x:v>21.870744516457957</x:v>
      </x:c>
      <x:c r="E69" s="45" t="n">
        <x:f aca="0">FCCL!E119</x:f>
        <x:v>17.959235676951813</x:v>
      </x:c>
      <x:c r="F69" s="45" t="n">
        <x:f aca="0">FCCL!F119</x:f>
        <x:v>20.3161719818632</x:v>
      </x:c>
      <x:c r="G69" s="45" t="n">
        <x:f aca="0">FCCL!G119</x:f>
        <x:v>24.107258331311616</x:v>
      </x:c>
    </x:row>
    <x:row r="70" ht="15" hidden="0">
      <x:c r="A70" s="46" t="s">
        <x:v>264</x:v>
      </x:c>
      <x:c r="B70" s="47"/>
      <x:c r="C70" s="48" t="n">
        <x:f aca="0">IF(COUNT(C65:C69)=0,"n/m",AVERAGE(C65:C69))</x:f>
        <x:v>14.711690670656983</x:v>
      </x:c>
      <x:c r="D70" s="48" t="n">
        <x:f aca="0">IF(COUNT(D65:D69)=0,"n/m",AVERAGE(D65:D69))</x:f>
        <x:v>15.010732983175004</x:v>
      </x:c>
      <x:c r="E70" s="48" t="n">
        <x:f aca="0">IF(COUNT(E65:E69)=0,"n/m",AVERAGE(E65:E69))</x:f>
        <x:v>16.877743735747657</x:v>
      </x:c>
      <x:c r="F70" s="48" t="n">
        <x:f aca="0">IF(COUNT(F65:F69)=0,"n/m",AVERAGE(F65:F69))</x:f>
        <x:v>14.890321145745059</x:v>
      </x:c>
      <x:c r="G70" s="48" t="n">
        <x:f aca="0">IF(COUNT(G65:G69)=0,"n/m",AVERAGE(G65:G69))</x:f>
        <x:v>13.69271949455129</x:v>
      </x:c>
    </x:row>
    <x:row r="72" ht="15" hidden="0">
      <x:c r="A72" s="20" t="s">
        <x:v>178</x:v>
      </x:c>
      <x:c r="B72" s="43" t="s">
        <x:v>179</x:v>
      </x:c>
      <x:c r="C72" s="21"/>
      <x:c r="D72" s="21"/>
      <x:c r="E72" s="21"/>
      <x:c r="F72" s="21"/>
      <x:c r="G72" s="21"/>
    </x:row>
    <x:row r="73" ht="15" hidden="0">
      <x:c r="A73" s="8" t="s">
        <x:v>259</x:v>
      </x:c>
      <x:c r="B73" s="33"/>
      <x:c r="C73" s="52" t="n">
        <x:f aca="0">KOHC!C120</x:f>
        <x:v>75.14774353157878</x:v>
      </x:c>
      <x:c r="D73" s="52" t="n">
        <x:f aca="0">KOHC!D120</x:f>
        <x:v>77.97259759173176</x:v>
      </x:c>
      <x:c r="E73" s="52" t="n">
        <x:f aca="0">KOHC!E120</x:f>
        <x:v>85.37254538740795</x:v>
      </x:c>
      <x:c r="F73" s="52" t="n">
        <x:f aca="0">KOHC!F120</x:f>
        <x:v>101.50909357454404</x:v>
      </x:c>
      <x:c r="G73" s="52" t="n">
        <x:f aca="0">KOHC!G120</x:f>
        <x:v>120.66591878345184</x:v>
      </x:c>
    </x:row>
    <x:row r="74" ht="15" hidden="0">
      <x:c r="A74" s="10" t="s">
        <x:v>260</x:v>
      </x:c>
      <x:c r="B74" s="33"/>
      <x:c r="C74" s="53" t="n">
        <x:f aca="0">LUCK!C120</x:f>
        <x:v>95.70990667632485</x:v>
      </x:c>
      <x:c r="D74" s="53" t="n">
        <x:f aca="0">LUCK!D120</x:f>
        <x:v>99.78858145761573</x:v>
      </x:c>
      <x:c r="E74" s="53" t="n">
        <x:f aca="0">LUCK!E120</x:f>
        <x:v>100.73184197970664</x:v>
      </x:c>
      <x:c r="F74" s="53" t="n">
        <x:f aca="0">LUCK!F120</x:f>
        <x:v>103.10239469568691</x:v>
      </x:c>
      <x:c r="G74" s="53" t="n">
        <x:f aca="0">LUCK!G120</x:f>
        <x:v>106.53528435458881</x:v>
      </x:c>
    </x:row>
    <x:row r="75" ht="15" hidden="0">
      <x:c r="A75" s="10" t="s">
        <x:v>261</x:v>
      </x:c>
      <x:c r="B75" s="33"/>
      <x:c r="C75" s="53" t="n">
        <x:f aca="0">DGKC!C120</x:f>
        <x:v>138.9548367501086</x:v>
      </x:c>
      <x:c r="D75" s="53" t="n">
        <x:f aca="0">DGKC!D120</x:f>
        <x:v>147.19158951872677</x:v>
      </x:c>
      <x:c r="E75" s="53" t="n">
        <x:f aca="0">DGKC!E120</x:f>
        <x:v>149.87908057411946</x:v>
      </x:c>
      <x:c r="F75" s="53" t="n">
        <x:f aca="0">DGKC!F120</x:f>
        <x:v>141.2975554557505</x:v>
      </x:c>
      <x:c r="G75" s="53" t="n">
        <x:f aca="0">DGKC!G120</x:f>
        <x:v>139.29464124392743</x:v>
      </x:c>
    </x:row>
    <x:row r="76" ht="15" hidden="0">
      <x:c r="A76" s="10" t="s">
        <x:v>262</x:v>
      </x:c>
      <x:c r="B76" s="33"/>
      <x:c r="C76" s="53" t="n">
        <x:f aca="0">MLCF!C120</x:f>
        <x:v>143.11726813096334</x:v>
      </x:c>
      <x:c r="D76" s="53" t="n">
        <x:f aca="0">MLCF!D120</x:f>
        <x:v>138.1590454196257</x:v>
      </x:c>
      <x:c r="E76" s="53" t="n">
        <x:f aca="0">MLCF!E120</x:f>
        <x:v>122.0064954583065</x:v>
      </x:c>
      <x:c r="F76" s="53" t="n">
        <x:f aca="0">MLCF!F120</x:f>
        <x:v>117.69043264844157</x:v>
      </x:c>
      <x:c r="G76" s="53" t="n">
        <x:f aca="0">MLCF!G120</x:f>
        <x:v>130.98525045452405</x:v>
      </x:c>
    </x:row>
    <x:row r="77" ht="15" hidden="0">
      <x:c r="A77" s="10" t="s">
        <x:v>263</x:v>
      </x:c>
      <x:c r="B77" s="33"/>
      <x:c r="C77" s="53" t="n">
        <x:f aca="0">FCCL!C120</x:f>
        <x:v>101.57512558439446</x:v>
      </x:c>
      <x:c r="D77" s="53" t="n">
        <x:f aca="0">FCCL!D120</x:f>
        <x:v>99.18940378408801</x:v>
      </x:c>
      <x:c r="E77" s="53" t="n">
        <x:f aca="0">FCCL!E120</x:f>
        <x:v>117.81056267061489</x:v>
      </x:c>
      <x:c r="F77" s="53" t="n">
        <x:f aca="0">FCCL!F120</x:f>
        <x:v>106.51412548353994</x:v>
      </x:c>
      <x:c r="G77" s="53" t="n">
        <x:f aca="0">FCCL!G120</x:f>
        <x:v>115.47406099903009</x:v>
      </x:c>
    </x:row>
    <x:row r="78" ht="15" hidden="0">
      <x:c r="A78" s="46" t="s">
        <x:v>264</x:v>
      </x:c>
      <x:c r="B78" s="47"/>
      <x:c r="C78" s="54" t="n">
        <x:f aca="0">IF(COUNT(C73:C77)=0,"n/m",AVERAGE(C73:C77))</x:f>
        <x:v>110.90097613467401</x:v>
      </x:c>
      <x:c r="D78" s="54" t="n">
        <x:f aca="0">IF(COUNT(D73:D77)=0,"n/m",AVERAGE(D73:D77))</x:f>
        <x:v>112.46024355435759</x:v>
      </x:c>
      <x:c r="E78" s="54" t="n">
        <x:f aca="0">IF(COUNT(E73:E77)=0,"n/m",AVERAGE(E73:E77))</x:f>
        <x:v>115.16010521403109</x:v>
      </x:c>
      <x:c r="F78" s="54" t="n">
        <x:f aca="0">IF(COUNT(F73:F77)=0,"n/m",AVERAGE(F73:F77))</x:f>
        <x:v>114.0227203715926</x:v>
      </x:c>
      <x:c r="G78" s="54" t="n">
        <x:f aca="0">IF(COUNT(G73:G77)=0,"n/m",AVERAGE(G73:G77))</x:f>
        <x:v>122.59103116710443</x:v>
      </x:c>
    </x:row>
    <x:row r="80" ht="15" hidden="0">
      <x:c r="A80" s="20" t="s">
        <x:v>180</x:v>
      </x:c>
      <x:c r="B80" s="43" t="s">
        <x:v>181</x:v>
      </x:c>
      <x:c r="C80" s="21"/>
      <x:c r="D80" s="21"/>
      <x:c r="E80" s="21"/>
      <x:c r="F80" s="21"/>
      <x:c r="G80" s="21"/>
    </x:row>
    <x:row r="81" ht="15" hidden="0">
      <x:c r="A81" s="8" t="s">
        <x:v>259</x:v>
      </x:c>
      <x:c r="B81" s="33"/>
      <x:c r="C81" s="52" t="n">
        <x:f aca="0">KOHC!C121</x:f>
        <x:v>11.21126950346497</x:v>
      </x:c>
      <x:c r="D81" s="52" t="n">
        <x:f aca="0">KOHC!D121</x:f>
        <x:v>10.544725482358297</x:v>
      </x:c>
      <x:c r="E81" s="52" t="n">
        <x:f aca="0">KOHC!E121</x:f>
        <x:v>9.947955437848783</x:v>
      </x:c>
      <x:c r="F81" s="52" t="n">
        <x:f aca="0">KOHC!F121</x:f>
        <x:v>15.65766316675557</x:v>
      </x:c>
      <x:c r="G81" s="52" t="n">
        <x:f aca="0">KOHC!G121</x:f>
        <x:v>18.487732733839078</x:v>
      </x:c>
    </x:row>
    <x:row r="82" ht="15" hidden="0">
      <x:c r="A82" s="10" t="s">
        <x:v>260</x:v>
      </x:c>
      <x:c r="B82" s="33"/>
      <x:c r="C82" s="53" t="n">
        <x:f aca="0">LUCK!C121</x:f>
        <x:v>17.782498333156052</x:v>
      </x:c>
      <x:c r="D82" s="53" t="n">
        <x:f aca="0">LUCK!D121</x:f>
        <x:v>14.027318333985361</x:v>
      </x:c>
      <x:c r="E82" s="53" t="n">
        <x:f aca="0">LUCK!E121</x:f>
        <x:v>16.40158531562483</x:v>
      </x:c>
      <x:c r="F82" s="53" t="n">
        <x:f aca="0">LUCK!F121</x:f>
        <x:v>19.024866667611246</x:v>
      </x:c>
      <x:c r="G82" s="53" t="n">
        <x:f aca="0">LUCK!G121</x:f>
        <x:v>19.473145621508603</x:v>
      </x:c>
    </x:row>
    <x:row r="83" ht="15" hidden="0">
      <x:c r="A83" s="10" t="s">
        <x:v>261</x:v>
      </x:c>
      <x:c r="B83" s="33"/>
      <x:c r="C83" s="53" t="n">
        <x:f aca="0">DGKC!C121</x:f>
        <x:v>16.031081230273596</x:v>
      </x:c>
      <x:c r="D83" s="53" t="n">
        <x:f aca="0">DGKC!D121</x:f>
        <x:v>9.88561921697045</x:v>
      </x:c>
      <x:c r="E83" s="53" t="n">
        <x:f aca="0">DGKC!E121</x:f>
        <x:v>7.473977484334139</x:v>
      </x:c>
      <x:c r="F83" s="53" t="n">
        <x:f aca="0">DGKC!F121</x:f>
        <x:v>5.662979090938647</x:v>
      </x:c>
      <x:c r="G83" s="53" t="n">
        <x:f aca="0">DGKC!G121</x:f>
        <x:v>5.962485734149009</x:v>
      </x:c>
    </x:row>
    <x:row r="84" ht="15" hidden="0">
      <x:c r="A84" s="10" t="s">
        <x:v>262</x:v>
      </x:c>
      <x:c r="B84" s="33"/>
      <x:c r="C84" s="53" t="n">
        <x:f aca="0">MLCF!C121</x:f>
        <x:v>24.299408826550263</x:v>
      </x:c>
      <x:c r="D84" s="53" t="n">
        <x:f aca="0">MLCF!D121</x:f>
        <x:v>14.089756717395696</x:v>
      </x:c>
      <x:c r="E84" s="53" t="n">
        <x:f aca="0">MLCF!E121</x:f>
        <x:v>13.721464335734789</x:v>
      </x:c>
      <x:c r="F84" s="53" t="n">
        <x:f aca="0">MLCF!F121</x:f>
        <x:v>18.64683133544055</x:v>
      </x:c>
      <x:c r="G84" s="53" t="n">
        <x:f aca="0">MLCF!G121</x:f>
        <x:v>23.29195250049585</x:v>
      </x:c>
    </x:row>
    <x:row r="85" ht="15" hidden="0">
      <x:c r="A85" s="10" t="s">
        <x:v>263</x:v>
      </x:c>
      <x:c r="B85" s="33"/>
      <x:c r="C85" s="53" t="n">
        <x:f aca="0">FCCL!C121</x:f>
        <x:v>18.799738044359824</x:v>
      </x:c>
      <x:c r="D85" s="53" t="n">
        <x:f aca="0">FCCL!D121</x:f>
        <x:v>12.994834386179642</x:v>
      </x:c>
      <x:c r="E85" s="53" t="n">
        <x:f aca="0">FCCL!E121</x:f>
        <x:v>16.04687922960609</x:v>
      </x:c>
      <x:c r="F85" s="53" t="n">
        <x:f aca="0">FCCL!F121</x:f>
        <x:v>20.792904753499183</x:v>
      </x:c>
      <x:c r="G85" s="53" t="n">
        <x:f aca="0">FCCL!G121</x:f>
        <x:v>25.55549221298793</x:v>
      </x:c>
    </x:row>
    <x:row r="86" ht="15" hidden="0">
      <x:c r="A86" s="46" t="s">
        <x:v>264</x:v>
      </x:c>
      <x:c r="B86" s="47"/>
      <x:c r="C86" s="54" t="n">
        <x:f aca="0">IF(COUNT(C81:C85)=0,"n/m",AVERAGE(C81:C85))</x:f>
        <x:v>17.624799187560942</x:v>
      </x:c>
      <x:c r="D86" s="54" t="n">
        <x:f aca="0">IF(COUNT(D81:D85)=0,"n/m",AVERAGE(D81:D85))</x:f>
        <x:v>12.308450827377888</x:v>
      </x:c>
      <x:c r="E86" s="54" t="n">
        <x:f aca="0">IF(COUNT(E81:E85)=0,"n/m",AVERAGE(E81:E85))</x:f>
        <x:v>12.718372360629726</x:v>
      </x:c>
      <x:c r="F86" s="54" t="n">
        <x:f aca="0">IF(COUNT(F81:F85)=0,"n/m",AVERAGE(F81:F85))</x:f>
        <x:v>15.957049002849041</x:v>
      </x:c>
      <x:c r="G86" s="54" t="n">
        <x:f aca="0">IF(COUNT(G81:G85)=0,"n/m",AVERAGE(G81:G85))</x:f>
        <x:v>18.554161760596095</x:v>
      </x:c>
    </x:row>
    <x:row r="88" ht="15" hidden="0">
      <x:c r="A88" s="20" t="s">
        <x:v>182</x:v>
      </x:c>
      <x:c r="B88" s="43" t="s">
        <x:v>183</x:v>
      </x:c>
      <x:c r="C88" s="21"/>
      <x:c r="D88" s="21"/>
      <x:c r="E88" s="21"/>
      <x:c r="F88" s="21"/>
      <x:c r="G88" s="21"/>
    </x:row>
    <x:row r="89" ht="15" hidden="0">
      <x:c r="A89" s="8" t="s">
        <x:v>259</x:v>
      </x:c>
      <x:c r="B89" s="33"/>
      <x:c r="C89" s="52" t="n">
        <x:f aca="0">KOHC!C122</x:f>
        <x:v>26.695664391757177</x:v>
      </x:c>
      <x:c r="D89" s="52" t="n">
        <x:f aca="0">KOHC!D122</x:f>
        <x:v>22.44512723840719</x:v>
      </x:c>
      <x:c r="E89" s="52" t="n">
        <x:f aca="0">KOHC!E122</x:f>
        <x:v>12.531624662163898</x:v>
      </x:c>
      <x:c r="F89" s="52" t="n">
        <x:f aca="0">KOHC!F122</x:f>
        <x:v>16.36441117170576</x:v>
      </x:c>
      <x:c r="G89" s="52" t="n">
        <x:f aca="0">KOHC!G122</x:f>
        <x:v>31.10648886452127</x:v>
      </x:c>
    </x:row>
    <x:row r="90" ht="15" hidden="0">
      <x:c r="A90" s="10" t="s">
        <x:v>260</x:v>
      </x:c>
      <x:c r="B90" s="33"/>
      <x:c r="C90" s="53" t="n">
        <x:f aca="0">LUCK!C122</x:f>
        <x:v>22.744515597441875</x:v>
      </x:c>
      <x:c r="D90" s="53" t="n">
        <x:f aca="0">LUCK!D122</x:f>
        <x:v>19.438565176908817</x:v>
      </x:c>
      <x:c r="E90" s="53" t="n">
        <x:f aca="0">LUCK!E122</x:f>
        <x:v>21.928688071624233</x:v>
      </x:c>
      <x:c r="F90" s="53" t="n">
        <x:f aca="0">LUCK!F122</x:f>
        <x:v>29.103243031888113</x:v>
      </x:c>
      <x:c r="G90" s="53" t="n">
        <x:f aca="0">LUCK!G122</x:f>
        <x:v>30.3302992616379</x:v>
      </x:c>
    </x:row>
    <x:row r="91" ht="15" hidden="0">
      <x:c r="A91" s="10" t="s">
        <x:v>261</x:v>
      </x:c>
      <x:c r="B91" s="33"/>
      <x:c r="C91" s="53" t="n">
        <x:f aca="0">DGKC!C122</x:f>
        <x:v>57.65836002777637</x:v>
      </x:c>
      <x:c r="D91" s="53" t="n">
        <x:f aca="0">DGKC!D122</x:f>
        <x:v>43.10666808203059</x:v>
      </x:c>
      <x:c r="E91" s="53" t="n">
        <x:f aca="0">DGKC!E122</x:f>
        <x:v>34.24672809140701</x:v>
      </x:c>
      <x:c r="F91" s="53" t="n">
        <x:f aca="0">DGKC!F122</x:f>
        <x:v>38.06068085872657</x:v>
      </x:c>
      <x:c r="G91" s="53" t="n">
        <x:f aca="0">DGKC!G122</x:f>
        <x:v>30.584254931231968</x:v>
      </x:c>
    </x:row>
    <x:row r="92" ht="15" hidden="0">
      <x:c r="A92" s="10" t="s">
        <x:v>262</x:v>
      </x:c>
      <x:c r="B92" s="33"/>
      <x:c r="C92" s="53" t="n">
        <x:f aca="0">MLCF!C122</x:f>
        <x:v>48.013565747856816</x:v>
      </x:c>
      <x:c r="D92" s="53" t="n">
        <x:f aca="0">MLCF!D122</x:f>
        <x:v>37.71999546630358</x:v>
      </x:c>
      <x:c r="E92" s="53" t="n">
        <x:f aca="0">MLCF!E122</x:f>
        <x:v>36.498698029192624</x:v>
      </x:c>
      <x:c r="F92" s="53" t="n">
        <x:f aca="0">MLCF!F122</x:f>
        <x:v>37.63108757497352</x:v>
      </x:c>
      <x:c r="G92" s="53" t="n">
        <x:f aca="0">MLCF!G122</x:f>
        <x:v>42.1768479607431</x:v>
      </x:c>
    </x:row>
    <x:row r="93" ht="15" hidden="0">
      <x:c r="A93" s="10" t="s">
        <x:v>263</x:v>
      </x:c>
      <x:c r="B93" s="33"/>
      <x:c r="C93" s="53" t="n">
        <x:f aca="0">FCCL!C122</x:f>
        <x:v>12.205077421282503</x:v>
      </x:c>
      <x:c r="D93" s="53" t="n">
        <x:f aca="0">FCCL!D122</x:f>
        <x:v>16.688960895928066</x:v>
      </x:c>
      <x:c r="E93" s="53" t="n">
        <x:f aca="0">FCCL!E122</x:f>
        <x:v>20.323804785769745</x:v>
      </x:c>
      <x:c r="F93" s="53" t="n">
        <x:f aca="0">FCCL!F122</x:f>
        <x:v>17.965982977789587</x:v>
      </x:c>
      <x:c r="G93" s="53" t="n">
        <x:f aca="0">FCCL!G122</x:f>
        <x:v>15.14066821634052</x:v>
      </x:c>
    </x:row>
    <x:row r="94" ht="15" hidden="0">
      <x:c r="A94" s="46" t="s">
        <x:v>264</x:v>
      </x:c>
      <x:c r="B94" s="47"/>
      <x:c r="C94" s="54" t="n">
        <x:f aca="0">IF(COUNT(C89:C93)=0,"n/m",AVERAGE(C89:C93))</x:f>
        <x:v>33.46343663722295</x:v>
      </x:c>
      <x:c r="D94" s="54" t="n">
        <x:f aca="0">IF(COUNT(D89:D93)=0,"n/m",AVERAGE(D89:D93))</x:f>
        <x:v>27.879863371915643</x:v>
      </x:c>
      <x:c r="E94" s="54" t="n">
        <x:f aca="0">IF(COUNT(E89:E93)=0,"n/m",AVERAGE(E89:E93))</x:f>
        <x:v>25.1059087280315</x:v>
      </x:c>
      <x:c r="F94" s="54" t="n">
        <x:f aca="0">IF(COUNT(F89:F93)=0,"n/m",AVERAGE(F89:F93))</x:f>
        <x:v>27.825081123016712</x:v>
      </x:c>
      <x:c r="G94" s="54" t="n">
        <x:f aca="0">IF(COUNT(G89:G93)=0,"n/m",AVERAGE(G89:G93))</x:f>
        <x:v>29.867711846894952</x:v>
      </x:c>
    </x:row>
    <x:row r="96" ht="15" hidden="0">
      <x:c r="A96" s="20" t="s">
        <x:v>184</x:v>
      </x:c>
      <x:c r="B96" s="43" t="s">
        <x:v>185</x:v>
      </x:c>
      <x:c r="C96" s="21"/>
      <x:c r="D96" s="21"/>
      <x:c r="E96" s="21"/>
      <x:c r="F96" s="21"/>
      <x:c r="G96" s="21"/>
    </x:row>
    <x:row r="97" ht="15" hidden="0">
      <x:c r="A97" s="8" t="s">
        <x:v>259</x:v>
      </x:c>
      <x:c r="B97" s="33"/>
      <x:c r="C97" s="52" t="n">
        <x:f aca="0">KOHC!C123</x:f>
        <x:v>86.35901303504376</x:v>
      </x:c>
      <x:c r="D97" s="52" t="n">
        <x:f aca="0">KOHC!D123</x:f>
        <x:v>88.51732307409006</x:v>
      </x:c>
      <x:c r="E97" s="52" t="n">
        <x:f aca="0">KOHC!E123</x:f>
        <x:v>95.32050082525674</x:v>
      </x:c>
      <x:c r="F97" s="52" t="n">
        <x:f aca="0">KOHC!F123</x:f>
        <x:v>117.16675674129961</x:v>
      </x:c>
      <x:c r="G97" s="52" t="n">
        <x:f aca="0">KOHC!G123</x:f>
        <x:v>139.1536515172909</x:v>
      </x:c>
    </x:row>
    <x:row r="98" ht="15" hidden="0">
      <x:c r="A98" s="10" t="s">
        <x:v>260</x:v>
      </x:c>
      <x:c r="B98" s="33"/>
      <x:c r="C98" s="53" t="n">
        <x:f aca="0">LUCK!C123</x:f>
        <x:v>113.4924050094809</x:v>
      </x:c>
      <x:c r="D98" s="53" t="n">
        <x:f aca="0">LUCK!D123</x:f>
        <x:v>113.8158997916011</x:v>
      </x:c>
      <x:c r="E98" s="53" t="n">
        <x:f aca="0">LUCK!E123</x:f>
        <x:v>117.13342729533147</x:v>
      </x:c>
      <x:c r="F98" s="53" t="n">
        <x:f aca="0">LUCK!F123</x:f>
        <x:v>122.12726136329816</x:v>
      </x:c>
      <x:c r="G98" s="53" t="n">
        <x:f aca="0">LUCK!G123</x:f>
        <x:v>126.00842997609742</x:v>
      </x:c>
    </x:row>
    <x:row r="99" ht="15" hidden="0">
      <x:c r="A99" s="10" t="s">
        <x:v>261</x:v>
      </x:c>
      <x:c r="B99" s="33"/>
      <x:c r="C99" s="53" t="n">
        <x:f aca="0">DGKC!C123</x:f>
        <x:v>154.9859179803822</x:v>
      </x:c>
      <x:c r="D99" s="53" t="n">
        <x:f aca="0">DGKC!D123</x:f>
        <x:v>157.0772087356972</x:v>
      </x:c>
      <x:c r="E99" s="53" t="n">
        <x:f aca="0">DGKC!E123</x:f>
        <x:v>157.3530580584536</x:v>
      </x:c>
      <x:c r="F99" s="53" t="n">
        <x:f aca="0">DGKC!F123</x:f>
        <x:v>146.96053454668916</x:v>
      </x:c>
      <x:c r="G99" s="53" t="n">
        <x:f aca="0">DGKC!G123</x:f>
        <x:v>145.25712697807643</x:v>
      </x:c>
    </x:row>
    <x:row r="100" ht="15" hidden="0">
      <x:c r="A100" s="10" t="s">
        <x:v>262</x:v>
      </x:c>
      <x:c r="B100" s="33"/>
      <x:c r="C100" s="53" t="n">
        <x:f aca="0">MLCF!C123</x:f>
        <x:v>167.4166769575136</x:v>
      </x:c>
      <x:c r="D100" s="53" t="n">
        <x:f aca="0">MLCF!D123</x:f>
        <x:v>152.24880213702139</x:v>
      </x:c>
      <x:c r="E100" s="53" t="n">
        <x:f aca="0">MLCF!E123</x:f>
        <x:v>135.72795979404128</x:v>
      </x:c>
      <x:c r="F100" s="53" t="n">
        <x:f aca="0">MLCF!F123</x:f>
        <x:v>136.3372639838821</x:v>
      </x:c>
      <x:c r="G100" s="53" t="n">
        <x:f aca="0">MLCF!G123</x:f>
        <x:v>154.2772029550199</x:v>
      </x:c>
    </x:row>
    <x:row r="101" ht="15" hidden="0">
      <x:c r="A101" s="10" t="s">
        <x:v>263</x:v>
      </x:c>
      <x:c r="B101" s="33"/>
      <x:c r="C101" s="53" t="n">
        <x:f aca="0">FCCL!C123</x:f>
        <x:v>120.37486362875428</x:v>
      </x:c>
      <x:c r="D101" s="53" t="n">
        <x:f aca="0">FCCL!D123</x:f>
        <x:v>112.18423817026766</x:v>
      </x:c>
      <x:c r="E101" s="53" t="n">
        <x:f aca="0">FCCL!E123</x:f>
        <x:v>133.85744190022098</x:v>
      </x:c>
      <x:c r="F101" s="53" t="n">
        <x:f aca="0">FCCL!F123</x:f>
        <x:v>127.30703023703913</x:v>
      </x:c>
      <x:c r="G101" s="53" t="n">
        <x:f aca="0">FCCL!G123</x:f>
        <x:v>141.02955321201802</x:v>
      </x:c>
    </x:row>
    <x:row r="102" ht="15" hidden="0">
      <x:c r="A102" s="46" t="s">
        <x:v>264</x:v>
      </x:c>
      <x:c r="B102" s="47"/>
      <x:c r="C102" s="54" t="n">
        <x:f aca="0">IF(COUNT(C97:C101)=0,"n/m",AVERAGE(C97:C101))</x:f>
        <x:v>128.52577532223495</x:v>
      </x:c>
      <x:c r="D102" s="54" t="n">
        <x:f aca="0">IF(COUNT(D97:D101)=0,"n/m",AVERAGE(D97:D101))</x:f>
        <x:v>124.76869438173549</x:v>
      </x:c>
      <x:c r="E102" s="54" t="n">
        <x:f aca="0">IF(COUNT(E97:E101)=0,"n/m",AVERAGE(E97:E101))</x:f>
        <x:v>127.87847757466082</x:v>
      </x:c>
      <x:c r="F102" s="54" t="n">
        <x:f aca="0">IF(COUNT(F97:F101)=0,"n/m",AVERAGE(F97:F101))</x:f>
        <x:v>129.97976937444164</x:v>
      </x:c>
      <x:c r="G102" s="54" t="n">
        <x:f aca="0">IF(COUNT(G97:G101)=0,"n/m",AVERAGE(G97:G101))</x:f>
        <x:v>141.14519292770055</x:v>
      </x:c>
    </x:row>
    <x:row r="104" ht="15" hidden="0">
      <x:c r="A104" s="20" t="s">
        <x:v>186</x:v>
      </x:c>
      <x:c r="B104" s="43" t="s">
        <x:v>187</x:v>
      </x:c>
      <x:c r="C104" s="21"/>
      <x:c r="D104" s="21"/>
      <x:c r="E104" s="21"/>
      <x:c r="F104" s="21"/>
      <x:c r="G104" s="21"/>
    </x:row>
    <x:row r="105" ht="15" hidden="0">
      <x:c r="A105" s="8" t="s">
        <x:v>259</x:v>
      </x:c>
      <x:c r="B105" s="33"/>
      <x:c r="C105" s="52" t="n">
        <x:f aca="0">KOHC!C124</x:f>
        <x:v>59.66334864328658</x:v>
      </x:c>
      <x:c r="D105" s="52" t="n">
        <x:f aca="0">KOHC!D124</x:f>
        <x:v>66.07219583568286</x:v>
      </x:c>
      <x:c r="E105" s="52" t="n">
        <x:f aca="0">KOHC!E124</x:f>
        <x:v>82.78887616309285</x:v>
      </x:c>
      <x:c r="F105" s="52" t="n">
        <x:f aca="0">KOHC!F124</x:f>
        <x:v>100.80234556959385</x:v>
      </x:c>
      <x:c r="G105" s="52" t="n">
        <x:f aca="0">KOHC!G124</x:f>
        <x:v>108.04716265276964</x:v>
      </x:c>
    </x:row>
    <x:row r="106" ht="15" hidden="0">
      <x:c r="A106" s="10" t="s">
        <x:v>260</x:v>
      </x:c>
      <x:c r="B106" s="33"/>
      <x:c r="C106" s="53" t="n">
        <x:f aca="0">LUCK!C124</x:f>
        <x:v>90.74788941203903</x:v>
      </x:c>
      <x:c r="D106" s="53" t="n">
        <x:f aca="0">LUCK!D124</x:f>
        <x:v>94.37733461469227</x:v>
      </x:c>
      <x:c r="E106" s="53" t="n">
        <x:f aca="0">LUCK!E124</x:f>
        <x:v>95.20473922370724</x:v>
      </x:c>
      <x:c r="F106" s="53" t="n">
        <x:f aca="0">LUCK!F124</x:f>
        <x:v>93.02401833141005</x:v>
      </x:c>
      <x:c r="G106" s="53" t="n">
        <x:f aca="0">LUCK!G124</x:f>
        <x:v>95.67813071445951</x:v>
      </x:c>
    </x:row>
    <x:row r="107" ht="15" hidden="0">
      <x:c r="A107" s="10" t="s">
        <x:v>261</x:v>
      </x:c>
      <x:c r="B107" s="33"/>
      <x:c r="C107" s="53" t="n">
        <x:f aca="0">DGKC!C124</x:f>
        <x:v>97.32755795260583</x:v>
      </x:c>
      <x:c r="D107" s="53" t="n">
        <x:f aca="0">DGKC!D124</x:f>
        <x:v>113.97054065366663</x:v>
      </x:c>
      <x:c r="E107" s="53" t="n">
        <x:f aca="0">DGKC!E124</x:f>
        <x:v>123.10632996704659</x:v>
      </x:c>
      <x:c r="F107" s="53" t="n">
        <x:f aca="0">DGKC!F124</x:f>
        <x:v>108.89985368796259</x:v>
      </x:c>
      <x:c r="G107" s="53" t="n">
        <x:f aca="0">DGKC!G124</x:f>
        <x:v>114.67287204684446</x:v>
      </x:c>
    </x:row>
    <x:row r="108" ht="15" hidden="0">
      <x:c r="A108" s="10" t="s">
        <x:v>262</x:v>
      </x:c>
      <x:c r="B108" s="33"/>
      <x:c r="C108" s="53" t="n">
        <x:f aca="0">MLCF!C124</x:f>
        <x:v>119.40311120965679</x:v>
      </x:c>
      <x:c r="D108" s="53" t="n">
        <x:f aca="0">MLCF!D124</x:f>
        <x:v>114.52880667071781</x:v>
      </x:c>
      <x:c r="E108" s="53" t="n">
        <x:f aca="0">MLCF!E124</x:f>
        <x:v>99.22926176484866</x:v>
      </x:c>
      <x:c r="F108" s="53" t="n">
        <x:f aca="0">MLCF!F124</x:f>
        <x:v>98.70617640890859</x:v>
      </x:c>
      <x:c r="G108" s="53" t="n">
        <x:f aca="0">MLCF!G124</x:f>
        <x:v>112.1003549942768</x:v>
      </x:c>
    </x:row>
    <x:row r="109" ht="15" hidden="0">
      <x:c r="A109" s="10" t="s">
        <x:v>263</x:v>
      </x:c>
      <x:c r="B109" s="33"/>
      <x:c r="C109" s="53" t="n">
        <x:f aca="0">FCCL!C124</x:f>
        <x:v>108.16978620747179</x:v>
      </x:c>
      <x:c r="D109" s="53" t="n">
        <x:f aca="0">FCCL!D124</x:f>
        <x:v>95.4952772743396</x:v>
      </x:c>
      <x:c r="E109" s="53" t="n">
        <x:f aca="0">FCCL!E124</x:f>
        <x:v>113.53363711445124</x:v>
      </x:c>
      <x:c r="F109" s="53" t="n">
        <x:f aca="0">FCCL!F124</x:f>
        <x:v>109.34104725924954</x:v>
      </x:c>
      <x:c r="G109" s="53" t="n">
        <x:f aca="0">FCCL!G124</x:f>
        <x:v>125.8888849956775</x:v>
      </x:c>
    </x:row>
    <x:row r="110" ht="15" hidden="0">
      <x:c r="A110" s="46" t="s">
        <x:v>264</x:v>
      </x:c>
      <x:c r="B110" s="47"/>
      <x:c r="C110" s="54" t="n">
        <x:f aca="0">IF(COUNT(C105:C109)=0,"n/m",AVERAGE(C105:C109))</x:f>
        <x:v>95.06233868501201</x:v>
      </x:c>
      <x:c r="D110" s="54" t="n">
        <x:f aca="0">IF(COUNT(D105:D109)=0,"n/m",AVERAGE(D105:D109))</x:f>
        <x:v>96.88883100981984</x:v>
      </x:c>
      <x:c r="E110" s="54" t="n">
        <x:f aca="0">IF(COUNT(E105:E109)=0,"n/m",AVERAGE(E105:E109))</x:f>
        <x:v>102.77256884662931</x:v>
      </x:c>
      <x:c r="F110" s="54" t="n">
        <x:f aca="0">IF(COUNT(F105:F109)=0,"n/m",AVERAGE(F105:F109))</x:f>
        <x:v>102.15468825142493</x:v>
      </x:c>
      <x:c r="G110" s="54" t="n">
        <x:f aca="0">IF(COUNT(G105:G109)=0,"n/m",AVERAGE(G105:G109))</x:f>
        <x:v>111.27748108080559</x:v>
      </x:c>
    </x:row>
    <x:row r="112" ht="15" hidden="0">
      <x:c r="A112" s="20" t="s">
        <x:v>188</x:v>
      </x:c>
      <x:c r="B112" s="43" t="s">
        <x:v>189</x:v>
      </x:c>
      <x:c r="C112" s="21"/>
      <x:c r="D112" s="21"/>
      <x:c r="E112" s="21"/>
      <x:c r="F112" s="21"/>
      <x:c r="G112" s="21"/>
    </x:row>
    <x:row r="113" ht="15" hidden="0">
      <x:c r="A113" s="8" t="s">
        <x:v>259</x:v>
      </x:c>
      <x:c r="B113" s="33"/>
      <x:c r="C113" s="44" t="n">
        <x:f aca="0">KOHC!C125</x:f>
        <x:v>0.7092011621843222</x:v>
      </x:c>
      <x:c r="D113" s="44" t="n">
        <x:f aca="0">KOHC!D125</x:f>
        <x:v>0.8277428727778264</x:v>
      </x:c>
      <x:c r="E113" s="44" t="n">
        <x:f aca="0">KOHC!E125</x:f>
        <x:v>0.838099135080987</x:v>
      </x:c>
      <x:c r="F113" s="44" t="n">
        <x:f aca="0">KOHC!F125</x:f>
        <x:v>0.7132336607672219</x:v>
      </x:c>
      <x:c r="G113" s="44" t="n">
        <x:f aca="0">KOHC!G125</x:f>
        <x:v>0.59752332567838</x:v>
      </x:c>
    </x:row>
    <x:row r="114" ht="15" hidden="0">
      <x:c r="A114" s="10" t="s">
        <x:v>260</x:v>
      </x:c>
      <x:c r="B114" s="33"/>
      <x:c r="C114" s="45" t="n">
        <x:f aca="0">LUCK!C125</x:f>
        <x:v>0.43075247100519976</x:v>
      </x:c>
      <x:c r="D114" s="45" t="n">
        <x:f aca="0">LUCK!D125</x:f>
        <x:v>0.4751614147030488</x:v>
      </x:c>
      <x:c r="E114" s="45" t="n">
        <x:f aca="0">LUCK!E125</x:f>
        <x:v>0.4815184479475107</x:v>
      </x:c>
      <x:c r="F114" s="45" t="n">
        <x:f aca="0">LUCK!F125</x:f>
        <x:v>0.5158831372305058</x:v>
      </x:c>
      <x:c r="G114" s="45" t="n">
        <x:f aca="0">LUCK!G125</x:f>
        <x:v>0.49728501600707337</x:v>
      </x:c>
    </x:row>
    <x:row r="115" ht="15" hidden="0">
      <x:c r="A115" s="10" t="s">
        <x:v>261</x:v>
      </x:c>
      <x:c r="B115" s="33"/>
      <x:c r="C115" s="45" t="n">
        <x:f aca="0">DGKC!C125</x:f>
        <x:v>0.337321560534536</x:v>
      </x:c>
      <x:c r="D115" s="45" t="n">
        <x:f aca="0">DGKC!D125</x:f>
        <x:v>0.42297281053904634</x:v>
      </x:c>
      <x:c r="E115" s="45" t="n">
        <x:f aca="0">DGKC!E125</x:f>
        <x:v>0.47909875248597583</x:v>
      </x:c>
      <x:c r="F115" s="45" t="n">
        <x:f aca="0">DGKC!F125</x:f>
        <x:v>0.48362452491954855</x:v>
      </x:c>
      <x:c r="G115" s="45" t="n">
        <x:f aca="0">DGKC!G125</x:f>
        <x:v>0.5057355687914292</x:v>
      </x:c>
    </x:row>
    <x:row r="116" ht="15" hidden="0">
      <x:c r="A116" s="10" t="s">
        <x:v>262</x:v>
      </x:c>
      <x:c r="B116" s="33"/>
      <x:c r="C116" s="45" t="n">
        <x:f aca="0">MLCF!C125</x:f>
        <x:v>0.5374450896807583</x:v>
      </x:c>
      <x:c r="D116" s="45" t="n">
        <x:f aca="0">MLCF!D125</x:f>
        <x:v>0.6536676591930263</x:v>
      </x:c>
      <x:c r="E116" s="45" t="n">
        <x:f aca="0">MLCF!E125</x:f>
        <x:v>0.7221331478723996</x:v>
      </x:c>
      <x:c r="F116" s="45" t="n">
        <x:f aca="0">MLCF!F125</x:f>
        <x:v>0.7029264873878895</x:v>
      </x:c>
      <x:c r="G116" s="45" t="n">
        <x:f aca="0">MLCF!G125</x:f>
        <x:v>0.6311331505330572</x:v>
      </x:c>
    </x:row>
    <x:row r="117" ht="15" hidden="0">
      <x:c r="A117" s="10" t="s">
        <x:v>263</x:v>
      </x:c>
      <x:c r="B117" s="33"/>
      <x:c r="C117" s="45" t="n">
        <x:f aca="0">FCCL!C125</x:f>
        <x:v>0.7673483591494026</x:v>
      </x:c>
      <x:c r="D117" s="45" t="n">
        <x:f aca="0">FCCL!D125</x:f>
        <x:v>0.7342538737719585</x:v>
      </x:c>
      <x:c r="E117" s="45" t="n">
        <x:f aca="0">FCCL!E125</x:f>
        <x:v>0.5391058922773014</x:v>
      </x:c>
      <x:c r="F117" s="45" t="n">
        <x:f aca="0">FCCL!F125</x:f>
        <x:v>0.5587159547520806</x:v>
      </x:c>
      <x:c r="G117" s="45" t="n">
        <x:f aca="0">FCCL!G125</x:f>
        <x:v>0.576736892706269</x:v>
      </x:c>
    </x:row>
    <x:row r="118" ht="15" hidden="0">
      <x:c r="A118" s="46" t="s">
        <x:v>264</x:v>
      </x:c>
      <x:c r="B118" s="47"/>
      <x:c r="C118" s="48" t="n">
        <x:f aca="0">IF(COUNT(C113:C117)=0,"n/m",AVERAGE(C113:C117))</x:f>
        <x:v>0.5564137285108437</x:v>
      </x:c>
      <x:c r="D118" s="48" t="n">
        <x:f aca="0">IF(COUNT(D113:D117)=0,"n/m",AVERAGE(D113:D117))</x:f>
        <x:v>0.6227597261969813</x:v>
      </x:c>
      <x:c r="E118" s="48" t="n">
        <x:f aca="0">IF(COUNT(E113:E117)=0,"n/m",AVERAGE(E113:E117))</x:f>
        <x:v>0.6119910751328349</x:v>
      </x:c>
      <x:c r="F118" s="48" t="n">
        <x:f aca="0">IF(COUNT(F113:F117)=0,"n/m",AVERAGE(F113:F117))</x:f>
        <x:v>0.5948767530114493</x:v>
      </x:c>
      <x:c r="G118" s="48" t="n">
        <x:f aca="0">IF(COUNT(G113:G117)=0,"n/m",AVERAGE(G113:G117))</x:f>
        <x:v>0.5616827907432418</x:v>
      </x:c>
    </x:row>
    <x:row r="120" ht="15" hidden="0">
      <x:c r="A120" s="20" t="s">
        <x:v>190</x:v>
      </x:c>
      <x:c r="B120" s="43" t="s">
        <x:v>191</x:v>
      </x:c>
      <x:c r="C120" s="21"/>
      <x:c r="D120" s="21"/>
      <x:c r="E120" s="21"/>
      <x:c r="F120" s="21"/>
      <x:c r="G120" s="21"/>
    </x:row>
    <x:row r="121" ht="15" hidden="0">
      <x:c r="A121" s="8" t="s">
        <x:v>259</x:v>
      </x:c>
      <x:c r="B121" s="33"/>
      <x:c r="C121" s="44" t="n">
        <x:f aca="0">KOHC!C126</x:f>
        <x:v>1.0844791007988606</x:v>
      </x:c>
      <x:c r="D121" s="44" t="n">
        <x:f aca="0">KOHC!D126</x:f>
        <x:v>1.5307978904973403</x:v>
      </x:c>
      <x:c r="E121" s="44" t="n">
        <x:f aca="0">KOHC!E126</x:f>
        <x:v>1.876337672472641</x:v>
      </x:c>
      <x:c r="F121" s="44" t="n">
        <x:f aca="0">KOHC!F126</x:f>
        <x:v>1.8650719460684553</x:v>
      </x:c>
      <x:c r="G121" s="44" t="n">
        <x:f aca="0">KOHC!G126</x:f>
        <x:v>1.7861104563188661</x:v>
      </x:c>
    </x:row>
    <x:row r="122" ht="15" hidden="0">
      <x:c r="A122" s="10" t="s">
        <x:v>260</x:v>
      </x:c>
      <x:c r="B122" s="33"/>
      <x:c r="C122" s="45" t="n">
        <x:f aca="0">LUCK!C126</x:f>
        <x:v>1.064193408439223</x:v>
      </x:c>
      <x:c r="D122" s="45" t="n">
        <x:f aca="0">LUCK!D126</x:f>
        <x:v>1.3656161868044014</x:v>
      </x:c>
      <x:c r="E122" s="45" t="n">
        <x:f aca="0">LUCK!E126</x:f>
        <x:v>1.2739571002729932</x:v>
      </x:c>
      <x:c r="F122" s="45" t="n">
        <x:f aca="0">LUCK!F126</x:f>
        <x:v>1.242164612598929</x:v>
      </x:c>
      <x:c r="G122" s="45" t="n">
        <x:f aca="0">LUCK!G126</x:f>
        <x:v>1.2601477514941262</x:v>
      </x:c>
    </x:row>
    <x:row r="123" ht="15" hidden="0">
      <x:c r="A123" s="10" t="s">
        <x:v>261</x:v>
      </x:c>
      <x:c r="B123" s="33"/>
      <x:c r="C123" s="45" t="n">
        <x:f aca="0">DGKC!C126</x:f>
        <x:v>0.5840225528925309</x:v>
      </x:c>
      <x:c r="D123" s="45" t="n">
        <x:f aca="0">DGKC!D126</x:f>
        <x:v>0.7284023454374957</x:v>
      </x:c>
      <x:c r="E123" s="45" t="n">
        <x:f aca="0">DGKC!E126</x:f>
        <x:v>0.8006952973031204</x:v>
      </x:c>
      <x:c r="F123" s="45" t="n">
        <x:f aca="0">DGKC!F126</x:f>
        <x:v>0.8318493605276719</x:v>
      </x:c>
      <x:c r="G123" s="45" t="n">
        <x:f aca="0">DGKC!G126</x:f>
        <x:v>0.9277030351499571</x:v>
      </x:c>
    </x:row>
    <x:row r="124" ht="15" hidden="0">
      <x:c r="A124" s="10" t="s">
        <x:v>262</x:v>
      </x:c>
      <x:c r="B124" s="33"/>
      <x:c r="C124" s="45" t="n">
        <x:f aca="0">MLCF!C126</x:f>
        <x:v>0.838288069294308</x:v>
      </x:c>
      <x:c r="D124" s="45" t="n">
        <x:f aca="0">MLCF!D126</x:f>
        <x:v>1.172066585205955</x:v>
      </x:c>
      <x:c r="E124" s="45" t="n">
        <x:f aca="0">MLCF!E126</x:f>
        <x:v>1.2158524918829576</x:v>
      </x:c>
      <x:c r="F124" s="45" t="n">
        <x:f aca="0">MLCF!F126</x:f>
        <x:v>1.0531088846951966</x:v>
      </x:c>
      <x:c r="G124" s="45" t="n">
        <x:f aca="0">MLCF!G126</x:f>
        <x:v>1.0752521941525262</x:v>
      </x:c>
    </x:row>
    <x:row r="125" ht="15" hidden="0">
      <x:c r="A125" s="10" t="s">
        <x:v>263</x:v>
      </x:c>
      <x:c r="B125" s="33"/>
      <x:c r="C125" s="45" t="n">
        <x:f aca="0">FCCL!C126</x:f>
        <x:v>1.121529000686929</x:v>
      </x:c>
      <x:c r="D125" s="45" t="n">
        <x:f aca="0">FCCL!D126</x:f>
        <x:v>1.6551596506379742</x:v>
      </x:c>
      <x:c r="E125" s="45" t="n">
        <x:f aca="0">FCCL!E126</x:f>
        <x:v>1.1919170397378338</x:v>
      </x:c>
      <x:c r="F125" s="45" t="n">
        <x:f aca="0">FCCL!F126</x:f>
        <x:v>0.8889851122075039</x:v>
      </x:c>
      <x:c r="G125" s="45" t="n">
        <x:f aca="0">FCCL!G126</x:f>
        <x:v>0.8108018836700552</x:v>
      </x:c>
    </x:row>
    <x:row r="126" ht="15" hidden="0">
      <x:c r="A126" s="46" t="s">
        <x:v>264</x:v>
      </x:c>
      <x:c r="B126" s="47"/>
      <x:c r="C126" s="48" t="n">
        <x:f aca="0">IF(COUNT(C121:C125)=0,"n/m",AVERAGE(C121:C125))</x:f>
        <x:v>0.9385024264223703</x:v>
      </x:c>
      <x:c r="D126" s="48" t="n">
        <x:f aca="0">IF(COUNT(D121:D125)=0,"n/m",AVERAGE(D121:D125))</x:f>
        <x:v>1.2904085317166332</x:v>
      </x:c>
      <x:c r="E126" s="48" t="n">
        <x:f aca="0">IF(COUNT(E121:E125)=0,"n/m",AVERAGE(E121:E125))</x:f>
        <x:v>1.2717519203339092</x:v>
      </x:c>
      <x:c r="F126" s="48" t="n">
        <x:f aca="0">IF(COUNT(F121:F125)=0,"n/m",AVERAGE(F121:F125))</x:f>
        <x:v>1.1762359832195513</x:v>
      </x:c>
      <x:c r="G126" s="48" t="n">
        <x:f aca="0">IF(COUNT(G121:G125)=0,"n/m",AVERAGE(G121:G125))</x:f>
        <x:v>1.172003064157106</x:v>
      </x:c>
    </x:row>
    <x:row r="129" ht="19.5" hidden="0" customHeight="1">
      <x:c r="A129" s="5" t="s">
        <x:v>267</x:v>
      </x:c>
      <x:c r="B129" s="6"/>
      <x:c r="C129" s="6"/>
      <x:c r="D129" s="6"/>
      <x:c r="E129" s="6"/>
      <x:c r="F129" s="6"/>
      <x:c r="G129" s="6"/>
    </x:row>
    <x:row r="130" ht="15" hidden="0">
      <x:c r="A130" s="20" t="s">
        <x:v>193</x:v>
      </x:c>
      <x:c r="B130" s="43" t="s">
        <x:v>194</x:v>
      </x:c>
      <x:c r="C130" s="21"/>
      <x:c r="D130" s="21"/>
      <x:c r="E130" s="21"/>
      <x:c r="F130" s="21"/>
      <x:c r="G130" s="21"/>
    </x:row>
    <x:row r="131" ht="15" hidden="0">
      <x:c r="A131" s="8" t="s">
        <x:v>259</x:v>
      </x:c>
      <x:c r="B131" s="33"/>
      <x:c r="C131" s="55" t="n">
        <x:f aca="0">KOHC!C128</x:f>
        <x:v>0.384166382555034</x:v>
      </x:c>
      <x:c r="D131" s="55" t="n">
        <x:f aca="0">KOHC!D128</x:f>
        <x:v>0.37149249167170456</x:v>
      </x:c>
      <x:c r="E131" s="55" t="n">
        <x:f aca="0">KOHC!E128</x:f>
        <x:v>0.3416112409848334</x:v>
      </x:c>
      <x:c r="F131" s="55" t="n">
        <x:f aca="0">KOHC!F128</x:f>
        <x:v>0.3016994518502951</x:v>
      </x:c>
      <x:c r="G131" s="55" t="n">
        <x:f aca="0">KOHC!G128</x:f>
        <x:v>0.28204672647028445</x:v>
      </x:c>
    </x:row>
    <x:row r="132" ht="15" hidden="0">
      <x:c r="A132" s="10" t="s">
        <x:v>260</x:v>
      </x:c>
      <x:c r="B132" s="33"/>
      <x:c r="C132" s="56" t="n">
        <x:f aca="0">LUCK!C128</x:f>
        <x:v>0.27606535150381284</x:v>
      </x:c>
      <x:c r="D132" s="56" t="n">
        <x:f aca="0">LUCK!D128</x:f>
        <x:v>0.3050460729395506</x:v>
      </x:c>
      <x:c r="E132" s="56" t="n">
        <x:f aca="0">LUCK!E128</x:f>
        <x:v>0.35532697822447284</x:v>
      </x:c>
      <x:c r="F132" s="56" t="n">
        <x:f aca="0">LUCK!F128</x:f>
        <x:v>0.3685903641039032</x:v>
      </x:c>
      <x:c r="G132" s="56" t="n">
        <x:f aca="0">LUCK!G128</x:f>
        <x:v>0.34053721034041</x:v>
      </x:c>
    </x:row>
    <x:row r="133" ht="15" hidden="0">
      <x:c r="A133" s="10" t="s">
        <x:v>261</x:v>
      </x:c>
      <x:c r="B133" s="33"/>
      <x:c r="C133" s="56" t="n">
        <x:f aca="0">DGKC!C128</x:f>
        <x:v>0.46714504184305206</x:v>
      </x:c>
      <x:c r="D133" s="56" t="n">
        <x:f aca="0">DGKC!D128</x:f>
        <x:v>0.48801207258126744</x:v>
      </x:c>
      <x:c r="E133" s="56" t="n">
        <x:f aca="0">DGKC!E128</x:f>
        <x:v>0.5234895224192266</x:v>
      </x:c>
      <x:c r="F133" s="56" t="n">
        <x:f aca="0">DGKC!F128</x:f>
        <x:v>0.4519122394636083</x:v>
      </x:c>
      <x:c r="G133" s="56" t="n">
        <x:f aca="0">DGKC!G128</x:f>
        <x:v>0.3512559582717703</x:v>
      </x:c>
    </x:row>
    <x:row r="134" ht="15" hidden="0">
      <x:c r="A134" s="10" t="s">
        <x:v>262</x:v>
      </x:c>
      <x:c r="B134" s="33"/>
      <x:c r="C134" s="56" t="n">
        <x:f aca="0">MLCF!C128</x:f>
        <x:v>0.4332284086792129</x:v>
      </x:c>
      <x:c r="D134" s="56" t="n">
        <x:f aca="0">MLCF!D128</x:f>
        <x:v>0.5066666090934888</x:v>
      </x:c>
      <x:c r="E134" s="56" t="n">
        <x:f aca="0">MLCF!E128</x:f>
        <x:v>0.49933942690835115</x:v>
      </x:c>
      <x:c r="F134" s="56" t="n">
        <x:f aca="0">MLCF!F128</x:f>
        <x:v>0.4704820926001394</x:v>
      </x:c>
      <x:c r="G134" s="56" t="n">
        <x:f aca="0">MLCF!G128</x:f>
        <x:v>0.4000182240614351</x:v>
      </x:c>
    </x:row>
    <x:row r="135" ht="15" hidden="0">
      <x:c r="A135" s="10" t="s">
        <x:v>263</x:v>
      </x:c>
      <x:c r="B135" s="33"/>
      <x:c r="C135" s="56" t="n">
        <x:f aca="0">FCCL!C128</x:f>
        <x:v>0.3164714817070282</x:v>
      </x:c>
      <x:c r="D135" s="56" t="n">
        <x:f aca="0">FCCL!D128</x:f>
        <x:v>0.4921984828292214</x:v>
      </x:c>
      <x:c r="E135" s="56" t="n">
        <x:f aca="0">FCCL!E128</x:f>
        <x:v>0.530530558146142</x:v>
      </x:c>
      <x:c r="F135" s="56" t="n">
        <x:f aca="0">FCCL!F128</x:f>
        <x:v>0.5028400637434024</x:v>
      </x:c>
      <x:c r="G135" s="56" t="n">
        <x:f aca="0">FCCL!G128</x:f>
        <x:v>0.4760663500346739</x:v>
      </x:c>
    </x:row>
    <x:row r="136" ht="15" hidden="0">
      <x:c r="A136" s="46" t="s">
        <x:v>264</x:v>
      </x:c>
      <x:c r="B136" s="47"/>
      <x:c r="C136" s="57" t="n">
        <x:f aca="0">IF(COUNT(C131:C135)=0,"n/m",AVERAGE(C131:C135))</x:f>
        <x:v>0.375415333257628</x:v>
      </x:c>
      <x:c r="D136" s="57" t="n">
        <x:f aca="0">IF(COUNT(D131:D135)=0,"n/m",AVERAGE(D131:D135))</x:f>
        <x:v>0.43268314582304657</x:v>
      </x:c>
      <x:c r="E136" s="57" t="n">
        <x:f aca="0">IF(COUNT(E131:E135)=0,"n/m",AVERAGE(E131:E135))</x:f>
        <x:v>0.4500595453366052</x:v>
      </x:c>
      <x:c r="F136" s="57" t="n">
        <x:f aca="0">IF(COUNT(F131:F135)=0,"n/m",AVERAGE(F131:F135))</x:f>
        <x:v>0.41910484235226975</x:v>
      </x:c>
      <x:c r="G136" s="57" t="n">
        <x:f aca="0">IF(COUNT(G131:G135)=0,"n/m",AVERAGE(G131:G135))</x:f>
        <x:v>0.36998489383571476</x:v>
      </x:c>
    </x:row>
    <x:row r="138" ht="15" hidden="0">
      <x:c r="A138" s="20" t="s">
        <x:v>195</x:v>
      </x:c>
      <x:c r="B138" s="43" t="s">
        <x:v>196</x:v>
      </x:c>
      <x:c r="C138" s="21"/>
      <x:c r="D138" s="21"/>
      <x:c r="E138" s="21"/>
      <x:c r="F138" s="21"/>
      <x:c r="G138" s="21"/>
    </x:row>
    <x:row r="139" ht="15" hidden="0">
      <x:c r="A139" s="8" t="s">
        <x:v>259</x:v>
      </x:c>
      <x:c r="B139" s="33"/>
      <x:c r="C139" s="44" t="n">
        <x:f aca="0">KOHC!C129</x:f>
        <x:v>0.6238152183846396</x:v>
      </x:c>
      <x:c r="D139" s="44" t="n">
        <x:f aca="0">KOHC!D129</x:f>
        <x:v>0.5910708889696489</x:v>
      </x:c>
      <x:c r="E139" s="44" t="n">
        <x:f aca="0">KOHC!E129</x:f>
        <x:v>0.5188594676127575</x:v>
      </x:c>
      <x:c r="F139" s="44" t="n">
        <x:f aca="0">KOHC!F129</x:f>
        <x:v>0.4320481383692331</x:v>
      </x:c>
      <x:c r="G139" s="44" t="n">
        <x:f aca="0">KOHC!G129</x:f>
        <x:v>0.3928483048536595</x:v>
      </x:c>
    </x:row>
    <x:row r="140" ht="15" hidden="0">
      <x:c r="A140" s="10" t="s">
        <x:v>260</x:v>
      </x:c>
      <x:c r="B140" s="33"/>
      <x:c r="C140" s="45" t="n">
        <x:f aca="0">LUCK!C129</x:f>
        <x:v>0.3813401556028255</x:v>
      </x:c>
      <x:c r="D140" s="45" t="n">
        <x:f aca="0">LUCK!D129</x:f>
        <x:v>0.4389443113586675</x:v>
      </x:c>
      <x:c r="E140" s="45" t="n">
        <x:f aca="0">LUCK!E129</x:f>
        <x:v>0.5511739536514938</x:v>
      </x:c>
      <x:c r="F140" s="45" t="n">
        <x:f aca="0">LUCK!F129</x:f>
        <x:v>0.5837579016050328</x:v>
      </x:c>
      <x:c r="G140" s="45" t="n">
        <x:f aca="0">LUCK!G129</x:f>
        <x:v>0.5163857850360184</x:v>
      </x:c>
    </x:row>
    <x:row r="141" ht="15" hidden="0">
      <x:c r="A141" s="10" t="s">
        <x:v>261</x:v>
      </x:c>
      <x:c r="B141" s="33"/>
      <x:c r="C141" s="45" t="n">
        <x:f aca="0">DGKC!C129</x:f>
        <x:v>0.8766832975690517</x:v>
      </x:c>
      <x:c r="D141" s="45" t="n">
        <x:f aca="0">DGKC!D129</x:f>
        <x:v>0.9531710543286772</x:v>
      </x:c>
      <x:c r="E141" s="45" t="n">
        <x:f aca="0">DGKC!E129</x:f>
        <x:v>1.0985897415665749</x:v>
      </x:c>
      <x:c r="F141" s="45" t="n">
        <x:f aca="0">DGKC!F129</x:f>
        <x:v>0.8245253260560679</x:v>
      </x:c>
      <x:c r="G141" s="45" t="n">
        <x:f aca="0">DGKC!G129</x:f>
        <x:v>0.5414399758278128</x:v>
      </x:c>
    </x:row>
    <x:row r="142" ht="15" hidden="0">
      <x:c r="A142" s="10" t="s">
        <x:v>262</x:v>
      </x:c>
      <x:c r="B142" s="33"/>
      <x:c r="C142" s="45" t="n">
        <x:f aca="0">MLCF!C129</x:f>
        <x:v>0.7643791878658399</x:v>
      </x:c>
      <x:c r="D142" s="45" t="n">
        <x:f aca="0">MLCF!D129</x:f>
        <x:v>1.027026790468161</x:v>
      </x:c>
      <x:c r="E142" s="45" t="n">
        <x:f aca="0">MLCF!E129</x:f>
        <x:v>0.9973611938820361</x:v>
      </x:c>
      <x:c r="F142" s="45" t="n">
        <x:f aca="0">MLCF!F129</x:f>
        <x:v>0.8885102581523445</x:v>
      </x:c>
      <x:c r="G142" s="45" t="n">
        <x:f aca="0">MLCF!G129</x:f>
        <x:v>0.6667172905971644</x:v>
      </x:c>
    </x:row>
    <x:row r="143" ht="15" hidden="0">
      <x:c r="A143" s="10" t="s">
        <x:v>263</x:v>
      </x:c>
      <x:c r="B143" s="33"/>
      <x:c r="C143" s="45" t="n">
        <x:f aca="0">FCCL!C129</x:f>
        <x:v>0.4629967488370152</x:v>
      </x:c>
      <x:c r="D143" s="45" t="n">
        <x:f aca="0">FCCL!D129</x:f>
        <x:v>0.9692733601339171</x:v>
      </x:c>
      <x:c r="E143" s="45" t="n">
        <x:f aca="0">FCCL!E129</x:f>
        <x:v>1.130064091181662</x:v>
      </x:c>
      <x:c r="F143" s="45" t="n">
        <x:f aca="0">FCCL!F129</x:f>
        <x:v>1.0114251512894896</x:v>
      </x:c>
      <x:c r="G143" s="45" t="n">
        <x:f aca="0">FCCL!G129</x:f>
        <x:v>0.9086386225931091</x:v>
      </x:c>
    </x:row>
    <x:row r="144" ht="15" hidden="0">
      <x:c r="A144" s="46" t="s">
        <x:v>264</x:v>
      </x:c>
      <x:c r="B144" s="47"/>
      <x:c r="C144" s="48" t="n">
        <x:f aca="0">IF(COUNT(C139:C143)=0,"n/m",AVERAGE(C139:C143))</x:f>
        <x:v>0.6218429216518744</x:v>
      </x:c>
      <x:c r="D144" s="48" t="n">
        <x:f aca="0">IF(COUNT(D139:D143)=0,"n/m",AVERAGE(D139:D143))</x:f>
        <x:v>0.7958972810518143</x:v>
      </x:c>
      <x:c r="E144" s="48" t="n">
        <x:f aca="0">IF(COUNT(E139:E143)=0,"n/m",AVERAGE(E139:E143))</x:f>
        <x:v>0.859209689578905</x:v>
      </x:c>
      <x:c r="F144" s="48" t="n">
        <x:f aca="0">IF(COUNT(F139:F143)=0,"n/m",AVERAGE(F139:F143))</x:f>
        <x:v>0.7480533550944335</x:v>
      </x:c>
      <x:c r="G144" s="48" t="n">
        <x:f aca="0">IF(COUNT(G139:G143)=0,"n/m",AVERAGE(G139:G143))</x:f>
        <x:v>0.6052059957815528</x:v>
      </x:c>
    </x:row>
    <x:row r="146" ht="15" hidden="0">
      <x:c r="A146" s="20" t="s">
        <x:v>197</x:v>
      </x:c>
      <x:c r="B146" s="43" t="s">
        <x:v>198</x:v>
      </x:c>
      <x:c r="C146" s="21"/>
      <x:c r="D146" s="21"/>
      <x:c r="E146" s="21"/>
      <x:c r="F146" s="21"/>
      <x:c r="G146" s="21"/>
    </x:row>
    <x:row r="147" ht="15" hidden="0">
      <x:c r="A147" s="8" t="s">
        <x:v>259</x:v>
      </x:c>
      <x:c r="B147" s="33"/>
      <x:c r="C147" s="55" t="n">
        <x:f aca="0">KOHC!C130</x:f>
        <x:v>0.21400284667161887</x:v>
      </x:c>
      <x:c r="D147" s="55" t="n">
        <x:f aca="0">KOHC!D130</x:f>
        <x:v>0.13497287275854264</x:v>
      </x:c>
      <x:c r="E147" s="55" t="n">
        <x:f aca="0">KOHC!E130</x:f>
        <x:v>0.08893739146213345</x:v>
      </x:c>
      <x:c r="F147" s="55" t="n">
        <x:f aca="0">KOHC!F130</x:f>
        <x:v>0.05274524653901662</x:v>
      </x:c>
      <x:c r="G147" s="55" t="n">
        <x:f aca="0">KOHC!G130</x:f>
        <x:v>0.045577294289546766</x:v>
      </x:c>
    </x:row>
    <x:row r="148" ht="15" hidden="0">
      <x:c r="A148" s="10" t="s">
        <x:v>260</x:v>
      </x:c>
      <x:c r="B148" s="33"/>
      <x:c r="C148" s="56" t="n">
        <x:f aca="0">LUCK!C130</x:f>
        <x:v>0.08481566313402544</x:v>
      </x:c>
      <x:c r="D148" s="56" t="n">
        <x:f aca="0">LUCK!D130</x:f>
        <x:v>0.10820094237127705</x:v>
      </x:c>
      <x:c r="E148" s="56" t="n">
        <x:f aca="0">LUCK!E130</x:f>
        <x:v>0.13283363678865434</x:v>
      </x:c>
      <x:c r="F148" s="56" t="n">
        <x:f aca="0">LUCK!F130</x:f>
        <x:v>0.12102350075289672</x:v>
      </x:c>
      <x:c r="G148" s="56" t="n">
        <x:f aca="0">LUCK!G130</x:f>
        <x:v>0.0906485859901983</x:v>
      </x:c>
    </x:row>
    <x:row r="149" ht="15" hidden="0">
      <x:c r="A149" s="10" t="s">
        <x:v>261</x:v>
      </x:c>
      <x:c r="B149" s="33"/>
      <x:c r="C149" s="56" t="n">
        <x:f aca="0">DGKC!C130</x:f>
        <x:v>0.37343360902882045</x:v>
      </x:c>
      <x:c r="D149" s="56" t="n">
        <x:f aca="0">DGKC!D130</x:f>
        <x:v>0.39929807208366225</x:v>
      </x:c>
      <x:c r="E149" s="56" t="n">
        <x:f aca="0">DGKC!E130</x:f>
        <x:v>0.39850127088453147</x:v>
      </x:c>
      <x:c r="F149" s="56" t="n">
        <x:f aca="0">DGKC!F130</x:f>
        <x:v>0.31153681009483003</x:v>
      </x:c>
      <x:c r="G149" s="56" t="n">
        <x:f aca="0">DGKC!G130</x:f>
        <x:v>0.18792347676351873</x:v>
      </x:c>
    </x:row>
    <x:row r="150" ht="15" hidden="0">
      <x:c r="A150" s="10" t="s">
        <x:v>262</x:v>
      </x:c>
      <x:c r="B150" s="33"/>
      <x:c r="C150" s="56" t="n">
        <x:f aca="0">MLCF!C130</x:f>
        <x:v>0.3018980041603245</x:v>
      </x:c>
      <x:c r="D150" s="56" t="n">
        <x:f aca="0">MLCF!D130</x:f>
        <x:v>0.381087654689308</x:v>
      </x:c>
      <x:c r="E150" s="56" t="n">
        <x:f aca="0">MLCF!E130</x:f>
        <x:v>0.30676284445350793</x:v>
      </x:c>
      <x:c r="F150" s="56" t="n">
        <x:f aca="0">MLCF!F130</x:f>
        <x:v>0.2692569010491479</x:v>
      </x:c>
      <x:c r="G150" s="56" t="n">
        <x:f aca="0">MLCF!G130</x:f>
        <x:v>0.1694536072536581</x:v>
      </x:c>
    </x:row>
    <x:row r="151" ht="15" hidden="0">
      <x:c r="A151" s="10" t="s">
        <x:v>263</x:v>
      </x:c>
      <x:c r="B151" s="33"/>
      <x:c r="C151" s="56" t="n">
        <x:f aca="0">FCCL!C130</x:f>
        <x:v>0.09936978984482135</x:v>
      </x:c>
      <x:c r="D151" s="56" t="n">
        <x:f aca="0">FCCL!D130</x:f>
        <x:v>0.36582138671494635</x:v>
      </x:c>
      <x:c r="E151" s="56" t="n">
        <x:f aca="0">FCCL!E130</x:f>
        <x:v>0.42432770074720316</x:v>
      </x:c>
      <x:c r="F151" s="56" t="n">
        <x:f aca="0">FCCL!F130</x:f>
        <x:v>0.3746668664583292</x:v>
      </x:c>
      <x:c r="G151" s="56" t="n">
        <x:f aca="0">FCCL!G130</x:f>
        <x:v>0.3230814331540067</x:v>
      </x:c>
    </x:row>
    <x:row r="152" ht="15" hidden="0">
      <x:c r="A152" s="46" t="s">
        <x:v>264</x:v>
      </x:c>
      <x:c r="B152" s="47"/>
      <x:c r="C152" s="57" t="n">
        <x:f aca="0">IF(COUNT(C147:C151)=0,"n/m",AVERAGE(C147:C151))</x:f>
        <x:v>0.21470398256792214</x:v>
      </x:c>
      <x:c r="D152" s="57" t="n">
        <x:f aca="0">IF(COUNT(D147:D151)=0,"n/m",AVERAGE(D147:D151))</x:f>
        <x:v>0.2778761857235472</x:v>
      </x:c>
      <x:c r="E152" s="57" t="n">
        <x:f aca="0">IF(COUNT(E147:E151)=0,"n/m",AVERAGE(E147:E151))</x:f>
        <x:v>0.2702725688672061</x:v>
      </x:c>
      <x:c r="F152" s="57" t="n">
        <x:f aca="0">IF(COUNT(F147:F151)=0,"n/m",AVERAGE(F147:F151))</x:f>
        <x:v>0.2258458649788441</x:v>
      </x:c>
      <x:c r="G152" s="57" t="n">
        <x:f aca="0">IF(COUNT(G147:G151)=0,"n/m",AVERAGE(G147:G151))</x:f>
        <x:v>0.16333687949018572</x:v>
      </x:c>
    </x:row>
    <x:row r="154" ht="15" hidden="0">
      <x:c r="A154" s="20" t="s">
        <x:v>199</x:v>
      </x:c>
      <x:c r="B154" s="43" t="s">
        <x:v>200</x:v>
      </x:c>
      <x:c r="C154" s="21"/>
      <x:c r="D154" s="21"/>
      <x:c r="E154" s="21"/>
      <x:c r="F154" s="21"/>
      <x:c r="G154" s="21"/>
    </x:row>
    <x:row r="155" ht="15" hidden="0">
      <x:c r="A155" s="8" t="s">
        <x:v>259</x:v>
      </x:c>
      <x:c r="B155" s="33"/>
      <x:c r="C155" s="55" t="n">
        <x:f aca="0">KOHC!C131</x:f>
        <x:v>0.1220875910318789</x:v>
      </x:c>
      <x:c r="D155" s="55" t="n">
        <x:f aca="0">KOHC!D131</x:f>
        <x:v>0.07334143338786069</x:v>
      </x:c>
      <x:c r="E155" s="55" t="n">
        <x:f aca="0">KOHC!E131</x:f>
        <x:v>0.04338813037035516</x:v>
      </x:c>
      <x:c r="F155" s="55" t="n">
        <x:f aca="0">KOHC!F131</x:f>
        <x:v>0.01901053423767185</x:v>
      </x:c>
      <x:c r="G155" s="55" t="n">
        <x:f aca="0">KOHC!G131</x:f>
        <x:v>0.02169313165517457</x:v>
      </x:c>
    </x:row>
    <x:row r="156" ht="15" hidden="0">
      <x:c r="A156" s="10" t="s">
        <x:v>260</x:v>
      </x:c>
      <x:c r="B156" s="33"/>
      <x:c r="C156" s="56" t="n">
        <x:f aca="0">LUCK!C131</x:f>
        <x:v>0.018763703805448454</x:v>
      </x:c>
      <x:c r="D156" s="56" t="n">
        <x:f aca="0">LUCK!D131</x:f>
        <x:v>0.07627738632757988</x:v>
      </x:c>
      <x:c r="E156" s="56" t="n">
        <x:f aca="0">LUCK!E131</x:f>
        <x:v>0.0683187429199697</x:v>
      </x:c>
      <x:c r="F156" s="56" t="n">
        <x:f aca="0">LUCK!F131</x:f>
        <x:v>0.054528421285721974</x:v>
      </x:c>
      <x:c r="G156" s="56" t="n">
        <x:f aca="0">LUCK!G131</x:f>
        <x:v>0.0344314520335914</x:v>
      </x:c>
    </x:row>
    <x:row r="157" ht="15" hidden="0">
      <x:c r="A157" s="10" t="s">
        <x:v>261</x:v>
      </x:c>
      <x:c r="B157" s="33"/>
      <x:c r="C157" s="56" t="n">
        <x:f aca="0">DGKC!C131</x:f>
        <x:v>0.13996233662270563</x:v>
      </x:c>
      <x:c r="D157" s="56" t="n">
        <x:f aca="0">DGKC!D131</x:f>
        <x:v>0.10374941529310935</x:v>
      </x:c>
      <x:c r="E157" s="56" t="n">
        <x:f aca="0">DGKC!E131</x:f>
        <x:v>0.07173473071922083</x:v>
      </x:c>
      <x:c r="F157" s="56" t="n">
        <x:f aca="0">DGKC!F131</x:f>
        <x:v>0.11536675950040348</x:v>
      </x:c>
      <x:c r="G157" s="56" t="n">
        <x:f aca="0">DGKC!G131</x:f>
        <x:v>0.06917171092245233</x:v>
      </x:c>
    </x:row>
    <x:row r="158" ht="15" hidden="0">
      <x:c r="A158" s="10" t="s">
        <x:v>262</x:v>
      </x:c>
      <x:c r="B158" s="33"/>
      <x:c r="C158" s="56" t="n">
        <x:f aca="0">MLCF!C131</x:f>
        <x:v>0.19077425632568037</x:v>
      </x:c>
      <x:c r="D158" s="56" t="n">
        <x:f aca="0">MLCF!D131</x:f>
        <x:v>0.22836689667151214</x:v>
      </x:c>
      <x:c r="E158" s="56" t="n">
        <x:f aca="0">MLCF!E131</x:f>
        <x:v>0.19245552926882725</x:v>
      </x:c>
      <x:c r="F158" s="56" t="n">
        <x:f aca="0">MLCF!F131</x:f>
        <x:v>0.1441187310524372</x:v>
      </x:c>
      <x:c r="G158" s="56" t="n">
        <x:f aca="0">MLCF!G131</x:f>
        <x:v>0.08236454653172713</x:v>
      </x:c>
    </x:row>
    <x:row r="159" ht="15" hidden="0">
      <x:c r="A159" s="10" t="s">
        <x:v>263</x:v>
      </x:c>
      <x:c r="B159" s="33"/>
      <x:c r="C159" s="56" t="n">
        <x:f aca="0">FCCL!C131</x:f>
        <x:v>0.01659494791985876</x:v>
      </x:c>
      <x:c r="D159" s="56" t="n">
        <x:f aca="0">FCCL!D131</x:f>
        <x:v>0.1727906268810509</x:v>
      </x:c>
      <x:c r="E159" s="56" t="n">
        <x:f aca="0">FCCL!E131</x:f>
        <x:v>0.22975152572601862</x:v>
      </x:c>
      <x:c r="F159" s="56" t="n">
        <x:f aca="0">FCCL!F131</x:f>
        <x:v>0.203376413547186</x:v>
      </x:c>
      <x:c r="G159" s="56" t="n">
        <x:f aca="0">FCCL!G131</x:f>
        <x:v>0.15113814624398686</x:v>
      </x:c>
    </x:row>
    <x:row r="160" ht="15" hidden="0">
      <x:c r="A160" s="46" t="s">
        <x:v>264</x:v>
      </x:c>
      <x:c r="B160" s="47"/>
      <x:c r="C160" s="57" t="n">
        <x:f aca="0">IF(COUNT(C155:C159)=0,"n/m",AVERAGE(C155:C159))</x:f>
        <x:v>0.09763656714111443</x:v>
      </x:c>
      <x:c r="D160" s="57" t="n">
        <x:f aca="0">IF(COUNT(D155:D159)=0,"n/m",AVERAGE(D155:D159))</x:f>
        <x:v>0.13090515171222256</x:v>
      </x:c>
      <x:c r="E160" s="57" t="n">
        <x:f aca="0">IF(COUNT(E155:E159)=0,"n/m",AVERAGE(E155:E159))</x:f>
        <x:v>0.12112973180087831</x:v>
      </x:c>
      <x:c r="F160" s="57" t="n">
        <x:f aca="0">IF(COUNT(F155:F159)=0,"n/m",AVERAGE(F155:F159))</x:f>
        <x:v>0.10728017192468409</x:v>
      </x:c>
      <x:c r="G160" s="57" t="n">
        <x:f aca="0">IF(COUNT(G155:G159)=0,"n/m",AVERAGE(G155:G159))</x:f>
        <x:v>0.07175979747738645</x:v>
      </x:c>
    </x:row>
    <x:row r="162" ht="15" hidden="0">
      <x:c r="A162" s="20" t="s">
        <x:v>201</x:v>
      </x:c>
      <x:c r="B162" s="43" t="s">
        <x:v>202</x:v>
      </x:c>
      <x:c r="C162" s="21"/>
      <x:c r="D162" s="21"/>
      <x:c r="E162" s="21"/>
      <x:c r="F162" s="21"/>
      <x:c r="G162" s="21"/>
    </x:row>
    <x:row r="163" ht="15" hidden="0">
      <x:c r="A163" s="8" t="s">
        <x:v>259</x:v>
      </x:c>
      <x:c r="B163" s="33"/>
      <x:c r="C163" s="44" t="n">
        <x:f aca="0">KOHC!C132</x:f>
        <x:v>11.019706901181747</x:v>
      </x:c>
      <x:c r="D163" s="44" t="n">
        <x:f aca="0">KOHC!D132</x:f>
        <x:v>18.36315245249661</x:v>
      </x:c>
      <x:c r="E163" s="44" t="n">
        <x:f aca="0">KOHC!E132</x:f>
        <x:v>16.398825279873954</x:v>
      </x:c>
      <x:c r="F163" s="44" t="n">
        <x:f aca="0">KOHC!F132</x:f>
        <x:v>22.367720224205137</x:v>
      </x:c>
      <x:c r="G163" s="44" t="n">
        <x:f aca="0">KOHC!G132</x:f>
        <x:v>59.09895319837231</x:v>
      </x:c>
    </x:row>
    <x:row r="164" ht="15" hidden="0">
      <x:c r="A164" s="10" t="s">
        <x:v>260</x:v>
      </x:c>
      <x:c r="B164" s="33"/>
      <x:c r="C164" s="45" t="n">
        <x:f aca="0">LUCK!C132</x:f>
        <x:v>52.04222826331838</x:v>
      </x:c>
      <x:c r="D164" s="45" t="n">
        <x:f aca="0">LUCK!D132</x:f>
        <x:v>55.297361076962446</x:v>
      </x:c>
      <x:c r="E164" s="45" t="n">
        <x:f aca="0">LUCK!E132</x:f>
        <x:v>19.427961435835122</x:v>
      </x:c>
      <x:c r="F164" s="45" t="n">
        <x:f aca="0">LUCK!F132</x:f>
        <x:v>27.534616013098077</x:v>
      </x:c>
      <x:c r="G164" s="45" t="n">
        <x:f aca="0">LUCK!G132</x:f>
        <x:v>36.7208914917797</x:v>
      </x:c>
    </x:row>
    <x:row r="165" ht="15" hidden="0">
      <x:c r="A165" s="10" t="s">
        <x:v>261</x:v>
      </x:c>
      <x:c r="B165" s="33"/>
      <x:c r="C165" s="45" t="n">
        <x:f aca="0">DGKC!C132</x:f>
        <x:v>2.665277021761826</x:v>
      </x:c>
      <x:c r="D165" s="45" t="n">
        <x:f aca="0">DGKC!D132</x:f>
        <x:v>2.7057478339935286</x:v>
      </x:c>
      <x:c r="E165" s="45" t="n">
        <x:f aca="0">DGKC!E132</x:f>
        <x:v>1.4774958199074884</x:v>
      </x:c>
      <x:c r="F165" s="45" t="n">
        <x:f aca="0">DGKC!F132</x:f>
        <x:v>1.367829033720977</x:v>
      </x:c>
      <x:c r="G165" s="45" t="n">
        <x:f aca="0">DGKC!G132</x:f>
        <x:v>4.421321516604763</x:v>
      </x:c>
    </x:row>
    <x:row r="166" ht="15" hidden="0">
      <x:c r="A166" s="10" t="s">
        <x:v>262</x:v>
      </x:c>
      <x:c r="B166" s="33"/>
      <x:c r="C166" s="45" t="n">
        <x:f aca="0">MLCF!C132</x:f>
        <x:v>6.069000565198944</x:v>
      </x:c>
      <x:c r="D166" s="45" t="n">
        <x:f aca="0">MLCF!D132</x:f>
        <x:v>5.280713598911259</x:v>
      </x:c>
      <x:c r="E166" s="45" t="n">
        <x:f aca="0">MLCF!E132</x:f>
        <x:v>4.472840944030858</x:v>
      </x:c>
      <x:c r="F166" s="45" t="n">
        <x:f aca="0">MLCF!F132</x:f>
        <x:v>3.222781857366191</x:v>
      </x:c>
      <x:c r="G166" s="45" t="n">
        <x:f aca="0">MLCF!G132</x:f>
        <x:v>7.387043000579386</x:v>
      </x:c>
    </x:row>
    <x:row r="167" ht="15" hidden="0">
      <x:c r="A167" s="10" t="s">
        <x:v>263</x:v>
      </x:c>
      <x:c r="B167" s="33"/>
      <x:c r="C167" s="45" t="n">
        <x:f aca="0">FCCL!C132</x:f>
        <x:v>56.640991401771736</x:v>
      </x:c>
      <x:c r="D167" s="45" t="n">
        <x:f aca="0">FCCL!D132</x:f>
        <x:v>12.790793831338474</x:v>
      </x:c>
      <x:c r="E167" s="45" t="n">
        <x:f aca="0">FCCL!E132</x:f>
        <x:v>6.303455869186725</x:v>
      </x:c>
      <x:c r="F167" s="45" t="n">
        <x:f aca="0">FCCL!F132</x:f>
        <x:v>3.782086656189459</x:v>
      </x:c>
      <x:c r="G167" s="45" t="n">
        <x:f aca="0">FCCL!G132</x:f>
        <x:v>4.810770991481205</x:v>
      </x:c>
    </x:row>
    <x:row r="168" ht="15" hidden="0">
      <x:c r="A168" s="46" t="s">
        <x:v>264</x:v>
      </x:c>
      <x:c r="B168" s="47"/>
      <x:c r="C168" s="48" t="n">
        <x:f aca="0">IF(COUNT(C163:C167)=0,"n/m",AVERAGE(C163:C167))</x:f>
        <x:v>25.68744083064653</x:v>
      </x:c>
      <x:c r="D168" s="48" t="n">
        <x:f aca="0">IF(COUNT(D163:D167)=0,"n/m",AVERAGE(D163:D167))</x:f>
        <x:v>18.887553758740463</x:v>
      </x:c>
      <x:c r="E168" s="48" t="n">
        <x:f aca="0">IF(COUNT(E163:E167)=0,"n/m",AVERAGE(E163:E167))</x:f>
        <x:v>9.61611586976683</x:v>
      </x:c>
      <x:c r="F168" s="48" t="n">
        <x:f aca="0">IF(COUNT(F163:F167)=0,"n/m",AVERAGE(F163:F167))</x:f>
        <x:v>11.65500675691597</x:v>
      </x:c>
      <x:c r="G168" s="48" t="n">
        <x:f aca="0">IF(COUNT(G163:G167)=0,"n/m",AVERAGE(G163:G167))</x:f>
        <x:v>22.487796039763474</x:v>
      </x:c>
    </x:row>
    <x:row r="170" ht="15" hidden="0">
      <x:c r="A170" s="20" t="s">
        <x:v>203</x:v>
      </x:c>
      <x:c r="B170" s="43" t="s">
        <x:v>204</x:v>
      </x:c>
      <x:c r="C170" s="21"/>
      <x:c r="D170" s="21"/>
      <x:c r="E170" s="21"/>
      <x:c r="F170" s="21"/>
      <x:c r="G170" s="21"/>
    </x:row>
    <x:row r="171" ht="15" hidden="0">
      <x:c r="A171" s="8" t="s">
        <x:v>259</x:v>
      </x:c>
      <x:c r="B171" s="33"/>
      <x:c r="C171" s="44" t="n">
        <x:f aca="0">KOHC!C133</x:f>
        <x:v>0.7315758637535726</x:v>
      </x:c>
      <x:c r="D171" s="44" t="n">
        <x:f aca="0">KOHC!D133</x:f>
        <x:v>0.3563402762598097</x:v>
      </x:c>
      <x:c r="E171" s="44" t="n">
        <x:f aca="0">KOHC!E133</x:f>
        <x:v>0.18253286758574166</x:v>
      </x:c>
      <x:c r="F171" s="44" t="n">
        <x:f aca="0">KOHC!F133</x:f>
        <x:v>0.07580684653859704</x:v>
      </x:c>
      <x:c r="G171" s="44" t="n">
        <x:f aca="0">KOHC!G133</x:f>
        <x:v>0.043350427185611946</x:v>
      </x:c>
    </x:row>
    <x:row r="172" ht="15" hidden="0">
      <x:c r="A172" s="10" t="s">
        <x:v>260</x:v>
      </x:c>
      <x:c r="B172" s="33"/>
      <x:c r="C172" s="45" t="n">
        <x:f aca="0">LUCK!C133</x:f>
        <x:v>0.35449367592621445</x:v>
      </x:c>
      <x:c r="D172" s="45" t="n">
        <x:f aca="0">LUCK!D133</x:f>
        <x:v>0.44506483760136756</x:v>
      </x:c>
      <x:c r="E172" s="45" t="n">
        <x:f aca="0">LUCK!E133</x:f>
        <x:v>0.6082321401838148</x:v>
      </x:c>
      <x:c r="F172" s="45" t="n">
        <x:f aca="0">LUCK!F133</x:f>
        <x:v>0.3623191660793304</x:v>
      </x:c>
      <x:c r="G172" s="45" t="n">
        <x:f aca="0">LUCK!G133</x:f>
        <x:v>0.2650534518659979</x:v>
      </x:c>
    </x:row>
    <x:row r="173" ht="15" hidden="0">
      <x:c r="A173" s="10" t="s">
        <x:v>261</x:v>
      </x:c>
      <x:c r="B173" s="33"/>
      <x:c r="C173" s="45" t="n">
        <x:f aca="0">DGKC!C133</x:f>
        <x:v>3.813191896771488</x:v>
      </x:c>
      <x:c r="D173" s="45" t="n">
        <x:f aca="0">DGKC!D133</x:f>
        <x:v>3.411159135548283</x:v>
      </x:c>
      <x:c r="E173" s="45" t="n">
        <x:f aca="0">DGKC!E133</x:f>
        <x:v>3.0221254833304125</x:v>
      </x:c>
      <x:c r="F173" s="45" t="n">
        <x:f aca="0">DGKC!F133</x:f>
        <x:v>2.2860253471832075</x:v>
      </x:c>
      <x:c r="G173" s="45" t="n">
        <x:f aca="0">DGKC!G133</x:f>
        <x:v>1.0304549257932554</x:v>
      </x:c>
    </x:row>
    <x:row r="174" ht="15" hidden="0">
      <x:c r="A174" s="10" t="s">
        <x:v>262</x:v>
      </x:c>
      <x:c r="B174" s="33"/>
      <x:c r="C174" s="45" t="n">
        <x:f aca="0">MLCF!C133</x:f>
        <x:v>1.3043528362015715</x:v>
      </x:c>
      <x:c r="D174" s="45" t="n">
        <x:f aca="0">MLCF!D133</x:f>
        <x:v>1.9887410592494228</x:v>
      </x:c>
      <x:c r="E174" s="45" t="n">
        <x:f aca="0">MLCF!E133</x:f>
        <x:v>1.2362853113221863</x:v>
      </x:c>
      <x:c r="F174" s="45" t="n">
        <x:f aca="0">MLCF!F133</x:f>
        <x:v>1.0377422935118947</x:v>
      </x:c>
      <x:c r="G174" s="45" t="n">
        <x:f aca="0">MLCF!G133</x:f>
        <x:v>0.43751507855019817</x:v>
      </x:c>
    </x:row>
    <x:row r="175" ht="15" hidden="0">
      <x:c r="A175" s="10" t="s">
        <x:v>263</x:v>
      </x:c>
      <x:c r="B175" s="33"/>
      <x:c r="C175" s="45" t="n">
        <x:f aca="0">FCCL!C133</x:f>
        <x:v>0.24458614853218485</x:v>
      </x:c>
      <x:c r="D175" s="45" t="n">
        <x:f aca="0">FCCL!D133</x:f>
        <x:v>1.9769322381186347</x:v>
      </x:c>
      <x:c r="E175" s="45" t="n">
        <x:f aca="0">FCCL!E133</x:f>
        <x:v>2.330771626609412</x:v>
      </x:c>
      <x:c r="F175" s="45" t="n">
        <x:f aca="0">FCCL!F133</x:f>
        <x:v>1.6450866382920604</x:v>
      </x:c>
      <x:c r="G175" s="45" t="n">
        <x:f aca="0">FCCL!G133</x:f>
        <x:v>1.1639093473655806</x:v>
      </x:c>
    </x:row>
    <x:row r="176" ht="15" hidden="0">
      <x:c r="A176" s="46" t="s">
        <x:v>264</x:v>
      </x:c>
      <x:c r="B176" s="47"/>
      <x:c r="C176" s="48" t="n">
        <x:f aca="0">IF(COUNT(C171:C175)=0,"n/m",AVERAGE(C171:C175))</x:f>
        <x:v>1.2896400842370064</x:v>
      </x:c>
      <x:c r="D176" s="48" t="n">
        <x:f aca="0">IF(COUNT(D171:D175)=0,"n/m",AVERAGE(D171:D175))</x:f>
        <x:v>1.6356475093555034</x:v>
      </x:c>
      <x:c r="E176" s="48" t="n">
        <x:f aca="0">IF(COUNT(E171:E175)=0,"n/m",AVERAGE(E171:E175))</x:f>
        <x:v>1.4759894858063134</x:v>
      </x:c>
      <x:c r="F176" s="48" t="n">
        <x:f aca="0">IF(COUNT(F171:F175)=0,"n/m",AVERAGE(F171:F175))</x:f>
        <x:v>1.081396058321018</x:v>
      </x:c>
      <x:c r="G176" s="48" t="n">
        <x:f aca="0">IF(COUNT(G171:G175)=0,"n/m",AVERAGE(G171:G175))</x:f>
        <x:v>0.5880566461521288</x:v>
      </x:c>
    </x:row>
    <x:row r="179" ht="19.5" hidden="0" customHeight="1">
      <x:c r="A179" s="5" t="s">
        <x:v>268</x:v>
      </x:c>
      <x:c r="B179" s="6"/>
      <x:c r="C179" s="6"/>
      <x:c r="D179" s="6"/>
      <x:c r="E179" s="6"/>
      <x:c r="F179" s="6"/>
      <x:c r="G179" s="6"/>
    </x:row>
    <x:row r="180" ht="15" hidden="0">
      <x:c r="A180" s="20" t="s">
        <x:v>206</x:v>
      </x:c>
      <x:c r="B180" s="43" t="s">
        <x:v>207</x:v>
      </x:c>
      <x:c r="C180" s="21"/>
      <x:c r="D180" s="21"/>
      <x:c r="E180" s="21"/>
      <x:c r="F180" s="21"/>
      <x:c r="G180" s="21"/>
    </x:row>
    <x:row r="181" ht="15" hidden="0">
      <x:c r="A181" s="8" t="s">
        <x:v>259</x:v>
      </x:c>
      <x:c r="B181" s="33"/>
      <x:c r="C181" s="55" t="n">
        <x:f aca="0">KOHC!C135</x:f>
        <x:v>0.2479634130082893</x:v>
      </x:c>
      <x:c r="D181" s="55" t="n">
        <x:f aca="0">KOHC!D135</x:f>
        <x:v>0.2984391421350988</x:v>
      </x:c>
      <x:c r="E181" s="55" t="n">
        <x:f aca="0">KOHC!E135</x:f>
        <x:v>0.2680435681898961</x:v>
      </x:c>
      <x:c r="F181" s="55" t="n">
        <x:f aca="0">KOHC!F135</x:f>
        <x:v>0.29125851467425595</x:v>
      </x:c>
      <x:c r="G181" s="55" t="n">
        <x:f aca="0">KOHC!G135</x:f>
        <x:v>0.39220278175445145</x:v>
      </x:c>
    </x:row>
    <x:row r="182" ht="15" hidden="0">
      <x:c r="A182" s="10" t="s">
        <x:v>260</x:v>
      </x:c>
      <x:c r="B182" s="33"/>
      <x:c r="C182" s="56" t="n">
        <x:f aca="0">LUCK!C135</x:f>
        <x:v>0.30117079055471246</x:v>
      </x:c>
      <x:c r="D182" s="56" t="n">
        <x:f aca="0">LUCK!D135</x:f>
        <x:v>0.278096691443614</x:v>
      </x:c>
      <x:c r="E182" s="56" t="n">
        <x:f aca="0">LUCK!E135</x:f>
        <x:v>0.2719408759567914</x:v>
      </x:c>
      <x:c r="F182" s="56" t="n">
        <x:f aca="0">LUCK!F135</x:f>
        <x:v>0.3364803079632158</x:v>
      </x:c>
      <x:c r="G182" s="56" t="n">
        <x:f aca="0">LUCK!G135</x:f>
        <x:v>0.342816529820673</x:v>
      </x:c>
    </x:row>
    <x:row r="183" ht="15" hidden="0">
      <x:c r="A183" s="10" t="s">
        <x:v>261</x:v>
      </x:c>
      <x:c r="B183" s="33"/>
      <x:c r="C183" s="56" t="n">
        <x:f aca="0">DGKC!C135</x:f>
        <x:v>0.1789471373949763</x:v>
      </x:c>
      <x:c r="D183" s="56" t="n">
        <x:f aca="0">DGKC!D135</x:f>
        <x:v>0.1796626113599641</x:v>
      </x:c>
      <x:c r="E183" s="56" t="n">
        <x:f aca="0">DGKC!E135</x:f>
        <x:v>0.147048524585835</x:v>
      </x:c>
      <x:c r="F183" s="56" t="n">
        <x:f aca="0">DGKC!F135</x:f>
        <x:v>0.1594256360843263</x:v>
      </x:c>
      <x:c r="G183" s="56" t="n">
        <x:f aca="0">DGKC!G135</x:f>
        <x:v>0.25740632547300923</x:v>
      </x:c>
    </x:row>
    <x:row r="184" ht="15" hidden="0">
      <x:c r="A184" s="10" t="s">
        <x:v>262</x:v>
      </x:c>
      <x:c r="B184" s="33"/>
      <x:c r="C184" s="56" t="n">
        <x:f aca="0">MLCF!C135</x:f>
        <x:v>0.20830714445240356</x:v>
      </x:c>
      <x:c r="D184" s="56" t="n">
        <x:f aca="0">MLCF!D135</x:f>
        <x:v>0.25300003367709667</x:v>
      </x:c>
      <x:c r="E184" s="56" t="n">
        <x:f aca="0">MLCF!E135</x:f>
        <x:v>0.2927632247172742</x:v>
      </x:c>
      <x:c r="F184" s="56" t="n">
        <x:f aca="0">MLCF!F135</x:f>
        <x:v>0.31547845382378364</x:v>
      </x:c>
      <x:c r="G184" s="56" t="n">
        <x:f aca="0">MLCF!G135</x:f>
        <x:v>0.3444440599046921</x:v>
      </x:c>
    </x:row>
    <x:row r="185" ht="15" hidden="0">
      <x:c r="A185" s="10" t="s">
        <x:v>263</x:v>
      </x:c>
      <x:c r="B185" s="33"/>
      <x:c r="C185" s="56" t="n">
        <x:f aca="0">FCCL!C135</x:f>
        <x:v>0.24985924725452316</x:v>
      </x:c>
      <x:c r="D185" s="56" t="n">
        <x:f aca="0">FCCL!D135</x:f>
        <x:v>0.28507903988852556</x:v>
      </x:c>
      <x:c r="E185" s="56" t="n">
        <x:f aca="0">FCCL!E135</x:f>
        <x:v>0.2999660404821077</x:v>
      </x:c>
      <x:c r="F185" s="56" t="n">
        <x:f aca="0">FCCL!F135</x:f>
        <x:v>0.3208998635022473</x:v>
      </x:c>
      <x:c r="G185" s="56" t="n">
        <x:f aca="0">FCCL!G135</x:f>
        <x:v>0.3549084220292905</x:v>
      </x:c>
    </x:row>
    <x:row r="186" ht="15" hidden="0">
      <x:c r="A186" s="46" t="s">
        <x:v>264</x:v>
      </x:c>
      <x:c r="B186" s="47"/>
      <x:c r="C186" s="57" t="n">
        <x:f aca="0">IF(COUNT(C181:C185)=0,"n/m",AVERAGE(C181:C185))</x:f>
        <x:v>0.23724954653298097</x:v>
      </x:c>
      <x:c r="D186" s="57" t="n">
        <x:f aca="0">IF(COUNT(D181:D185)=0,"n/m",AVERAGE(D181:D185))</x:f>
        <x:v>0.25885550370085986</x:v>
      </x:c>
      <x:c r="E186" s="57" t="n">
        <x:f aca="0">IF(COUNT(E181:E185)=0,"n/m",AVERAGE(E181:E185))</x:f>
        <x:v>0.25595244678638085</x:v>
      </x:c>
      <x:c r="F186" s="57" t="n">
        <x:f aca="0">IF(COUNT(F181:F185)=0,"n/m",AVERAGE(F181:F185))</x:f>
        <x:v>0.2847085552095658</x:v>
      </x:c>
      <x:c r="G186" s="57" t="n">
        <x:f aca="0">IF(COUNT(G181:G185)=0,"n/m",AVERAGE(G181:G185))</x:f>
        <x:v>0.33835562379642325</x:v>
      </x:c>
    </x:row>
    <x:row r="188" ht="15" hidden="0">
      <x:c r="A188" s="20" t="s">
        <x:v>208</x:v>
      </x:c>
      <x:c r="B188" s="43" t="s">
        <x:v>209</x:v>
      </x:c>
      <x:c r="C188" s="21"/>
      <x:c r="D188" s="21"/>
      <x:c r="E188" s="21"/>
      <x:c r="F188" s="21"/>
      <x:c r="G188" s="21"/>
    </x:row>
    <x:row r="189" ht="15" hidden="0">
      <x:c r="A189" s="8" t="s">
        <x:v>259</x:v>
      </x:c>
      <x:c r="B189" s="33"/>
      <x:c r="C189" s="55" t="n">
        <x:f aca="0">KOHC!C136</x:f>
        <x:v>0.2174940172918257</x:v>
      </x:c>
      <x:c r="D189" s="55" t="n">
        <x:f aca="0">KOHC!D136</x:f>
        <x:v>0.26684521417223683</x:v>
      </x:c>
      <x:c r="E189" s="55" t="n">
        <x:f aca="0">KOHC!E136</x:f>
        <x:v>0.23441531849714523</x:v>
      </x:c>
      <x:c r="F189" s="55" t="n">
        <x:f aca="0">KOHC!F136</x:f>
        <x:v>0.25877948344250634</x:v>
      </x:c>
      <x:c r="G189" s="55" t="n">
        <x:f aca="0">KOHC!G136</x:f>
        <x:v>0.34143534845456586</x:v>
      </x:c>
    </x:row>
    <x:row r="190" ht="15" hidden="0">
      <x:c r="A190" s="10" t="s">
        <x:v>260</x:v>
      </x:c>
      <x:c r="B190" s="33"/>
      <x:c r="C190" s="56" t="n">
        <x:f aca="0">LUCK!C136</x:f>
        <x:v>0.18004359810777762</x:v>
      </x:c>
      <x:c r="D190" s="56" t="n">
        <x:f aca="0">LUCK!D136</x:f>
        <x:v>0.1779173984606045</x:v>
      </x:c>
      <x:c r="E190" s="56" t="n">
        <x:f aca="0">LUCK!E136</x:f>
        <x:v>0.17181730260097375</x:v>
      </x:c>
      <x:c r="F190" s="56" t="n">
        <x:f aca="0">LUCK!F136</x:f>
        <x:v>0.22886089116784467</x:v>
      </x:c>
      <x:c r="G190" s="56" t="n">
        <x:f aca="0">LUCK!G136</x:f>
        <x:v>0.22670718514712962</x:v>
      </x:c>
    </x:row>
    <x:row r="191" ht="15" hidden="0">
      <x:c r="A191" s="10" t="s">
        <x:v>261</x:v>
      </x:c>
      <x:c r="B191" s="33"/>
      <x:c r="C191" s="56" t="n">
        <x:f aca="0">DGKC!C136</x:f>
        <x:v>0.11451399971933833</x:v>
      </x:c>
      <x:c r="D191" s="56" t="n">
        <x:f aca="0">DGKC!D136</x:f>
        <x:v>0.11847261096319517</x:v>
      </x:c>
      <x:c r="E191" s="56" t="n">
        <x:f aca="0">DGKC!E136</x:f>
        <x:v>0.10245374767974941</x:v>
      </x:c>
      <x:c r="F191" s="56" t="n">
        <x:f aca="0">DGKC!F136</x:f>
        <x:v>0.1000204289337119</x:v>
      </x:c>
      <x:c r="G191" s="56" t="n">
        <x:f aca="0">DGKC!G136</x:f>
        <x:v>0.17530880023555062</x:v>
      </x:c>
    </x:row>
    <x:row r="192" ht="15" hidden="0">
      <x:c r="A192" s="10" t="s">
        <x:v>262</x:v>
      </x:c>
      <x:c r="B192" s="33"/>
      <x:c r="C192" s="56" t="n">
        <x:f aca="0">MLCF!C136</x:f>
        <x:v>0.14213957498981164</x:v>
      </x:c>
      <x:c r="D192" s="56" t="n">
        <x:f aca="0">MLCF!D136</x:f>
        <x:v>0.18277011721154793</x:v>
      </x:c>
      <x:c r="E192" s="56" t="n">
        <x:f aca="0">MLCF!E136</x:f>
        <x:v>0.19097413673296146</x:v>
      </x:c>
      <x:c r="F192" s="56" t="n">
        <x:f aca="0">MLCF!F136</x:f>
        <x:v>0.19131892826420518</x:v>
      </x:c>
      <x:c r="G192" s="56" t="n">
        <x:f aca="0">MLCF!G136</x:f>
        <x:v>0.2280930676582029</x:v>
      </x:c>
    </x:row>
    <x:row r="193" ht="15" hidden="0">
      <x:c r="A193" s="10" t="s">
        <x:v>263</x:v>
      </x:c>
      <x:c r="B193" s="33"/>
      <x:c r="C193" s="56" t="n">
        <x:f aca="0">FCCL!C136</x:f>
        <x:v>0.20485989925955708</x:v>
      </x:c>
      <x:c r="D193" s="56" t="n">
        <x:f aca="0">FCCL!D136</x:f>
        <x:v>0.21665144691719232</x:v>
      </x:c>
      <x:c r="E193" s="56" t="n">
        <x:f aca="0">FCCL!E136</x:f>
        <x:v>0.2289064691471258</x:v>
      </x:c>
      <x:c r="F193" s="56" t="n">
        <x:f aca="0">FCCL!F136</x:f>
        <x:v>0.25056237189043495</x:v>
      </x:c>
      <x:c r="G193" s="56" t="n">
        <x:f aca="0">FCCL!G136</x:f>
        <x:v>0.2862983395627571</x:v>
      </x:c>
    </x:row>
    <x:row r="194" ht="15" hidden="0">
      <x:c r="A194" s="46" t="s">
        <x:v>264</x:v>
      </x:c>
      <x:c r="B194" s="47"/>
      <x:c r="C194" s="57" t="n">
        <x:f aca="0">IF(COUNT(C189:C193)=0,"n/m",AVERAGE(C189:C193))</x:f>
        <x:v>0.17181021787366207</x:v>
      </x:c>
      <x:c r="D194" s="57" t="n">
        <x:f aca="0">IF(COUNT(D189:D193)=0,"n/m",AVERAGE(D189:D193))</x:f>
        <x:v>0.19253135754495534</x:v>
      </x:c>
      <x:c r="E194" s="57" t="n">
        <x:f aca="0">IF(COUNT(E189:E193)=0,"n/m",AVERAGE(E189:E193))</x:f>
        <x:v>0.18571339493159114</x:v>
      </x:c>
      <x:c r="F194" s="57" t="n">
        <x:f aca="0">IF(COUNT(F189:F193)=0,"n/m",AVERAGE(F189:F193))</x:f>
        <x:v>0.20590842073974064</x:v>
      </x:c>
      <x:c r="G194" s="57" t="n">
        <x:f aca="0">IF(COUNT(G189:G193)=0,"n/m",AVERAGE(G189:G193))</x:f>
        <x:v>0.2515685482116412</x:v>
      </x:c>
    </x:row>
    <x:row r="196" ht="15" hidden="0">
      <x:c r="A196" s="20" t="s">
        <x:v>210</x:v>
      </x:c>
      <x:c r="B196" s="43" t="s">
        <x:v>211</x:v>
      </x:c>
      <x:c r="C196" s="21"/>
      <x:c r="D196" s="21"/>
      <x:c r="E196" s="21"/>
      <x:c r="F196" s="21"/>
      <x:c r="G196" s="21"/>
    </x:row>
    <x:row r="197" ht="15" hidden="0">
      <x:c r="A197" s="8" t="s">
        <x:v>259</x:v>
      </x:c>
      <x:c r="B197" s="33"/>
      <x:c r="C197" s="55" t="n">
        <x:f aca="0">KOHC!C137</x:f>
        <x:v>0.1453819089897026</x:v>
      </x:c>
      <x:c r="D197" s="55" t="n">
        <x:f aca="0">KOHC!D137</x:f>
        <x:v>0.15282075695786385</x:v>
      </x:c>
      <x:c r="E197" s="55" t="n">
        <x:f aca="0">KOHC!E137</x:f>
        <x:v>0.14955052871384544</x:v>
      </x:c>
      <x:c r="F197" s="55" t="n">
        <x:f aca="0">KOHC!F137</x:f>
        <x:v>0.23011561219895646</x:v>
      </x:c>
      <x:c r="G197" s="55" t="n">
        <x:f aca="0">KOHC!G137</x:f>
        <x:v>0.3083771970759486</x:v>
      </x:c>
    </x:row>
    <x:row r="198" ht="15" hidden="0">
      <x:c r="A198" s="10" t="s">
        <x:v>260</x:v>
      </x:c>
      <x:c r="B198" s="33"/>
      <x:c r="C198" s="56" t="n">
        <x:f aca="0">LUCK!C137</x:f>
        <x:v>0.22354637821997994</x:v>
      </x:c>
      <x:c r="D198" s="56" t="n">
        <x:f aca="0">LUCK!D137</x:f>
        <x:v>0.18865400166042842</x:v>
      </x:c>
      <x:c r="E198" s="56" t="n">
        <x:f aca="0">LUCK!E137</x:f>
        <x:v>0.14322765825125466</x:v>
      </x:c>
      <x:c r="F198" s="56" t="n">
        <x:f aca="0">LUCK!F137</x:f>
        <x:v>0.24371604713228476</x:v>
      </x:c>
      <x:c r="G198" s="56" t="n">
        <x:f aca="0">LUCK!G137</x:f>
        <x:v>0.26577542757733763</x:v>
      </x:c>
    </x:row>
    <x:row r="199" ht="15" hidden="0">
      <x:c r="A199" s="10" t="s">
        <x:v>261</x:v>
      </x:c>
      <x:c r="B199" s="33"/>
      <x:c r="C199" s="56" t="n">
        <x:f aca="0">DGKC!C137</x:f>
        <x:v>0.08249752980035112</x:v>
      </x:c>
      <x:c r="D199" s="56" t="n">
        <x:f aca="0">DGKC!D137</x:f>
        <x:v>0.05120493100192175</x:v>
      </x:c>
      <x:c r="E199" s="56" t="n">
        <x:f aca="0">DGKC!E137</x:f>
        <x:v>-0.05595201919567025</x:v>
      </x:c>
      <x:c r="F199" s="56" t="n">
        <x:f aca="0">DGKC!F137</x:f>
        <x:v>0.008213306596683071</x:v>
      </x:c>
      <x:c r="G199" s="56" t="n">
        <x:f aca="0">DGKC!G137</x:f>
        <x:v>0.12066652759857006</x:v>
      </x:c>
    </x:row>
    <x:row r="200" ht="15" hidden="0">
      <x:c r="A200" s="10" t="s">
        <x:v>262</x:v>
      </x:c>
      <x:c r="B200" s="33"/>
      <x:c r="C200" s="56" t="n">
        <x:f aca="0">MLCF!C137</x:f>
        <x:v>0.1759822170452098</x:v>
      </x:c>
      <x:c r="D200" s="56" t="n">
        <x:f aca="0">MLCF!D137</x:f>
        <x:v>0.07473965893633715</x:v>
      </x:c>
      <x:c r="E200" s="56" t="n">
        <x:f aca="0">MLCF!E137</x:f>
        <x:v>0.07235844154915244</x:v>
      </x:c>
      <x:c r="F200" s="56" t="n">
        <x:f aca="0">MLCF!F137</x:f>
        <x:v>0.07934297520984508</x:v>
      </x:c>
      <x:c r="G200" s="56" t="n">
        <x:f aca="0">MLCF!G137</x:f>
        <x:v>0.24711008947956384</x:v>
      </x:c>
    </x:row>
    <x:row r="201" ht="15" hidden="0">
      <x:c r="A201" s="10" t="s">
        <x:v>263</x:v>
      </x:c>
      <x:c r="B201" s="33"/>
      <x:c r="C201" s="56" t="n">
        <x:f aca="0">FCCL!C137</x:f>
        <x:v>0.14302295902338913</x:v>
      </x:c>
      <x:c r="D201" s="56" t="n">
        <x:f aca="0">FCCL!D137</x:f>
        <x:v>0.13112336204567002</x:v>
      </x:c>
      <x:c r="E201" s="56" t="n">
        <x:f aca="0">FCCL!E137</x:f>
        <x:v>0.10929571726641699</x:v>
      </x:c>
      <x:c r="F201" s="56" t="n">
        <x:f aca="0">FCCL!F137</x:f>
        <x:v>0.10275526425549537</x:v>
      </x:c>
      <x:c r="G201" s="56" t="n">
        <x:f aca="0">FCCL!G137</x:f>
        <x:v>0.14980611609777766</x:v>
      </x:c>
    </x:row>
    <x:row r="202" ht="15" hidden="0">
      <x:c r="A202" s="46" t="s">
        <x:v>264</x:v>
      </x:c>
      <x:c r="B202" s="47"/>
      <x:c r="C202" s="57" t="n">
        <x:f aca="0">IF(COUNT(C197:C201)=0,"n/m",AVERAGE(C197:C201))</x:f>
        <x:v>0.15408619861572653</x:v>
      </x:c>
      <x:c r="D202" s="57" t="n">
        <x:f aca="0">IF(COUNT(D197:D201)=0,"n/m",AVERAGE(D197:D201))</x:f>
        <x:v>0.11970854212044424</x:v>
      </x:c>
      <x:c r="E202" s="57" t="n">
        <x:f aca="0">IF(COUNT(E197:E201)=0,"n/m",AVERAGE(E197:E201))</x:f>
        <x:v>0.08369606531699984</x:v>
      </x:c>
      <x:c r="F202" s="57" t="n">
        <x:f aca="0">IF(COUNT(F197:F201)=0,"n/m",AVERAGE(F197:F201))</x:f>
        <x:v>0.13282864107865294</x:v>
      </x:c>
      <x:c r="G202" s="57" t="n">
        <x:f aca="0">IF(COUNT(G197:G201)=0,"n/m",AVERAGE(G197:G201))</x:f>
        <x:v>0.21834707156583955</x:v>
      </x:c>
    </x:row>
    <x:row r="204" ht="15" hidden="0">
      <x:c r="A204" s="20" t="s">
        <x:v>212</x:v>
      </x:c>
      <x:c r="B204" s="43" t="s">
        <x:v>213</x:v>
      </x:c>
      <x:c r="C204" s="21"/>
      <x:c r="D204" s="21"/>
      <x:c r="E204" s="21"/>
      <x:c r="F204" s="21"/>
      <x:c r="G204" s="21"/>
    </x:row>
    <x:row r="205" ht="15" hidden="0">
      <x:c r="A205" s="8" t="s">
        <x:v>259</x:v>
      </x:c>
      <x:c r="B205" s="33"/>
      <x:c r="C205" s="55" t="n">
        <x:f aca="0">KOHC!C138</x:f>
        <x:v>0.10310501881607244</x:v>
      </x:c>
      <x:c r="D205" s="55" t="n">
        <x:f aca="0">KOHC!D138</x:f>
        <x:v>0.12649629238438423</x:v>
      </x:c>
      <x:c r="E205" s="55" t="n">
        <x:f aca="0">KOHC!E138</x:f>
        <x:v>0.12533816876597817</x:v>
      </x:c>
      <x:c r="F205" s="55" t="n">
        <x:f aca="0">KOHC!F138</x:f>
        <x:v>0.1641262004883521</x:v>
      </x:c>
      <x:c r="G205" s="55" t="n">
        <x:f aca="0">KOHC!G138</x:f>
        <x:v>0.184262568360198</x:v>
      </x:c>
    </x:row>
    <x:row r="206" ht="15" hidden="0">
      <x:c r="A206" s="10" t="s">
        <x:v>260</x:v>
      </x:c>
      <x:c r="B206" s="33"/>
      <x:c r="C206" s="56" t="n">
        <x:f aca="0">LUCK!C138</x:f>
        <x:v>0.09629315480251932</x:v>
      </x:c>
      <x:c r="D206" s="56" t="n">
        <x:f aca="0">LUCK!D138</x:f>
        <x:v>0.08964110231836049</x:v>
      </x:c>
      <x:c r="E206" s="56" t="n">
        <x:f aca="0">LUCK!E138</x:f>
        <x:v>0.06896675970430062</x:v>
      </x:c>
      <x:c r="F206" s="56" t="n">
        <x:f aca="0">LUCK!F138</x:f>
        <x:v>0.12572899898802087</x:v>
      </x:c>
      <x:c r="G206" s="56" t="n">
        <x:f aca="0">LUCK!G138</x:f>
        <x:v>0.1321661377570831</x:v>
      </x:c>
    </x:row>
    <x:row r="207" ht="15" hidden="0">
      <x:c r="A207" s="10" t="s">
        <x:v>261</x:v>
      </x:c>
      <x:c r="B207" s="33"/>
      <x:c r="C207" s="56" t="n">
        <x:f aca="0">DGKC!C138</x:f>
        <x:v>0.02782819549249883</x:v>
      </x:c>
      <x:c r="D207" s="56" t="n">
        <x:f aca="0">DGKC!D138</x:f>
        <x:v>0.02165829357934079</x:v>
      </x:c>
      <x:c r="E207" s="56" t="n">
        <x:f aca="0">DGKC!E138</x:f>
        <x:v>-0.02680654259571699</x:v>
      </x:c>
      <x:c r="F207" s="56" t="n">
        <x:f aca="0">DGKC!F138</x:f>
        <x:v>0.003972156500839445</x:v>
      </x:c>
      <x:c r="G207" s="56" t="n">
        <x:f aca="0">DGKC!G138</x:f>
        <x:v>0.06102535496914953</x:v>
      </x:c>
    </x:row>
    <x:row r="208" ht="15" hidden="0">
      <x:c r="A208" s="10" t="s">
        <x:v>262</x:v>
      </x:c>
      <x:c r="B208" s="33"/>
      <x:c r="C208" s="56" t="n">
        <x:f aca="0">MLCF!C138</x:f>
        <x:v>0.09458077842208146</x:v>
      </x:c>
      <x:c r="D208" s="56" t="n">
        <x:f aca="0">MLCF!D138</x:f>
        <x:v>0.04885489790580065</x:v>
      </x:c>
      <x:c r="E208" s="56" t="n">
        <x:f aca="0">MLCF!E138</x:f>
        <x:v>0.05225242917103048</x:v>
      </x:c>
      <x:c r="F208" s="56" t="n">
        <x:f aca="0">MLCF!F138</x:f>
        <x:v>0.0557722788631608</x:v>
      </x:c>
      <x:c r="G208" s="56" t="n">
        <x:f aca="0">MLCF!G138</x:f>
        <x:v>0.1559593693017428</x:v>
      </x:c>
    </x:row>
    <x:row r="209" ht="15" hidden="0">
      <x:c r="A209" s="10" t="s">
        <x:v>263</x:v>
      </x:c>
      <x:c r="B209" s="33"/>
      <x:c r="C209" s="56" t="n">
        <x:f aca="0">FCCL!C138</x:f>
        <x:v>0.10974843292728989</x:v>
      </x:c>
      <x:c r="D209" s="56" t="n">
        <x:f aca="0">FCCL!D138</x:f>
        <x:v>0.09627783652403621</x:v>
      </x:c>
      <x:c r="E209" s="56" t="n">
        <x:f aca="0">FCCL!E138</x:f>
        <x:v>0.0589219651789994</x:v>
      </x:c>
      <x:c r="F209" s="56" t="n">
        <x:f aca="0">FCCL!F138</x:f>
        <x:v>0.05741100557431145</x:v>
      </x:c>
      <x:c r="G209" s="56" t="n">
        <x:f aca="0">FCCL!G138</x:f>
        <x:v>0.08639871390662689</x:v>
      </x:c>
    </x:row>
    <x:row r="210" ht="15" hidden="0">
      <x:c r="A210" s="46" t="s">
        <x:v>264</x:v>
      </x:c>
      <x:c r="B210" s="47"/>
      <x:c r="C210" s="57" t="n">
        <x:f aca="0">IF(COUNT(C205:C209)=0,"n/m",AVERAGE(C205:C209))</x:f>
        <x:v>0.08631111609209238</x:v>
      </x:c>
      <x:c r="D210" s="57" t="n">
        <x:f aca="0">IF(COUNT(D205:D209)=0,"n/m",AVERAGE(D205:D209))</x:f>
        <x:v>0.07658568454238449</x:v>
      </x:c>
      <x:c r="E210" s="57" t="n">
        <x:f aca="0">IF(COUNT(E205:E209)=0,"n/m",AVERAGE(E205:E209))</x:f>
        <x:v>0.05573455604491834</x:v>
      </x:c>
      <x:c r="F210" s="57" t="n">
        <x:f aca="0">IF(COUNT(F205:F209)=0,"n/m",AVERAGE(F205:F209))</x:f>
        <x:v>0.08140212808293693</x:v>
      </x:c>
      <x:c r="G210" s="57" t="n">
        <x:f aca="0">IF(COUNT(G205:G209)=0,"n/m",AVERAGE(G205:G209))</x:f>
        <x:v>0.12396242885896007</x:v>
      </x:c>
    </x:row>
    <x:row r="212" ht="15" hidden="0">
      <x:c r="A212" s="20" t="s">
        <x:v>214</x:v>
      </x:c>
      <x:c r="B212" s="43" t="s">
        <x:v>215</x:v>
      </x:c>
      <x:c r="C212" s="21"/>
      <x:c r="D212" s="21"/>
      <x:c r="E212" s="21"/>
      <x:c r="F212" s="21"/>
      <x:c r="G212" s="21"/>
    </x:row>
    <x:row r="213" ht="15" hidden="0">
      <x:c r="A213" s="8" t="s">
        <x:v>259</x:v>
      </x:c>
      <x:c r="B213" s="33"/>
      <x:c r="C213" s="55" t="n">
        <x:f aca="0">KOHC!C139</x:f>
        <x:v>0.1708175375326949</x:v>
      </x:c>
      <x:c r="D213" s="55" t="n">
        <x:f aca="0">KOHC!D139</x:f>
        <x:v>0.2031253153612202</x:v>
      </x:c>
      <x:c r="E213" s="55" t="n">
        <x:f aca="0">KOHC!E139</x:f>
        <x:v>0.1944909568032407</x:v>
      </x:c>
      <x:c r="F213" s="55" t="n">
        <x:f aca="0">KOHC!F139</x:f>
        <x:v>0.24134090965005384</x:v>
      </x:c>
      <x:c r="G213" s="55" t="n">
        <x:f aca="0">KOHC!G139</x:f>
        <x:v>0.25998290898160303</x:v>
      </x:c>
    </x:row>
    <x:row r="214" ht="15" hidden="0">
      <x:c r="A214" s="10" t="s">
        <x:v>260</x:v>
      </x:c>
      <x:c r="B214" s="33"/>
      <x:c r="C214" s="56" t="n">
        <x:f aca="0">LUCK!C139</x:f>
        <x:v>0.13249756211762712</x:v>
      </x:c>
      <x:c r="D214" s="56" t="n">
        <x:f aca="0">LUCK!D139</x:f>
        <x:v>0.1265705399848834</x:v>
      </x:c>
      <x:c r="E214" s="56" t="n">
        <x:f aca="0">LUCK!E139</x:f>
        <x:v>0.10323783929435384</x:v>
      </x:c>
      <x:c r="F214" s="56" t="n">
        <x:f aca="0">LUCK!F139</x:f>
        <x:v>0.19715059997190104</x:v>
      </x:c>
      <x:c r="G214" s="56" t="n">
        <x:f aca="0">LUCK!G139</x:f>
        <x:v>0.2044798130421526</x:v>
      </x:c>
    </x:row>
    <x:row r="215" ht="15" hidden="0">
      <x:c r="A215" s="10" t="s">
        <x:v>261</x:v>
      </x:c>
      <x:c r="B215" s="33"/>
      <x:c r="C215" s="56" t="n">
        <x:f aca="0">DGKC!C139</x:f>
        <x:v>0.05311474576838488</x:v>
      </x:c>
      <x:c r="D215" s="56" t="n">
        <x:f aca="0">DGKC!D139</x:f>
        <x:v>0.041453492679972344</x:v>
      </x:c>
      <x:c r="E215" s="56" t="n">
        <x:f aca="0">DGKC!E139</x:f>
        <x:v>-0.05422363320589824</x:v>
      </x:c>
      <x:c r="F215" s="56" t="n">
        <x:f aca="0">DGKC!F139</x:f>
        <x:v>0.007746311290114197</x:v>
      </x:c>
      <x:c r="G215" s="56" t="n">
        <x:f aca="0">DGKC!G139</x:f>
        <x:v>0.10175126160150023</x:v>
      </x:c>
    </x:row>
    <x:row r="216" ht="15" hidden="0">
      <x:c r="A216" s="10" t="s">
        <x:v>262</x:v>
      </x:c>
      <x:c r="B216" s="33"/>
      <x:c r="C216" s="56" t="n">
        <x:f aca="0">MLCF!C139</x:f>
        <x:v>0.18163818640771748</x:v>
      </x:c>
      <x:c r="D216" s="56" t="n">
        <x:f aca="0">MLCF!D139</x:f>
        <x:v>0.09286217037724577</x:v>
      </x:c>
      <x:c r="E216" s="56" t="n">
        <x:f aca="0">MLCF!E139</x:f>
        <x:v>0.10510254167180039</x:v>
      </x:c>
      <x:c r="F216" s="56" t="n">
        <x:f aca="0">MLCF!F139</x:f>
        <x:v>0.10812221617479151</x:v>
      </x:c>
      <x:c r="G216" s="56" t="n">
        <x:f aca="0">MLCF!G139</x:f>
        <x:v>0.2746085954343051</x:v>
      </x:c>
    </x:row>
    <x:row r="217" ht="15" hidden="0">
      <x:c r="A217" s="10" t="s">
        <x:v>263</x:v>
      </x:c>
      <x:c r="B217" s="33"/>
      <x:c r="C217" s="56" t="n">
        <x:f aca="0">FCCL!C139</x:f>
        <x:v>0.16115839021414832</x:v>
      </x:c>
      <x:c r="D217" s="56" t="n">
        <x:f aca="0">FCCL!D139</x:f>
        <x:v>0.17559284966237051</x:v>
      </x:c>
      <x:c r="E217" s="56" t="n">
        <x:f aca="0">FCCL!E139</x:f>
        <x:v>0.12105723655011702</x:v>
      </x:c>
      <x:c r="F217" s="56" t="n">
        <x:f aca="0">FCCL!F139</x:f>
        <x:v>0.11868144080382984</x:v>
      </x:c>
      <x:c r="G217" s="56" t="n">
        <x:f aca="0">FCCL!G139</x:f>
        <x:v>0.1690380202363196</x:v>
      </x:c>
    </x:row>
    <x:row r="218" ht="15" hidden="0">
      <x:c r="A218" s="46" t="s">
        <x:v>264</x:v>
      </x:c>
      <x:c r="B218" s="47"/>
      <x:c r="C218" s="57" t="n">
        <x:f aca="0">IF(COUNT(C213:C217)=0,"n/m",AVERAGE(C213:C217))</x:f>
        <x:v>0.13984528440811456</x:v>
      </x:c>
      <x:c r="D218" s="57" t="n">
        <x:f aca="0">IF(COUNT(D213:D217)=0,"n/m",AVERAGE(D213:D217))</x:f>
        <x:v>0.12792087361313845</x:v>
      </x:c>
      <x:c r="E218" s="57" t="n">
        <x:f aca="0">IF(COUNT(E213:E217)=0,"n/m",AVERAGE(E213:E217))</x:f>
        <x:v>0.09393298822272274</x:v>
      </x:c>
      <x:c r="F218" s="57" t="n">
        <x:f aca="0">IF(COUNT(F213:F217)=0,"n/m",AVERAGE(F213:F217))</x:f>
        <x:v>0.13460829557813808</x:v>
      </x:c>
      <x:c r="G218" s="57" t="n">
        <x:f aca="0">IF(COUNT(G213:G217)=0,"n/m",AVERAGE(G213:G217))</x:f>
        <x:v>0.2019721198591761</x:v>
      </x:c>
    </x:row>
    <x:row r="220" ht="15" hidden="0">
      <x:c r="A220" s="20" t="s">
        <x:v>216</x:v>
      </x:c>
      <x:c r="B220" s="43" t="s">
        <x:v>217</x:v>
      </x:c>
      <x:c r="C220" s="21"/>
      <x:c r="D220" s="21"/>
      <x:c r="E220" s="21"/>
      <x:c r="F220" s="21"/>
      <x:c r="G220" s="21"/>
    </x:row>
    <x:row r="221" ht="15" hidden="0">
      <x:c r="A221" s="8" t="s">
        <x:v>259</x:v>
      </x:c>
      <x:c r="B221" s="33"/>
      <x:c r="C221" s="55" t="n">
        <x:f aca="0">KOHC!C140</x:f>
        <x:v>0.14327122643181978</x:v>
      </x:c>
      <x:c r="D221" s="55" t="n">
        <x:f aca="0">KOHC!D140</x:f>
        <x:v>0.17824324729851332</x:v>
      </x:c>
      <x:c r="E221" s="55" t="n">
        <x:f aca="0">KOHC!E140</x:f>
        <x:v>0.18523585661078099</x:v>
      </x:c>
      <x:c r="F221" s="55" t="n">
        <x:f aca="0">KOHC!F140</x:f>
        <x:v>0.23570906894923696</x:v>
      </x:c>
      <x:c r="G221" s="55" t="n">
        <x:f aca="0">KOHC!G140</x:f>
        <x:v>0.25214553924649025</x:v>
      </x:c>
    </x:row>
    <x:row r="222" ht="15" hidden="0">
      <x:c r="A222" s="10" t="s">
        <x:v>260</x:v>
      </x:c>
      <x:c r="B222" s="33"/>
      <x:c r="C222" s="56" t="n">
        <x:f aca="0">LUCK!C140</x:f>
        <x:v>0.12407020191785936</x:v>
      </x:c>
      <x:c r="D222" s="56" t="n">
        <x:f aca="0">LUCK!D140</x:f>
        <x:v>0.11634647447890245</x:v>
      </x:c>
      <x:c r="E222" s="56" t="n">
        <x:f aca="0">LUCK!E140</x:f>
        <x:v>0.09570891419697462</x:v>
      </x:c>
      <x:c r="F222" s="56" t="n">
        <x:f aca="0">LUCK!F140</x:f>
        <x:v>0.1787383675569278</x:v>
      </x:c>
      <x:c r="G222" s="56" t="n">
        <x:f aca="0">LUCK!G140</x:f>
        <x:v>0.18835780074997993</x:v>
      </x:c>
    </x:row>
    <x:row r="223" ht="15" hidden="0">
      <x:c r="A223" s="10" t="s">
        <x:v>261</x:v>
      </x:c>
      <x:c r="B223" s="33"/>
      <x:c r="C223" s="56" t="n">
        <x:f aca="0">DGKC!C140</x:f>
        <x:v>0.05185364586076227</x:v>
      </x:c>
      <x:c r="D223" s="56" t="n">
        <x:f aca="0">DGKC!D140</x:f>
        <x:v>0.0405309965203835</x:v>
      </x:c>
      <x:c r="E223" s="56" t="n">
        <x:f aca="0">DGKC!E140</x:f>
        <x:v>0.05416006430346929</x:v>
      </x:c>
      <x:c r="F223" s="56" t="n">
        <x:f aca="0">DGKC!F140</x:f>
        <x:v>0.06097480096087647</x:v>
      </x:c>
      <x:c r="G223" s="56" t="n">
        <x:f aca="0">DGKC!G140</x:f>
        <x:v>0.09929184900187035</x:v>
      </x:c>
    </x:row>
    <x:row r="224" ht="15" hidden="0">
      <x:c r="A224" s="10" t="s">
        <x:v>262</x:v>
      </x:c>
      <x:c r="B224" s="33"/>
      <x:c r="C224" s="56" t="n">
        <x:f aca="0">MLCF!C140</x:f>
        <x:v>0.140804883114224</x:v>
      </x:c>
      <x:c r="D224" s="56" t="n">
        <x:f aca="0">MLCF!D140</x:f>
        <x:v>0.07552102511911654</x:v>
      </x:c>
      <x:c r="E224" s="56" t="n">
        <x:f aca="0">MLCF!E140</x:f>
        <x:v>0.08943041686178571</x:v>
      </x:c>
      <x:c r="F224" s="56" t="n">
        <x:f aca="0">MLCF!F140</x:f>
        <x:v>0.1128071865450392</x:v>
      </x:c>
      <x:c r="G224" s="56" t="n">
        <x:f aca="0">MLCF!G140</x:f>
        <x:v>0.25096399764604915</x:v>
      </x:c>
    </x:row>
    <x:row r="225" ht="15" hidden="0">
      <x:c r="A225" s="10" t="s">
        <x:v>263</x:v>
      </x:c>
      <x:c r="B225" s="33"/>
      <x:c r="C225" s="56" t="n">
        <x:f aca="0">FCCL!C140</x:f>
        <x:v>0.14667479520486254</x:v>
      </x:c>
      <x:c r="D225" s="56" t="n">
        <x:f aca="0">FCCL!D140</x:f>
        <x:v>0.13438749624409813</x:v>
      </x:c>
      <x:c r="E225" s="56" t="n">
        <x:f aca="0">FCCL!E140</x:f>
        <x:v>0.09343071635815868</x:v>
      </x:c>
      <x:c r="F225" s="56" t="n">
        <x:f aca="0">FCCL!F140</x:f>
        <x:v>0.09703702948567723</x:v>
      </x:c>
      <x:c r="G225" s="56" t="n">
        <x:f aca="0">FCCL!G140</x:f>
        <x:v>0.1397420092007453</x:v>
      </x:c>
    </x:row>
    <x:row r="226" ht="15" hidden="0">
      <x:c r="A226" s="46" t="s">
        <x:v>264</x:v>
      </x:c>
      <x:c r="B226" s="47"/>
      <x:c r="C226" s="57" t="n">
        <x:f aca="0">IF(COUNT(C221:C225)=0,"n/m",AVERAGE(C221:C225))</x:f>
        <x:v>0.12133495050590559</x:v>
      </x:c>
      <x:c r="D226" s="57" t="n">
        <x:f aca="0">IF(COUNT(D221:D225)=0,"n/m",AVERAGE(D221:D225))</x:f>
        <x:v>0.10900584793220278</x:v>
      </x:c>
      <x:c r="E226" s="57" t="n">
        <x:f aca="0">IF(COUNT(E221:E225)=0,"n/m",AVERAGE(E221:E225))</x:f>
        <x:v>0.10359319366623385</x:v>
      </x:c>
      <x:c r="F226" s="57" t="n">
        <x:f aca="0">IF(COUNT(F221:F225)=0,"n/m",AVERAGE(F221:F225))</x:f>
        <x:v>0.13705329069955155</x:v>
      </x:c>
      <x:c r="G226" s="57" t="n">
        <x:f aca="0">IF(COUNT(G221:G225)=0,"n/m",AVERAGE(G221:G225))</x:f>
        <x:v>0.18610023916902702</x:v>
      </x:c>
    </x:row>
    <x:row r="228" ht="15" hidden="0">
      <x:c r="A228" s="20" t="s">
        <x:v>218</x:v>
      </x:c>
      <x:c r="B228" s="43" t="s">
        <x:v>219</x:v>
      </x:c>
      <x:c r="C228" s="21"/>
      <x:c r="D228" s="21"/>
      <x:c r="E228" s="21"/>
      <x:c r="F228" s="21"/>
      <x:c r="G228" s="21"/>
    </x:row>
    <x:row r="229" ht="15" hidden="0">
      <x:c r="A229" s="8" t="s">
        <x:v>259</x:v>
      </x:c>
      <x:c r="B229" s="33"/>
      <x:c r="C229" s="55" t="n">
        <x:f aca="0">KOHC!C141</x:f>
        <x:v>0.15927842615719043</x:v>
      </x:c>
      <x:c r="D229" s="55" t="n">
        <x:f aca="0">KOHC!D141</x:f>
        <x:v>0.23825496283693048</x:v>
      </x:c>
      <x:c r="E229" s="55" t="n">
        <x:f aca="0">KOHC!E141</x:f>
        <x:v>0.24137695696625033</x:v>
      </x:c>
      <x:c r="F229" s="55" t="n">
        <x:f aca="0">KOHC!F141</x:f>
        <x:v>0.2667383296475893</x:v>
      </x:c>
      <x:c r="G229" s="55" t="n">
        <x:f aca="0">KOHC!G141</x:f>
        <x:v>0.28807830028219766</x:v>
      </x:c>
    </x:row>
    <x:row r="230" ht="15" hidden="0">
      <x:c r="A230" s="10" t="s">
        <x:v>260</x:v>
      </x:c>
      <x:c r="B230" s="33"/>
      <x:c r="C230" s="56" t="n">
        <x:f aca="0">LUCK!C141</x:f>
        <x:v>0.11856914427701815</x:v>
      </x:c>
      <x:c r="D230" s="56" t="n">
        <x:f aca="0">LUCK!D141</x:f>
        <x:v>0.12782774158166904</x:v>
      </x:c>
      <x:c r="E230" s="56" t="n">
        <x:f aca="0">LUCK!E141</x:f>
        <x:v>0.11311909776428172</x:v>
      </x:c>
      <x:c r="F230" s="56" t="n">
        <x:f aca="0">LUCK!F141</x:f>
        <x:v>0.19221205649491527</x:v>
      </x:c>
      <x:c r="G230" s="56" t="n">
        <x:f aca="0">LUCK!G141</x:f>
        <x:v>0.19447652728583156</x:v>
      </x:c>
    </x:row>
    <x:row r="231" ht="15" hidden="0">
      <x:c r="A231" s="10" t="s">
        <x:v>261</x:v>
      </x:c>
      <x:c r="B231" s="33"/>
      <x:c r="C231" s="56" t="n">
        <x:f aca="0">DGKC!C141</x:f>
        <x:v>0.05752393646556941</x:v>
      </x:c>
      <x:c r="D231" s="56" t="n">
        <x:f aca="0">DGKC!D141</x:f>
        <x:v>0.06989042461377605</x:v>
      </x:c>
      <x:c r="E231" s="56" t="n">
        <x:f aca="0">DGKC!E141</x:f>
        <x:v>0.07302423924994239</x:v>
      </x:c>
      <x:c r="F231" s="56" t="n">
        <x:f aca="0">DGKC!F141</x:f>
        <x:v>0.07938523892404618</x:v>
      </x:c>
      <x:c r="G231" s="56" t="n">
        <x:f aca="0">DGKC!G141</x:f>
        <x:v>0.11870857622241335</x:v>
      </x:c>
    </x:row>
    <x:row r="232" ht="15" hidden="0">
      <x:c r="A232" s="10" t="s">
        <x:v>262</x:v>
      </x:c>
      <x:c r="B232" s="33"/>
      <x:c r="C232" s="56" t="n">
        <x:f aca="0">MLCF!C141</x:f>
        <x:v>0.13283318203671918</x:v>
      </x:c>
      <x:c r="D232" s="56" t="n">
        <x:f aca="0">MLCF!D141</x:f>
        <x:v>0.12023345655576649</x:v>
      </x:c>
      <x:c r="E232" s="56" t="n">
        <x:f aca="0">MLCF!E141</x:f>
        <x:v>0.1396147149844841</x:v>
      </x:c>
      <x:c r="F232" s="56" t="n">
        <x:f aca="0">MLCF!F141</x:f>
        <x:v>0.1382503777250139</x:v>
      </x:c>
      <x:c r="G232" s="56" t="n">
        <x:f aca="0">MLCF!G141</x:f>
        <x:v>0.23086739193474415</x:v>
      </x:c>
    </x:row>
    <x:row r="233" ht="15" hidden="0">
      <x:c r="A233" s="10" t="s">
        <x:v>263</x:v>
      </x:c>
      <x:c r="B233" s="33"/>
      <x:c r="C233" s="56" t="n">
        <x:f aca="0">FCCL!C141</x:f>
        <x:v>0.16494792527118216</x:v>
      </x:c>
      <x:c r="D233" s="56" t="n">
        <x:f aca="0">FCCL!D141</x:f>
        <x:v>0.1723137524694703</x:v>
      </x:c>
      <x:c r="E233" s="56" t="n">
        <x:f aca="0">FCCL!E141</x:f>
        <x:v>0.13103867634936517</x:v>
      </x:c>
      <x:c r="F233" s="56" t="n">
        <x:f aca="0">FCCL!F141</x:f>
        <x:v>0.1458556324666155</x:v>
      </x:c>
      <x:c r="G233" s="56" t="n">
        <x:f aca="0">FCCL!G141</x:f>
        <x:v>0.1769808100965798</x:v>
      </x:c>
    </x:row>
    <x:row r="234" ht="15" hidden="0">
      <x:c r="A234" s="46" t="s">
        <x:v>264</x:v>
      </x:c>
      <x:c r="B234" s="47"/>
      <x:c r="C234" s="57" t="n">
        <x:f aca="0">IF(COUNT(C229:C233)=0,"n/m",AVERAGE(C229:C233))</x:f>
        <x:v>0.12663052284153586</x:v>
      </x:c>
      <x:c r="D234" s="57" t="n">
        <x:f aca="0">IF(COUNT(D229:D233)=0,"n/m",AVERAGE(D229:D233))</x:f>
        <x:v>0.1457040676115225</x:v>
      </x:c>
      <x:c r="E234" s="57" t="n">
        <x:f aca="0">IF(COUNT(E229:E233)=0,"n/m",AVERAGE(E229:E233))</x:f>
        <x:v>0.13963473706286472</x:v>
      </x:c>
      <x:c r="F234" s="57" t="n">
        <x:f aca="0">IF(COUNT(F229:F233)=0,"n/m",AVERAGE(F229:F233))</x:f>
        <x:v>0.16448832705163602</x:v>
      </x:c>
      <x:c r="G234" s="57" t="n">
        <x:f aca="0">IF(COUNT(G229:G233)=0,"n/m",AVERAGE(G229:G233))</x:f>
        <x:v>0.20182232116435334</x:v>
      </x:c>
    </x:row>
    <x:row r="236" ht="15" hidden="0">
      <x:c r="A236" s="20" t="s">
        <x:v>220</x:v>
      </x:c>
      <x:c r="B236" s="43" t="s">
        <x:v>221</x:v>
      </x:c>
      <x:c r="C236" s="21"/>
      <x:c r="D236" s="21"/>
      <x:c r="E236" s="21"/>
      <x:c r="F236" s="21"/>
      <x:c r="G236" s="21"/>
    </x:row>
    <x:row r="237" ht="15" hidden="0">
      <x:c r="A237" s="8" t="s">
        <x:v>259</x:v>
      </x:c>
      <x:c r="B237" s="33"/>
      <x:c r="C237" s="55" t="n">
        <x:f aca="0">KOHC!C142</x:f>
        <x:v>0.2757450655967617</x:v>
      </x:c>
      <x:c r="D237" s="55" t="n">
        <x:f aca="0">KOHC!D142</x:f>
        <x:v>0.3218458531352648</x:v>
      </x:c>
      <x:c r="E237" s="55" t="n">
        <x:f aca="0">KOHC!E142</x:f>
        <x:v>0.31667859993966047</x:v>
      </x:c>
      <x:c r="F237" s="55" t="n">
        <x:f aca="0">KOHC!F142</x:f>
        <x:v>0.4045887754844856</x:v>
      </x:c>
      <x:c r="G237" s="55" t="n">
        <x:f aca="0">KOHC!G142</x:f>
        <x:v>0.5158217027553589</x:v>
      </x:c>
    </x:row>
    <x:row r="238" ht="15" hidden="0">
      <x:c r="A238" s="10" t="s">
        <x:v>260</x:v>
      </x:c>
      <x:c r="B238" s="33"/>
      <x:c r="C238" s="56" t="n">
        <x:f aca="0">LUCK!C142</x:f>
        <x:v>0.3435589678269924</x:v>
      </x:c>
      <x:c r="D238" s="56" t="n">
        <x:f aca="0">LUCK!D142</x:f>
        <x:v>0.32485343311935194</x:v>
      </x:c>
      <x:c r="E238" s="56" t="n">
        <x:f aca="0">LUCK!E142</x:f>
        <x:v>0.2903807007475268</x:v>
      </x:c>
      <x:c r="F238" s="56" t="n">
        <x:f aca="0">LUCK!F142</x:f>
        <x:v>0.4254600362166235</x:v>
      </x:c>
      <x:c r="G238" s="56" t="n">
        <x:f aca="0">LUCK!G142</x:f>
        <x:v>0.4467960869618853</x:v>
      </x:c>
    </x:row>
    <x:row r="239" ht="15" hidden="0">
      <x:c r="A239" s="10" t="s">
        <x:v>261</x:v>
      </x:c>
      <x:c r="B239" s="33"/>
      <x:c r="C239" s="56" t="n">
        <x:f aca="0">DGKC!C142</x:f>
        <x:v>0.24991497015253938</x:v>
      </x:c>
      <x:c r="D239" s="56" t="n">
        <x:f aca="0">DGKC!D142</x:f>
        <x:v>0.23265570728812449</x:v>
      </x:c>
      <x:c r="E239" s="56" t="n">
        <x:f aca="0">DGKC!E142</x:f>
        <x:v>0.2131140149484285</x:v>
      </x:c>
      <x:c r="F239" s="56" t="n">
        <x:f aca="0">DGKC!F142</x:f>
        <x:v>0.2224978603073117</x:v>
      </x:c>
      <x:c r="G239" s="56" t="n">
        <x:f aca="0">DGKC!G142</x:f>
        <x:v>0.2880345228273576</x:v>
      </x:c>
    </x:row>
    <x:row r="240" ht="15" hidden="0">
      <x:c r="A240" s="10" t="s">
        <x:v>262</x:v>
      </x:c>
      <x:c r="B240" s="33"/>
      <x:c r="C240" s="56" t="n">
        <x:f aca="0">MLCF!C142</x:f>
        <x:v>0.3396682638261181</x:v>
      </x:c>
      <x:c r="D240" s="56" t="n">
        <x:f aca="0">MLCF!D142</x:f>
        <x:v>0.25058964803971473</x:v>
      </x:c>
      <x:c r="E240" s="56" t="n">
        <x:f aca="0">MLCF!E142</x:f>
        <x:v>0.2493225843810011</x:v>
      </x:c>
      <x:c r="F240" s="56" t="n">
        <x:f aca="0">MLCF!F142</x:f>
        <x:v>0.2647021742557539</x:v>
      </x:c>
      <x:c r="G240" s="56" t="n">
        <x:f aca="0">MLCF!G142</x:f>
        <x:v>0.4298124989647161</x:v>
      </x:c>
    </x:row>
    <x:row r="241" ht="15" hidden="0">
      <x:c r="A241" s="10" t="s">
        <x:v>263</x:v>
      </x:c>
      <x:c r="B241" s="33"/>
      <x:c r="C241" s="56" t="n">
        <x:f aca="0">FCCL!C142</x:f>
        <x:v>0.28086135530113043</x:v>
      </x:c>
      <x:c r="D241" s="56" t="n">
        <x:f aca="0">FCCL!D142</x:f>
        <x:v>0.2890661263240804</x:v>
      </x:c>
      <x:c r="E241" s="56" t="n">
        <x:f aca="0">FCCL!E142</x:f>
        <x:v>0.29668683739017554</x:v>
      </x:c>
      <x:c r="F241" s="56" t="n">
        <x:f aca="0">FCCL!F142</x:f>
        <x:v>0.3117640834393464</x:v>
      </x:c>
      <x:c r="G241" s="56" t="n">
        <x:f aca="0">FCCL!G142</x:f>
        <x:v>0.36273294689052354</x:v>
      </x:c>
    </x:row>
    <x:row r="242" ht="15" hidden="0">
      <x:c r="A242" s="46" t="s">
        <x:v>264</x:v>
      </x:c>
      <x:c r="B242" s="47"/>
      <x:c r="C242" s="57" t="n">
        <x:f aca="0">IF(COUNT(C237:C241)=0,"n/m",AVERAGE(C237:C241))</x:f>
        <x:v>0.29794972454070845</x:v>
      </x:c>
      <x:c r="D242" s="57" t="n">
        <x:f aca="0">IF(COUNT(D237:D241)=0,"n/m",AVERAGE(D237:D241))</x:f>
        <x:v>0.2838021535813073</x:v>
      </x:c>
      <x:c r="E242" s="57" t="n">
        <x:f aca="0">IF(COUNT(E237:E241)=0,"n/m",AVERAGE(E237:E241))</x:f>
        <x:v>0.27323654748135845</x:v>
      </x:c>
      <x:c r="F242" s="57" t="n">
        <x:f aca="0">IF(COUNT(F237:F241)=0,"n/m",AVERAGE(F237:F241))</x:f>
        <x:v>0.3258025859407042</x:v>
      </x:c>
      <x:c r="G242" s="57" t="n">
        <x:f aca="0">IF(COUNT(G237:G241)=0,"n/m",AVERAGE(G237:G241))</x:f>
        <x:v>0.40863955167996824</x:v>
      </x:c>
    </x:row>
    <x:row r="245" ht="19.5" hidden="0" customHeight="1">
      <x:c r="A245" s="5" t="s">
        <x:v>269</x:v>
      </x:c>
      <x:c r="B245" s="6"/>
      <x:c r="C245" s="6"/>
      <x:c r="D245" s="6"/>
      <x:c r="E245" s="6"/>
      <x:c r="F245" s="6"/>
      <x:c r="G245" s="6"/>
    </x:row>
    <x:row r="246" ht="15" hidden="0">
      <x:c r="A246" s="20" t="s">
        <x:v>223</x:v>
      </x:c>
      <x:c r="B246" s="43" t="s">
        <x:v>224</x:v>
      </x:c>
      <x:c r="C246" s="21"/>
      <x:c r="D246" s="21"/>
      <x:c r="E246" s="21"/>
      <x:c r="F246" s="21"/>
      <x:c r="G246" s="21"/>
      <x:c r="H246" s="15" t="s">
        <x:v>270</x:v>
      </x:c>
    </x:row>
    <x:row r="247" ht="15" hidden="0">
      <x:c r="A247" s="8" t="s">
        <x:v>259</x:v>
      </x:c>
      <x:c r="B247" s="33"/>
      <x:c r="C247" s="58" t="n">
        <x:f aca="0">KOHC!C144</x:f>
        <x:v>110.64122209168052</x:v>
      </x:c>
      <x:c r="D247" s="58" t="n">
        <x:f aca="0">KOHC!D144</x:f>
        <x:v>135.64693964412666</x:v>
      </x:c>
      <x:c r="E247" s="58" t="n">
        <x:f aca="0">KOHC!E144</x:f>
        <x:v>162.35106244484723</x:v>
      </x:c>
      <x:c r="F247" s="58" t="n">
        <x:f aca="0">KOHC!F144</x:f>
        <x:v>209.7928785338331</x:v>
      </x:c>
      <x:c r="G247" s="58" t="n">
        <x:f aca="0">KOHC!G144</x:f>
        <x:v>260.8226721418157</x:v>
      </x:c>
    </x:row>
    <x:row r="248" ht="15" hidden="0">
      <x:c r="A248" s="10" t="s">
        <x:v>260</x:v>
      </x:c>
      <x:c r="B248" s="33"/>
      <x:c r="C248" s="59" t="n">
        <x:f aca="0">LUCK!C144</x:f>
        <x:v>350.05878005411677</x:v>
      </x:c>
      <x:c r="D248" s="59" t="n">
        <x:f aca="0">LUCK!D144</x:f>
        <x:v>397.4961700811751</x:v>
      </x:c>
      <x:c r="E248" s="59" t="n">
        <x:f aca="0">LUCK!E144</x:f>
        <x:v>440.50456229600826</x:v>
      </x:c>
      <x:c r="F248" s="59" t="n">
        <x:f aca="0">LUCK!F144</x:f>
        <x:v>504.3046996587031</x:v>
      </x:c>
      <x:c r="G248" s="59" t="n">
        <x:f aca="0">LUCK!G144</x:f>
        <x:v>120.07535836177475</x:v>
      </x:c>
    </x:row>
    <x:row r="249" ht="15" hidden="0">
      <x:c r="A249" s="10" t="s">
        <x:v>261</x:v>
      </x:c>
      <x:c r="B249" s="33"/>
      <x:c r="C249" s="59" t="n">
        <x:f aca="0">DGKC!C144</x:f>
        <x:v>167.71209700741193</x:v>
      </x:c>
      <x:c r="D249" s="59" t="n">
        <x:f aca="0">DGKC!D144</x:f>
        <x:v>159.58697532246367</x:v>
      </x:c>
      <x:c r="E249" s="59" t="n">
        <x:f aca="0">DGKC!E144</x:f>
        <x:v>146.51786922779672</x:v>
      </x:c>
      <x:c r="F249" s="59" t="n">
        <x:f aca="0">DGKC!F144</x:f>
        <x:v>173.12082034314415</x:v>
      </x:c>
      <x:c r="G249" s="59" t="n">
        <x:f aca="0">DGKC!G144</x:f>
        <x:v>216.07703932560804</x:v>
      </x:c>
    </x:row>
    <x:row r="250" ht="15" hidden="0">
      <x:c r="A250" s="10" t="s">
        <x:v>262</x:v>
      </x:c>
      <x:c r="B250" s="33"/>
      <x:c r="C250" s="59" t="n">
        <x:f aca="0">MLCF!C144</x:f>
        <x:v>34.18097226539319</x:v>
      </x:c>
      <x:c r="D250" s="59" t="n">
        <x:f aca="0">MLCF!D144</x:f>
        <x:v>37.56155762745958</x:v>
      </x:c>
      <x:c r="E250" s="59" t="n">
        <x:f aca="0">MLCF!E144</x:f>
        <x:v>41.84401454069526</x:v>
      </x:c>
      <x:c r="F250" s="59" t="n">
        <x:f aca="0">MLCF!F144</x:f>
        <x:v>50.22698213930126</x:v>
      </x:c>
      <x:c r="G250" s="59" t="n">
        <x:f aca="0">MLCF!G144</x:f>
        <x:v>68.21701347489879</x:v>
      </x:c>
    </x:row>
    <x:row r="251" ht="15" hidden="0">
      <x:c r="A251" s="10" t="s">
        <x:v>263</x:v>
      </x:c>
      <x:c r="B251" s="33"/>
      <x:c r="C251" s="59" t="n">
        <x:f aca="0">FCCL!C144</x:f>
        <x:v>16.868689643176804</x:v>
      </x:c>
      <x:c r="D251" s="59" t="n">
        <x:f aca="0">FCCL!D144</x:f>
        <x:v>26.480675904195227</x:v>
      </x:c>
      <x:c r="E251" s="59" t="n">
        <x:f aca="0">FCCL!E144</x:f>
        <x:v>26.57145800660424</x:v>
      </x:c>
      <x:c r="F251" s="59" t="n">
        <x:f aca="0">FCCL!F144</x:f>
        <x:v>29.923935347634316</x:v>
      </x:c>
      <x:c r="G251" s="59" t="n">
        <x:f aca="0">FCCL!G144</x:f>
        <x:v>34.35688707280468</x:v>
      </x:c>
    </x:row>
    <x:row r="252" ht="15" hidden="0">
      <x:c r="A252" s="46" t="s">
        <x:v>264</x:v>
      </x:c>
      <x:c r="B252" s="47"/>
      <x:c r="C252" s="60" t="n">
        <x:f aca="0">IF(COUNT(C247:C251)=0,"n/m",AVERAGE(C247:C251))</x:f>
        <x:v>135.89235221235583</x:v>
      </x:c>
      <x:c r="D252" s="60" t="n">
        <x:f aca="0">IF(COUNT(D247:D251)=0,"n/m",AVERAGE(D247:D251))</x:f>
        <x:v>151.35446371588404</x:v>
      </x:c>
      <x:c r="E252" s="60" t="n">
        <x:f aca="0">IF(COUNT(E247:E251)=0,"n/m",AVERAGE(E247:E251))</x:f>
        <x:v>163.55779330319035</x:v>
      </x:c>
      <x:c r="F252" s="60" t="n">
        <x:f aca="0">IF(COUNT(F247:F251)=0,"n/m",AVERAGE(F247:F251))</x:f>
        <x:v>193.47386320452318</x:v>
      </x:c>
      <x:c r="G252" s="60" t="n">
        <x:f aca="0">IF(COUNT(G247:G251)=0,"n/m",AVERAGE(G247:G251))</x:f>
        <x:v>139.90979407538038</x:v>
      </x:c>
    </x:row>
    <x:row r="254" ht="15" hidden="0">
      <x:c r="A254" s="20" t="s">
        <x:v>225</x:v>
      </x:c>
      <x:c r="B254" s="43" t="s">
        <x:v>226</x:v>
      </x:c>
      <x:c r="C254" s="21"/>
      <x:c r="D254" s="21"/>
      <x:c r="E254" s="21"/>
      <x:c r="F254" s="21"/>
      <x:c r="G254" s="21"/>
    </x:row>
    <x:row r="255" ht="15" hidden="0">
      <x:c r="A255" s="8" t="s">
        <x:v>259</x:v>
      </x:c>
      <x:c r="B255" s="33"/>
      <x:c r="C255" s="44" t="n">
        <x:f aca="0">KOHC!C145</x:f>
        <x:v>1.8663025958706099</x:v>
      </x:c>
      <x:c r="D255" s="44" t="n">
        <x:f aca="0">KOHC!D145</x:f>
        <x:v>0.959328683281757</x:v>
      </x:c>
      <x:c r="E255" s="44" t="n">
        <x:f aca="0">KOHC!E145</x:f>
        <x:v>1.0684870021034203</x:v>
      </x:c>
      <x:c r="F255" s="44" t="n">
        <x:f aca="0">KOHC!F145</x:f>
        <x:v>1.1937011482475721</x:v>
      </x:c>
      <x:c r="G255" s="44" t="n">
        <x:f aca="0">KOHC!G145</x:f>
        <x:v>1.4544747850514033</x:v>
      </x:c>
    </x:row>
    <x:row r="256" ht="15" hidden="0">
      <x:c r="A256" s="10" t="s">
        <x:v>260</x:v>
      </x:c>
      <x:c r="B256" s="33"/>
      <x:c r="C256" s="45" t="n">
        <x:f aca="0">LUCK!C145</x:f>
        <x:v>2.4665571875286716</x:v>
      </x:c>
      <x:c r="D256" s="45" t="n">
        <x:f aca="0">LUCK!D145</x:f>
        <x:v>1.154828736856148</x:v>
      </x:c>
      <x:c r="E256" s="45" t="n">
        <x:f aca="0">LUCK!E145</x:f>
        <x:v>1.185209064075864</x:v>
      </x:c>
      <x:c r="F256" s="45" t="n">
        <x:f aca="0">LUCK!F145</x:f>
        <x:v>1.7979804681845026</x:v>
      </x:c>
      <x:c r="G256" s="45" t="n">
        <x:f aca="0">LUCK!G145</x:f>
        <x:v>2.9584754511387614</x:v>
      </x:c>
    </x:row>
    <x:row r="257" ht="15" hidden="0">
      <x:c r="A257" s="10" t="s">
        <x:v>261</x:v>
      </x:c>
      <x:c r="B257" s="33"/>
      <x:c r="C257" s="45" t="n">
        <x:f aca="0">DGKC!C145</x:f>
        <x:v>0.7031096868032638</x:v>
      </x:c>
      <x:c r="D257" s="45" t="n">
        <x:f aca="0">DGKC!D145</x:f>
        <x:v>0.3916359707533251</x:v>
      </x:c>
      <x:c r="E257" s="45" t="n">
        <x:f aca="0">DGKC!E145</x:f>
        <x:v>0.35012794187063967</x:v>
      </x:c>
      <x:c r="F257" s="45" t="n">
        <x:f aca="0">DGKC!F145</x:f>
        <x:v>0.5214277509838222</x:v>
      </x:c>
      <x:c r="G257" s="45" t="n">
        <x:f aca="0">DGKC!G145</x:f>
        <x:v>0.7662082029480072</x:v>
      </x:c>
    </x:row>
    <x:row r="258" ht="15" hidden="0">
      <x:c r="A258" s="10" t="s">
        <x:v>262</x:v>
      </x:c>
      <x:c r="B258" s="33"/>
      <x:c r="C258" s="45" t="n">
        <x:f aca="0">MLCF!C145</x:f>
        <x:v>1.3744489078669448</x:v>
      </x:c>
      <x:c r="D258" s="45" t="n">
        <x:f aca="0">MLCF!D145</x:f>
        <x:v>0.7281380679486422</x:v>
      </x:c>
      <x:c r="E258" s="45" t="n">
        <x:f aca="0">MLCF!E145</x:f>
        <x:v>0.6770382887724061</x:v>
      </x:c>
      <x:c r="F258" s="45" t="n">
        <x:f aca="0">MLCF!F145</x:f>
        <x:v>0.7565654630534934</x:v>
      </x:c>
      <x:c r="G258" s="45" t="n">
        <x:f aca="0">MLCF!G145</x:f>
        <x:v>1.2354689205356633</x:v>
      </x:c>
    </x:row>
    <x:row r="259" ht="15" hidden="0">
      <x:c r="A259" s="10" t="s">
        <x:v>263</x:v>
      </x:c>
      <x:c r="B259" s="33"/>
      <x:c r="C259" s="45" t="n">
        <x:f aca="0">FCCL!C145</x:f>
        <x:v>1.3634728296339984</x:v>
      </x:c>
      <x:c r="D259" s="45" t="n">
        <x:f aca="0">FCCL!D145</x:f>
        <x:v>0.535107187266134</x:v>
      </x:c>
      <x:c r="E259" s="45" t="n">
        <x:f aca="0">FCCL!E145</x:f>
        <x:v>0.4425801548818697</x:v>
      </x:c>
      <x:c r="F259" s="45" t="n">
        <x:f aca="0">FCCL!F145</x:f>
        <x:v>0.7656078565151421</x:v>
      </x:c>
      <x:c r="G259" s="45" t="n">
        <x:f aca="0">FCCL!G145</x:f>
        <x:v>1.3001759998029245</x:v>
      </x:c>
    </x:row>
    <x:row r="260" ht="15" hidden="0">
      <x:c r="A260" s="46" t="s">
        <x:v>264</x:v>
      </x:c>
      <x:c r="B260" s="47"/>
      <x:c r="C260" s="48" t="n">
        <x:f aca="0">IF(COUNT(C255:C259)=0,"n/m",AVERAGE(C255:C259))</x:f>
        <x:v>1.5547782415406979</x:v>
      </x:c>
      <x:c r="D260" s="48" t="n">
        <x:f aca="0">IF(COUNT(D255:D259)=0,"n/m",AVERAGE(D255:D259))</x:f>
        <x:v>0.7538077292212013</x:v>
      </x:c>
      <x:c r="E260" s="48" t="n">
        <x:f aca="0">IF(COUNT(E255:E259)=0,"n/m",AVERAGE(E255:E259))</x:f>
        <x:v>0.7446884903408398</x:v>
      </x:c>
      <x:c r="F260" s="48" t="n">
        <x:f aca="0">IF(COUNT(F255:F259)=0,"n/m",AVERAGE(F255:F259))</x:f>
        <x:v>1.0070565373969065</x:v>
      </x:c>
      <x:c r="G260" s="48" t="n">
        <x:f aca="0">IF(COUNT(G255:G259)=0,"n/m",AVERAGE(G255:G259))</x:f>
        <x:v>1.542960671895352</x:v>
      </x:c>
    </x:row>
    <x:row r="262" ht="15" hidden="0">
      <x:c r="A262" s="20" t="s">
        <x:v>227</x:v>
      </x:c>
      <x:c r="B262" s="43" t="s">
        <x:v>228</x:v>
      </x:c>
      <x:c r="C262" s="21"/>
      <x:c r="D262" s="21"/>
      <x:c r="E262" s="21"/>
      <x:c r="F262" s="21"/>
      <x:c r="G262" s="21"/>
      <x:c r="H262" s="15" t="s">
        <x:v>270</x:v>
      </x:c>
    </x:row>
    <x:row r="263" ht="15" hidden="0">
      <x:c r="A263" s="8" t="s">
        <x:v>259</x:v>
      </x:c>
      <x:c r="B263" s="33"/>
      <x:c r="C263" s="58" t="n">
        <x:f aca="0">KOHC!C146</x:f>
        <x:v>17.412549352402124</x:v>
      </x:c>
      <x:c r="D263" s="58" t="n">
        <x:f aca="0">KOHC!D146</x:f>
        <x:v>25.013680261160516</x:v>
      </x:c>
      <x:c r="E263" s="58" t="n">
        <x:f aca="0">KOHC!E146</x:f>
        <x:v>28.978958275869324</x:v>
      </x:c>
      <x:c r="F263" s="58" t="n">
        <x:f aca="0">KOHC!F146</x:f>
        <x:v>45.27427267861498</x:v>
      </x:c>
      <x:c r="G263" s="58" t="n">
        <x:f aca="0">KOHC!G146</x:f>
        <x:v>59.84205460086993</x:v>
      </x:c>
    </x:row>
    <x:row r="264" ht="15" hidden="0">
      <x:c r="A264" s="10" t="s">
        <x:v>260</x:v>
      </x:c>
      <x:c r="B264" s="33"/>
      <x:c r="C264" s="59" t="n">
        <x:f aca="0">LUCK!C146</x:f>
        <x:v>43.51044143795904</x:v>
      </x:c>
      <x:c r="D264" s="59" t="n">
        <x:f aca="0">LUCK!D146</x:f>
        <x:v>47.30921685349824</x:v>
      </x:c>
      <x:c r="E264" s="59" t="n">
        <x:f aca="0">LUCK!E146</x:f>
        <x:v>43.06151234984266</x:v>
      </x:c>
      <x:c r="F264" s="59" t="n">
        <x:f aca="0">LUCK!F146</x:f>
        <x:v>94.54058917711643</x:v>
      </x:c>
      <x:c r="G264" s="59" t="n">
        <x:f aca="0">LUCK!G146</x:f>
        <x:v>22.58850648464164</x:v>
      </x:c>
    </x:row>
    <x:row r="265" ht="15" hidden="0">
      <x:c r="A265" s="10" t="s">
        <x:v>261</x:v>
      </x:c>
      <x:c r="B265" s="33"/>
      <x:c r="C265" s="59" t="n">
        <x:f aca="0">DGKC!C146</x:f>
        <x:v>8.493747127465003</x:v>
      </x:c>
      <x:c r="D265" s="59" t="n">
        <x:f aca="0">DGKC!D146</x:f>
        <x:v>6.783844570781772</x:v>
      </x:c>
      <x:c r="E265" s="59" t="n">
        <x:f aca="0">DGKC!E146</x:f>
        <x:v>-8.299058065756444</x:v>
      </x:c>
      <x:c r="F265" s="59" t="n">
        <x:f aca="0">DGKC!F146</x:f>
        <x:v>1.2380103440270365</x:v>
      </x:c>
      <x:c r="G265" s="59" t="n">
        <x:f aca="0">DGKC!G146</x:f>
        <x:v>19.800685803443983</x:v>
      </x:c>
    </x:row>
    <x:row r="266" ht="15" hidden="0">
      <x:c r="A266" s="10" t="s">
        <x:v>262</x:v>
      </x:c>
      <x:c r="B266" s="33"/>
      <x:c r="C266" s="59" t="n">
        <x:f aca="0">MLCF!C146</x:f>
        <x:v>5.694115515511503</x:v>
      </x:c>
      <x:c r="D266" s="59" t="n">
        <x:f aca="0">MLCF!D146</x:f>
        <x:v>3.3041099784606085</x:v>
      </x:c>
      <x:c r="E266" s="59" t="n">
        <x:f aca="0">MLCF!E146</x:f>
        <x:v>4.18450538240459</x:v>
      </x:c>
      <x:c r="F266" s="59" t="n">
        <x:f aca="0">MLCF!F146</x:f>
        <x:v>4.979197496295721</x:v>
      </x:c>
      <x:c r="G266" s="59" t="n">
        <x:f aca="0">MLCF!G146</x:f>
        <x:v>16.262863426829693</x:v>
      </x:c>
    </x:row>
    <x:row r="267" ht="15" hidden="0">
      <x:c r="A267" s="10" t="s">
        <x:v>263</x:v>
      </x:c>
      <x:c r="B267" s="33"/>
      <x:c r="C267" s="59" t="n">
        <x:f aca="0">FCCL!C146</x:f>
        <x:v>2.5158090033808875</x:v>
      </x:c>
      <x:c r="D267" s="59" t="n">
        <x:f aca="0">FCCL!D146</x:f>
        <x:v>3.2621706372812294</x:v>
      </x:c>
      <x:c r="E267" s="59" t="n">
        <x:f aca="0">FCCL!E146</x:f>
        <x:v>3.0330791851886794</x:v>
      </x:c>
      <x:c r="F267" s="59" t="n">
        <x:f aca="0">FCCL!F146</x:f>
        <x:v>3.3524781610919856</x:v>
      </x:c>
      <x:c r="G267" s="59" t="n">
        <x:f aca="0">FCCL!G146</x:f>
        <x:v>5.432952809531124</x:v>
      </x:c>
    </x:row>
    <x:row r="268" ht="15" hidden="0">
      <x:c r="A268" s="46" t="s">
        <x:v>264</x:v>
      </x:c>
      <x:c r="B268" s="47"/>
      <x:c r="C268" s="60" t="n">
        <x:f aca="0">IF(COUNT(C263:C267)=0,"n/m",AVERAGE(C263:C267))</x:f>
        <x:v>15.525332487343713</x:v>
      </x:c>
      <x:c r="D268" s="60" t="n">
        <x:f aca="0">IF(COUNT(D263:D267)=0,"n/m",AVERAGE(D263:D267))</x:f>
        <x:v>17.13460446023647</x:v>
      </x:c>
      <x:c r="E268" s="60" t="n">
        <x:f aca="0">IF(COUNT(E263:E267)=0,"n/m",AVERAGE(E263:E267))</x:f>
        <x:v>14.191799425509762</x:v>
      </x:c>
      <x:c r="F268" s="60" t="n">
        <x:f aca="0">IF(COUNT(F263:F267)=0,"n/m",AVERAGE(F263:F267))</x:f>
        <x:v>29.87690957142923</x:v>
      </x:c>
      <x:c r="G268" s="60" t="n">
        <x:f aca="0">IF(COUNT(G263:G267)=0,"n/m",AVERAGE(G263:G267))</x:f>
        <x:v>24.785412625063277</x:v>
      </x:c>
    </x:row>
    <x:row r="270" ht="15" hidden="0">
      <x:c r="A270" s="20" t="s">
        <x:v>229</x:v>
      </x:c>
      <x:c r="B270" s="43" t="s">
        <x:v>230</x:v>
      </x:c>
      <x:c r="C270" s="21"/>
      <x:c r="D270" s="21"/>
      <x:c r="E270" s="21"/>
      <x:c r="F270" s="21"/>
      <x:c r="G270" s="21"/>
      <x:c r="H270" s="15" t="s">
        <x:v>271</x:v>
      </x:c>
    </x:row>
    <x:row r="271" ht="15" hidden="0">
      <x:c r="A271" s="8" t="s">
        <x:v>259</x:v>
      </x:c>
      <x:c r="B271" s="33"/>
      <x:c r="C271" s="44" t="n">
        <x:f aca="0">KOHC!C147</x:f>
        <x:v>11.858688571154802</x:v>
      </x:c>
      <x:c r="D271" s="44" t="n">
        <x:f aca="0">KOHC!D147</x:f>
        <x:v>5.202353217973155</x:v>
      </x:c>
      <x:c r="E271" s="44" t="n">
        <x:f aca="0">KOHC!E147</x:f>
        <x:v>5.986067488990722</x:v>
      </x:c>
      <x:c r="F271" s="44" t="n">
        <x:f aca="0">KOHC!F147</x:f>
        <x:v>5.531397528519306</x:v>
      </x:c>
      <x:c r="G271" s="44" t="n">
        <x:f aca="0">KOHC!G147</x:f>
        <x:v>6.339354531361382</x:v>
      </x:c>
    </x:row>
    <x:row r="272" ht="15" hidden="0">
      <x:c r="A272" s="10" t="s">
        <x:v>260</x:v>
      </x:c>
      <x:c r="B272" s="33"/>
      <x:c r="C272" s="45" t="n">
        <x:f aca="0">LUCK!C147</x:f>
        <x:v>19.844432082610968</x:v>
      </x:c>
      <x:c r="D272" s="45" t="n">
        <x:f aca="0">LUCK!D147</x:f>
        <x:v>9.702971863210132</x:v>
      </x:c>
      <x:c r="E272" s="45" t="n">
        <x:f aca="0">LUCK!E147</x:f>
        <x:v>12.124283879265743</x:v>
      </x:c>
      <x:c r="F272" s="45" t="n">
        <x:f aca="0">LUCK!F147</x:f>
        <x:v>9.590907015623658</x:v>
      </x:c>
      <x:c r="G272" s="45" t="n">
        <x:f aca="0">LUCK!G147</x:f>
        <x:v>15.726582022655393</x:v>
      </x:c>
    </x:row>
    <x:row r="273" ht="15" hidden="0">
      <x:c r="A273" s="10" t="s">
        <x:v>261</x:v>
      </x:c>
      <x:c r="B273" s="33"/>
      <x:c r="C273" s="45" t="n">
        <x:f aca="0">DGKC!C147</x:f>
        <x:v>13.883154069739035</x:v>
      </x:c>
      <x:c r="D273" s="45" t="n">
        <x:f aca="0">DGKC!D147</x:f>
        <x:v>9.213064855464028</x:v>
      </x:c>
      <x:c r="E273" s="45" t="str">
        <x:f aca="0">DGKC!E147</x:f>
        <x:v>n/m</x:v>
      </x:c>
      <x:c r="F273" s="45" t="n">
        <x:f aca="0">DGKC!F147</x:f>
        <x:v>72.91538429829842</x:v>
      </x:c>
      <x:c r="G273" s="45" t="n">
        <x:f aca="0">DGKC!G147</x:f>
        <x:v>8.361326554214791</x:v>
      </x:c>
    </x:row>
    <x:row r="274" ht="15" hidden="0">
      <x:c r="A274" s="10" t="s">
        <x:v>262</x:v>
      </x:c>
      <x:c r="B274" s="33"/>
      <x:c r="C274" s="45" t="n">
        <x:f aca="0">MLCF!C147</x:f>
        <x:v>8.250622923265333</x:v>
      </x:c>
      <x:c r="D274" s="45" t="n">
        <x:f aca="0">MLCF!D147</x:f>
        <x:v>8.277569505341472</x:v>
      </x:c>
      <x:c r="E274" s="45" t="n">
        <x:f aca="0">MLCF!E147</x:f>
        <x:v>6.770214735324442</x:v>
      </x:c>
      <x:c r="F274" s="45" t="n">
        <x:f aca="0">MLCF!F147</x:f>
        <x:v>7.631751909473391</x:v>
      </x:c>
      <x:c r="G274" s="45" t="n">
        <x:f aca="0">MLCF!G147</x:f>
        <x:v>5.182359206248938</x:v>
      </x:c>
    </x:row>
    <x:row r="275" ht="15" hidden="0">
      <x:c r="A275" s="10" t="s">
        <x:v>263</x:v>
      </x:c>
      <x:c r="B275" s="33"/>
      <x:c r="C275" s="45" t="n">
        <x:f aca="0">FCCL!C147</x:f>
        <x:v>9.14218844478706</x:v>
      </x:c>
      <x:c r="D275" s="45" t="n">
        <x:f aca="0">FCCL!D147</x:f>
        <x:v>4.343733536823694</x:v>
      </x:c>
      <x:c r="E275" s="45" t="n">
        <x:f aca="0">FCCL!E147</x:f>
        <x:v>3.877247932539039</x:v>
      </x:c>
      <x:c r="F275" s="45" t="n">
        <x:f aca="0">FCCL!F147</x:f>
        <x:v>6.833750705936781</x:v>
      </x:c>
      <x:c r="G275" s="45" t="n">
        <x:f aca="0">FCCL!G147</x:f>
        <x:v>8.222048224242743</x:v>
      </x:c>
    </x:row>
    <x:row r="276" ht="15" hidden="0">
      <x:c r="A276" s="46" t="s">
        <x:v>264</x:v>
      </x:c>
      <x:c r="B276" s="47"/>
      <x:c r="C276" s="48" t="n">
        <x:f aca="0">IF(COUNT(C271:C275)=0,"n/m",AVERAGE(C271:C275))</x:f>
        <x:v>12.59581721831144</x:v>
      </x:c>
      <x:c r="D276" s="48" t="n">
        <x:f aca="0">IF(COUNT(D271:D275)=0,"n/m",AVERAGE(D271:D275))</x:f>
        <x:v>7.347938595762495</x:v>
      </x:c>
      <x:c r="E276" s="48" t="n">
        <x:f aca="0">IF(COUNT(E271:E275)=0,"n/m",AVERAGE(E271:E275))</x:f>
        <x:v>7.189453509029987</x:v>
      </x:c>
      <x:c r="F276" s="48" t="n">
        <x:f aca="0">IF(COUNT(F271:F275)=0,"n/m",AVERAGE(F271:F275))</x:f>
        <x:v>20.50063829157031</x:v>
      </x:c>
      <x:c r="G276" s="48" t="n">
        <x:f aca="0">IF(COUNT(G271:G275)=0,"n/m",AVERAGE(G271:G275))</x:f>
        <x:v>8.76633410774465</x:v>
      </x:c>
    </x:row>
    <x:row r="278" ht="15" hidden="0">
      <x:c r="A278" s="20" t="s">
        <x:v>231</x:v>
      </x:c>
      <x:c r="B278" s="43" t="s">
        <x:v>232</x:v>
      </x:c>
      <x:c r="C278" s="21"/>
      <x:c r="D278" s="21"/>
      <x:c r="E278" s="21"/>
      <x:c r="F278" s="21"/>
      <x:c r="G278" s="21"/>
    </x:row>
    <x:row r="279" ht="15" hidden="0">
      <x:c r="A279" s="8" t="s">
        <x:v>259</x:v>
      </x:c>
      <x:c r="B279" s="33"/>
      <x:c r="C279" s="55" t="n">
        <x:f aca="0">KOHC!C148</x:f>
        <x:v>0</x:v>
      </x:c>
      <x:c r="D279" s="55" t="n">
        <x:f aca="0">KOHC!D148</x:f>
        <x:v>0</x:v>
      </x:c>
      <x:c r="E279" s="55" t="n">
        <x:f aca="0">KOHC!E148</x:f>
        <x:v>0</x:v>
      </x:c>
      <x:c r="F279" s="55" t="n">
        <x:f aca="0">KOHC!F148</x:f>
        <x:v>0</x:v>
      </x:c>
      <x:c r="G279" s="55" t="n">
        <x:f aca="0">KOHC!G148</x:f>
        <x:v>0</x:v>
      </x:c>
    </x:row>
    <x:row r="280" ht="15" hidden="0">
      <x:c r="A280" s="10" t="s">
        <x:v>260</x:v>
      </x:c>
      <x:c r="B280" s="33"/>
      <x:c r="C280" s="56" t="n">
        <x:f aca="0">LUCK!C148</x:f>
        <x:v>0</x:v>
      </x:c>
      <x:c r="D280" s="56" t="n">
        <x:f aca="0">LUCK!D148</x:f>
        <x:v>0</x:v>
      </x:c>
      <x:c r="E280" s="56" t="n">
        <x:f aca="0">LUCK!E148</x:f>
        <x:v>0.034476814342354764</x:v>
      </x:c>
      <x:c r="F280" s="56" t="n">
        <x:f aca="0">LUCK!F148</x:f>
        <x:v>0.016542962072502287</x:v>
      </x:c>
      <x:c r="G280" s="56" t="n">
        <x:f aca="0">LUCK!G148</x:f>
        <x:v>0.011259993244004052</x:v>
      </x:c>
    </x:row>
    <x:row r="281" ht="15" hidden="0">
      <x:c r="A281" s="10" t="s">
        <x:v>261</x:v>
      </x:c>
      <x:c r="B281" s="33"/>
      <x:c r="C281" s="56" t="n">
        <x:f aca="0">DGKC!C148</x:f>
        <x:v>0.008480325644504749</x:v>
      </x:c>
      <x:c r="D281" s="56" t="n">
        <x:f aca="0">DGKC!D148</x:f>
        <x:v>0.016</x:v>
      </x:c>
      <x:c r="E281" s="56" t="n">
        <x:f aca="0">DGKC!E148</x:f>
        <x:v>0</x:v>
      </x:c>
      <x:c r="F281" s="56" t="n">
        <x:f aca="0">DGKC!F148</x:f>
        <x:v>0</x:v>
      </x:c>
      <x:c r="G281" s="56" t="n">
        <x:f aca="0">DGKC!G148</x:f>
        <x:v>0.012080212611741966</x:v>
      </x:c>
    </x:row>
    <x:row r="282" ht="15" hidden="0">
      <x:c r="A282" s="10" t="s">
        <x:v>262</x:v>
      </x:c>
      <x:c r="B282" s="33"/>
      <x:c r="C282" s="56" t="n">
        <x:f aca="0">MLCF!C148</x:f>
        <x:v>0</x:v>
      </x:c>
      <x:c r="D282" s="56" t="n">
        <x:f aca="0">MLCF!D148</x:f>
        <x:v>0</x:v>
      </x:c>
      <x:c r="E282" s="56" t="n">
        <x:f aca="0">MLCF!E148</x:f>
        <x:v>0</x:v>
      </x:c>
      <x:c r="F282" s="56" t="n">
        <x:f aca="0">MLCF!F148</x:f>
        <x:v>0</x:v>
      </x:c>
      <x:c r="G282" s="56" t="n">
        <x:f aca="0">MLCF!G148</x:f>
        <x:v>0</x:v>
      </x:c>
    </x:row>
    <x:row r="283" ht="15" hidden="0">
      <x:c r="A283" s="10" t="s">
        <x:v>263</x:v>
      </x:c>
      <x:c r="B283" s="33"/>
      <x:c r="C283" s="56" t="n">
        <x:f aca="0">FCCL!C148</x:f>
        <x:v>0</x:v>
      </x:c>
      <x:c r="D283" s="56" t="n">
        <x:f aca="0">FCCL!D148</x:f>
        <x:v>0</x:v>
      </x:c>
      <x:c r="E283" s="56" t="n">
        <x:f aca="0">FCCL!E148</x:f>
        <x:v>0</x:v>
      </x:c>
      <x:c r="F283" s="56" t="n">
        <x:f aca="0">FCCL!F148</x:f>
        <x:v>0.04364906154517678</x:v>
      </x:c>
      <x:c r="G283" s="56" t="n">
        <x:f aca="0">FCCL!G148</x:f>
        <x:v>0.027982986344302664</x:v>
      </x:c>
    </x:row>
    <x:row r="284" ht="15" hidden="0">
      <x:c r="A284" s="46" t="s">
        <x:v>264</x:v>
      </x:c>
      <x:c r="B284" s="47"/>
      <x:c r="C284" s="57" t="n">
        <x:f aca="0">IF(COUNT(C279:C283)=0,"n/m",AVERAGE(C279:C283))</x:f>
        <x:v>0.0016960651289009497</x:v>
      </x:c>
      <x:c r="D284" s="57" t="n">
        <x:f aca="0">IF(COUNT(D279:D283)=0,"n/m",AVERAGE(D279:D283))</x:f>
        <x:v>0.0032</x:v>
      </x:c>
      <x:c r="E284" s="57" t="n">
        <x:f aca="0">IF(COUNT(E279:E283)=0,"n/m",AVERAGE(E279:E283))</x:f>
        <x:v>0.006895362868470953</x:v>
      </x:c>
      <x:c r="F284" s="57" t="n">
        <x:f aca="0">IF(COUNT(F279:F283)=0,"n/m",AVERAGE(F279:F283))</x:f>
        <x:v>0.012038404723535814</x:v>
      </x:c>
      <x:c r="G284" s="57" t="n">
        <x:f aca="0">IF(COUNT(G279:G283)=0,"n/m",AVERAGE(G279:G283))</x:f>
        <x:v>0.010264638440009737</x:v>
      </x:c>
    </x:row>
    <x:row r="286" ht="15" hidden="0">
      <x:c r="A286" s="20" t="s">
        <x:v>233</x:v>
      </x:c>
      <x:c r="B286" s="43" t="s">
        <x:v>234</x:v>
      </x:c>
      <x:c r="C286" s="21"/>
      <x:c r="D286" s="21"/>
      <x:c r="E286" s="21"/>
      <x:c r="F286" s="21"/>
      <x:c r="G286" s="21"/>
      <x:c r="H286" s="15" t="s">
        <x:v>271</x:v>
      </x:c>
    </x:row>
    <x:row r="287" ht="15" hidden="0">
      <x:c r="A287" s="8" t="s">
        <x:v>259</x:v>
      </x:c>
      <x:c r="B287" s="33"/>
      <x:c r="C287" s="55" t="n">
        <x:f aca="0">KOHC!C149</x:f>
        <x:v>0</x:v>
      </x:c>
      <x:c r="D287" s="55" t="n">
        <x:f aca="0">KOHC!D149</x:f>
        <x:v>0</x:v>
      </x:c>
      <x:c r="E287" s="55" t="n">
        <x:f aca="0">KOHC!E149</x:f>
        <x:v>0</x:v>
      </x:c>
      <x:c r="F287" s="55" t="n">
        <x:f aca="0">KOHC!F149</x:f>
        <x:v>0</x:v>
      </x:c>
      <x:c r="G287" s="55" t="n">
        <x:f aca="0">KOHC!G149</x:f>
        <x:v>0</x:v>
      </x:c>
    </x:row>
    <x:row r="288" ht="15" hidden="0">
      <x:c r="A288" s="10" t="s">
        <x:v>260</x:v>
      </x:c>
      <x:c r="B288" s="33"/>
      <x:c r="C288" s="56" t="n">
        <x:f aca="0">LUCK!C149</x:f>
        <x:v>0</x:v>
      </x:c>
      <x:c r="D288" s="56" t="n">
        <x:f aca="0">LUCK!D149</x:f>
        <x:v>0</x:v>
      </x:c>
      <x:c r="E288" s="56" t="n">
        <x:f aca="0">LUCK!E149</x:f>
        <x:v>0.4180066843394498</x:v>
      </x:c>
      <x:c r="F288" s="56" t="n">
        <x:f aca="0">LUCK!F149</x:f>
        <x:v>0.1586620110003583</x:v>
      </x:c>
      <x:c r="G288" s="56" t="n">
        <x:f aca="0">LUCK!G149</x:f>
        <x:v>0.17708120732637533</x:v>
      </x:c>
    </x:row>
    <x:row r="289" ht="15" hidden="0">
      <x:c r="A289" s="10" t="s">
        <x:v>261</x:v>
      </x:c>
      <x:c r="B289" s="33"/>
      <x:c r="C289" s="56" t="n">
        <x:f aca="0">DGKC!C149</x:f>
        <x:v>0.11773366748421842</x:v>
      </x:c>
      <x:c r="D289" s="56" t="n">
        <x:f aca="0">DGKC!D149</x:f>
        <x:v>0.14740903768742444</x:v>
      </x:c>
      <x:c r="E289" s="56" t="str">
        <x:f aca="0">DGKC!E149</x:f>
        <x:v>n/m</x:v>
      </x:c>
      <x:c r="F289" s="56" t="n">
        <x:f aca="0">DGKC!F149</x:f>
        <x:v>0</x:v>
      </x:c>
      <x:c r="G289" s="56" t="n">
        <x:f aca="0">DGKC!G149</x:f>
        <x:v>0.10100660249111851</x:v>
      </x:c>
    </x:row>
    <x:row r="290" ht="15" hidden="0">
      <x:c r="A290" s="10" t="s">
        <x:v>262</x:v>
      </x:c>
      <x:c r="B290" s="33"/>
      <x:c r="C290" s="56" t="n">
        <x:f aca="0">MLCF!C149</x:f>
        <x:v>0</x:v>
      </x:c>
      <x:c r="D290" s="56" t="n">
        <x:f aca="0">MLCF!D149</x:f>
        <x:v>0</x:v>
      </x:c>
      <x:c r="E290" s="56" t="n">
        <x:f aca="0">MLCF!E149</x:f>
        <x:v>0</x:v>
      </x:c>
      <x:c r="F290" s="56" t="n">
        <x:f aca="0">MLCF!F149</x:f>
        <x:v>0</x:v>
      </x:c>
      <x:c r="G290" s="56" t="n">
        <x:f aca="0">MLCF!G149</x:f>
        <x:v>0</x:v>
      </x:c>
    </x:row>
    <x:row r="291" ht="15" hidden="0">
      <x:c r="A291" s="10" t="s">
        <x:v>263</x:v>
      </x:c>
      <x:c r="B291" s="33"/>
      <x:c r="C291" s="56" t="n">
        <x:f aca="0">FCCL!C149</x:f>
        <x:v>0</x:v>
      </x:c>
      <x:c r="D291" s="56" t="n">
        <x:f aca="0">FCCL!D149</x:f>
        <x:v>0</x:v>
      </x:c>
      <x:c r="E291" s="56" t="n">
        <x:f aca="0">FCCL!E149</x:f>
        <x:v>0</x:v>
      </x:c>
      <x:c r="F291" s="56" t="n">
        <x:f aca="0">FCCL!F149</x:f>
        <x:v>0.29828680514782985</x:v>
      </x:c>
      <x:c r="G291" s="56" t="n">
        <x:f aca="0">FCCL!G149</x:f>
        <x:v>0.23007746318118263</x:v>
      </x:c>
    </x:row>
    <x:row r="292" ht="15" hidden="0">
      <x:c r="A292" s="46" t="s">
        <x:v>264</x:v>
      </x:c>
      <x:c r="B292" s="47"/>
      <x:c r="C292" s="57" t="n">
        <x:f aca="0">IF(COUNT(C287:C291)=0,"n/m",AVERAGE(C287:C291))</x:f>
        <x:v>0.023546733496843684</x:v>
      </x:c>
      <x:c r="D292" s="57" t="n">
        <x:f aca="0">IF(COUNT(D287:D291)=0,"n/m",AVERAGE(D287:D291))</x:f>
        <x:v>0.02948180753748489</x:v>
      </x:c>
      <x:c r="E292" s="57" t="n">
        <x:f aca="0">IF(COUNT(E287:E291)=0,"n/m",AVERAGE(E287:E291))</x:f>
        <x:v>0.10450167108486245</x:v>
      </x:c>
      <x:c r="F292" s="57" t="n">
        <x:f aca="0">IF(COUNT(F287:F291)=0,"n/m",AVERAGE(F287:F291))</x:f>
        <x:v>0.09138976322963763</x:v>
      </x:c>
      <x:c r="G292" s="57" t="n">
        <x:f aca="0">IF(COUNT(G287:G291)=0,"n/m",AVERAGE(G287:G291))</x:f>
        <x:v>0.10163305459973529</x:v>
      </x:c>
    </x:row>
    <x:row r="295" ht="19.5" hidden="0" customHeight="1">
      <x:c r="A295" s="5" t="s">
        <x:v>272</x:v>
      </x:c>
      <x:c r="B295" s="6"/>
      <x:c r="C295" s="6"/>
      <x:c r="D295" s="6"/>
      <x:c r="E295" s="6"/>
      <x:c r="F295" s="6"/>
      <x:c r="G295" s="6"/>
    </x:row>
    <x:row r="296" ht="15" hidden="0">
      <x:c r="A296" s="20" t="s">
        <x:v>236</x:v>
      </x:c>
      <x:c r="B296" s="43" t="s">
        <x:v>237</x:v>
      </x:c>
      <x:c r="C296" s="21"/>
      <x:c r="D296" s="21"/>
      <x:c r="E296" s="21"/>
      <x:c r="F296" s="21"/>
      <x:c r="G296" s="21"/>
    </x:row>
    <x:row r="297" ht="15" hidden="0">
      <x:c r="A297" s="8" t="s">
        <x:v>259</x:v>
      </x:c>
      <x:c r="B297" s="33"/>
      <x:c r="C297" s="44" t="n">
        <x:f aca="0">KOHC!C151</x:f>
        <x:v>0.7348241709774519</x:v>
      </x:c>
      <x:c r="D297" s="44" t="n">
        <x:f aca="0">KOHC!D151</x:f>
        <x:v>0.9591143466325385</x:v>
      </x:c>
      <x:c r="E297" s="44" t="n">
        <x:f aca="0">KOHC!E151</x:f>
        <x:v>0.45896656897619287</x:v>
      </x:c>
      <x:c r="F297" s="44" t="n">
        <x:f aca="0">KOHC!F151</x:f>
        <x:v>0.6328198162609167</x:v>
      </x:c>
      <x:c r="G297" s="44" t="n">
        <x:f aca="0">KOHC!G151</x:f>
        <x:v>0.8241991052874028</x:v>
      </x:c>
    </x:row>
    <x:row r="298" ht="15" hidden="0">
      <x:c r="A298" s="10" t="s">
        <x:v>260</x:v>
      </x:c>
      <x:c r="B298" s="33"/>
      <x:c r="C298" s="45" t="n">
        <x:f aca="0">LUCK!C151</x:f>
        <x:v>0.42103545561625083</x:v>
      </x:c>
      <x:c r="D298" s="45" t="n">
        <x:f aca="0">LUCK!D151</x:f>
        <x:v>0.5092954839453943</x:v>
      </x:c>
      <x:c r="E298" s="45" t="n">
        <x:f aca="0">LUCK!E151</x:f>
        <x:v>0.6073220985166661</x:v>
      </x:c>
      <x:c r="F298" s="45" t="n">
        <x:f aca="0">LUCK!F151</x:f>
        <x:v>0.5495849171169304</x:v>
      </x:c>
      <x:c r="G298" s="45" t="n">
        <x:f aca="0">LUCK!G151</x:f>
        <x:v>0.48874593972715874</x:v>
      </x:c>
    </x:row>
    <x:row r="299" ht="15" hidden="0">
      <x:c r="A299" s="10" t="s">
        <x:v>261</x:v>
      </x:c>
      <x:c r="B299" s="33"/>
      <x:c r="C299" s="45" t="n">
        <x:f aca="0">DGKC!C151</x:f>
        <x:v>0.1581418796924945</x:v>
      </x:c>
      <x:c r="D299" s="45" t="n">
        <x:f aca="0">DGKC!D151</x:f>
        <x:v>-0.09104588620249932</x:v>
      </x:c>
      <x:c r="E299" s="45" t="n">
        <x:f aca="0">DGKC!E151</x:f>
        <x:v>0.13727106602143005</x:v>
      </x:c>
      <x:c r="F299" s="45" t="n">
        <x:f aca="0">DGKC!F151</x:f>
        <x:v>0.14905890442807204</x:v>
      </x:c>
      <x:c r="G299" s="45" t="n">
        <x:f aca="0">DGKC!G151</x:f>
        <x:v>0.34519134637939236</x:v>
      </x:c>
    </x:row>
    <x:row r="300" ht="15" hidden="0">
      <x:c r="A300" s="10" t="s">
        <x:v>262</x:v>
      </x:c>
      <x:c r="B300" s="33"/>
      <x:c r="C300" s="45" t="n">
        <x:f aca="0">MLCF!C151</x:f>
        <x:v>0.4896246614243733</x:v>
      </x:c>
      <x:c r="D300" s="45" t="n">
        <x:f aca="0">MLCF!D151</x:f>
        <x:v>0.6026954756709324</x:v>
      </x:c>
      <x:c r="E300" s="45" t="n">
        <x:f aca="0">MLCF!E151</x:f>
        <x:v>1.2431133620493349</x:v>
      </x:c>
      <x:c r="F300" s="45" t="n">
        <x:f aca="0">MLCF!F151</x:f>
        <x:v>0.5455600969539355</x:v>
      </x:c>
      <x:c r="G300" s="45" t="n">
        <x:f aca="0">MLCF!G151</x:f>
        <x:v>0.921413038275278</x:v>
      </x:c>
    </x:row>
    <x:row r="301" ht="15" hidden="0">
      <x:c r="A301" s="10" t="s">
        <x:v>263</x:v>
      </x:c>
      <x:c r="B301" s="33"/>
      <x:c r="C301" s="45" t="n">
        <x:f aca="0">FCCL!C151</x:f>
        <x:v>1.0117896447486598</x:v>
      </x:c>
      <x:c r="D301" s="45" t="n">
        <x:f aca="0">FCCL!D151</x:f>
        <x:v>0.46026872897751386</x:v>
      </x:c>
      <x:c r="E301" s="45" t="n">
        <x:f aca="0">FCCL!E151</x:f>
        <x:v>0.5807479582527986</x:v>
      </x:c>
      <x:c r="F301" s="45" t="n">
        <x:f aca="0">FCCL!F151</x:f>
        <x:v>0.8051914064237449</x:v>
      </x:c>
      <x:c r="G301" s="45" t="n">
        <x:f aca="0">FCCL!G151</x:f>
        <x:v>0.8456332094463861</x:v>
      </x:c>
    </x:row>
    <x:row r="302" ht="15" hidden="0">
      <x:c r="A302" s="46" t="s">
        <x:v>264</x:v>
      </x:c>
      <x:c r="B302" s="47"/>
      <x:c r="C302" s="48" t="n">
        <x:f aca="0">IF(COUNT(C297:C301)=0,"n/m",AVERAGE(C297:C301))</x:f>
        <x:v>0.5630831624918461</x:v>
      </x:c>
      <x:c r="D302" s="48" t="n">
        <x:f aca="0">IF(COUNT(D297:D301)=0,"n/m",AVERAGE(D297:D301))</x:f>
        <x:v>0.4880656298047759</x:v>
      </x:c>
      <x:c r="E302" s="48" t="n">
        <x:f aca="0">IF(COUNT(E297:E301)=0,"n/m",AVERAGE(E297:E301))</x:f>
        <x:v>0.6054842107632845</x:v>
      </x:c>
      <x:c r="F302" s="48" t="n">
        <x:f aca="0">IF(COUNT(F297:F301)=0,"n/m",AVERAGE(F297:F301))</x:f>
        <x:v>0.5364430282367199</x:v>
      </x:c>
      <x:c r="G302" s="48" t="n">
        <x:f aca="0">IF(COUNT(G297:G301)=0,"n/m",AVERAGE(G297:G301))</x:f>
        <x:v>0.6850365278231235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B08D57"/>
  </x:sheetPr>
  <x:sheetViews>
    <x:sheetView showGridLines="0" workbookViewId="0"/>
  </x:sheetViews>
  <x:sheetFormatPr defaultColWidth="8.6796875" defaultRowHeight="15"/>
  <x:sheetData>
    <x:row r="1" ht="19.700000762939453" hidden="0">
      <x:c r="B1" s="1" t="s">
        <x:v>273</x:v>
      </x:c>
    </x:row>
    <x:row r="2" ht="15" hidden="0">
      <x:c r="B2" s="16" t="s">
        <x:v>274</x:v>
      </x:c>
    </x:row>
    <x:row r="4" ht="15" hidden="0">
      <x:c r="B4" s="61" t="s">
        <x:v>160</x:v>
      </x:c>
    </x:row>
    <x:row r="21" ht="15" hidden="0">
      <x:c r="B21" s="61" t="s">
        <x:v>171</x:v>
      </x:c>
    </x:row>
    <x:row r="54" ht="15" hidden="0">
      <x:c r="B54" s="61" t="s">
        <x:v>192</x:v>
      </x:c>
    </x:row>
    <x:row r="71" ht="15" hidden="0">
      <x:c r="B71" s="61" t="s">
        <x:v>205</x:v>
      </x:c>
    </x:row>
    <x:row r="104" ht="15" hidden="0">
      <x:c r="B104" s="61" t="s">
        <x:v>222</x:v>
      </x:c>
    </x:row>
    <x:row r="121" ht="15" hidden="0">
      <x:c r="B121" s="61" t="s">
        <x:v>235</x:v>
      </x:c>
    </x:row>
  </x:sheetData>
  <x:pageMargins left="0.7" right="0.7" top="0.75" bottom="0.75" header="0.3" footer="0.3"/>
  <x:drawing xmlns:r="http://schemas.openxmlformats.org/officeDocument/2006/relationships" r:id="Re57cd1b2a86b4e65"/>
</x:worksheet>
</file>