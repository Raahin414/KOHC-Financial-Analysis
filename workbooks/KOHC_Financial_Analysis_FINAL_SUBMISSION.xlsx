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psnwa\Documents\Codex\2026-10-22\mandatory-historical-share-price-verification-using\outputs\overview-short\"/>
    </mc:Choice>
  </mc:AlternateContent>
  <xr:revisionPtr revIDLastSave="0" documentId="13_ncr:1_{F50A7693-1F26-48B3-A3F7-DDFB485BB5A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Overview" sheetId="1" r:id="rId1"/>
    <sheet name="KOHC" sheetId="2" r:id="rId2"/>
    <sheet name="LUCK" sheetId="3" r:id="rId3"/>
    <sheet name="DGKC" sheetId="4" r:id="rId4"/>
    <sheet name="MLCF" sheetId="5" r:id="rId5"/>
    <sheet name="FCCL" sheetId="6" r:id="rId6"/>
    <sheet name="Industry Averages" sheetId="7" r:id="rId7"/>
    <sheet name="Charts" sheetId="8" r:id="rId8"/>
  </sheets>
  <definedNames>
    <definedName name="_xlnm.Print_Area" localSheetId="7">Charts!$A$1:$S$626</definedName>
    <definedName name="_xlnm.Print_Area" localSheetId="3">DGKC!$A$1:$H$162</definedName>
    <definedName name="_xlnm.Print_Area" localSheetId="5">FCCL!$A$1:$H$162</definedName>
    <definedName name="_xlnm.Print_Area" localSheetId="6">'Industry Averages'!$A$1:$H$226</definedName>
    <definedName name="_xlnm.Print_Area" localSheetId="1">KOHC!$A$1:$H$162</definedName>
    <definedName name="_xlnm.Print_Area" localSheetId="2">LUCK!$A$1:$H$162</definedName>
    <definedName name="_xlnm.Print_Area" localSheetId="4">MLCF!$A$1:$H$159</definedName>
    <definedName name="_xlnm.Print_Area" localSheetId="0">Overview!$A$1:$G$40</definedName>
    <definedName name="_xlnm.Print_Titles" localSheetId="7">Charts!$1:$3</definedName>
    <definedName name="_xlnm.Print_Titles" localSheetId="6">'Industry Averages'!$1:$4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6" l="1"/>
  <c r="G158" i="6"/>
  <c r="F158" i="6"/>
  <c r="E158" i="6"/>
  <c r="D158" i="6"/>
  <c r="H157" i="6"/>
  <c r="G157" i="6"/>
  <c r="F157" i="6"/>
  <c r="E157" i="6"/>
  <c r="D157" i="6"/>
  <c r="H140" i="6"/>
  <c r="G140" i="6"/>
  <c r="F140" i="6"/>
  <c r="E140" i="6"/>
  <c r="D140" i="6"/>
  <c r="H120" i="6"/>
  <c r="G120" i="6"/>
  <c r="F120" i="6"/>
  <c r="E120" i="6"/>
  <c r="D120" i="6"/>
  <c r="H119" i="6"/>
  <c r="G119" i="6"/>
  <c r="F119" i="6"/>
  <c r="E119" i="6"/>
  <c r="D119" i="6"/>
  <c r="H117" i="6"/>
  <c r="G117" i="6"/>
  <c r="F117" i="6"/>
  <c r="E117" i="6"/>
  <c r="D117" i="6"/>
  <c r="H103" i="6"/>
  <c r="G103" i="6"/>
  <c r="F103" i="6"/>
  <c r="E103" i="6"/>
  <c r="D103" i="6"/>
  <c r="H85" i="6"/>
  <c r="G85" i="6"/>
  <c r="F85" i="6"/>
  <c r="E85" i="6"/>
  <c r="D85" i="6"/>
  <c r="I66" i="6"/>
  <c r="I71" i="6" s="1"/>
  <c r="I76" i="6" s="1"/>
  <c r="H66" i="6"/>
  <c r="G66" i="6"/>
  <c r="F66" i="6"/>
  <c r="E66" i="6"/>
  <c r="D66" i="6"/>
  <c r="I56" i="6"/>
  <c r="H56" i="6"/>
  <c r="G56" i="6"/>
  <c r="F56" i="6"/>
  <c r="E56" i="6"/>
  <c r="D56" i="6"/>
  <c r="I55" i="6"/>
  <c r="H55" i="6"/>
  <c r="G55" i="6"/>
  <c r="F55" i="6"/>
  <c r="E55" i="6"/>
  <c r="D55" i="6"/>
  <c r="I54" i="6"/>
  <c r="H54" i="6"/>
  <c r="G54" i="6"/>
  <c r="F54" i="6"/>
  <c r="E54" i="6"/>
  <c r="D54" i="6"/>
  <c r="I53" i="6"/>
  <c r="H53" i="6"/>
  <c r="G53" i="6"/>
  <c r="F53" i="6"/>
  <c r="E53" i="6"/>
  <c r="D53" i="6"/>
  <c r="I48" i="6"/>
  <c r="I60" i="6" s="1"/>
  <c r="H48" i="6"/>
  <c r="G48" i="6"/>
  <c r="F48" i="6"/>
  <c r="E48" i="6"/>
  <c r="D48" i="6"/>
  <c r="I36" i="6"/>
  <c r="I49" i="6" s="1"/>
  <c r="H36" i="6"/>
  <c r="H49" i="6" s="1"/>
  <c r="G36" i="6"/>
  <c r="G49" i="6" s="1"/>
  <c r="G123" i="6" s="1"/>
  <c r="F36" i="6"/>
  <c r="E36" i="6"/>
  <c r="D36" i="6"/>
  <c r="I29" i="6"/>
  <c r="H29" i="6"/>
  <c r="G29" i="6"/>
  <c r="F29" i="6"/>
  <c r="E29" i="6"/>
  <c r="D29" i="6"/>
  <c r="I24" i="6"/>
  <c r="I59" i="6" s="1"/>
  <c r="H24" i="6"/>
  <c r="G24" i="6"/>
  <c r="G59" i="6" s="1"/>
  <c r="F24" i="6"/>
  <c r="F59" i="6" s="1"/>
  <c r="E24" i="6"/>
  <c r="D24" i="6"/>
  <c r="I16" i="6"/>
  <c r="H16" i="6"/>
  <c r="G16" i="6"/>
  <c r="G25" i="6" s="1"/>
  <c r="G121" i="6" s="1"/>
  <c r="F16" i="6"/>
  <c r="F25" i="6" s="1"/>
  <c r="F121" i="6" s="1"/>
  <c r="E16" i="6"/>
  <c r="E25" i="6" s="1"/>
  <c r="E121" i="6" s="1"/>
  <c r="D16" i="6"/>
  <c r="D25" i="6" s="1"/>
  <c r="D121" i="6" s="1"/>
  <c r="H155" i="5"/>
  <c r="G155" i="5"/>
  <c r="F155" i="5"/>
  <c r="E155" i="5"/>
  <c r="D155" i="5"/>
  <c r="H154" i="5"/>
  <c r="G154" i="5"/>
  <c r="F154" i="5"/>
  <c r="E154" i="5"/>
  <c r="D154" i="5"/>
  <c r="H140" i="5"/>
  <c r="G140" i="5"/>
  <c r="F140" i="5"/>
  <c r="E140" i="5"/>
  <c r="D140" i="5"/>
  <c r="G125" i="5"/>
  <c r="F125" i="5"/>
  <c r="E125" i="5"/>
  <c r="H120" i="5"/>
  <c r="G120" i="5"/>
  <c r="F120" i="5"/>
  <c r="E120" i="5"/>
  <c r="D120" i="5"/>
  <c r="H119" i="5"/>
  <c r="G119" i="5"/>
  <c r="F119" i="5"/>
  <c r="E119" i="5"/>
  <c r="D119" i="5"/>
  <c r="H118" i="5"/>
  <c r="G118" i="5"/>
  <c r="F118" i="5"/>
  <c r="E118" i="5"/>
  <c r="D118" i="5"/>
  <c r="H117" i="5"/>
  <c r="G117" i="5"/>
  <c r="F117" i="5"/>
  <c r="E117" i="5"/>
  <c r="D117" i="5"/>
  <c r="H116" i="5"/>
  <c r="G116" i="5"/>
  <c r="F116" i="5"/>
  <c r="E116" i="5"/>
  <c r="D116" i="5"/>
  <c r="H114" i="5"/>
  <c r="G114" i="5"/>
  <c r="F114" i="5"/>
  <c r="E114" i="5"/>
  <c r="D114" i="5"/>
  <c r="H113" i="5"/>
  <c r="G113" i="5"/>
  <c r="F113" i="5"/>
  <c r="E113" i="5"/>
  <c r="D113" i="5"/>
  <c r="H112" i="5"/>
  <c r="G112" i="5"/>
  <c r="F112" i="5"/>
  <c r="E112" i="5"/>
  <c r="D112" i="5"/>
  <c r="H111" i="5"/>
  <c r="G111" i="5"/>
  <c r="F111" i="5"/>
  <c r="E111" i="5"/>
  <c r="D111" i="5"/>
  <c r="H103" i="5"/>
  <c r="G103" i="5"/>
  <c r="F103" i="5"/>
  <c r="E103" i="5"/>
  <c r="D103" i="5"/>
  <c r="H85" i="5"/>
  <c r="G85" i="5"/>
  <c r="F85" i="5"/>
  <c r="E85" i="5"/>
  <c r="D85" i="5"/>
  <c r="I66" i="5"/>
  <c r="I71" i="5" s="1"/>
  <c r="I76" i="5" s="1"/>
  <c r="H66" i="5"/>
  <c r="G66" i="5"/>
  <c r="F66" i="5"/>
  <c r="E66" i="5"/>
  <c r="D66" i="5"/>
  <c r="I56" i="5"/>
  <c r="H56" i="5"/>
  <c r="G56" i="5"/>
  <c r="F56" i="5"/>
  <c r="E56" i="5"/>
  <c r="D56" i="5"/>
  <c r="I55" i="5"/>
  <c r="H55" i="5"/>
  <c r="G55" i="5"/>
  <c r="F55" i="5"/>
  <c r="E55" i="5"/>
  <c r="D55" i="5"/>
  <c r="I54" i="5"/>
  <c r="H54" i="5"/>
  <c r="G54" i="5"/>
  <c r="F54" i="5"/>
  <c r="E54" i="5"/>
  <c r="D54" i="5"/>
  <c r="I53" i="5"/>
  <c r="H53" i="5"/>
  <c r="G53" i="5"/>
  <c r="F53" i="5"/>
  <c r="E53" i="5"/>
  <c r="D53" i="5"/>
  <c r="I52" i="5"/>
  <c r="H52" i="5"/>
  <c r="G52" i="5"/>
  <c r="F52" i="5"/>
  <c r="E52" i="5"/>
  <c r="D52" i="5"/>
  <c r="I48" i="5"/>
  <c r="I60" i="5" s="1"/>
  <c r="H48" i="5"/>
  <c r="H60" i="5" s="1"/>
  <c r="G48" i="5"/>
  <c r="G60" i="5" s="1"/>
  <c r="F48" i="5"/>
  <c r="F60" i="5" s="1"/>
  <c r="E48" i="5"/>
  <c r="E60" i="5" s="1"/>
  <c r="D48" i="5"/>
  <c r="D60" i="5" s="1"/>
  <c r="I36" i="5"/>
  <c r="I49" i="5" s="1"/>
  <c r="H36" i="5"/>
  <c r="H49" i="5" s="1"/>
  <c r="G36" i="5"/>
  <c r="G49" i="5" s="1"/>
  <c r="F36" i="5"/>
  <c r="F49" i="5" s="1"/>
  <c r="E36" i="5"/>
  <c r="E49" i="5" s="1"/>
  <c r="D36" i="5"/>
  <c r="D49" i="5" s="1"/>
  <c r="I29" i="5"/>
  <c r="I50" i="5" s="1"/>
  <c r="H29" i="5"/>
  <c r="H50" i="5" s="1"/>
  <c r="G29" i="5"/>
  <c r="G50" i="5" s="1"/>
  <c r="F29" i="5"/>
  <c r="F50" i="5" s="1"/>
  <c r="E29" i="5"/>
  <c r="E50" i="5" s="1"/>
  <c r="D29" i="5"/>
  <c r="D50" i="5" s="1"/>
  <c r="I24" i="5"/>
  <c r="I59" i="5" s="1"/>
  <c r="H24" i="5"/>
  <c r="H59" i="5" s="1"/>
  <c r="G24" i="5"/>
  <c r="G59" i="5" s="1"/>
  <c r="F24" i="5"/>
  <c r="F59" i="5" s="1"/>
  <c r="E24" i="5"/>
  <c r="E59" i="5" s="1"/>
  <c r="D24" i="5"/>
  <c r="D59" i="5" s="1"/>
  <c r="I16" i="5"/>
  <c r="I25" i="5" s="1"/>
  <c r="H16" i="5"/>
  <c r="H25" i="5" s="1"/>
  <c r="H121" i="5" s="1"/>
  <c r="G16" i="5"/>
  <c r="G25" i="5" s="1"/>
  <c r="G121" i="5" s="1"/>
  <c r="F16" i="5"/>
  <c r="F25" i="5" s="1"/>
  <c r="F121" i="5" s="1"/>
  <c r="E16" i="5"/>
  <c r="E25" i="5" s="1"/>
  <c r="E121" i="5" s="1"/>
  <c r="D16" i="5"/>
  <c r="D25" i="5" s="1"/>
  <c r="D121" i="5" s="1"/>
  <c r="H158" i="4"/>
  <c r="G158" i="4"/>
  <c r="F158" i="4"/>
  <c r="E158" i="4"/>
  <c r="D158" i="4"/>
  <c r="H157" i="4"/>
  <c r="G157" i="4"/>
  <c r="F157" i="4"/>
  <c r="E157" i="4"/>
  <c r="D157" i="4"/>
  <c r="H140" i="4"/>
  <c r="G140" i="4"/>
  <c r="F140" i="4"/>
  <c r="E140" i="4"/>
  <c r="D140" i="4"/>
  <c r="H120" i="4"/>
  <c r="G120" i="4"/>
  <c r="F120" i="4"/>
  <c r="E120" i="4"/>
  <c r="D120" i="4"/>
  <c r="H119" i="4"/>
  <c r="G119" i="4"/>
  <c r="F119" i="4"/>
  <c r="E119" i="4"/>
  <c r="D119" i="4"/>
  <c r="G118" i="4"/>
  <c r="F118" i="4"/>
  <c r="E118" i="4"/>
  <c r="H117" i="4"/>
  <c r="G117" i="4"/>
  <c r="F117" i="4"/>
  <c r="E117" i="4"/>
  <c r="D117" i="4"/>
  <c r="H103" i="4"/>
  <c r="H159" i="4" s="1"/>
  <c r="G103" i="4"/>
  <c r="G159" i="4" s="1"/>
  <c r="F103" i="4"/>
  <c r="F159" i="4" s="1"/>
  <c r="E103" i="4"/>
  <c r="E159" i="4" s="1"/>
  <c r="D103" i="4"/>
  <c r="D159" i="4" s="1"/>
  <c r="H85" i="4"/>
  <c r="G85" i="4"/>
  <c r="F85" i="4"/>
  <c r="E85" i="4"/>
  <c r="D85" i="4"/>
  <c r="I66" i="4"/>
  <c r="I71" i="4" s="1"/>
  <c r="I76" i="4" s="1"/>
  <c r="H66" i="4"/>
  <c r="G66" i="4"/>
  <c r="F66" i="4"/>
  <c r="E66" i="4"/>
  <c r="D66" i="4"/>
  <c r="I56" i="4"/>
  <c r="H56" i="4"/>
  <c r="G56" i="4"/>
  <c r="F56" i="4"/>
  <c r="E56" i="4"/>
  <c r="D56" i="4"/>
  <c r="I55" i="4"/>
  <c r="H55" i="4"/>
  <c r="G55" i="4"/>
  <c r="F55" i="4"/>
  <c r="E55" i="4"/>
  <c r="D55" i="4"/>
  <c r="I54" i="4"/>
  <c r="H54" i="4"/>
  <c r="G54" i="4"/>
  <c r="F54" i="4"/>
  <c r="G116" i="4" s="1"/>
  <c r="E54" i="4"/>
  <c r="F116" i="4" s="1"/>
  <c r="D54" i="4"/>
  <c r="E116" i="4" s="1"/>
  <c r="I53" i="4"/>
  <c r="H53" i="4"/>
  <c r="G53" i="4"/>
  <c r="F53" i="4"/>
  <c r="E53" i="4"/>
  <c r="D53" i="4"/>
  <c r="I48" i="4"/>
  <c r="I60" i="4" s="1"/>
  <c r="H48" i="4"/>
  <c r="G48" i="4"/>
  <c r="F48" i="4"/>
  <c r="E48" i="4"/>
  <c r="D48" i="4"/>
  <c r="I36" i="4"/>
  <c r="I49" i="4" s="1"/>
  <c r="H36" i="4"/>
  <c r="H49" i="4" s="1"/>
  <c r="G36" i="4"/>
  <c r="G49" i="4" s="1"/>
  <c r="F36" i="4"/>
  <c r="F49" i="4" s="1"/>
  <c r="E36" i="4"/>
  <c r="E49" i="4" s="1"/>
  <c r="D36" i="4"/>
  <c r="D49" i="4" s="1"/>
  <c r="I29" i="4"/>
  <c r="I50" i="4" s="1"/>
  <c r="H29" i="4"/>
  <c r="G29" i="4"/>
  <c r="F29" i="4"/>
  <c r="E29" i="4"/>
  <c r="D29" i="4"/>
  <c r="I24" i="4"/>
  <c r="I59" i="4" s="1"/>
  <c r="H24" i="4"/>
  <c r="G24" i="4"/>
  <c r="F24" i="4"/>
  <c r="E24" i="4"/>
  <c r="D24" i="4"/>
  <c r="I16" i="4"/>
  <c r="I25" i="4" s="1"/>
  <c r="H16" i="4"/>
  <c r="H25" i="4" s="1"/>
  <c r="H121" i="4" s="1"/>
  <c r="G16" i="4"/>
  <c r="G25" i="4" s="1"/>
  <c r="G121" i="4" s="1"/>
  <c r="F16" i="4"/>
  <c r="F25" i="4" s="1"/>
  <c r="F121" i="4" s="1"/>
  <c r="E16" i="4"/>
  <c r="E25" i="4" s="1"/>
  <c r="E121" i="4" s="1"/>
  <c r="D16" i="4"/>
  <c r="D25" i="4" s="1"/>
  <c r="D121" i="4" s="1"/>
  <c r="H158" i="3"/>
  <c r="G158" i="3"/>
  <c r="F158" i="3"/>
  <c r="E158" i="3"/>
  <c r="D158" i="3"/>
  <c r="H157" i="3"/>
  <c r="G157" i="3"/>
  <c r="F157" i="3"/>
  <c r="E157" i="3"/>
  <c r="D157" i="3"/>
  <c r="H140" i="3"/>
  <c r="G140" i="3"/>
  <c r="F140" i="3"/>
  <c r="E140" i="3"/>
  <c r="D140" i="3"/>
  <c r="H120" i="3"/>
  <c r="G120" i="3"/>
  <c r="F120" i="3"/>
  <c r="E120" i="3"/>
  <c r="D120" i="3"/>
  <c r="H119" i="3"/>
  <c r="G119" i="3"/>
  <c r="F119" i="3"/>
  <c r="E119" i="3"/>
  <c r="D119" i="3"/>
  <c r="H117" i="3"/>
  <c r="G117" i="3"/>
  <c r="F117" i="3"/>
  <c r="E117" i="3"/>
  <c r="D117" i="3"/>
  <c r="H103" i="3"/>
  <c r="H159" i="3" s="1"/>
  <c r="G103" i="3"/>
  <c r="G159" i="3" s="1"/>
  <c r="F103" i="3"/>
  <c r="F159" i="3" s="1"/>
  <c r="E103" i="3"/>
  <c r="E159" i="3" s="1"/>
  <c r="D103" i="3"/>
  <c r="D159" i="3" s="1"/>
  <c r="H85" i="3"/>
  <c r="G85" i="3"/>
  <c r="F85" i="3"/>
  <c r="E85" i="3"/>
  <c r="D85" i="3"/>
  <c r="I66" i="3"/>
  <c r="I71" i="3" s="1"/>
  <c r="I76" i="3" s="1"/>
  <c r="H66" i="3"/>
  <c r="G66" i="3"/>
  <c r="F66" i="3"/>
  <c r="E66" i="3"/>
  <c r="D66" i="3"/>
  <c r="I56" i="3"/>
  <c r="H56" i="3"/>
  <c r="G56" i="3"/>
  <c r="F56" i="3"/>
  <c r="E56" i="3"/>
  <c r="D56" i="3"/>
  <c r="I55" i="3"/>
  <c r="H55" i="3"/>
  <c r="G55" i="3"/>
  <c r="F55" i="3"/>
  <c r="E55" i="3"/>
  <c r="D55" i="3"/>
  <c r="I54" i="3"/>
  <c r="H54" i="3"/>
  <c r="G54" i="3"/>
  <c r="F54" i="3"/>
  <c r="E54" i="3"/>
  <c r="D54" i="3"/>
  <c r="I53" i="3"/>
  <c r="H53" i="3"/>
  <c r="G53" i="3"/>
  <c r="F53" i="3"/>
  <c r="E53" i="3"/>
  <c r="D53" i="3"/>
  <c r="I48" i="3"/>
  <c r="I60" i="3" s="1"/>
  <c r="H48" i="3"/>
  <c r="H60" i="3" s="1"/>
  <c r="G48" i="3"/>
  <c r="G60" i="3" s="1"/>
  <c r="F48" i="3"/>
  <c r="F60" i="3" s="1"/>
  <c r="E48" i="3"/>
  <c r="E60" i="3" s="1"/>
  <c r="D48" i="3"/>
  <c r="D60" i="3" s="1"/>
  <c r="I36" i="3"/>
  <c r="I49" i="3" s="1"/>
  <c r="H36" i="3"/>
  <c r="H49" i="3" s="1"/>
  <c r="G36" i="3"/>
  <c r="G49" i="3" s="1"/>
  <c r="F36" i="3"/>
  <c r="F49" i="3" s="1"/>
  <c r="E36" i="3"/>
  <c r="E49" i="3" s="1"/>
  <c r="D36" i="3"/>
  <c r="D49" i="3" s="1"/>
  <c r="I29" i="3"/>
  <c r="I50" i="3" s="1"/>
  <c r="H29" i="3"/>
  <c r="G29" i="3"/>
  <c r="F29" i="3"/>
  <c r="E29" i="3"/>
  <c r="D29" i="3"/>
  <c r="I24" i="3"/>
  <c r="I59" i="3" s="1"/>
  <c r="H24" i="3"/>
  <c r="G24" i="3"/>
  <c r="F24" i="3"/>
  <c r="E24" i="3"/>
  <c r="D24" i="3"/>
  <c r="I16" i="3"/>
  <c r="I25" i="3" s="1"/>
  <c r="H16" i="3"/>
  <c r="H25" i="3" s="1"/>
  <c r="H121" i="3" s="1"/>
  <c r="G16" i="3"/>
  <c r="G25" i="3" s="1"/>
  <c r="G121" i="3" s="1"/>
  <c r="F16" i="3"/>
  <c r="F25" i="3" s="1"/>
  <c r="F121" i="3" s="1"/>
  <c r="E16" i="3"/>
  <c r="D16" i="3"/>
  <c r="D25" i="3" s="1"/>
  <c r="D121" i="3" s="1"/>
  <c r="H158" i="2"/>
  <c r="G158" i="2"/>
  <c r="F158" i="2"/>
  <c r="E158" i="2"/>
  <c r="D158" i="2"/>
  <c r="H157" i="2"/>
  <c r="G157" i="2"/>
  <c r="F157" i="2"/>
  <c r="E157" i="2"/>
  <c r="D157" i="2"/>
  <c r="H140" i="2"/>
  <c r="G140" i="2"/>
  <c r="F140" i="2"/>
  <c r="E140" i="2"/>
  <c r="D140" i="2"/>
  <c r="H120" i="2"/>
  <c r="G120" i="2"/>
  <c r="F120" i="2"/>
  <c r="E120" i="2"/>
  <c r="D120" i="2"/>
  <c r="H119" i="2"/>
  <c r="G119" i="2"/>
  <c r="F119" i="2"/>
  <c r="E119" i="2"/>
  <c r="D119" i="2"/>
  <c r="H117" i="2"/>
  <c r="G117" i="2"/>
  <c r="F117" i="2"/>
  <c r="E117" i="2"/>
  <c r="D117" i="2"/>
  <c r="H103" i="2"/>
  <c r="H159" i="2" s="1"/>
  <c r="G103" i="2"/>
  <c r="G159" i="2" s="1"/>
  <c r="F103" i="2"/>
  <c r="F159" i="2" s="1"/>
  <c r="E103" i="2"/>
  <c r="E159" i="2" s="1"/>
  <c r="D103" i="2"/>
  <c r="D159" i="2" s="1"/>
  <c r="H85" i="2"/>
  <c r="G85" i="2"/>
  <c r="F85" i="2"/>
  <c r="E85" i="2"/>
  <c r="D85" i="2"/>
  <c r="I66" i="2"/>
  <c r="I71" i="2" s="1"/>
  <c r="I76" i="2" s="1"/>
  <c r="H66" i="2"/>
  <c r="G66" i="2"/>
  <c r="F66" i="2"/>
  <c r="E66" i="2"/>
  <c r="D66" i="2"/>
  <c r="I56" i="2"/>
  <c r="H56" i="2"/>
  <c r="G56" i="2"/>
  <c r="F56" i="2"/>
  <c r="E56" i="2"/>
  <c r="D56" i="2"/>
  <c r="I55" i="2"/>
  <c r="H55" i="2"/>
  <c r="G55" i="2"/>
  <c r="F55" i="2"/>
  <c r="E55" i="2"/>
  <c r="D55" i="2"/>
  <c r="I54" i="2"/>
  <c r="H54" i="2"/>
  <c r="G54" i="2"/>
  <c r="F54" i="2"/>
  <c r="E54" i="2"/>
  <c r="D54" i="2"/>
  <c r="I53" i="2"/>
  <c r="H53" i="2"/>
  <c r="G53" i="2"/>
  <c r="F53" i="2"/>
  <c r="E53" i="2"/>
  <c r="D53" i="2"/>
  <c r="I48" i="2"/>
  <c r="I60" i="2" s="1"/>
  <c r="H48" i="2"/>
  <c r="G48" i="2"/>
  <c r="F48" i="2"/>
  <c r="E48" i="2"/>
  <c r="D48" i="2"/>
  <c r="I36" i="2"/>
  <c r="I49" i="2" s="1"/>
  <c r="H36" i="2"/>
  <c r="H49" i="2" s="1"/>
  <c r="G36" i="2"/>
  <c r="G49" i="2" s="1"/>
  <c r="F36" i="2"/>
  <c r="F49" i="2" s="1"/>
  <c r="E36" i="2"/>
  <c r="E49" i="2" s="1"/>
  <c r="D36" i="2"/>
  <c r="D49" i="2" s="1"/>
  <c r="I29" i="2"/>
  <c r="I50" i="2" s="1"/>
  <c r="H29" i="2"/>
  <c r="G29" i="2"/>
  <c r="F29" i="2"/>
  <c r="E29" i="2"/>
  <c r="D29" i="2"/>
  <c r="I24" i="2"/>
  <c r="I59" i="2" s="1"/>
  <c r="H24" i="2"/>
  <c r="G24" i="2"/>
  <c r="F24" i="2"/>
  <c r="E24" i="2"/>
  <c r="D24" i="2"/>
  <c r="I16" i="2"/>
  <c r="I25" i="2" s="1"/>
  <c r="H16" i="2"/>
  <c r="H25" i="2" s="1"/>
  <c r="H121" i="2" s="1"/>
  <c r="G16" i="2"/>
  <c r="G25" i="2" s="1"/>
  <c r="G121" i="2" s="1"/>
  <c r="F16" i="2"/>
  <c r="F25" i="2" s="1"/>
  <c r="F121" i="2" s="1"/>
  <c r="E16" i="2"/>
  <c r="E25" i="2" s="1"/>
  <c r="E121" i="2" s="1"/>
  <c r="D16" i="2"/>
  <c r="D25" i="2" s="1"/>
  <c r="D121" i="2" s="1"/>
  <c r="I58" i="6" l="1"/>
  <c r="I25" i="6"/>
  <c r="H25" i="6"/>
  <c r="G124" i="5"/>
  <c r="F124" i="5"/>
  <c r="E124" i="5"/>
  <c r="I58" i="4"/>
  <c r="H58" i="4"/>
  <c r="G58" i="4"/>
  <c r="F58" i="4"/>
  <c r="E58" i="4"/>
  <c r="D58" i="4"/>
  <c r="H118" i="4"/>
  <c r="H160" i="3"/>
  <c r="G160" i="3"/>
  <c r="F160" i="3"/>
  <c r="E160" i="3"/>
  <c r="D160" i="3"/>
  <c r="D71" i="6"/>
  <c r="D76" i="6" s="1"/>
  <c r="D128" i="6"/>
  <c r="D116" i="6"/>
  <c r="D118" i="6"/>
  <c r="H116" i="6"/>
  <c r="G112" i="6"/>
  <c r="H118" i="6"/>
  <c r="G118" i="6"/>
  <c r="G116" i="6"/>
  <c r="F112" i="6"/>
  <c r="F116" i="6"/>
  <c r="E112" i="6"/>
  <c r="F118" i="6"/>
  <c r="E116" i="6"/>
  <c r="D112" i="6"/>
  <c r="E118" i="6"/>
  <c r="H60" i="6"/>
  <c r="H113" i="6"/>
  <c r="G60" i="6"/>
  <c r="G114" i="6"/>
  <c r="Y29" i="8" s="1"/>
  <c r="G111" i="6"/>
  <c r="G113" i="6"/>
  <c r="F60" i="6"/>
  <c r="F113" i="6"/>
  <c r="F114" i="6"/>
  <c r="F111" i="6"/>
  <c r="E60" i="6"/>
  <c r="E114" i="6"/>
  <c r="E113" i="6"/>
  <c r="D60" i="6"/>
  <c r="D114" i="6"/>
  <c r="D113" i="6"/>
  <c r="H59" i="6"/>
  <c r="H114" i="6"/>
  <c r="H112" i="6"/>
  <c r="H111" i="6"/>
  <c r="F71" i="5"/>
  <c r="F76" i="5" s="1"/>
  <c r="F128" i="5"/>
  <c r="E71" i="5"/>
  <c r="E76" i="5" s="1"/>
  <c r="E128" i="5"/>
  <c r="D71" i="5"/>
  <c r="D76" i="5" s="1"/>
  <c r="D128" i="5"/>
  <c r="H124" i="5"/>
  <c r="H125" i="5"/>
  <c r="F160" i="4"/>
  <c r="D160" i="2"/>
  <c r="I58" i="2"/>
  <c r="F49" i="6"/>
  <c r="F123" i="6" s="1"/>
  <c r="E49" i="6"/>
  <c r="E123" i="6" s="1"/>
  <c r="D49" i="6"/>
  <c r="D50" i="6" s="1"/>
  <c r="G160" i="4"/>
  <c r="G160" i="2"/>
  <c r="H160" i="4"/>
  <c r="D160" i="4"/>
  <c r="H160" i="2"/>
  <c r="I58" i="5"/>
  <c r="H58" i="5"/>
  <c r="G58" i="5"/>
  <c r="F58" i="5"/>
  <c r="E58" i="5"/>
  <c r="D58" i="5"/>
  <c r="E160" i="4"/>
  <c r="H116" i="4"/>
  <c r="F160" i="2"/>
  <c r="H113" i="3"/>
  <c r="G113" i="3"/>
  <c r="F113" i="3"/>
  <c r="E113" i="3"/>
  <c r="D113" i="3"/>
  <c r="E160" i="2"/>
  <c r="I58" i="3"/>
  <c r="D123" i="3"/>
  <c r="E25" i="3"/>
  <c r="E121" i="3" s="1"/>
  <c r="H58" i="6"/>
  <c r="H125" i="6"/>
  <c r="H124" i="6"/>
  <c r="G58" i="6"/>
  <c r="G125" i="6"/>
  <c r="G124" i="6"/>
  <c r="F58" i="6"/>
  <c r="F125" i="6"/>
  <c r="F124" i="6"/>
  <c r="E58" i="6"/>
  <c r="E125" i="6"/>
  <c r="E124" i="6"/>
  <c r="D58" i="6"/>
  <c r="D125" i="6"/>
  <c r="D124" i="6"/>
  <c r="E59" i="6"/>
  <c r="E111" i="6"/>
  <c r="D59" i="6"/>
  <c r="D111" i="6"/>
  <c r="H71" i="5"/>
  <c r="H76" i="5" s="1"/>
  <c r="H128" i="5"/>
  <c r="G71" i="5"/>
  <c r="G76" i="5" s="1"/>
  <c r="G128" i="5"/>
  <c r="D125" i="5"/>
  <c r="D124" i="5"/>
  <c r="H71" i="4"/>
  <c r="H76" i="4" s="1"/>
  <c r="H128" i="4"/>
  <c r="G71" i="4"/>
  <c r="G76" i="4" s="1"/>
  <c r="G128" i="4"/>
  <c r="F71" i="4"/>
  <c r="F76" i="4" s="1"/>
  <c r="F128" i="4"/>
  <c r="E71" i="4"/>
  <c r="E76" i="4" s="1"/>
  <c r="E128" i="4"/>
  <c r="D71" i="4"/>
  <c r="D76" i="4" s="1"/>
  <c r="D128" i="4"/>
  <c r="D116" i="4"/>
  <c r="D118" i="4"/>
  <c r="H71" i="3"/>
  <c r="H76" i="3" s="1"/>
  <c r="H128" i="3"/>
  <c r="G71" i="3"/>
  <c r="G76" i="3" s="1"/>
  <c r="G128" i="3"/>
  <c r="F71" i="3"/>
  <c r="F76" i="3" s="1"/>
  <c r="F128" i="3"/>
  <c r="Y206" i="8"/>
  <c r="H215" i="7"/>
  <c r="Y205" i="8"/>
  <c r="G215" i="7"/>
  <c r="F215" i="7"/>
  <c r="Y204" i="8"/>
  <c r="E215" i="7"/>
  <c r="Y203" i="8"/>
  <c r="D215" i="7"/>
  <c r="Y202" i="8"/>
  <c r="Y114" i="8"/>
  <c r="D126" i="7"/>
  <c r="H76" i="7"/>
  <c r="Y70" i="8"/>
  <c r="G76" i="7"/>
  <c r="Y69" i="8"/>
  <c r="Y68" i="8"/>
  <c r="F76" i="7"/>
  <c r="E76" i="7"/>
  <c r="Y67" i="8"/>
  <c r="Y66" i="8"/>
  <c r="D76" i="7"/>
  <c r="H68" i="7"/>
  <c r="Y62" i="8"/>
  <c r="Y61" i="8"/>
  <c r="G68" i="7"/>
  <c r="F68" i="7"/>
  <c r="Y60" i="8"/>
  <c r="Y59" i="8"/>
  <c r="E68" i="7"/>
  <c r="D68" i="7"/>
  <c r="Y58" i="8"/>
  <c r="H60" i="7"/>
  <c r="Y54" i="8"/>
  <c r="G60" i="7"/>
  <c r="Y53" i="8"/>
  <c r="Y52" i="8"/>
  <c r="F60" i="7"/>
  <c r="E60" i="7"/>
  <c r="Y51" i="8"/>
  <c r="Y50" i="8"/>
  <c r="D60" i="7"/>
  <c r="Y46" i="8"/>
  <c r="H52" i="7"/>
  <c r="Y45" i="8"/>
  <c r="G52" i="7"/>
  <c r="F52" i="7"/>
  <c r="Y44" i="8"/>
  <c r="Y43" i="8"/>
  <c r="E52" i="7"/>
  <c r="D52" i="7"/>
  <c r="Y42" i="8"/>
  <c r="Y38" i="8"/>
  <c r="H44" i="7"/>
  <c r="G44" i="7"/>
  <c r="Y37" i="8"/>
  <c r="Y36" i="8"/>
  <c r="F44" i="7"/>
  <c r="Y35" i="8"/>
  <c r="E44" i="7"/>
  <c r="D44" i="7"/>
  <c r="Y34" i="8"/>
  <c r="G35" i="7"/>
  <c r="H139" i="6"/>
  <c r="H159" i="6"/>
  <c r="H160" i="6" s="1"/>
  <c r="H137" i="6"/>
  <c r="G139" i="6"/>
  <c r="G137" i="6"/>
  <c r="G159" i="6"/>
  <c r="G160" i="6" s="1"/>
  <c r="F139" i="6"/>
  <c r="F159" i="6"/>
  <c r="F160" i="6" s="1"/>
  <c r="F137" i="6"/>
  <c r="F104" i="6"/>
  <c r="E137" i="6"/>
  <c r="E159" i="6"/>
  <c r="E160" i="6" s="1"/>
  <c r="E139" i="6"/>
  <c r="D137" i="6"/>
  <c r="D139" i="6"/>
  <c r="D159" i="6"/>
  <c r="D160" i="6" s="1"/>
  <c r="D79" i="6"/>
  <c r="D86" i="6"/>
  <c r="D87" i="6" s="1"/>
  <c r="D82" i="6"/>
  <c r="I82" i="6"/>
  <c r="I79" i="6"/>
  <c r="H128" i="6"/>
  <c r="H71" i="6"/>
  <c r="H76" i="6" s="1"/>
  <c r="G71" i="6"/>
  <c r="G76" i="6" s="1"/>
  <c r="G128" i="6"/>
  <c r="F71" i="6"/>
  <c r="F76" i="6" s="1"/>
  <c r="F128" i="6"/>
  <c r="E128" i="6"/>
  <c r="E71" i="6"/>
  <c r="E76" i="6" s="1"/>
  <c r="G93" i="7"/>
  <c r="Y85" i="8"/>
  <c r="Y77" i="8"/>
  <c r="G84" i="7"/>
  <c r="F84" i="7"/>
  <c r="Y76" i="8"/>
  <c r="E84" i="7"/>
  <c r="Y75" i="8"/>
  <c r="Y74" i="8"/>
  <c r="D84" i="7"/>
  <c r="X206" i="8"/>
  <c r="H214" i="7"/>
  <c r="G214" i="7"/>
  <c r="X205" i="8"/>
  <c r="X204" i="8"/>
  <c r="F214" i="7"/>
  <c r="X203" i="8"/>
  <c r="E214" i="7"/>
  <c r="X202" i="8"/>
  <c r="D214" i="7"/>
  <c r="X101" i="8"/>
  <c r="G108" i="7"/>
  <c r="X100" i="8"/>
  <c r="F108" i="7"/>
  <c r="E108" i="7"/>
  <c r="X99" i="8"/>
  <c r="D108" i="7"/>
  <c r="X98" i="8"/>
  <c r="X94" i="8"/>
  <c r="H100" i="7"/>
  <c r="G100" i="7"/>
  <c r="X93" i="8"/>
  <c r="X92" i="8"/>
  <c r="F100" i="7"/>
  <c r="X91" i="8"/>
  <c r="E100" i="7"/>
  <c r="D100" i="7"/>
  <c r="X90" i="8"/>
  <c r="X70" i="8"/>
  <c r="H75" i="7"/>
  <c r="G75" i="7"/>
  <c r="X69" i="8"/>
  <c r="F75" i="7"/>
  <c r="X68" i="8"/>
  <c r="X67" i="8"/>
  <c r="E75" i="7"/>
  <c r="X66" i="8"/>
  <c r="D75" i="7"/>
  <c r="H67" i="7"/>
  <c r="X62" i="8"/>
  <c r="X61" i="8"/>
  <c r="G67" i="7"/>
  <c r="F67" i="7"/>
  <c r="X60" i="8"/>
  <c r="X59" i="8"/>
  <c r="E67" i="7"/>
  <c r="X58" i="8"/>
  <c r="D67" i="7"/>
  <c r="H59" i="7"/>
  <c r="X54" i="8"/>
  <c r="X53" i="8"/>
  <c r="G59" i="7"/>
  <c r="X52" i="8"/>
  <c r="F59" i="7"/>
  <c r="E59" i="7"/>
  <c r="X51" i="8"/>
  <c r="X50" i="8"/>
  <c r="D59" i="7"/>
  <c r="H51" i="7"/>
  <c r="X46" i="8"/>
  <c r="X45" i="8"/>
  <c r="G51" i="7"/>
  <c r="F51" i="7"/>
  <c r="X44" i="8"/>
  <c r="X43" i="8"/>
  <c r="E51" i="7"/>
  <c r="X42" i="8"/>
  <c r="D51" i="7"/>
  <c r="H43" i="7"/>
  <c r="X38" i="8"/>
  <c r="G43" i="7"/>
  <c r="X37" i="8"/>
  <c r="F43" i="7"/>
  <c r="X36" i="8"/>
  <c r="E43" i="7"/>
  <c r="X35" i="8"/>
  <c r="D43" i="7"/>
  <c r="X34" i="8"/>
  <c r="H34" i="7"/>
  <c r="X30" i="8"/>
  <c r="X29" i="8"/>
  <c r="G34" i="7"/>
  <c r="X28" i="8"/>
  <c r="F34" i="7"/>
  <c r="X27" i="8"/>
  <c r="E34" i="7"/>
  <c r="X26" i="8"/>
  <c r="D34" i="7"/>
  <c r="X22" i="8"/>
  <c r="H26" i="7"/>
  <c r="X21" i="8"/>
  <c r="G26" i="7"/>
  <c r="F26" i="7"/>
  <c r="X20" i="8"/>
  <c r="E26" i="7"/>
  <c r="X19" i="8"/>
  <c r="D26" i="7"/>
  <c r="X18" i="8"/>
  <c r="H18" i="7"/>
  <c r="X14" i="8"/>
  <c r="G18" i="7"/>
  <c r="X13" i="8"/>
  <c r="X12" i="8"/>
  <c r="F18" i="7"/>
  <c r="E18" i="7"/>
  <c r="X11" i="8"/>
  <c r="D18" i="7"/>
  <c r="X10" i="8"/>
  <c r="X6" i="8"/>
  <c r="H10" i="7"/>
  <c r="X5" i="8"/>
  <c r="G10" i="7"/>
  <c r="X4" i="8"/>
  <c r="F10" i="7"/>
  <c r="X3" i="8"/>
  <c r="E10" i="7"/>
  <c r="D10" i="7"/>
  <c r="X2" i="8"/>
  <c r="H156" i="5"/>
  <c r="H157" i="5" s="1"/>
  <c r="H137" i="5"/>
  <c r="H139" i="5"/>
  <c r="G156" i="5"/>
  <c r="G157" i="5" s="1"/>
  <c r="G139" i="5"/>
  <c r="G137" i="5"/>
  <c r="F156" i="5"/>
  <c r="F157" i="5" s="1"/>
  <c r="F137" i="5"/>
  <c r="F139" i="5"/>
  <c r="E156" i="5"/>
  <c r="E157" i="5" s="1"/>
  <c r="E137" i="5"/>
  <c r="E139" i="5"/>
  <c r="D156" i="5"/>
  <c r="D157" i="5" s="1"/>
  <c r="D139" i="5"/>
  <c r="D137" i="5"/>
  <c r="I79" i="5"/>
  <c r="I82" i="5"/>
  <c r="H79" i="5"/>
  <c r="H82" i="5"/>
  <c r="H86" i="5"/>
  <c r="H87" i="5" s="1"/>
  <c r="H88" i="5" s="1"/>
  <c r="G79" i="5"/>
  <c r="G82" i="5"/>
  <c r="G86" i="5"/>
  <c r="G87" i="5" s="1"/>
  <c r="G88" i="5" s="1"/>
  <c r="F79" i="5"/>
  <c r="F82" i="5"/>
  <c r="F86" i="5"/>
  <c r="F87" i="5" s="1"/>
  <c r="F88" i="5" s="1"/>
  <c r="E79" i="5"/>
  <c r="E82" i="5"/>
  <c r="E86" i="5"/>
  <c r="E87" i="5" s="1"/>
  <c r="E88" i="5" s="1"/>
  <c r="D79" i="5"/>
  <c r="D82" i="5"/>
  <c r="D86" i="5"/>
  <c r="D87" i="5" s="1"/>
  <c r="D88" i="5" s="1"/>
  <c r="H83" i="7"/>
  <c r="X78" i="8"/>
  <c r="G83" i="7"/>
  <c r="X77" i="8"/>
  <c r="F83" i="7"/>
  <c r="X76" i="8"/>
  <c r="E83" i="7"/>
  <c r="X75" i="8"/>
  <c r="D83" i="7"/>
  <c r="X74" i="8"/>
  <c r="W206" i="8"/>
  <c r="H213" i="7"/>
  <c r="W205" i="8"/>
  <c r="G213" i="7"/>
  <c r="W204" i="8"/>
  <c r="F213" i="7"/>
  <c r="W203" i="8"/>
  <c r="E213" i="7"/>
  <c r="W202" i="8"/>
  <c r="D213" i="7"/>
  <c r="H74" i="7"/>
  <c r="W70" i="8"/>
  <c r="W69" i="8"/>
  <c r="G74" i="7"/>
  <c r="F74" i="7"/>
  <c r="W68" i="8"/>
  <c r="E74" i="7"/>
  <c r="W67" i="8"/>
  <c r="D74" i="7"/>
  <c r="W66" i="8"/>
  <c r="H66" i="7"/>
  <c r="W62" i="8"/>
  <c r="G66" i="7"/>
  <c r="W61" i="8"/>
  <c r="F66" i="7"/>
  <c r="W60" i="8"/>
  <c r="E66" i="7"/>
  <c r="W59" i="8"/>
  <c r="D66" i="7"/>
  <c r="W58" i="8"/>
  <c r="G58" i="7"/>
  <c r="W53" i="8"/>
  <c r="F58" i="7"/>
  <c r="W52" i="8"/>
  <c r="E58" i="7"/>
  <c r="W51" i="8"/>
  <c r="W46" i="8"/>
  <c r="H50" i="7"/>
  <c r="W45" i="8"/>
  <c r="G50" i="7"/>
  <c r="W44" i="8"/>
  <c r="F50" i="7"/>
  <c r="W43" i="8"/>
  <c r="E50" i="7"/>
  <c r="D50" i="7"/>
  <c r="W42" i="8"/>
  <c r="I79" i="4"/>
  <c r="I82" i="4"/>
  <c r="G42" i="7"/>
  <c r="W37" i="8"/>
  <c r="F42" i="7"/>
  <c r="W36" i="8"/>
  <c r="E42" i="7"/>
  <c r="W35" i="8"/>
  <c r="H113" i="4"/>
  <c r="H60" i="4"/>
  <c r="G60" i="4"/>
  <c r="G113" i="4"/>
  <c r="F60" i="4"/>
  <c r="F113" i="4"/>
  <c r="E113" i="4"/>
  <c r="E60" i="4"/>
  <c r="D113" i="4"/>
  <c r="D60" i="4"/>
  <c r="H137" i="4"/>
  <c r="H139" i="4"/>
  <c r="H124" i="4"/>
  <c r="H125" i="4"/>
  <c r="H50" i="4"/>
  <c r="G124" i="4"/>
  <c r="G125" i="4"/>
  <c r="G139" i="4"/>
  <c r="G137" i="4"/>
  <c r="G50" i="4"/>
  <c r="F139" i="4"/>
  <c r="F124" i="4"/>
  <c r="F125" i="4"/>
  <c r="F137" i="4"/>
  <c r="F50" i="4"/>
  <c r="E50" i="4"/>
  <c r="E139" i="4"/>
  <c r="E137" i="4"/>
  <c r="E125" i="4"/>
  <c r="E124" i="4"/>
  <c r="D50" i="4"/>
  <c r="D139" i="4"/>
  <c r="D124" i="4"/>
  <c r="D137" i="4"/>
  <c r="D125" i="4"/>
  <c r="H111" i="4"/>
  <c r="H114" i="4"/>
  <c r="H112" i="4"/>
  <c r="H59" i="4"/>
  <c r="G112" i="4"/>
  <c r="G114" i="4"/>
  <c r="G111" i="4"/>
  <c r="G59" i="4"/>
  <c r="F111" i="4"/>
  <c r="F114" i="4"/>
  <c r="F112" i="4"/>
  <c r="F59" i="4"/>
  <c r="E59" i="4"/>
  <c r="E111" i="4"/>
  <c r="E114" i="4"/>
  <c r="E112" i="4"/>
  <c r="D59" i="4"/>
  <c r="D114" i="4"/>
  <c r="D111" i="4"/>
  <c r="D112" i="4"/>
  <c r="W78" i="8"/>
  <c r="H82" i="7"/>
  <c r="G82" i="7"/>
  <c r="W77" i="8"/>
  <c r="W76" i="8"/>
  <c r="F82" i="7"/>
  <c r="E82" i="7"/>
  <c r="W75" i="8"/>
  <c r="W74" i="8"/>
  <c r="D82" i="7"/>
  <c r="V206" i="8"/>
  <c r="H212" i="7"/>
  <c r="V205" i="8"/>
  <c r="G212" i="7"/>
  <c r="V204" i="8"/>
  <c r="F212" i="7"/>
  <c r="V203" i="8"/>
  <c r="E212" i="7"/>
  <c r="V202" i="8"/>
  <c r="D212" i="7"/>
  <c r="V70" i="8"/>
  <c r="H73" i="7"/>
  <c r="G73" i="7"/>
  <c r="V69" i="8"/>
  <c r="F73" i="7"/>
  <c r="V68" i="8"/>
  <c r="E73" i="7"/>
  <c r="V67" i="8"/>
  <c r="D73" i="7"/>
  <c r="V66" i="8"/>
  <c r="H65" i="7"/>
  <c r="V62" i="8"/>
  <c r="G65" i="7"/>
  <c r="V61" i="8"/>
  <c r="V60" i="8"/>
  <c r="F65" i="7"/>
  <c r="V59" i="8"/>
  <c r="E65" i="7"/>
  <c r="V58" i="8"/>
  <c r="D65" i="7"/>
  <c r="H49" i="7"/>
  <c r="V46" i="8"/>
  <c r="G49" i="7"/>
  <c r="V45" i="8"/>
  <c r="F49" i="7"/>
  <c r="V44" i="8"/>
  <c r="V43" i="8"/>
  <c r="E49" i="7"/>
  <c r="V42" i="8"/>
  <c r="D49" i="7"/>
  <c r="I79" i="3"/>
  <c r="I82" i="3"/>
  <c r="E128" i="3"/>
  <c r="E71" i="3"/>
  <c r="E76" i="3" s="1"/>
  <c r="D128" i="3"/>
  <c r="D71" i="3"/>
  <c r="D76" i="3" s="1"/>
  <c r="H125" i="3"/>
  <c r="H124" i="3"/>
  <c r="H58" i="3"/>
  <c r="G125" i="3"/>
  <c r="G124" i="3"/>
  <c r="G58" i="3"/>
  <c r="F124" i="3"/>
  <c r="F125" i="3"/>
  <c r="F58" i="3"/>
  <c r="E125" i="3"/>
  <c r="E124" i="3"/>
  <c r="E58" i="3"/>
  <c r="D58" i="3"/>
  <c r="D124" i="3"/>
  <c r="D125" i="3"/>
  <c r="D116" i="3"/>
  <c r="D118" i="3"/>
  <c r="H118" i="3"/>
  <c r="H116" i="3"/>
  <c r="G118" i="3"/>
  <c r="G116" i="3"/>
  <c r="F116" i="3"/>
  <c r="F118" i="3"/>
  <c r="E116" i="3"/>
  <c r="E118" i="3"/>
  <c r="H137" i="3"/>
  <c r="H139" i="3"/>
  <c r="H50" i="3"/>
  <c r="G137" i="3"/>
  <c r="G139" i="3"/>
  <c r="G50" i="3"/>
  <c r="F137" i="3"/>
  <c r="F50" i="3"/>
  <c r="F139" i="3"/>
  <c r="E139" i="3"/>
  <c r="E50" i="3"/>
  <c r="E137" i="3"/>
  <c r="D139" i="3"/>
  <c r="D137" i="3"/>
  <c r="D50" i="3"/>
  <c r="H114" i="3"/>
  <c r="H111" i="3"/>
  <c r="H112" i="3"/>
  <c r="H59" i="3"/>
  <c r="G112" i="3"/>
  <c r="G114" i="3"/>
  <c r="G111" i="3"/>
  <c r="G59" i="3"/>
  <c r="F59" i="3"/>
  <c r="F114" i="3"/>
  <c r="F111" i="3"/>
  <c r="F112" i="3"/>
  <c r="E111" i="3"/>
  <c r="E112" i="3"/>
  <c r="E114" i="3"/>
  <c r="E59" i="3"/>
  <c r="D112" i="3"/>
  <c r="D59" i="3"/>
  <c r="D114" i="3"/>
  <c r="D111" i="3"/>
  <c r="H81" i="7"/>
  <c r="V78" i="8"/>
  <c r="G81" i="7"/>
  <c r="V77" i="8"/>
  <c r="F81" i="7"/>
  <c r="V76" i="8"/>
  <c r="D81" i="7"/>
  <c r="V74" i="8"/>
  <c r="U206" i="8"/>
  <c r="H211" i="7"/>
  <c r="G211" i="7"/>
  <c r="U205" i="8"/>
  <c r="U204" i="8"/>
  <c r="F211" i="7"/>
  <c r="E211" i="7"/>
  <c r="U203" i="8"/>
  <c r="U202" i="8"/>
  <c r="D211" i="7"/>
  <c r="U70" i="8"/>
  <c r="H72" i="7"/>
  <c r="U69" i="8"/>
  <c r="G72" i="7"/>
  <c r="U68" i="8"/>
  <c r="F72" i="7"/>
  <c r="U67" i="8"/>
  <c r="E72" i="7"/>
  <c r="D72" i="7"/>
  <c r="U66" i="8"/>
  <c r="H64" i="7"/>
  <c r="U62" i="8"/>
  <c r="G64" i="7"/>
  <c r="U61" i="8"/>
  <c r="F64" i="7"/>
  <c r="U60" i="8"/>
  <c r="E64" i="7"/>
  <c r="U59" i="8"/>
  <c r="D64" i="7"/>
  <c r="U58" i="8"/>
  <c r="H48" i="7"/>
  <c r="U46" i="8"/>
  <c r="U45" i="8"/>
  <c r="G48" i="7"/>
  <c r="U44" i="8"/>
  <c r="F48" i="7"/>
  <c r="U43" i="8"/>
  <c r="E48" i="7"/>
  <c r="U42" i="8"/>
  <c r="D48" i="7"/>
  <c r="I79" i="2"/>
  <c r="I82" i="2"/>
  <c r="H71" i="2"/>
  <c r="H76" i="2" s="1"/>
  <c r="H128" i="2"/>
  <c r="G71" i="2"/>
  <c r="G76" i="2" s="1"/>
  <c r="G128" i="2"/>
  <c r="F71" i="2"/>
  <c r="F76" i="2" s="1"/>
  <c r="F128" i="2"/>
  <c r="E71" i="2"/>
  <c r="E76" i="2" s="1"/>
  <c r="E128" i="2"/>
  <c r="D71" i="2"/>
  <c r="D76" i="2" s="1"/>
  <c r="D128" i="2"/>
  <c r="H124" i="2"/>
  <c r="H58" i="2"/>
  <c r="H125" i="2"/>
  <c r="G58" i="2"/>
  <c r="G124" i="2"/>
  <c r="G125" i="2"/>
  <c r="F58" i="2"/>
  <c r="F124" i="2"/>
  <c r="F125" i="2"/>
  <c r="E125" i="2"/>
  <c r="E124" i="2"/>
  <c r="E58" i="2"/>
  <c r="D125" i="2"/>
  <c r="D58" i="2"/>
  <c r="D124" i="2"/>
  <c r="D116" i="2"/>
  <c r="D118" i="2"/>
  <c r="H116" i="2"/>
  <c r="H118" i="2"/>
  <c r="G116" i="2"/>
  <c r="G118" i="2"/>
  <c r="F118" i="2"/>
  <c r="F116" i="2"/>
  <c r="E118" i="2"/>
  <c r="E116" i="2"/>
  <c r="H113" i="2"/>
  <c r="H60" i="2"/>
  <c r="G60" i="2"/>
  <c r="G113" i="2"/>
  <c r="F113" i="2"/>
  <c r="F60" i="2"/>
  <c r="E60" i="2"/>
  <c r="E113" i="2"/>
  <c r="D60" i="2"/>
  <c r="D113" i="2"/>
  <c r="H50" i="2"/>
  <c r="H137" i="2"/>
  <c r="H139" i="2"/>
  <c r="G139" i="2"/>
  <c r="G50" i="2"/>
  <c r="G137" i="2"/>
  <c r="F139" i="2"/>
  <c r="F50" i="2"/>
  <c r="F137" i="2"/>
  <c r="E137" i="2"/>
  <c r="E139" i="2"/>
  <c r="E50" i="2"/>
  <c r="D139" i="2"/>
  <c r="D137" i="2"/>
  <c r="D50" i="2"/>
  <c r="H112" i="2"/>
  <c r="H59" i="2"/>
  <c r="H111" i="2"/>
  <c r="H114" i="2"/>
  <c r="G112" i="2"/>
  <c r="G114" i="2"/>
  <c r="G111" i="2"/>
  <c r="G59" i="2"/>
  <c r="F112" i="2"/>
  <c r="F111" i="2"/>
  <c r="F114" i="2"/>
  <c r="F59" i="2"/>
  <c r="E59" i="2"/>
  <c r="E111" i="2"/>
  <c r="E112" i="2"/>
  <c r="E114" i="2"/>
  <c r="D114" i="2"/>
  <c r="D112" i="2"/>
  <c r="D111" i="2"/>
  <c r="D59" i="2"/>
  <c r="H80" i="7"/>
  <c r="U78" i="8"/>
  <c r="G80" i="7"/>
  <c r="U77" i="8"/>
  <c r="F80" i="7"/>
  <c r="U76" i="8"/>
  <c r="E80" i="7"/>
  <c r="U75" i="8"/>
  <c r="D80" i="7"/>
  <c r="U74" i="8"/>
  <c r="D123" i="6"/>
  <c r="I50" i="6"/>
  <c r="H50" i="6"/>
  <c r="G50" i="6"/>
  <c r="F50" i="6"/>
  <c r="E50" i="6"/>
  <c r="G123" i="3"/>
  <c r="H123" i="5"/>
  <c r="G123" i="5"/>
  <c r="F123" i="5"/>
  <c r="E123" i="5"/>
  <c r="D123" i="5"/>
  <c r="E123" i="3"/>
  <c r="H123" i="4"/>
  <c r="G123" i="4"/>
  <c r="F123" i="4"/>
  <c r="E123" i="4"/>
  <c r="D123" i="4"/>
  <c r="F123" i="3"/>
  <c r="H123" i="2"/>
  <c r="G123" i="2"/>
  <c r="E123" i="2"/>
  <c r="D123" i="2"/>
  <c r="F123" i="2"/>
  <c r="H123" i="3"/>
  <c r="H123" i="6" l="1"/>
  <c r="H121" i="6"/>
  <c r="D88" i="6"/>
  <c r="D133" i="6" s="1"/>
  <c r="W54" i="8"/>
  <c r="H58" i="7"/>
  <c r="G19" i="7"/>
  <c r="Y13" i="8"/>
  <c r="F19" i="7"/>
  <c r="Y12" i="8"/>
  <c r="Y11" i="8"/>
  <c r="E19" i="7"/>
  <c r="D19" i="7"/>
  <c r="Y10" i="8"/>
  <c r="Y22" i="8"/>
  <c r="H27" i="7"/>
  <c r="Y5" i="8"/>
  <c r="G11" i="7"/>
  <c r="Y21" i="8"/>
  <c r="G27" i="7"/>
  <c r="F27" i="7"/>
  <c r="Y20" i="8"/>
  <c r="Y28" i="8"/>
  <c r="F35" i="7"/>
  <c r="F11" i="7"/>
  <c r="Y4" i="8"/>
  <c r="E35" i="7"/>
  <c r="Y27" i="8"/>
  <c r="E27" i="7"/>
  <c r="Y19" i="8"/>
  <c r="D35" i="7"/>
  <c r="Y26" i="8"/>
  <c r="D27" i="7"/>
  <c r="Y18" i="8"/>
  <c r="H35" i="7"/>
  <c r="Y30" i="8"/>
  <c r="H19" i="7"/>
  <c r="Y14" i="8"/>
  <c r="H11" i="7"/>
  <c r="Y6" i="8"/>
  <c r="X116" i="8"/>
  <c r="F125" i="7"/>
  <c r="X115" i="8"/>
  <c r="E125" i="7"/>
  <c r="D125" i="7"/>
  <c r="X114" i="8"/>
  <c r="H108" i="7"/>
  <c r="X102" i="8"/>
  <c r="F93" i="7"/>
  <c r="Y84" i="8"/>
  <c r="Y83" i="8"/>
  <c r="E93" i="7"/>
  <c r="H79" i="4"/>
  <c r="H82" i="4"/>
  <c r="H86" i="4"/>
  <c r="H87" i="4" s="1"/>
  <c r="H88" i="4" s="1"/>
  <c r="H133" i="4" s="1"/>
  <c r="G79" i="4"/>
  <c r="G82" i="4"/>
  <c r="G86" i="4"/>
  <c r="G87" i="4" s="1"/>
  <c r="G88" i="4" s="1"/>
  <c r="G133" i="4" s="1"/>
  <c r="F79" i="4"/>
  <c r="F82" i="4"/>
  <c r="F86" i="4"/>
  <c r="F87" i="4" s="1"/>
  <c r="F88" i="4" s="1"/>
  <c r="F133" i="4" s="1"/>
  <c r="E79" i="4"/>
  <c r="E82" i="4"/>
  <c r="E86" i="4"/>
  <c r="E87" i="4" s="1"/>
  <c r="E88" i="4" s="1"/>
  <c r="E133" i="4" s="1"/>
  <c r="D79" i="4"/>
  <c r="D82" i="4"/>
  <c r="D86" i="4"/>
  <c r="D87" i="4" s="1"/>
  <c r="D42" i="7"/>
  <c r="W34" i="8"/>
  <c r="H79" i="3"/>
  <c r="H82" i="3"/>
  <c r="H86" i="3"/>
  <c r="H87" i="3" s="1"/>
  <c r="H88" i="3" s="1"/>
  <c r="H133" i="3" s="1"/>
  <c r="G79" i="3"/>
  <c r="G82" i="3"/>
  <c r="G86" i="3"/>
  <c r="G87" i="3" s="1"/>
  <c r="G88" i="3" s="1"/>
  <c r="G133" i="3" s="1"/>
  <c r="F79" i="3"/>
  <c r="F82" i="3"/>
  <c r="F86" i="3"/>
  <c r="F87" i="3" s="1"/>
  <c r="F88" i="3" s="1"/>
  <c r="F133" i="3" s="1"/>
  <c r="H133" i="5"/>
  <c r="G133" i="5"/>
  <c r="F133" i="5"/>
  <c r="E133" i="5"/>
  <c r="D133" i="5"/>
  <c r="D88" i="4"/>
  <c r="D133" i="4" s="1"/>
  <c r="W38" i="8"/>
  <c r="H42" i="7"/>
  <c r="V22" i="8"/>
  <c r="H24" i="7"/>
  <c r="G24" i="7"/>
  <c r="V21" i="8"/>
  <c r="V20" i="8"/>
  <c r="F24" i="7"/>
  <c r="V19" i="8"/>
  <c r="E24" i="7"/>
  <c r="V18" i="8"/>
  <c r="D24" i="7"/>
  <c r="V82" i="8"/>
  <c r="D90" i="7"/>
  <c r="V75" i="8"/>
  <c r="E81" i="7"/>
  <c r="E85" i="7" s="1"/>
  <c r="Z75" i="8" s="1"/>
  <c r="Y102" i="8"/>
  <c r="H109" i="7"/>
  <c r="H101" i="7"/>
  <c r="Y94" i="8"/>
  <c r="Y101" i="8"/>
  <c r="G109" i="7"/>
  <c r="G101" i="7"/>
  <c r="Y93" i="8"/>
  <c r="Y100" i="8"/>
  <c r="F109" i="7"/>
  <c r="Y92" i="8"/>
  <c r="F101" i="7"/>
  <c r="E109" i="7"/>
  <c r="Y99" i="8"/>
  <c r="Y91" i="8"/>
  <c r="E101" i="7"/>
  <c r="Y98" i="8"/>
  <c r="D109" i="7"/>
  <c r="D101" i="7"/>
  <c r="Y90" i="8"/>
  <c r="Y3" i="8"/>
  <c r="E11" i="7"/>
  <c r="D11" i="7"/>
  <c r="Y2" i="8"/>
  <c r="H125" i="7"/>
  <c r="X118" i="8"/>
  <c r="X117" i="8"/>
  <c r="G125" i="7"/>
  <c r="H124" i="7"/>
  <c r="W118" i="8"/>
  <c r="W117" i="8"/>
  <c r="G124" i="7"/>
  <c r="F124" i="7"/>
  <c r="W116" i="8"/>
  <c r="E124" i="7"/>
  <c r="W115" i="8"/>
  <c r="D124" i="7"/>
  <c r="W114" i="8"/>
  <c r="W50" i="8"/>
  <c r="D58" i="7"/>
  <c r="H123" i="7"/>
  <c r="V118" i="8"/>
  <c r="V117" i="8"/>
  <c r="G123" i="7"/>
  <c r="F123" i="7"/>
  <c r="V116" i="8"/>
  <c r="H207" i="7"/>
  <c r="Y198" i="8"/>
  <c r="Y182" i="8"/>
  <c r="H191" i="7"/>
  <c r="G207" i="7"/>
  <c r="Y197" i="8"/>
  <c r="G191" i="7"/>
  <c r="Y181" i="8"/>
  <c r="F207" i="7"/>
  <c r="Y196" i="8"/>
  <c r="F191" i="7"/>
  <c r="Y180" i="8"/>
  <c r="Y179" i="8"/>
  <c r="E191" i="7"/>
  <c r="Y195" i="8"/>
  <c r="E207" i="7"/>
  <c r="D191" i="7"/>
  <c r="Y178" i="8"/>
  <c r="D207" i="7"/>
  <c r="Y194" i="8"/>
  <c r="D130" i="6"/>
  <c r="D131" i="6"/>
  <c r="D132" i="6"/>
  <c r="D136" i="6"/>
  <c r="D138" i="6"/>
  <c r="Y154" i="8"/>
  <c r="D166" i="7"/>
  <c r="D129" i="6"/>
  <c r="D134" i="6"/>
  <c r="D83" i="6"/>
  <c r="D141" i="6" s="1"/>
  <c r="D126" i="6"/>
  <c r="H126" i="7"/>
  <c r="Y118" i="8"/>
  <c r="H82" i="6"/>
  <c r="H79" i="6"/>
  <c r="H86" i="6"/>
  <c r="H87" i="6" s="1"/>
  <c r="H88" i="6" s="1"/>
  <c r="H133" i="6" s="1"/>
  <c r="G82" i="6"/>
  <c r="G86" i="6"/>
  <c r="G87" i="6" s="1"/>
  <c r="G88" i="6" s="1"/>
  <c r="G133" i="6" s="1"/>
  <c r="G79" i="6"/>
  <c r="G126" i="7"/>
  <c r="Y117" i="8"/>
  <c r="F86" i="6"/>
  <c r="F87" i="6" s="1"/>
  <c r="F82" i="6"/>
  <c r="F79" i="6"/>
  <c r="F126" i="7"/>
  <c r="Y116" i="8"/>
  <c r="Y115" i="8"/>
  <c r="E126" i="7"/>
  <c r="E79" i="6"/>
  <c r="E86" i="6"/>
  <c r="E87" i="6" s="1"/>
  <c r="E82" i="6"/>
  <c r="H190" i="7"/>
  <c r="X182" i="8"/>
  <c r="H206" i="7"/>
  <c r="X198" i="8"/>
  <c r="G206" i="7"/>
  <c r="X197" i="8"/>
  <c r="G190" i="7"/>
  <c r="X181" i="8"/>
  <c r="F190" i="7"/>
  <c r="X180" i="8"/>
  <c r="F206" i="7"/>
  <c r="X196" i="8"/>
  <c r="E190" i="7"/>
  <c r="X179" i="8"/>
  <c r="E206" i="7"/>
  <c r="X195" i="8"/>
  <c r="D206" i="7"/>
  <c r="X194" i="8"/>
  <c r="D190" i="7"/>
  <c r="X178" i="8"/>
  <c r="H130" i="5"/>
  <c r="H131" i="5"/>
  <c r="H132" i="5"/>
  <c r="H136" i="5"/>
  <c r="H138" i="5"/>
  <c r="H83" i="5"/>
  <c r="H141" i="5" s="1"/>
  <c r="H126" i="5"/>
  <c r="H129" i="5"/>
  <c r="H134" i="5"/>
  <c r="H165" i="7"/>
  <c r="X158" i="8"/>
  <c r="G130" i="5"/>
  <c r="G131" i="5"/>
  <c r="G132" i="5"/>
  <c r="G136" i="5"/>
  <c r="G138" i="5"/>
  <c r="G83" i="5"/>
  <c r="G141" i="5" s="1"/>
  <c r="G126" i="5"/>
  <c r="G129" i="5"/>
  <c r="G134" i="5"/>
  <c r="G165" i="7"/>
  <c r="X157" i="8"/>
  <c r="F130" i="5"/>
  <c r="F131" i="5"/>
  <c r="F132" i="5"/>
  <c r="F136" i="5"/>
  <c r="F138" i="5"/>
  <c r="F83" i="5"/>
  <c r="F141" i="5" s="1"/>
  <c r="F126" i="5"/>
  <c r="F129" i="5"/>
  <c r="F134" i="5"/>
  <c r="F165" i="7"/>
  <c r="X156" i="8"/>
  <c r="E130" i="5"/>
  <c r="E131" i="5"/>
  <c r="E132" i="5"/>
  <c r="E136" i="5"/>
  <c r="E138" i="5"/>
  <c r="E83" i="5"/>
  <c r="E141" i="5" s="1"/>
  <c r="E126" i="5"/>
  <c r="E129" i="5"/>
  <c r="E134" i="5"/>
  <c r="D130" i="5"/>
  <c r="D131" i="5"/>
  <c r="D132" i="5"/>
  <c r="D136" i="5"/>
  <c r="D138" i="5"/>
  <c r="D83" i="5"/>
  <c r="D141" i="5" s="1"/>
  <c r="D126" i="5"/>
  <c r="D129" i="5"/>
  <c r="D134" i="5"/>
  <c r="H25" i="7"/>
  <c r="W22" i="8"/>
  <c r="G25" i="7"/>
  <c r="W21" i="8"/>
  <c r="F25" i="7"/>
  <c r="W20" i="8"/>
  <c r="E25" i="7"/>
  <c r="W19" i="8"/>
  <c r="D25" i="7"/>
  <c r="W18" i="8"/>
  <c r="H189" i="7"/>
  <c r="W182" i="8"/>
  <c r="W198" i="8"/>
  <c r="H205" i="7"/>
  <c r="W94" i="8"/>
  <c r="H99" i="7"/>
  <c r="W102" i="8"/>
  <c r="H107" i="7"/>
  <c r="G99" i="7"/>
  <c r="W93" i="8"/>
  <c r="G107" i="7"/>
  <c r="W101" i="8"/>
  <c r="W197" i="8"/>
  <c r="G205" i="7"/>
  <c r="G189" i="7"/>
  <c r="W181" i="8"/>
  <c r="F205" i="7"/>
  <c r="W196" i="8"/>
  <c r="F99" i="7"/>
  <c r="W92" i="8"/>
  <c r="F107" i="7"/>
  <c r="W100" i="8"/>
  <c r="W180" i="8"/>
  <c r="F189" i="7"/>
  <c r="E205" i="7"/>
  <c r="W195" i="8"/>
  <c r="E189" i="7"/>
  <c r="W179" i="8"/>
  <c r="E107" i="7"/>
  <c r="W99" i="8"/>
  <c r="E99" i="7"/>
  <c r="W91" i="8"/>
  <c r="D205" i="7"/>
  <c r="W194" i="8"/>
  <c r="D99" i="7"/>
  <c r="W90" i="8"/>
  <c r="D189" i="7"/>
  <c r="W178" i="8"/>
  <c r="W98" i="8"/>
  <c r="D107" i="7"/>
  <c r="W6" i="8"/>
  <c r="H9" i="7"/>
  <c r="H33" i="7"/>
  <c r="W30" i="8"/>
  <c r="H17" i="7"/>
  <c r="W14" i="8"/>
  <c r="G17" i="7"/>
  <c r="W13" i="8"/>
  <c r="G33" i="7"/>
  <c r="W29" i="8"/>
  <c r="W5" i="8"/>
  <c r="G9" i="7"/>
  <c r="F9" i="7"/>
  <c r="W4" i="8"/>
  <c r="F33" i="7"/>
  <c r="W28" i="8"/>
  <c r="F17" i="7"/>
  <c r="W12" i="8"/>
  <c r="W3" i="8"/>
  <c r="E9" i="7"/>
  <c r="E33" i="7"/>
  <c r="W27" i="8"/>
  <c r="E17" i="7"/>
  <c r="W11" i="8"/>
  <c r="D33" i="7"/>
  <c r="W26" i="8"/>
  <c r="D9" i="7"/>
  <c r="W2" i="8"/>
  <c r="D17" i="7"/>
  <c r="W10" i="8"/>
  <c r="E123" i="7"/>
  <c r="V115" i="8"/>
  <c r="E79" i="3"/>
  <c r="E82" i="3"/>
  <c r="E86" i="3"/>
  <c r="E87" i="3" s="1"/>
  <c r="E88" i="3" s="1"/>
  <c r="E133" i="3" s="1"/>
  <c r="D123" i="7"/>
  <c r="V114" i="8"/>
  <c r="D79" i="3"/>
  <c r="D82" i="3"/>
  <c r="D86" i="3"/>
  <c r="D87" i="3" s="1"/>
  <c r="D88" i="3" s="1"/>
  <c r="D133" i="3" s="1"/>
  <c r="H106" i="7"/>
  <c r="V102" i="8"/>
  <c r="V94" i="8"/>
  <c r="H98" i="7"/>
  <c r="V101" i="8"/>
  <c r="G106" i="7"/>
  <c r="G98" i="7"/>
  <c r="V93" i="8"/>
  <c r="V92" i="8"/>
  <c r="F98" i="7"/>
  <c r="F106" i="7"/>
  <c r="V100" i="8"/>
  <c r="V99" i="8"/>
  <c r="E106" i="7"/>
  <c r="E98" i="7"/>
  <c r="V91" i="8"/>
  <c r="V90" i="8"/>
  <c r="D98" i="7"/>
  <c r="D106" i="7"/>
  <c r="V98" i="8"/>
  <c r="D41" i="7"/>
  <c r="V34" i="8"/>
  <c r="D57" i="7"/>
  <c r="V50" i="8"/>
  <c r="H57" i="7"/>
  <c r="V54" i="8"/>
  <c r="H41" i="7"/>
  <c r="V38" i="8"/>
  <c r="G57" i="7"/>
  <c r="V53" i="8"/>
  <c r="G41" i="7"/>
  <c r="V37" i="8"/>
  <c r="F41" i="7"/>
  <c r="V36" i="8"/>
  <c r="F57" i="7"/>
  <c r="V52" i="8"/>
  <c r="E41" i="7"/>
  <c r="V35" i="8"/>
  <c r="E57" i="7"/>
  <c r="V51" i="8"/>
  <c r="H188" i="7"/>
  <c r="V182" i="8"/>
  <c r="H204" i="7"/>
  <c r="V198" i="8"/>
  <c r="G188" i="7"/>
  <c r="V181" i="8"/>
  <c r="V197" i="8"/>
  <c r="G204" i="7"/>
  <c r="F188" i="7"/>
  <c r="V180" i="8"/>
  <c r="F204" i="7"/>
  <c r="V196" i="8"/>
  <c r="E204" i="7"/>
  <c r="V195" i="8"/>
  <c r="E188" i="7"/>
  <c r="V179" i="8"/>
  <c r="V194" i="8"/>
  <c r="D204" i="7"/>
  <c r="V178" i="8"/>
  <c r="D188" i="7"/>
  <c r="H32" i="7"/>
  <c r="V30" i="8"/>
  <c r="H8" i="7"/>
  <c r="V6" i="8"/>
  <c r="H16" i="7"/>
  <c r="V14" i="8"/>
  <c r="G16" i="7"/>
  <c r="V13" i="8"/>
  <c r="G32" i="7"/>
  <c r="V29" i="8"/>
  <c r="V5" i="8"/>
  <c r="G8" i="7"/>
  <c r="F32" i="7"/>
  <c r="V28" i="8"/>
  <c r="F8" i="7"/>
  <c r="V4" i="8"/>
  <c r="F16" i="7"/>
  <c r="V12" i="8"/>
  <c r="V3" i="8"/>
  <c r="E8" i="7"/>
  <c r="E16" i="7"/>
  <c r="V11" i="8"/>
  <c r="E32" i="7"/>
  <c r="V27" i="8"/>
  <c r="D16" i="7"/>
  <c r="V10" i="8"/>
  <c r="D32" i="7"/>
  <c r="V26" i="8"/>
  <c r="D8" i="7"/>
  <c r="V2" i="8"/>
  <c r="H79" i="2"/>
  <c r="H86" i="2"/>
  <c r="H87" i="2" s="1"/>
  <c r="H82" i="2"/>
  <c r="U118" i="8"/>
  <c r="H122" i="7"/>
  <c r="G86" i="2"/>
  <c r="G87" i="2" s="1"/>
  <c r="G82" i="2"/>
  <c r="G79" i="2"/>
  <c r="G122" i="7"/>
  <c r="U117" i="8"/>
  <c r="F79" i="2"/>
  <c r="F86" i="2"/>
  <c r="F87" i="2" s="1"/>
  <c r="F82" i="2"/>
  <c r="F122" i="7"/>
  <c r="U116" i="8"/>
  <c r="E86" i="2"/>
  <c r="E87" i="2" s="1"/>
  <c r="E82" i="2"/>
  <c r="E79" i="2"/>
  <c r="E122" i="7"/>
  <c r="U115" i="8"/>
  <c r="D79" i="2"/>
  <c r="D86" i="2"/>
  <c r="D87" i="2" s="1"/>
  <c r="D82" i="2"/>
  <c r="U114" i="8"/>
  <c r="D122" i="7"/>
  <c r="U94" i="8"/>
  <c r="H97" i="7"/>
  <c r="U102" i="8"/>
  <c r="H105" i="7"/>
  <c r="G97" i="7"/>
  <c r="U93" i="8"/>
  <c r="G105" i="7"/>
  <c r="U101" i="8"/>
  <c r="F97" i="7"/>
  <c r="U92" i="8"/>
  <c r="U100" i="8"/>
  <c r="F105" i="7"/>
  <c r="E105" i="7"/>
  <c r="U99" i="8"/>
  <c r="E97" i="7"/>
  <c r="U91" i="8"/>
  <c r="U98" i="8"/>
  <c r="D105" i="7"/>
  <c r="D97" i="7"/>
  <c r="U90" i="8"/>
  <c r="D40" i="7"/>
  <c r="U34" i="8"/>
  <c r="D56" i="7"/>
  <c r="U50" i="8"/>
  <c r="U38" i="8"/>
  <c r="H40" i="7"/>
  <c r="H56" i="7"/>
  <c r="U54" i="8"/>
  <c r="U37" i="8"/>
  <c r="G40" i="7"/>
  <c r="G56" i="7"/>
  <c r="U53" i="8"/>
  <c r="U52" i="8"/>
  <c r="F56" i="7"/>
  <c r="U36" i="8"/>
  <c r="F40" i="7"/>
  <c r="U51" i="8"/>
  <c r="E56" i="7"/>
  <c r="U35" i="8"/>
  <c r="E40" i="7"/>
  <c r="H23" i="7"/>
  <c r="U22" i="8"/>
  <c r="G23" i="7"/>
  <c r="U21" i="8"/>
  <c r="F23" i="7"/>
  <c r="U20" i="8"/>
  <c r="U19" i="8"/>
  <c r="E23" i="7"/>
  <c r="D23" i="7"/>
  <c r="U18" i="8"/>
  <c r="H187" i="7"/>
  <c r="U182" i="8"/>
  <c r="H203" i="7"/>
  <c r="U198" i="8"/>
  <c r="U197" i="8"/>
  <c r="G203" i="7"/>
  <c r="G187" i="7"/>
  <c r="U181" i="8"/>
  <c r="U196" i="8"/>
  <c r="F203" i="7"/>
  <c r="F187" i="7"/>
  <c r="U180" i="8"/>
  <c r="E187" i="7"/>
  <c r="U179" i="8"/>
  <c r="E203" i="7"/>
  <c r="U195" i="8"/>
  <c r="U194" i="8"/>
  <c r="D203" i="7"/>
  <c r="D187" i="7"/>
  <c r="U178" i="8"/>
  <c r="H15" i="7"/>
  <c r="U14" i="8"/>
  <c r="U6" i="8"/>
  <c r="H7" i="7"/>
  <c r="H31" i="7"/>
  <c r="U30" i="8"/>
  <c r="G15" i="7"/>
  <c r="U13" i="8"/>
  <c r="G31" i="7"/>
  <c r="U29" i="8"/>
  <c r="U5" i="8"/>
  <c r="G7" i="7"/>
  <c r="U12" i="8"/>
  <c r="F15" i="7"/>
  <c r="F7" i="7"/>
  <c r="U4" i="8"/>
  <c r="U28" i="8"/>
  <c r="F31" i="7"/>
  <c r="U3" i="8"/>
  <c r="E7" i="7"/>
  <c r="E15" i="7"/>
  <c r="U11" i="8"/>
  <c r="E31" i="7"/>
  <c r="U27" i="8"/>
  <c r="U26" i="8"/>
  <c r="D31" i="7"/>
  <c r="D15" i="7"/>
  <c r="U10" i="8"/>
  <c r="U2" i="8"/>
  <c r="D7" i="7"/>
  <c r="Y82" i="8"/>
  <c r="D93" i="7"/>
  <c r="V85" i="8"/>
  <c r="G90" i="7"/>
  <c r="H92" i="7"/>
  <c r="X86" i="8"/>
  <c r="X85" i="8"/>
  <c r="G92" i="7"/>
  <c r="F92" i="7"/>
  <c r="X84" i="8"/>
  <c r="X83" i="8"/>
  <c r="E92" i="7"/>
  <c r="X82" i="8"/>
  <c r="D92" i="7"/>
  <c r="V83" i="8"/>
  <c r="E90" i="7"/>
  <c r="W86" i="8"/>
  <c r="H91" i="7"/>
  <c r="W85" i="8"/>
  <c r="G91" i="7"/>
  <c r="F91" i="7"/>
  <c r="W84" i="8"/>
  <c r="W83" i="8"/>
  <c r="E91" i="7"/>
  <c r="W82" i="8"/>
  <c r="D91" i="7"/>
  <c r="V84" i="8"/>
  <c r="F90" i="7"/>
  <c r="U86" i="8"/>
  <c r="H89" i="7"/>
  <c r="U85" i="8"/>
  <c r="G89" i="7"/>
  <c r="G94" i="7" s="1"/>
  <c r="Z85" i="8" s="1"/>
  <c r="U83" i="8"/>
  <c r="E89" i="7"/>
  <c r="U82" i="8"/>
  <c r="D89" i="7"/>
  <c r="U84" i="8"/>
  <c r="F89" i="7"/>
  <c r="V86" i="8"/>
  <c r="H90" i="7"/>
  <c r="H216" i="7"/>
  <c r="Z206" i="8" s="1"/>
  <c r="G216" i="7"/>
  <c r="Z205" i="8" s="1"/>
  <c r="F216" i="7"/>
  <c r="Z204" i="8" s="1"/>
  <c r="E216" i="7"/>
  <c r="Z203" i="8" s="1"/>
  <c r="D216" i="7"/>
  <c r="Z202" i="8" s="1"/>
  <c r="H77" i="7"/>
  <c r="Z70" i="8" s="1"/>
  <c r="G77" i="7"/>
  <c r="Z69" i="8" s="1"/>
  <c r="F77" i="7"/>
  <c r="Z68" i="8" s="1"/>
  <c r="E77" i="7"/>
  <c r="Z67" i="8" s="1"/>
  <c r="D77" i="7"/>
  <c r="Z66" i="8" s="1"/>
  <c r="H69" i="7"/>
  <c r="Z62" i="8" s="1"/>
  <c r="G69" i="7"/>
  <c r="Z61" i="8" s="1"/>
  <c r="F69" i="7"/>
  <c r="Z60" i="8" s="1"/>
  <c r="E69" i="7"/>
  <c r="Z59" i="8" s="1"/>
  <c r="D69" i="7"/>
  <c r="Z58" i="8" s="1"/>
  <c r="H53" i="7"/>
  <c r="Z46" i="8" s="1"/>
  <c r="G53" i="7"/>
  <c r="Z45" i="8" s="1"/>
  <c r="F53" i="7"/>
  <c r="Z44" i="8" s="1"/>
  <c r="E53" i="7"/>
  <c r="Z43" i="8" s="1"/>
  <c r="D53" i="7"/>
  <c r="Z42" i="8" s="1"/>
  <c r="G85" i="7"/>
  <c r="Z77" i="8" s="1"/>
  <c r="F85" i="7"/>
  <c r="Z76" i="8" s="1"/>
  <c r="D85" i="7"/>
  <c r="Z74" i="8" s="1"/>
  <c r="Y86" i="8" l="1"/>
  <c r="H93" i="7"/>
  <c r="H84" i="7"/>
  <c r="H85" i="7" s="1"/>
  <c r="Z78" i="8" s="1"/>
  <c r="Y78" i="8"/>
  <c r="E88" i="6"/>
  <c r="E133" i="6" s="1"/>
  <c r="H88" i="2"/>
  <c r="H133" i="2" s="1"/>
  <c r="F88" i="2"/>
  <c r="F133" i="2" s="1"/>
  <c r="D88" i="2"/>
  <c r="D133" i="2" s="1"/>
  <c r="D127" i="7"/>
  <c r="Z114" i="8" s="1"/>
  <c r="D110" i="7"/>
  <c r="Z98" i="8" s="1"/>
  <c r="D45" i="7"/>
  <c r="Z34" i="8" s="1"/>
  <c r="E94" i="7"/>
  <c r="Z83" i="8" s="1"/>
  <c r="F94" i="7"/>
  <c r="Z84" i="8" s="1"/>
  <c r="H130" i="4"/>
  <c r="H131" i="4"/>
  <c r="H136" i="4"/>
  <c r="H138" i="4"/>
  <c r="H132" i="4"/>
  <c r="H83" i="4"/>
  <c r="H141" i="4" s="1"/>
  <c r="H134" i="4"/>
  <c r="H126" i="4"/>
  <c r="H129" i="4"/>
  <c r="H164" i="7"/>
  <c r="W158" i="8"/>
  <c r="G130" i="4"/>
  <c r="G131" i="4"/>
  <c r="G132" i="4"/>
  <c r="G136" i="4"/>
  <c r="G138" i="4"/>
  <c r="G83" i="4"/>
  <c r="G141" i="4" s="1"/>
  <c r="G126" i="4"/>
  <c r="G129" i="4"/>
  <c r="G134" i="4"/>
  <c r="W157" i="8"/>
  <c r="G164" i="7"/>
  <c r="F138" i="4"/>
  <c r="F132" i="4"/>
  <c r="F136" i="4"/>
  <c r="F130" i="4"/>
  <c r="F131" i="4"/>
  <c r="F83" i="4"/>
  <c r="F141" i="4" s="1"/>
  <c r="F134" i="4"/>
  <c r="F126" i="4"/>
  <c r="F129" i="4"/>
  <c r="F164" i="7"/>
  <c r="W156" i="8"/>
  <c r="E130" i="4"/>
  <c r="E131" i="4"/>
  <c r="E138" i="4"/>
  <c r="E132" i="4"/>
  <c r="E136" i="4"/>
  <c r="E83" i="4"/>
  <c r="E141" i="4" s="1"/>
  <c r="E126" i="4"/>
  <c r="E129" i="4"/>
  <c r="E134" i="4"/>
  <c r="E164" i="7"/>
  <c r="W155" i="8"/>
  <c r="D130" i="4"/>
  <c r="D131" i="4"/>
  <c r="D132" i="4"/>
  <c r="D138" i="4"/>
  <c r="D136" i="4"/>
  <c r="D83" i="4"/>
  <c r="D141" i="4" s="1"/>
  <c r="D129" i="4"/>
  <c r="D126" i="4"/>
  <c r="D134" i="4"/>
  <c r="H131" i="3"/>
  <c r="H130" i="3"/>
  <c r="H132" i="3"/>
  <c r="H136" i="3"/>
  <c r="H138" i="3"/>
  <c r="H129" i="3"/>
  <c r="H83" i="3"/>
  <c r="H141" i="3" s="1"/>
  <c r="H126" i="3"/>
  <c r="H134" i="3"/>
  <c r="G131" i="3"/>
  <c r="G138" i="3"/>
  <c r="G132" i="3"/>
  <c r="G136" i="3"/>
  <c r="G130" i="3"/>
  <c r="G83" i="3"/>
  <c r="G141" i="3" s="1"/>
  <c r="G126" i="3"/>
  <c r="G129" i="3"/>
  <c r="G131" i="7" s="1"/>
  <c r="G134" i="3"/>
  <c r="V165" i="8" s="1"/>
  <c r="F130" i="3"/>
  <c r="F136" i="3"/>
  <c r="F131" i="3"/>
  <c r="F138" i="3"/>
  <c r="F132" i="3"/>
  <c r="F83" i="3"/>
  <c r="F141" i="3" s="1"/>
  <c r="F126" i="3"/>
  <c r="F129" i="3"/>
  <c r="F134" i="3"/>
  <c r="D164" i="7"/>
  <c r="W154" i="8"/>
  <c r="D102" i="7"/>
  <c r="Z90" i="8" s="1"/>
  <c r="E88" i="2"/>
  <c r="E133" i="2" s="1"/>
  <c r="H102" i="7"/>
  <c r="Z94" i="8" s="1"/>
  <c r="G102" i="7"/>
  <c r="Z93" i="8" s="1"/>
  <c r="F102" i="7"/>
  <c r="Z92" i="8" s="1"/>
  <c r="E110" i="7"/>
  <c r="Z99" i="8" s="1"/>
  <c r="H127" i="7"/>
  <c r="Z118" i="8" s="1"/>
  <c r="G127" i="7"/>
  <c r="Z117" i="8" s="1"/>
  <c r="F127" i="7"/>
  <c r="Z116" i="8" s="1"/>
  <c r="E127" i="7"/>
  <c r="Z115" i="8" s="1"/>
  <c r="H110" i="7"/>
  <c r="Z102" i="8" s="1"/>
  <c r="G110" i="7"/>
  <c r="Z101" i="8" s="1"/>
  <c r="F110" i="7"/>
  <c r="Z100" i="8" s="1"/>
  <c r="E102" i="7"/>
  <c r="Z91" i="8" s="1"/>
  <c r="H28" i="7"/>
  <c r="Z22" i="8" s="1"/>
  <c r="G28" i="7"/>
  <c r="Z21" i="8" s="1"/>
  <c r="F28" i="7"/>
  <c r="Z20" i="8" s="1"/>
  <c r="E28" i="7"/>
  <c r="Z19" i="8" s="1"/>
  <c r="D28" i="7"/>
  <c r="Z18" i="8" s="1"/>
  <c r="F88" i="6"/>
  <c r="F133" i="6" s="1"/>
  <c r="D94" i="7"/>
  <c r="Z82" i="8" s="1"/>
  <c r="E165" i="7"/>
  <c r="X155" i="8"/>
  <c r="D165" i="7"/>
  <c r="X154" i="8"/>
  <c r="Y130" i="8"/>
  <c r="D142" i="7"/>
  <c r="Y138" i="8"/>
  <c r="D150" i="7"/>
  <c r="Y146" i="8"/>
  <c r="D158" i="7"/>
  <c r="D183" i="7"/>
  <c r="Y170" i="8"/>
  <c r="D199" i="7"/>
  <c r="Y186" i="8"/>
  <c r="Y122" i="8"/>
  <c r="D134" i="7"/>
  <c r="Y162" i="8"/>
  <c r="D174" i="7"/>
  <c r="D223" i="7"/>
  <c r="Y210" i="8"/>
  <c r="D117" i="7"/>
  <c r="Y106" i="8"/>
  <c r="H129" i="6"/>
  <c r="H134" i="6"/>
  <c r="H126" i="6"/>
  <c r="H83" i="6"/>
  <c r="H141" i="6" s="1"/>
  <c r="H138" i="6"/>
  <c r="H132" i="6"/>
  <c r="H136" i="6"/>
  <c r="H130" i="6"/>
  <c r="H131" i="6"/>
  <c r="Y158" i="8"/>
  <c r="H166" i="7"/>
  <c r="G126" i="6"/>
  <c r="G129" i="6"/>
  <c r="G83" i="6"/>
  <c r="G141" i="6" s="1"/>
  <c r="G134" i="6"/>
  <c r="G166" i="7"/>
  <c r="Y157" i="8"/>
  <c r="G130" i="6"/>
  <c r="G136" i="6"/>
  <c r="G138" i="6"/>
  <c r="G132" i="6"/>
  <c r="G131" i="6"/>
  <c r="F126" i="6"/>
  <c r="F83" i="6"/>
  <c r="F141" i="6" s="1"/>
  <c r="F129" i="6"/>
  <c r="F134" i="6"/>
  <c r="F132" i="6"/>
  <c r="F138" i="6"/>
  <c r="F136" i="6"/>
  <c r="F130" i="6"/>
  <c r="F131" i="6"/>
  <c r="E130" i="6"/>
  <c r="E131" i="6"/>
  <c r="E132" i="6"/>
  <c r="E136" i="6"/>
  <c r="E138" i="6"/>
  <c r="E83" i="6"/>
  <c r="E141" i="6" s="1"/>
  <c r="E134" i="6"/>
  <c r="E126" i="6"/>
  <c r="E129" i="6"/>
  <c r="H141" i="7"/>
  <c r="X134" i="8"/>
  <c r="H149" i="7"/>
  <c r="X142" i="8"/>
  <c r="H157" i="7"/>
  <c r="X150" i="8"/>
  <c r="H182" i="7"/>
  <c r="X174" i="8"/>
  <c r="H198" i="7"/>
  <c r="X190" i="8"/>
  <c r="X214" i="8"/>
  <c r="H222" i="7"/>
  <c r="H116" i="7"/>
  <c r="X110" i="8"/>
  <c r="H133" i="7"/>
  <c r="X126" i="8"/>
  <c r="H173" i="7"/>
  <c r="X166" i="8"/>
  <c r="G141" i="7"/>
  <c r="X133" i="8"/>
  <c r="G149" i="7"/>
  <c r="X141" i="8"/>
  <c r="G157" i="7"/>
  <c r="X149" i="8"/>
  <c r="G182" i="7"/>
  <c r="X173" i="8"/>
  <c r="G198" i="7"/>
  <c r="X189" i="8"/>
  <c r="X213" i="8"/>
  <c r="G222" i="7"/>
  <c r="G116" i="7"/>
  <c r="X109" i="8"/>
  <c r="G133" i="7"/>
  <c r="X125" i="8"/>
  <c r="G173" i="7"/>
  <c r="X165" i="8"/>
  <c r="F141" i="7"/>
  <c r="X132" i="8"/>
  <c r="F149" i="7"/>
  <c r="X140" i="8"/>
  <c r="F157" i="7"/>
  <c r="X148" i="8"/>
  <c r="F182" i="7"/>
  <c r="X172" i="8"/>
  <c r="F198" i="7"/>
  <c r="X188" i="8"/>
  <c r="X212" i="8"/>
  <c r="F222" i="7"/>
  <c r="F116" i="7"/>
  <c r="X108" i="8"/>
  <c r="F133" i="7"/>
  <c r="X124" i="8"/>
  <c r="F173" i="7"/>
  <c r="X164" i="8"/>
  <c r="E141" i="7"/>
  <c r="X131" i="8"/>
  <c r="E149" i="7"/>
  <c r="X139" i="8"/>
  <c r="E157" i="7"/>
  <c r="X147" i="8"/>
  <c r="E182" i="7"/>
  <c r="X171" i="8"/>
  <c r="E198" i="7"/>
  <c r="X187" i="8"/>
  <c r="X211" i="8"/>
  <c r="E222" i="7"/>
  <c r="X107" i="8"/>
  <c r="E116" i="7"/>
  <c r="X123" i="8"/>
  <c r="E133" i="7"/>
  <c r="E173" i="7"/>
  <c r="X163" i="8"/>
  <c r="X130" i="8"/>
  <c r="D141" i="7"/>
  <c r="X138" i="8"/>
  <c r="D149" i="7"/>
  <c r="X146" i="8"/>
  <c r="D157" i="7"/>
  <c r="D182" i="7"/>
  <c r="X170" i="8"/>
  <c r="D198" i="7"/>
  <c r="X186" i="8"/>
  <c r="X210" i="8"/>
  <c r="D222" i="7"/>
  <c r="D116" i="7"/>
  <c r="X106" i="8"/>
  <c r="D133" i="7"/>
  <c r="X122" i="8"/>
  <c r="D173" i="7"/>
  <c r="X162" i="8"/>
  <c r="H140" i="7"/>
  <c r="W134" i="8"/>
  <c r="H148" i="7"/>
  <c r="W142" i="8"/>
  <c r="H181" i="7"/>
  <c r="W174" i="8"/>
  <c r="H197" i="7"/>
  <c r="W190" i="8"/>
  <c r="W150" i="8"/>
  <c r="H156" i="7"/>
  <c r="W214" i="8"/>
  <c r="H221" i="7"/>
  <c r="H172" i="7"/>
  <c r="W166" i="8"/>
  <c r="H115" i="7"/>
  <c r="W110" i="8"/>
  <c r="H132" i="7"/>
  <c r="W126" i="8"/>
  <c r="W133" i="8"/>
  <c r="G140" i="7"/>
  <c r="G148" i="7"/>
  <c r="W141" i="8"/>
  <c r="G156" i="7"/>
  <c r="W149" i="8"/>
  <c r="W173" i="8"/>
  <c r="G181" i="7"/>
  <c r="W189" i="8"/>
  <c r="G197" i="7"/>
  <c r="W213" i="8"/>
  <c r="G221" i="7"/>
  <c r="G115" i="7"/>
  <c r="W109" i="8"/>
  <c r="G132" i="7"/>
  <c r="W125" i="8"/>
  <c r="W165" i="8"/>
  <c r="G172" i="7"/>
  <c r="F197" i="7"/>
  <c r="W188" i="8"/>
  <c r="F156" i="7"/>
  <c r="W148" i="8"/>
  <c r="F181" i="7"/>
  <c r="W172" i="8"/>
  <c r="F140" i="7"/>
  <c r="W132" i="8"/>
  <c r="F148" i="7"/>
  <c r="W140" i="8"/>
  <c r="W212" i="8"/>
  <c r="F221" i="7"/>
  <c r="F172" i="7"/>
  <c r="W164" i="8"/>
  <c r="W108" i="8"/>
  <c r="F115" i="7"/>
  <c r="W124" i="8"/>
  <c r="F132" i="7"/>
  <c r="W131" i="8"/>
  <c r="E140" i="7"/>
  <c r="E148" i="7"/>
  <c r="W139" i="8"/>
  <c r="E197" i="7"/>
  <c r="W187" i="8"/>
  <c r="W147" i="8"/>
  <c r="E156" i="7"/>
  <c r="W171" i="8"/>
  <c r="E181" i="7"/>
  <c r="W211" i="8"/>
  <c r="E221" i="7"/>
  <c r="E115" i="7"/>
  <c r="W107" i="8"/>
  <c r="W123" i="8"/>
  <c r="E132" i="7"/>
  <c r="E172" i="7"/>
  <c r="W163" i="8"/>
  <c r="D140" i="7"/>
  <c r="W130" i="8"/>
  <c r="W138" i="8"/>
  <c r="D148" i="7"/>
  <c r="D156" i="7"/>
  <c r="W146" i="8"/>
  <c r="W186" i="8"/>
  <c r="D197" i="7"/>
  <c r="W170" i="8"/>
  <c r="D181" i="7"/>
  <c r="W210" i="8"/>
  <c r="D221" i="7"/>
  <c r="D132" i="7"/>
  <c r="W122" i="8"/>
  <c r="W106" i="8"/>
  <c r="D115" i="7"/>
  <c r="W162" i="8"/>
  <c r="D172" i="7"/>
  <c r="H147" i="7"/>
  <c r="V142" i="8"/>
  <c r="H139" i="7"/>
  <c r="V134" i="8"/>
  <c r="H155" i="7"/>
  <c r="V150" i="8"/>
  <c r="H180" i="7"/>
  <c r="V174" i="8"/>
  <c r="V190" i="8"/>
  <c r="H196" i="7"/>
  <c r="H131" i="7"/>
  <c r="V126" i="8"/>
  <c r="V141" i="8"/>
  <c r="G147" i="7"/>
  <c r="V125" i="8"/>
  <c r="G171" i="7"/>
  <c r="F139" i="7"/>
  <c r="V132" i="8"/>
  <c r="F180" i="7"/>
  <c r="V172" i="8"/>
  <c r="F147" i="7"/>
  <c r="V140" i="8"/>
  <c r="F196" i="7"/>
  <c r="V188" i="8"/>
  <c r="E132" i="3"/>
  <c r="E130" i="3"/>
  <c r="E136" i="3"/>
  <c r="E138" i="3"/>
  <c r="E131" i="3"/>
  <c r="E83" i="3"/>
  <c r="E141" i="3" s="1"/>
  <c r="E126" i="3"/>
  <c r="E129" i="3"/>
  <c r="E134" i="3"/>
  <c r="E163" i="7"/>
  <c r="V155" i="8"/>
  <c r="D138" i="3"/>
  <c r="D131" i="3"/>
  <c r="D132" i="3"/>
  <c r="D136" i="3"/>
  <c r="D130" i="3"/>
  <c r="D83" i="3"/>
  <c r="D141" i="3" s="1"/>
  <c r="D126" i="3"/>
  <c r="D129" i="3"/>
  <c r="D134" i="3"/>
  <c r="D163" i="7"/>
  <c r="V154" i="8"/>
  <c r="H130" i="2"/>
  <c r="H131" i="2"/>
  <c r="H132" i="2"/>
  <c r="H136" i="2"/>
  <c r="H138" i="2"/>
  <c r="H162" i="7"/>
  <c r="U158" i="8"/>
  <c r="H83" i="2"/>
  <c r="H141" i="2" s="1"/>
  <c r="H126" i="2"/>
  <c r="H129" i="2"/>
  <c r="H134" i="2"/>
  <c r="G83" i="2"/>
  <c r="G141" i="2" s="1"/>
  <c r="G126" i="2"/>
  <c r="G129" i="2"/>
  <c r="G134" i="2"/>
  <c r="G138" i="2"/>
  <c r="G130" i="2"/>
  <c r="G131" i="2"/>
  <c r="G132" i="2"/>
  <c r="G136" i="2"/>
  <c r="F138" i="2"/>
  <c r="F130" i="2"/>
  <c r="F131" i="2"/>
  <c r="F132" i="2"/>
  <c r="F136" i="2"/>
  <c r="F162" i="7"/>
  <c r="U156" i="8"/>
  <c r="F83" i="2"/>
  <c r="F141" i="2" s="1"/>
  <c r="F126" i="2"/>
  <c r="F129" i="2"/>
  <c r="F134" i="2"/>
  <c r="E162" i="7"/>
  <c r="U155" i="8"/>
  <c r="E126" i="2"/>
  <c r="E129" i="2"/>
  <c r="E134" i="2"/>
  <c r="E83" i="2"/>
  <c r="E141" i="2" s="1"/>
  <c r="E130" i="2"/>
  <c r="E131" i="2"/>
  <c r="E132" i="2"/>
  <c r="E136" i="2"/>
  <c r="E138" i="2"/>
  <c r="D138" i="2"/>
  <c r="D130" i="2"/>
  <c r="D131" i="2"/>
  <c r="D132" i="2"/>
  <c r="D136" i="2"/>
  <c r="D83" i="2"/>
  <c r="D141" i="2" s="1"/>
  <c r="D126" i="2"/>
  <c r="D129" i="2"/>
  <c r="D134" i="2"/>
  <c r="C36" i="7"/>
  <c r="D36" i="7"/>
  <c r="Z26" i="8" s="1"/>
  <c r="V158" i="8"/>
  <c r="H163" i="7"/>
  <c r="G163" i="7"/>
  <c r="V157" i="8"/>
  <c r="V156" i="8"/>
  <c r="F163" i="7"/>
  <c r="G88" i="2"/>
  <c r="G133" i="2" s="1"/>
  <c r="D61" i="7"/>
  <c r="Z50" i="8" s="1"/>
  <c r="H45" i="7"/>
  <c r="Z38" i="8" s="1"/>
  <c r="H61" i="7"/>
  <c r="Z54" i="8" s="1"/>
  <c r="G45" i="7"/>
  <c r="Z37" i="8" s="1"/>
  <c r="G61" i="7"/>
  <c r="Z53" i="8" s="1"/>
  <c r="F61" i="7"/>
  <c r="Z52" i="8" s="1"/>
  <c r="F45" i="7"/>
  <c r="Z36" i="8" s="1"/>
  <c r="E61" i="7"/>
  <c r="Z51" i="8" s="1"/>
  <c r="E45" i="7"/>
  <c r="Z35" i="8" s="1"/>
  <c r="H192" i="7"/>
  <c r="Z182" i="8" s="1"/>
  <c r="H208" i="7"/>
  <c r="Z198" i="8" s="1"/>
  <c r="G208" i="7"/>
  <c r="Z197" i="8" s="1"/>
  <c r="G192" i="7"/>
  <c r="Z181" i="8" s="1"/>
  <c r="F208" i="7"/>
  <c r="Z196" i="8" s="1"/>
  <c r="F192" i="7"/>
  <c r="Z180" i="8" s="1"/>
  <c r="E192" i="7"/>
  <c r="Z179" i="8" s="1"/>
  <c r="E208" i="7"/>
  <c r="Z195" i="8" s="1"/>
  <c r="D208" i="7"/>
  <c r="Z194" i="8" s="1"/>
  <c r="D192" i="7"/>
  <c r="Z178" i="8" s="1"/>
  <c r="H20" i="7"/>
  <c r="Z14" i="8" s="1"/>
  <c r="H12" i="7"/>
  <c r="Z6" i="8" s="1"/>
  <c r="H36" i="7"/>
  <c r="Z30" i="8" s="1"/>
  <c r="G20" i="7"/>
  <c r="Z13" i="8" s="1"/>
  <c r="G36" i="7"/>
  <c r="Z29" i="8" s="1"/>
  <c r="G12" i="7"/>
  <c r="Z5" i="8" s="1"/>
  <c r="F20" i="7"/>
  <c r="Z12" i="8" s="1"/>
  <c r="F12" i="7"/>
  <c r="Z4" i="8" s="1"/>
  <c r="F36" i="7"/>
  <c r="Z28" i="8" s="1"/>
  <c r="E12" i="7"/>
  <c r="Z3" i="8" s="1"/>
  <c r="E20" i="7"/>
  <c r="Z11" i="8" s="1"/>
  <c r="E36" i="7"/>
  <c r="Z27" i="8" s="1"/>
  <c r="D20" i="7"/>
  <c r="Z10" i="8" s="1"/>
  <c r="D12" i="7"/>
  <c r="Z2" i="8" s="1"/>
  <c r="H94" i="7"/>
  <c r="Z86" i="8" s="1"/>
  <c r="E166" i="7" l="1"/>
  <c r="E167" i="7" s="1"/>
  <c r="Z155" i="8" s="1"/>
  <c r="Y155" i="8"/>
  <c r="U154" i="8"/>
  <c r="D162" i="7"/>
  <c r="H220" i="7"/>
  <c r="V214" i="8"/>
  <c r="H114" i="7"/>
  <c r="V110" i="8"/>
  <c r="H171" i="7"/>
  <c r="V166" i="8"/>
  <c r="G196" i="7"/>
  <c r="V189" i="8"/>
  <c r="G155" i="7"/>
  <c r="V149" i="8"/>
  <c r="G180" i="7"/>
  <c r="V173" i="8"/>
  <c r="G139" i="7"/>
  <c r="V133" i="8"/>
  <c r="G220" i="7"/>
  <c r="V213" i="8"/>
  <c r="V109" i="8"/>
  <c r="G114" i="7"/>
  <c r="V148" i="8"/>
  <c r="F155" i="7"/>
  <c r="V212" i="8"/>
  <c r="F220" i="7"/>
  <c r="F114" i="7"/>
  <c r="V108" i="8"/>
  <c r="V124" i="8"/>
  <c r="F131" i="7"/>
  <c r="V164" i="8"/>
  <c r="F171" i="7"/>
  <c r="F166" i="7"/>
  <c r="F167" i="7" s="1"/>
  <c r="Z156" i="8" s="1"/>
  <c r="Y156" i="8"/>
  <c r="H134" i="7"/>
  <c r="Y126" i="8"/>
  <c r="H174" i="7"/>
  <c r="Y166" i="8"/>
  <c r="H117" i="7"/>
  <c r="Y110" i="8"/>
  <c r="H223" i="7"/>
  <c r="Y214" i="8"/>
  <c r="Y190" i="8"/>
  <c r="H199" i="7"/>
  <c r="H158" i="7"/>
  <c r="Y150" i="8"/>
  <c r="H183" i="7"/>
  <c r="Y174" i="8"/>
  <c r="Y134" i="8"/>
  <c r="H142" i="7"/>
  <c r="Y142" i="8"/>
  <c r="H150" i="7"/>
  <c r="G117" i="7"/>
  <c r="Y109" i="8"/>
  <c r="Y125" i="8"/>
  <c r="G134" i="7"/>
  <c r="Y213" i="8"/>
  <c r="G223" i="7"/>
  <c r="G174" i="7"/>
  <c r="Y165" i="8"/>
  <c r="Y133" i="8"/>
  <c r="G142" i="7"/>
  <c r="Y173" i="8"/>
  <c r="G183" i="7"/>
  <c r="G199" i="7"/>
  <c r="Y189" i="8"/>
  <c r="Y149" i="8"/>
  <c r="G158" i="7"/>
  <c r="G150" i="7"/>
  <c r="Y141" i="8"/>
  <c r="Y108" i="8"/>
  <c r="F117" i="7"/>
  <c r="F223" i="7"/>
  <c r="Y212" i="8"/>
  <c r="F134" i="7"/>
  <c r="Y124" i="8"/>
  <c r="Y164" i="8"/>
  <c r="F174" i="7"/>
  <c r="F158" i="7"/>
  <c r="Y148" i="8"/>
  <c r="F199" i="7"/>
  <c r="Y188" i="8"/>
  <c r="Y172" i="8"/>
  <c r="F183" i="7"/>
  <c r="F142" i="7"/>
  <c r="Y132" i="8"/>
  <c r="F150" i="7"/>
  <c r="Y140" i="8"/>
  <c r="E142" i="7"/>
  <c r="Y131" i="8"/>
  <c r="Y139" i="8"/>
  <c r="E150" i="7"/>
  <c r="Y147" i="8"/>
  <c r="E158" i="7"/>
  <c r="Y171" i="8"/>
  <c r="E183" i="7"/>
  <c r="E199" i="7"/>
  <c r="Y187" i="8"/>
  <c r="Y211" i="8"/>
  <c r="E223" i="7"/>
  <c r="E174" i="7"/>
  <c r="Y163" i="8"/>
  <c r="Y107" i="8"/>
  <c r="E117" i="7"/>
  <c r="E134" i="7"/>
  <c r="Y123" i="8"/>
  <c r="E155" i="7"/>
  <c r="V147" i="8"/>
  <c r="V131" i="8"/>
  <c r="E139" i="7"/>
  <c r="V171" i="8"/>
  <c r="E180" i="7"/>
  <c r="V187" i="8"/>
  <c r="E196" i="7"/>
  <c r="E147" i="7"/>
  <c r="V139" i="8"/>
  <c r="V211" i="8"/>
  <c r="E220" i="7"/>
  <c r="E114" i="7"/>
  <c r="V107" i="8"/>
  <c r="E131" i="7"/>
  <c r="V123" i="8"/>
  <c r="E171" i="7"/>
  <c r="V163" i="8"/>
  <c r="D196" i="7"/>
  <c r="V186" i="8"/>
  <c r="D147" i="7"/>
  <c r="V138" i="8"/>
  <c r="D155" i="7"/>
  <c r="V146" i="8"/>
  <c r="D180" i="7"/>
  <c r="V170" i="8"/>
  <c r="D139" i="7"/>
  <c r="V130" i="8"/>
  <c r="V210" i="8"/>
  <c r="D220" i="7"/>
  <c r="D114" i="7"/>
  <c r="V106" i="8"/>
  <c r="D131" i="7"/>
  <c r="V122" i="8"/>
  <c r="D171" i="7"/>
  <c r="V162" i="8"/>
  <c r="H138" i="7"/>
  <c r="U134" i="8"/>
  <c r="H146" i="7"/>
  <c r="U142" i="8"/>
  <c r="H154" i="7"/>
  <c r="U150" i="8"/>
  <c r="H179" i="7"/>
  <c r="U174" i="8"/>
  <c r="H195" i="7"/>
  <c r="U190" i="8"/>
  <c r="U214" i="8"/>
  <c r="H219" i="7"/>
  <c r="H113" i="7"/>
  <c r="U110" i="8"/>
  <c r="H130" i="7"/>
  <c r="U126" i="8"/>
  <c r="H170" i="7"/>
  <c r="U166" i="8"/>
  <c r="U213" i="8"/>
  <c r="G219" i="7"/>
  <c r="G113" i="7"/>
  <c r="U109" i="8"/>
  <c r="U125" i="8"/>
  <c r="G130" i="7"/>
  <c r="G170" i="7"/>
  <c r="U165" i="8"/>
  <c r="G195" i="7"/>
  <c r="U189" i="8"/>
  <c r="G138" i="7"/>
  <c r="U133" i="8"/>
  <c r="U141" i="8"/>
  <c r="G146" i="7"/>
  <c r="G154" i="7"/>
  <c r="U149" i="8"/>
  <c r="G179" i="7"/>
  <c r="U173" i="8"/>
  <c r="U188" i="8"/>
  <c r="F195" i="7"/>
  <c r="U132" i="8"/>
  <c r="F138" i="7"/>
  <c r="F146" i="7"/>
  <c r="U140" i="8"/>
  <c r="F154" i="7"/>
  <c r="U148" i="8"/>
  <c r="F179" i="7"/>
  <c r="U172" i="8"/>
  <c r="F219" i="7"/>
  <c r="U212" i="8"/>
  <c r="U108" i="8"/>
  <c r="F113" i="7"/>
  <c r="F130" i="7"/>
  <c r="U124" i="8"/>
  <c r="F170" i="7"/>
  <c r="U164" i="8"/>
  <c r="E113" i="7"/>
  <c r="U107" i="8"/>
  <c r="E130" i="7"/>
  <c r="U123" i="8"/>
  <c r="E170" i="7"/>
  <c r="U163" i="8"/>
  <c r="U211" i="8"/>
  <c r="E219" i="7"/>
  <c r="E138" i="7"/>
  <c r="U131" i="8"/>
  <c r="E146" i="7"/>
  <c r="U139" i="8"/>
  <c r="E154" i="7"/>
  <c r="U147" i="8"/>
  <c r="E179" i="7"/>
  <c r="U171" i="8"/>
  <c r="E195" i="7"/>
  <c r="U187" i="8"/>
  <c r="U186" i="8"/>
  <c r="D195" i="7"/>
  <c r="D138" i="7"/>
  <c r="U130" i="8"/>
  <c r="D146" i="7"/>
  <c r="U138" i="8"/>
  <c r="D154" i="7"/>
  <c r="U146" i="8"/>
  <c r="D179" i="7"/>
  <c r="U170" i="8"/>
  <c r="D167" i="7"/>
  <c r="Z154" i="8" s="1"/>
  <c r="D219" i="7"/>
  <c r="D224" i="7" s="1"/>
  <c r="Z210" i="8" s="1"/>
  <c r="U210" i="8"/>
  <c r="D113" i="7"/>
  <c r="U106" i="8"/>
  <c r="D130" i="7"/>
  <c r="U122" i="8"/>
  <c r="D170" i="7"/>
  <c r="U162" i="8"/>
  <c r="U157" i="8"/>
  <c r="G162" i="7"/>
  <c r="H167" i="7"/>
  <c r="Z158" i="8" s="1"/>
  <c r="G167" i="7" l="1"/>
  <c r="Z157" i="8" s="1"/>
  <c r="C167" i="7"/>
  <c r="H159" i="7"/>
  <c r="Z150" i="8" s="1"/>
  <c r="D118" i="7"/>
  <c r="Z106" i="8" s="1"/>
  <c r="D135" i="7"/>
  <c r="Z122" i="8" s="1"/>
  <c r="D175" i="7"/>
  <c r="Z162" i="8" s="1"/>
  <c r="D200" i="7"/>
  <c r="Z186" i="8" s="1"/>
  <c r="C200" i="7"/>
  <c r="D143" i="7"/>
  <c r="Z130" i="8" s="1"/>
  <c r="C143" i="7"/>
  <c r="D151" i="7"/>
  <c r="Z138" i="8" s="1"/>
  <c r="C151" i="7"/>
  <c r="C159" i="7"/>
  <c r="D159" i="7"/>
  <c r="Z146" i="8" s="1"/>
  <c r="C184" i="7"/>
  <c r="D184" i="7"/>
  <c r="Z170" i="8" s="1"/>
  <c r="H143" i="7"/>
  <c r="Z134" i="8" s="1"/>
  <c r="H151" i="7"/>
  <c r="Z142" i="8" s="1"/>
  <c r="H184" i="7"/>
  <c r="Z174" i="8" s="1"/>
  <c r="H200" i="7"/>
  <c r="Z190" i="8" s="1"/>
  <c r="H224" i="7"/>
  <c r="Z214" i="8" s="1"/>
  <c r="H118" i="7"/>
  <c r="Z110" i="8" s="1"/>
  <c r="H135" i="7"/>
  <c r="Z126" i="8" s="1"/>
  <c r="H175" i="7"/>
  <c r="Z166" i="8" s="1"/>
  <c r="G135" i="7"/>
  <c r="Z125" i="8" s="1"/>
  <c r="G200" i="7"/>
  <c r="Z189" i="8" s="1"/>
  <c r="G143" i="7"/>
  <c r="Z133" i="8" s="1"/>
  <c r="G151" i="7"/>
  <c r="Z141" i="8" s="1"/>
  <c r="G184" i="7"/>
  <c r="Z173" i="8" s="1"/>
  <c r="F200" i="7"/>
  <c r="Z188" i="8" s="1"/>
  <c r="F143" i="7"/>
  <c r="Z132" i="8" s="1"/>
  <c r="F159" i="7"/>
  <c r="Z148" i="8" s="1"/>
  <c r="F184" i="7"/>
  <c r="Z172" i="8" s="1"/>
  <c r="F135" i="7"/>
  <c r="Z124" i="8" s="1"/>
  <c r="E118" i="7"/>
  <c r="Z107" i="8" s="1"/>
  <c r="E135" i="7"/>
  <c r="Z123" i="8" s="1"/>
  <c r="G224" i="7"/>
  <c r="Z213" i="8" s="1"/>
  <c r="G118" i="7"/>
  <c r="Z109" i="8" s="1"/>
  <c r="G175" i="7"/>
  <c r="Z165" i="8" s="1"/>
  <c r="F151" i="7"/>
  <c r="Z140" i="8" s="1"/>
  <c r="F224" i="7"/>
  <c r="Z212" i="8" s="1"/>
  <c r="F118" i="7"/>
  <c r="Z108" i="8" s="1"/>
  <c r="E175" i="7"/>
  <c r="Z163" i="8" s="1"/>
  <c r="E151" i="7"/>
  <c r="Z139" i="8" s="1"/>
  <c r="E184" i="7"/>
  <c r="Z171" i="8" s="1"/>
  <c r="G159" i="7"/>
  <c r="Z149" i="8" s="1"/>
  <c r="F175" i="7"/>
  <c r="Z164" i="8" s="1"/>
  <c r="E143" i="7"/>
  <c r="Z131" i="8" s="1"/>
  <c r="E159" i="7"/>
  <c r="Z147" i="8" s="1"/>
  <c r="E200" i="7"/>
  <c r="Z187" i="8" s="1"/>
  <c r="E224" i="7"/>
  <c r="Z211" i="8" s="1"/>
</calcChain>
</file>

<file path=xl/sharedStrings.xml><?xml version="1.0" encoding="utf-8"?>
<sst xmlns="http://schemas.openxmlformats.org/spreadsheetml/2006/main" count="1833" uniqueCount="302">
  <si>
    <t>Course</t>
  </si>
  <si>
    <t>Introduction to Business Finance</t>
  </si>
  <si>
    <t>Instructor</t>
  </si>
  <si>
    <t>Dr. Noureen Ayaz</t>
  </si>
  <si>
    <t>Group members / ERPs</t>
  </si>
  <si>
    <t>Abdullah Khan Sherwani - ERP 27880
Immaduddin Durrani - ERP 29204
Raahin Tajuddin - ERP 29207
Zuhair Merchant - ERP 29021
Arba - ERP 32571</t>
  </si>
  <si>
    <t>Companies analysed</t>
  </si>
  <si>
    <t>Company</t>
  </si>
  <si>
    <t>Role</t>
  </si>
  <si>
    <t>KOHC</t>
  </si>
  <si>
    <t>Kohat Cement Company Limited</t>
  </si>
  <si>
    <t>Main company</t>
  </si>
  <si>
    <t>Open KOHC</t>
  </si>
  <si>
    <t>LUCK</t>
  </si>
  <si>
    <t>Lucky Cement Limited</t>
  </si>
  <si>
    <t>Competitor 1</t>
  </si>
  <si>
    <t>Open LUCK</t>
  </si>
  <si>
    <t>DGKC</t>
  </si>
  <si>
    <t>D.G. Khan Cement Company Limited</t>
  </si>
  <si>
    <t>Competitor 2</t>
  </si>
  <si>
    <t>Open DGKC</t>
  </si>
  <si>
    <t>MLCF</t>
  </si>
  <si>
    <t>Maple Leaf Cement Factory Limited</t>
  </si>
  <si>
    <t>Competitor 3</t>
  </si>
  <si>
    <t>Open MLCF</t>
  </si>
  <si>
    <t>FCCL</t>
  </si>
  <si>
    <t>Fauji Cement Company Limited</t>
  </si>
  <si>
    <t>Competitor 4</t>
  </si>
  <si>
    <t>Open FCCL</t>
  </si>
  <si>
    <t>Open Industry Averages</t>
  </si>
  <si>
    <t>Open Charts</t>
  </si>
  <si>
    <t>KOHC: https://www.kohatcement.com/financial_reports.aspx</t>
  </si>
  <si>
    <t>LUCK: https://www.lucky-cement.com/investor-relations/downloads/financial-reports/</t>
  </si>
  <si>
    <t>DGKC: https://www.dgcement.com/financial-reports/DGAnnual2025.pdf</t>
  </si>
  <si>
    <t>MLCF: https://www.kmlg.com/mlcfl/financials/</t>
  </si>
  <si>
    <t>FCCL: https://fccl.com.pk/eng/financial-reports/</t>
  </si>
  <si>
    <t>Kohat Cement Company Limited (KOHC)</t>
  </si>
  <si>
    <t>1. Balance Sheet (PKR million)</t>
  </si>
  <si>
    <t>Particulars</t>
  </si>
  <si>
    <t>FY2021</t>
  </si>
  <si>
    <t>FY2022</t>
  </si>
  <si>
    <t>FY2023</t>
  </si>
  <si>
    <t>FY2024</t>
  </si>
  <si>
    <t>FY2025</t>
  </si>
  <si>
    <t>FY2020*</t>
  </si>
  <si>
    <t>Non-current assets</t>
  </si>
  <si>
    <t>Property, plant and equipment</t>
  </si>
  <si>
    <t xml:space="preserve">   of which: capital work-in-progress</t>
  </si>
  <si>
    <t>Right-of-use assets</t>
  </si>
  <si>
    <t>Intangible assets</t>
  </si>
  <si>
    <t>Investment property</t>
  </si>
  <si>
    <t>Long-term investments</t>
  </si>
  <si>
    <t>Other non-current assets</t>
  </si>
  <si>
    <t>Total non-current assets</t>
  </si>
  <si>
    <t>Current assets</t>
  </si>
  <si>
    <t>Stores, spares and loose tools</t>
  </si>
  <si>
    <t>Stock-in-trade</t>
  </si>
  <si>
    <t>Trade debts</t>
  </si>
  <si>
    <t>Short-term investments</t>
  </si>
  <si>
    <t>Cash and bank balances</t>
  </si>
  <si>
    <t>Other current assets</t>
  </si>
  <si>
    <t>Total current assets</t>
  </si>
  <si>
    <t>TOTAL ASSETS</t>
  </si>
  <si>
    <t>Equity</t>
  </si>
  <si>
    <t>Share capital</t>
  </si>
  <si>
    <t>Reserves and retained earnings</t>
  </si>
  <si>
    <t>Total equity</t>
  </si>
  <si>
    <t>Non-current liabilities</t>
  </si>
  <si>
    <t>Long-term financing</t>
  </si>
  <si>
    <t>Lease liabilities</t>
  </si>
  <si>
    <t>Deferred government grant</t>
  </si>
  <si>
    <t>Deferred taxation</t>
  </si>
  <si>
    <t>Other non-current liabilities</t>
  </si>
  <si>
    <t>Total non-current liabilities</t>
  </si>
  <si>
    <t>Current liabilities</t>
  </si>
  <si>
    <t>Trade and other payables</t>
  </si>
  <si>
    <t>Contract liabilities</t>
  </si>
  <si>
    <t>Accrued mark-up</t>
  </si>
  <si>
    <t>Short-term borrowings</t>
  </si>
  <si>
    <t>Current portion of long-term financing</t>
  </si>
  <si>
    <t>Current portion of lease liabilities</t>
  </si>
  <si>
    <t>Current portion of deferred grant</t>
  </si>
  <si>
    <t>Unclaimed / unpaid dividends</t>
  </si>
  <si>
    <t>Taxation - net</t>
  </si>
  <si>
    <t>Other current liabilities</t>
  </si>
  <si>
    <t>Total current liabilities</t>
  </si>
  <si>
    <t>Total liabilities</t>
  </si>
  <si>
    <t>TOTAL EQUITY AND LIABILITIES</t>
  </si>
  <si>
    <t>Supporting balances</t>
  </si>
  <si>
    <t>Trade creditors (payables note)</t>
  </si>
  <si>
    <t>Operating fixed assets (PPE - CWIP)</t>
  </si>
  <si>
    <t>Inventories (stores + stock-in-trade)</t>
  </si>
  <si>
    <t>Interest-bearing debt</t>
  </si>
  <si>
    <t>Long-term interest-bearing debt</t>
  </si>
  <si>
    <t>Invested capital (IBD + equity)</t>
  </si>
  <si>
    <t>Operating current assets</t>
  </si>
  <si>
    <t>Operating current liabilities</t>
  </si>
  <si>
    <t>2. Income Statement (PKR million)</t>
  </si>
  <si>
    <t>Net sales</t>
  </si>
  <si>
    <t>Cost of sales</t>
  </si>
  <si>
    <t>Gross profit</t>
  </si>
  <si>
    <t>Selling and distribution expenses</t>
  </si>
  <si>
    <t>Administrative expenses</t>
  </si>
  <si>
    <t>Impairment loss on financial assets</t>
  </si>
  <si>
    <t>Other operating expenses</t>
  </si>
  <si>
    <t>Core operating profit before other income</t>
  </si>
  <si>
    <t>Other income</t>
  </si>
  <si>
    <t>Finance income</t>
  </si>
  <si>
    <t>Share of profit of associate</t>
  </si>
  <si>
    <t>Finance cost</t>
  </si>
  <si>
    <t>Profit before levies and taxation</t>
  </si>
  <si>
    <t>Levies (final / minimum tax)</t>
  </si>
  <si>
    <t>Income tax</t>
  </si>
  <si>
    <t>Net profit after tax</t>
  </si>
  <si>
    <t>Supporting figures</t>
  </si>
  <si>
    <t>Depreciation and amortization</t>
  </si>
  <si>
    <t>EBIT (PBT plus expensed interest)</t>
  </si>
  <si>
    <t>EBITDA (EBIT plus depreciation/amortization)</t>
  </si>
  <si>
    <t>Bank charges and other non-interest finance cost</t>
  </si>
  <si>
    <t>Interest expense</t>
  </si>
  <si>
    <t>Effective tax rate</t>
  </si>
  <si>
    <t>NOPAT tax rate = actual audited ETR (no cap)</t>
  </si>
  <si>
    <t>NOPAT = EBIT x (1 - tax rate)</t>
  </si>
  <si>
    <t>3. Cash Flow Statement (PKR million)</t>
  </si>
  <si>
    <t>Cash generated from operations</t>
  </si>
  <si>
    <t>Net cash from operating activities</t>
  </si>
  <si>
    <t>Net cash from investing activities</t>
  </si>
  <si>
    <t>Net cash from financing activities</t>
  </si>
  <si>
    <t>Purchase of property, plant and equipment</t>
  </si>
  <si>
    <t>Finance cost paid</t>
  </si>
  <si>
    <t>Dividends paid</t>
  </si>
  <si>
    <t>4. Market Data</t>
  </si>
  <si>
    <t>Par value per share (Rs)</t>
  </si>
  <si>
    <t>Shares outstanding at year-end (million)</t>
  </si>
  <si>
    <t>Weighted average shares (million)</t>
  </si>
  <si>
    <t>FY-end share price (Rs; last PSX close)</t>
  </si>
  <si>
    <t>Cash dividend per share for the year (Rs)</t>
  </si>
  <si>
    <t>Treasury shares excluded (million)</t>
  </si>
  <si>
    <t>5. Ratio Analysis</t>
  </si>
  <si>
    <t>Ratio</t>
  </si>
  <si>
    <t>Formula</t>
  </si>
  <si>
    <t>Liquidity</t>
  </si>
  <si>
    <t>1. Current Ratio</t>
  </si>
  <si>
    <t>Current assets / Current liabilities</t>
  </si>
  <si>
    <t>2. Quick Ratio</t>
  </si>
  <si>
    <t>(Current assets - Inventory) / Current liabilities</t>
  </si>
  <si>
    <t>3. Cash Ratio</t>
  </si>
  <si>
    <t>Cash and equivalents / Current liabilities</t>
  </si>
  <si>
    <t>4. Net Working Capital</t>
  </si>
  <si>
    <t>Current assets - Current liabilities</t>
  </si>
  <si>
    <t>Asset Management</t>
  </si>
  <si>
    <t>5. Inventory Turnover</t>
  </si>
  <si>
    <t>COGS / Average inventory</t>
  </si>
  <si>
    <t>6. Receivables Turnover</t>
  </si>
  <si>
    <t>Sales / Average trade receivables</t>
  </si>
  <si>
    <t>7. Days Inventory Outstanding</t>
  </si>
  <si>
    <t>365 / Inventory turnover</t>
  </si>
  <si>
    <t>8. Days Sales Outstanding</t>
  </si>
  <si>
    <t>Receivables / (Annual sales / 365)</t>
  </si>
  <si>
    <t>9. Fixed Asset Turnover</t>
  </si>
  <si>
    <t>Sales / Net fixed assets</t>
  </si>
  <si>
    <t>10. Total Asset Turnover</t>
  </si>
  <si>
    <t>Sales / Total assets</t>
  </si>
  <si>
    <t>Debt Management</t>
  </si>
  <si>
    <t>11. Debt Ratio</t>
  </si>
  <si>
    <t>Total liabilities / Total assets</t>
  </si>
  <si>
    <t>12. Debt-to-Equity Ratio</t>
  </si>
  <si>
    <t>Interest-bearing debt / Common equity</t>
  </si>
  <si>
    <t>13. Total Debt-to-Total Capital</t>
  </si>
  <si>
    <t>IBD / (IBD + Common equity)</t>
  </si>
  <si>
    <t>14. Times Interest Earned</t>
  </si>
  <si>
    <t>EBIT / Expensed interest</t>
  </si>
  <si>
    <t>Profitability</t>
  </si>
  <si>
    <t>15. Gross Profit Margin</t>
  </si>
  <si>
    <t>Gross profit / Sales</t>
  </si>
  <si>
    <t>16. Operating Margin</t>
  </si>
  <si>
    <t>EBIT / Sales</t>
  </si>
  <si>
    <t>17. Net Profit Margin</t>
  </si>
  <si>
    <t>Net income / Sales</t>
  </si>
  <si>
    <t>18. Return on Assets</t>
  </si>
  <si>
    <t>Net income / Total assets</t>
  </si>
  <si>
    <t>19. Return on Equity</t>
  </si>
  <si>
    <t>Net income / Common equity</t>
  </si>
  <si>
    <t>20. Return on Invested Capital</t>
  </si>
  <si>
    <t>EBIT x (1 - T) / Invested capital</t>
  </si>
  <si>
    <t>21. Basic Earning Power</t>
  </si>
  <si>
    <t>EBIT / Total assets</t>
  </si>
  <si>
    <t>Market Value</t>
  </si>
  <si>
    <t>22. Earnings per Share</t>
  </si>
  <si>
    <t>Net income / Weighted ordinary shares</t>
  </si>
  <si>
    <t>23. Book Value per Share</t>
  </si>
  <si>
    <t>Common equity / Closing shares</t>
  </si>
  <si>
    <t>24. Price-to-Earnings</t>
  </si>
  <si>
    <t>PSX year-end price / EPS</t>
  </si>
  <si>
    <t>25. Market-to-Book</t>
  </si>
  <si>
    <t>PSX year-end price / BVPS</t>
  </si>
  <si>
    <t>26. Dividend Yield</t>
  </si>
  <si>
    <t>DPS / PSX year-end price</t>
  </si>
  <si>
    <t>FY2021-FY2025:
(No dividend paid)</t>
  </si>
  <si>
    <t>27. Enterprise Value/EBITDA</t>
  </si>
  <si>
    <t>Enterprise value / (EBIT + D&amp;A)</t>
  </si>
  <si>
    <t>Financing classification (PKR million)</t>
  </si>
  <si>
    <t>Interest-free parent loan excluded from IBD</t>
  </si>
  <si>
    <t>Accrued interest within financing balances</t>
  </si>
  <si>
    <t>Related operating supplier payable (included above)</t>
  </si>
  <si>
    <t>Enterprise value workings (PKR million)</t>
  </si>
  <si>
    <t>Available cash and cash equivalents</t>
  </si>
  <si>
    <t>Other financing claims</t>
  </si>
  <si>
    <t>Market value of ordinary equity</t>
  </si>
  <si>
    <t>Enterprise value</t>
  </si>
  <si>
    <t>Qualifying short-term cash equivalents</t>
  </si>
  <si>
    <t>Pledged / restricted balances excluded</t>
  </si>
  <si>
    <t>Lucky Cement Limited (LUCK)</t>
  </si>
  <si>
    <t>FY2021-FY2022:
(No dividend paid)</t>
  </si>
  <si>
    <t>D.G. Khan Cement Company Limited (DGKC)</t>
  </si>
  <si>
    <t>FY2023-FY2024:
(No dividend paid)</t>
  </si>
  <si>
    <t>Maple Leaf Cement Factory Limited (MLCF)</t>
  </si>
  <si>
    <t>Fauji Cement Company Limited (FCCL)</t>
  </si>
  <si>
    <t>FY2021-FY2023:
(No dividend paid)</t>
  </si>
  <si>
    <t>LIQUIDITY</t>
  </si>
  <si>
    <t>Five-company average</t>
  </si>
  <si>
    <t>ASSET MANAGEMENT</t>
  </si>
  <si>
    <t>DEBT MANAGEMENT</t>
  </si>
  <si>
    <t>PROFITABILITY</t>
  </si>
  <si>
    <t>MARKET VALUE</t>
  </si>
  <si>
    <t>Cash dividend on matching share basis.</t>
  </si>
  <si>
    <t>Five-year comparisons for all 27 measures</t>
  </si>
  <si>
    <t>Financial year</t>
  </si>
  <si>
    <t>Industry average</t>
  </si>
  <si>
    <t>1. Current Ratio (x)</t>
  </si>
  <si>
    <t>2. Quick Ratio (x)</t>
  </si>
  <si>
    <t>3. Cash Ratio (x)</t>
  </si>
  <si>
    <t>4. Net Working Capital (PKR m)</t>
  </si>
  <si>
    <t>5. Inventory Turnover (x)</t>
  </si>
  <si>
    <t>6. Receivables Turnover (x)</t>
  </si>
  <si>
    <t>7. Days Inventory Outstanding (days)</t>
  </si>
  <si>
    <t>8. Days Sales Outstanding (days)</t>
  </si>
  <si>
    <t>9. Fixed Asset Turnover (x)</t>
  </si>
  <si>
    <t>10. Total Asset Turnover (x)</t>
  </si>
  <si>
    <t>11. Debt Ratio (%)</t>
  </si>
  <si>
    <t>12. Debt-to-Equity Ratio (x)</t>
  </si>
  <si>
    <t>13. Total Debt-to-Total Capital (%)</t>
  </si>
  <si>
    <t>14. Times Interest Earned (x)</t>
  </si>
  <si>
    <t>15. Gross Profit Margin (%)</t>
  </si>
  <si>
    <t>16. Operating Margin (%)</t>
  </si>
  <si>
    <t>17. Net Profit Margin (%)</t>
  </si>
  <si>
    <t>18. Return on Assets (%)</t>
  </si>
  <si>
    <t>19. Return on Equity (%)</t>
  </si>
  <si>
    <t>20. Return on Invested Capital (%)</t>
  </si>
  <si>
    <t>21. Basic Earning Power (%)</t>
  </si>
  <si>
    <t>22. Earnings per Share (Rs/share)</t>
  </si>
  <si>
    <t>23. Book Value per Share (Rs/share)</t>
  </si>
  <si>
    <t>24. Price-to-Earnings (x)</t>
  </si>
  <si>
    <t>25. Market-to-Book (x)</t>
  </si>
  <si>
    <t>26. Dividend Yield (%)</t>
  </si>
  <si>
    <t>27. Enterprise Value/EBITDA (x)</t>
  </si>
  <si>
    <t>Kohat Cement and Competitors Financial Ratio Analysis</t>
  </si>
  <si>
    <t>Symbol</t>
  </si>
  <si>
    <t>Company sheet</t>
  </si>
  <si>
    <t>Sources</t>
  </si>
  <si>
    <t>Basis</t>
  </si>
  <si>
    <t>Closing balances</t>
  </si>
  <si>
    <t>Stores and stock excluded</t>
  </si>
  <si>
    <t>Available cash; debt gross</t>
  </si>
  <si>
    <t>Signed deficit retained</t>
  </si>
  <si>
    <t>Average stores and stock</t>
  </si>
  <si>
    <t>Average net trade receivables</t>
  </si>
  <si>
    <t>Average inventory; 365 days</t>
  </si>
  <si>
    <t>Average receivables; net sales</t>
  </si>
  <si>
    <t>Closing PPE including CWIP</t>
  </si>
  <si>
    <t>Closing total assets</t>
  </si>
  <si>
    <t>All liabilities</t>
  </si>
  <si>
    <t>Principal and leases</t>
  </si>
  <si>
    <t>Closing debt plus equity</t>
  </si>
  <si>
    <t>Expensed interest incl. leases</t>
  </si>
  <si>
    <t>Audited COGS classification</t>
  </si>
  <si>
    <t>EBIT includes other income</t>
  </si>
  <si>
    <t>After audited levy and tax</t>
  </si>
  <si>
    <t>Net income / closing assets</t>
  </si>
  <si>
    <t>Net income / closing equity</t>
  </si>
  <si>
    <t>Actual ETR; closing capital</t>
  </si>
  <si>
    <t>EBIT / closing total assets</t>
  </si>
  <si>
    <t>Audited weighted shares</t>
  </si>
  <si>
    <t>Closing shares excl. treasury</t>
  </si>
  <si>
    <t>PSX close / compatible EPS</t>
  </si>
  <si>
    <t>PSX close / closing BVPS</t>
  </si>
  <si>
    <t>Book debt proxy; see Overview</t>
  </si>
  <si>
    <t>Five Company Sample Averages 27 Measures</t>
  </si>
  <si>
    <t>Notes</t>
  </si>
  <si>
    <t>Method</t>
  </si>
  <si>
    <t>We use audited unconsolidated accounts for FY2021-FY2025. The 27 measures include all 19 required ratios.</t>
  </si>
  <si>
    <t>Inventory and receivables use opening/closing averages; asset and return ratios use closing balances. FY2020 openings are in hidden column I (inventory I54, receivables I20).</t>
  </si>
  <si>
    <t>Inventory includes stores and spares; PPE includes CWIP. Debt Ratio uses all liabilities. D/E and debt-to-capital use interest-bearing principal and leases, excluding interest-free funding and accrued interest.</t>
  </si>
  <si>
    <t>EBIT includes other income. TIE uses expensed interest; ROIC uses the actual, uncapped tax rate. Only available audited cash equivalents count; EV includes other financing claims.</t>
  </si>
  <si>
    <t>Market ratios use official PSX year-end closes or the last earlier session, with matching share bases. LUCK split trading began 28-Apr-2025; KOHC began 25-Aug-2025, after FY2025.</t>
  </si>
  <si>
    <t>n/m means a negative or non-meaningful result; signed inputs remain intact. Our five-company averages exclude n/m and include genuine zeros. This is a sample benchmark, not the whole industry; share denominations also limit EPS/BVPS comparisons.</t>
  </si>
  <si>
    <t>A zero Dividend Yield means no dividend attributable to that year. Cash payments can still settle older dividends.</t>
  </si>
  <si>
    <t>Published ratios may use different definitions. The Audit reconstructs 437 of 455 comparisons and explains the 18 qualified differences.</t>
  </si>
  <si>
    <t>KOHC: PKR3.705m of FY2025 short-term mark-up remains in debt despite nil principal use. D/E, debt-to-capital and ROIC remain qualified. The separate FY2020 one-rupee footing difference is immaterial.</t>
  </si>
  <si>
    <t>DGKC has negative NWC in FY2021-FY2023 and a FY2023 loss/214.97% tax rate. FCCL has negative NWC in FY2023-FY2024; its FY2022 merger affects comparisons.</t>
  </si>
  <si>
    <t>LUCK: the PKR0.400m deferred-tax correction and PKR10.653m amortization remain included. MLCF freight and supplier classifications, plus full company notes, remain in the Audit and report.</t>
  </si>
  <si>
    <t>Audited company reports and notes, including FY2020 openings. PSX sessions: 30-Jun-2021, 30-Jun-2022, 27-Jun-2023, 28-Jun-2024 and 30-Jun-2025.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</si>
</sst>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\(#,##0\);\-"/>
    <numFmt numFmtId="165" formatCode="0.0%;\(0.0%\)"/>
    <numFmt numFmtId="166" formatCode="#,##0.00;\(#,##0.00\)"/>
    <numFmt numFmtId="167" formatCode="#,##0.0"/>
    <numFmt numFmtId="168" formatCode="0.00&quot;x&quot;;\(0.00\)&quot;x&quot;;&quot;-&quot;"/>
    <numFmt numFmtId="169" formatCode="#,##0.00;\(#,##0.00\);&quot;-&quot;"/>
    <numFmt numFmtId="170" formatCode="0;[Red]\(0\);&quot;-&quot;"/>
    <numFmt numFmtId="171" formatCode="0.00%;\(0.00%\);&quot;-&quot;"/>
    <numFmt numFmtId="172" formatCode="0.00;\(0.00\);&quot;-&quot;"/>
    <numFmt numFmtId="173" formatCode="#,##0.000;\(#,##0.000\);&quot;-&quot;"/>
    <numFmt numFmtId="174" formatCode="0.00%;\(0.00%\);0.00%"/>
    <numFmt numFmtId="175" formatCode="0.00;\(0.00\);0.00"/>
  </numFmts>
  <fonts count="30" x14ac:knownFonts="1">
    <font>
      <sz val="11"/>
      <color theme="1"/>
      <name val="Calibri"/>
      <family val="2"/>
    </font>
    <font>
      <sz val="10"/>
      <name val="Arial"/>
    </font>
    <font>
      <b/>
      <sz val="10"/>
      <color rgb="FF262626"/>
      <name val="Calibri"/>
    </font>
    <font>
      <u/>
      <sz val="10"/>
      <color rgb="FF1F5C99"/>
      <name val="Calibri"/>
    </font>
    <font>
      <sz val="10"/>
      <color rgb="FF262626"/>
      <name val="Calibri"/>
    </font>
    <font>
      <b/>
      <sz val="10"/>
      <color rgb="FF1E4D3A"/>
      <name val="Calibri"/>
    </font>
    <font>
      <b/>
      <sz val="11"/>
      <color rgb="FF204F3D"/>
      <name val="Calibri"/>
      <family val="2"/>
    </font>
    <font>
      <i/>
      <sz val="9"/>
      <color rgb="FF58675E"/>
      <name val="Calibri"/>
      <family val="2"/>
    </font>
    <font>
      <sz val="11"/>
      <color rgb="FF172C25"/>
      <name val="Calibri"/>
      <family val="2"/>
    </font>
    <font>
      <b/>
      <sz val="11"/>
      <color rgb="FF172C25"/>
      <name val="Calibri"/>
      <family val="2"/>
    </font>
    <font>
      <sz val="10"/>
      <color rgb="FF595959"/>
      <name val="Calibri"/>
      <family val="2"/>
    </font>
    <font>
      <i/>
      <sz val="10"/>
      <color rgb="FF58675E"/>
      <name val="Calibri"/>
      <family val="2"/>
    </font>
    <font>
      <b/>
      <sz val="11"/>
      <color rgb="FFFFFFFF"/>
      <name val="Calibri"/>
      <family val="2"/>
    </font>
    <font>
      <b/>
      <sz val="10"/>
      <color rgb="FF204F3D"/>
      <name val="Calibri"/>
      <family val="2"/>
    </font>
    <font>
      <sz val="11"/>
      <color rgb="FF172C25"/>
      <name val="Calibri"/>
      <family val="2"/>
    </font>
    <font>
      <b/>
      <sz val="12"/>
      <color rgb="FF204F3D"/>
      <name val="Calibri"/>
      <family val="2"/>
    </font>
    <font>
      <sz val="11"/>
      <color rgb="FF204F3D"/>
      <name val="Calibri"/>
      <family val="2"/>
    </font>
    <font>
      <sz val="11"/>
      <color rgb="FF424A46"/>
      <name val="Calibri"/>
      <family val="2"/>
    </font>
    <font>
      <sz val="10"/>
      <color rgb="FF20392F"/>
      <name val="Calibri"/>
    </font>
    <font>
      <sz val="10"/>
      <color rgb="FF20392F"/>
      <name val="Calibri"/>
      <family val="2"/>
    </font>
    <font>
      <b/>
      <sz val="12"/>
      <color rgb="FFFFFFFF"/>
      <name val="Calibri"/>
    </font>
    <font>
      <b/>
      <sz val="14"/>
      <color rgb="FF1E4D3A"/>
      <name val="Calibri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</font>
    <font>
      <b/>
      <sz val="10"/>
      <color rgb="FF172C25"/>
      <name val="Calibri"/>
      <family val="2"/>
    </font>
    <font>
      <sz val="10"/>
      <color rgb="FF172C25"/>
      <name val="Calibri"/>
      <family val="2"/>
    </font>
    <font>
      <sz val="12"/>
      <color rgb="FF595959"/>
      <name val="Calibri"/>
    </font>
    <font>
      <b/>
      <sz val="14"/>
      <color rgb="FF204F3D"/>
      <name val="Calibri"/>
      <family val="2"/>
    </font>
    <font>
      <b/>
      <sz val="14"/>
      <color rgb="FF172C25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4D3A"/>
      </patternFill>
    </fill>
    <fill>
      <patternFill patternType="solid">
        <fgColor rgb="FFDCE6D7"/>
      </patternFill>
    </fill>
    <fill>
      <patternFill patternType="solid">
        <fgColor rgb="FFEEF3EC"/>
      </patternFill>
    </fill>
    <fill>
      <patternFill patternType="solid">
        <fgColor rgb="FFF2F2F2"/>
      </patternFill>
    </fill>
    <fill>
      <patternFill patternType="solid">
        <fgColor rgb="FFEDF3EC"/>
      </patternFill>
    </fill>
    <fill>
      <patternFill patternType="solid">
        <fgColor rgb="FFDDE8D8"/>
      </patternFill>
    </fill>
    <fill>
      <patternFill patternType="solid">
        <fgColor rgb="FF204F3D"/>
      </patternFill>
    </fill>
    <fill>
      <patternFill patternType="solid">
        <fgColor rgb="FFF0F5F1"/>
      </patternFill>
    </fill>
    <fill>
      <patternFill patternType="solid">
        <fgColor rgb="FFE5EDE3"/>
      </patternFill>
    </fill>
    <fill>
      <patternFill patternType="solid">
        <fgColor rgb="FFFFFFFF"/>
      </patternFill>
    </fill>
    <fill>
      <patternFill patternType="solid">
        <fgColor rgb="FFEAF0E9"/>
      </patternFill>
    </fill>
    <fill>
      <patternFill patternType="solid">
        <fgColor rgb="FFEBF2EB"/>
      </patternFill>
    </fill>
  </fills>
  <borders count="8">
    <border>
      <left/>
      <right/>
      <top/>
      <bottom/>
      <diagonal/>
    </border>
    <border>
      <left style="thin">
        <color rgb="FFC9CFC6"/>
      </left>
      <right style="thin">
        <color rgb="FFC9CFC6"/>
      </right>
      <top style="thin">
        <color rgb="FFC9CFC6"/>
      </top>
      <bottom style="thin">
        <color rgb="FFC9CFC6"/>
      </bottom>
      <diagonal/>
    </border>
    <border>
      <left style="thin">
        <color rgb="FFC9CFC6"/>
      </left>
      <right style="thin">
        <color rgb="FFC9CFC6"/>
      </right>
      <top style="hair">
        <color rgb="FFC9CFC6"/>
      </top>
      <bottom style="hair">
        <color rgb="FFC9CFC6"/>
      </bottom>
      <diagonal/>
    </border>
    <border>
      <left style="thin">
        <color rgb="FFC9CFC6"/>
      </left>
      <right/>
      <top style="thin">
        <color rgb="FFC9CFC6"/>
      </top>
      <bottom style="thin">
        <color rgb="FFC9CFC6"/>
      </bottom>
      <diagonal/>
    </border>
    <border>
      <left/>
      <right style="thin">
        <color rgb="FFC9CFC6"/>
      </right>
      <top style="thin">
        <color rgb="FFC9CFC6"/>
      </top>
      <bottom style="thin">
        <color rgb="FFC9CFC6"/>
      </bottom>
      <diagonal/>
    </border>
    <border>
      <left style="thin">
        <color rgb="FFC9CFC6"/>
      </left>
      <right/>
      <top style="hair">
        <color rgb="FFC9CFC6"/>
      </top>
      <bottom style="hair">
        <color rgb="FFC9CFC6"/>
      </bottom>
      <diagonal/>
    </border>
    <border>
      <left/>
      <right style="thin">
        <color rgb="FFC9CFC6"/>
      </right>
      <top style="hair">
        <color rgb="FFC9CFC6"/>
      </top>
      <bottom style="hair">
        <color rgb="FFC9CFC6"/>
      </bottom>
      <diagonal/>
    </border>
    <border>
      <left/>
      <right/>
      <top/>
      <bottom style="hair">
        <color rgb="FFD2DBD3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103">
    <xf numFmtId="0" fontId="0" fillId="0" borderId="0" xfId="0"/>
    <xf numFmtId="0" fontId="2" fillId="0" borderId="0" xfId="0" applyFont="1"/>
    <xf numFmtId="0" fontId="0" fillId="2" borderId="0" xfId="0" applyFill="1"/>
    <xf numFmtId="0" fontId="2" fillId="3" borderId="1" xfId="0" applyFont="1" applyFill="1" applyBorder="1"/>
    <xf numFmtId="0" fontId="2" fillId="0" borderId="2" xfId="0" applyFont="1" applyBorder="1"/>
    <xf numFmtId="0" fontId="3" fillId="0" borderId="2" xfId="0" applyFont="1" applyBorder="1"/>
    <xf numFmtId="0" fontId="4" fillId="0" borderId="2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center" vertical="center"/>
    </xf>
    <xf numFmtId="0" fontId="0" fillId="4" borderId="0" xfId="0" applyFill="1"/>
    <xf numFmtId="164" fontId="4" fillId="0" borderId="2" xfId="0" applyNumberFormat="1" applyFont="1" applyBorder="1"/>
    <xf numFmtId="164" fontId="2" fillId="5" borderId="2" xfId="0" applyNumberFormat="1" applyFont="1" applyFill="1" applyBorder="1"/>
    <xf numFmtId="0" fontId="0" fillId="5" borderId="2" xfId="0" applyFill="1" applyBorder="1"/>
    <xf numFmtId="165" fontId="4" fillId="0" borderId="2" xfId="0" applyNumberFormat="1" applyFont="1" applyBorder="1"/>
    <xf numFmtId="166" fontId="4" fillId="0" borderId="2" xfId="0" applyNumberFormat="1" applyFont="1" applyBorder="1"/>
    <xf numFmtId="167" fontId="4" fillId="0" borderId="2" xfId="0" applyNumberFormat="1" applyFont="1" applyBorder="1"/>
    <xf numFmtId="173" fontId="0" fillId="0" borderId="0" xfId="0" applyNumberFormat="1"/>
    <xf numFmtId="173" fontId="7" fillId="0" borderId="0" xfId="0" applyNumberFormat="1" applyFont="1"/>
    <xf numFmtId="49" fontId="0" fillId="0" borderId="0" xfId="0" applyNumberFormat="1"/>
    <xf numFmtId="49" fontId="0" fillId="2" borderId="0" xfId="0" applyNumberFormat="1" applyFill="1"/>
    <xf numFmtId="49" fontId="2" fillId="3" borderId="3" xfId="0" applyNumberFormat="1" applyFont="1" applyFill="1" applyBorder="1" applyAlignment="1">
      <alignment horizontal="left" vertical="center"/>
    </xf>
    <xf numFmtId="49" fontId="2" fillId="3" borderId="4" xfId="0" applyNumberFormat="1" applyFont="1" applyFill="1" applyBorder="1" applyAlignment="1">
      <alignment horizontal="left" vertical="center"/>
    </xf>
    <xf numFmtId="49" fontId="5" fillId="4" borderId="0" xfId="0" applyNumberFormat="1" applyFont="1" applyFill="1"/>
    <xf numFmtId="49" fontId="0" fillId="4" borderId="0" xfId="0" applyNumberFormat="1" applyFill="1"/>
    <xf numFmtId="49" fontId="4" fillId="0" borderId="5" xfId="0" applyNumberFormat="1" applyFont="1" applyBorder="1"/>
    <xf numFmtId="49" fontId="0" fillId="0" borderId="6" xfId="0" applyNumberFormat="1" applyBorder="1"/>
    <xf numFmtId="49" fontId="2" fillId="5" borderId="5" xfId="0" applyNumberFormat="1" applyFont="1" applyFill="1" applyBorder="1"/>
    <xf numFmtId="49" fontId="0" fillId="5" borderId="6" xfId="0" applyNumberFormat="1" applyFill="1" applyBorder="1"/>
    <xf numFmtId="49" fontId="7" fillId="0" borderId="0" xfId="0" applyNumberFormat="1" applyFont="1"/>
    <xf numFmtId="0" fontId="8" fillId="0" borderId="0" xfId="0" applyFont="1" applyAlignment="1">
      <alignment vertical="center"/>
    </xf>
    <xf numFmtId="0" fontId="10" fillId="0" borderId="7" xfId="0" applyFont="1" applyBorder="1" applyAlignment="1">
      <alignment vertical="center" wrapText="1"/>
    </xf>
    <xf numFmtId="0" fontId="11" fillId="0" borderId="0" xfId="0" applyFont="1" applyAlignment="1">
      <alignment vertical="center"/>
    </xf>
    <xf numFmtId="0" fontId="11" fillId="0" borderId="0" xfId="0" applyFont="1"/>
    <xf numFmtId="169" fontId="0" fillId="0" borderId="0" xfId="0" applyNumberFormat="1"/>
    <xf numFmtId="0" fontId="12" fillId="8" borderId="0" xfId="0" applyFont="1" applyFill="1" applyAlignment="1">
      <alignment vertical="center"/>
    </xf>
    <xf numFmtId="0" fontId="9" fillId="9" borderId="0" xfId="0" applyFont="1" applyFill="1" applyAlignment="1">
      <alignment vertical="center"/>
    </xf>
    <xf numFmtId="0" fontId="10" fillId="9" borderId="0" xfId="0" applyFont="1" applyFill="1" applyAlignment="1">
      <alignment vertical="center" wrapText="1"/>
    </xf>
    <xf numFmtId="0" fontId="6" fillId="10" borderId="0" xfId="0" applyFont="1" applyFill="1" applyAlignment="1">
      <alignment vertical="center"/>
    </xf>
    <xf numFmtId="0" fontId="8" fillId="9" borderId="0" xfId="0" applyFont="1" applyFill="1" applyAlignment="1">
      <alignment horizontal="right" vertical="center"/>
    </xf>
    <xf numFmtId="168" fontId="8" fillId="0" borderId="0" xfId="0" applyNumberFormat="1" applyFont="1" applyAlignment="1">
      <alignment horizontal="right" vertical="center"/>
    </xf>
    <xf numFmtId="168" fontId="6" fillId="10" borderId="0" xfId="0" applyNumberFormat="1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right" vertical="center"/>
    </xf>
    <xf numFmtId="169" fontId="6" fillId="10" borderId="0" xfId="0" applyNumberFormat="1" applyFont="1" applyFill="1" applyAlignment="1">
      <alignment horizontal="right" vertical="center"/>
    </xf>
    <xf numFmtId="170" fontId="8" fillId="0" borderId="0" xfId="0" applyNumberFormat="1" applyFont="1" applyAlignment="1">
      <alignment horizontal="right" vertical="center"/>
    </xf>
    <xf numFmtId="170" fontId="6" fillId="10" borderId="0" xfId="0" applyNumberFormat="1" applyFont="1" applyFill="1" applyAlignment="1">
      <alignment horizontal="right" vertical="center"/>
    </xf>
    <xf numFmtId="171" fontId="8" fillId="0" borderId="0" xfId="0" applyNumberFormat="1" applyFont="1" applyAlignment="1">
      <alignment horizontal="right" vertical="center"/>
    </xf>
    <xf numFmtId="171" fontId="6" fillId="10" borderId="0" xfId="0" applyNumberFormat="1" applyFont="1" applyFill="1" applyAlignment="1">
      <alignment horizontal="right" vertical="center"/>
    </xf>
    <xf numFmtId="172" fontId="8" fillId="0" borderId="0" xfId="0" applyNumberFormat="1" applyFont="1" applyAlignment="1">
      <alignment horizontal="right" vertical="center"/>
    </xf>
    <xf numFmtId="172" fontId="6" fillId="10" borderId="0" xfId="0" applyNumberFormat="1" applyFont="1" applyFill="1" applyAlignment="1">
      <alignment horizontal="right" vertical="center"/>
    </xf>
    <xf numFmtId="0" fontId="13" fillId="10" borderId="0" xfId="0" applyFont="1" applyFill="1" applyAlignment="1">
      <alignment vertical="center" wrapText="1"/>
    </xf>
    <xf numFmtId="0" fontId="14" fillId="11" borderId="0" xfId="0" applyFont="1" applyFill="1"/>
    <xf numFmtId="175" fontId="4" fillId="0" borderId="2" xfId="0" applyNumberFormat="1" applyFont="1" applyBorder="1"/>
    <xf numFmtId="174" fontId="8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6" fillId="0" borderId="0" xfId="0" applyFont="1"/>
    <xf numFmtId="2" fontId="0" fillId="0" borderId="0" xfId="0" applyNumberFormat="1"/>
    <xf numFmtId="167" fontId="0" fillId="0" borderId="0" xfId="0" applyNumberFormat="1"/>
    <xf numFmtId="10" fontId="0" fillId="0" borderId="0" xfId="0" applyNumberFormat="1"/>
    <xf numFmtId="49" fontId="7" fillId="0" borderId="0" xfId="0" applyNumberFormat="1" applyFont="1" applyAlignment="1">
      <alignment wrapText="1"/>
    </xf>
    <xf numFmtId="0" fontId="7" fillId="0" borderId="0" xfId="0" applyFont="1" applyAlignment="1">
      <alignment wrapText="1"/>
    </xf>
    <xf numFmtId="49" fontId="18" fillId="0" borderId="0" xfId="0" applyNumberFormat="1" applyFont="1"/>
    <xf numFmtId="49" fontId="20" fillId="2" borderId="0" xfId="0" applyNumberFormat="1" applyFont="1" applyFill="1"/>
    <xf numFmtId="49" fontId="21" fillId="0" borderId="0" xfId="0" applyNumberFormat="1" applyFont="1"/>
    <xf numFmtId="49" fontId="22" fillId="0" borderId="0" xfId="0" applyNumberFormat="1" applyFont="1"/>
    <xf numFmtId="0" fontId="22" fillId="0" borderId="0" xfId="0" applyFont="1"/>
    <xf numFmtId="49" fontId="23" fillId="0" borderId="0" xfId="0" applyNumberFormat="1" applyFont="1"/>
    <xf numFmtId="0" fontId="23" fillId="0" borderId="0" xfId="0" applyFont="1"/>
    <xf numFmtId="49" fontId="24" fillId="2" borderId="0" xfId="0" applyNumberFormat="1" applyFont="1" applyFill="1"/>
    <xf numFmtId="49" fontId="23" fillId="2" borderId="0" xfId="0" applyNumberFormat="1" applyFont="1" applyFill="1"/>
    <xf numFmtId="0" fontId="23" fillId="2" borderId="0" xfId="0" applyFont="1" applyFill="1"/>
    <xf numFmtId="0" fontId="25" fillId="7" borderId="0" xfId="0" applyFont="1" applyFill="1" applyAlignment="1">
      <alignment vertical="center"/>
    </xf>
    <xf numFmtId="0" fontId="26" fillId="0" borderId="7" xfId="0" applyFont="1" applyBorder="1" applyAlignment="1">
      <alignment vertical="center"/>
    </xf>
    <xf numFmtId="168" fontId="26" fillId="0" borderId="7" xfId="0" applyNumberFormat="1" applyFont="1" applyBorder="1" applyAlignment="1">
      <alignment horizontal="right" vertical="center"/>
    </xf>
    <xf numFmtId="169" fontId="26" fillId="0" borderId="7" xfId="0" applyNumberFormat="1" applyFont="1" applyBorder="1" applyAlignment="1">
      <alignment horizontal="right" vertical="center"/>
    </xf>
    <xf numFmtId="170" fontId="26" fillId="0" borderId="7" xfId="0" applyNumberFormat="1" applyFont="1" applyBorder="1" applyAlignment="1">
      <alignment horizontal="right" vertical="center"/>
    </xf>
    <xf numFmtId="171" fontId="26" fillId="0" borderId="7" xfId="0" applyNumberFormat="1" applyFont="1" applyBorder="1" applyAlignment="1">
      <alignment horizontal="right" vertical="center"/>
    </xf>
    <xf numFmtId="172" fontId="26" fillId="0" borderId="7" xfId="0" applyNumberFormat="1" applyFont="1" applyBorder="1" applyAlignment="1">
      <alignment horizontal="right" vertical="center"/>
    </xf>
    <xf numFmtId="174" fontId="26" fillId="0" borderId="7" xfId="0" applyNumberFormat="1" applyFont="1" applyBorder="1" applyAlignment="1">
      <alignment horizontal="right" vertical="center"/>
    </xf>
    <xf numFmtId="0" fontId="10" fillId="0" borderId="7" xfId="0" applyFont="1" applyBorder="1" applyAlignment="1">
      <alignment vertical="center"/>
    </xf>
    <xf numFmtId="0" fontId="20" fillId="2" borderId="0" xfId="0" applyFont="1" applyFill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10" fillId="9" borderId="0" xfId="0" applyFont="1" applyFill="1" applyAlignment="1">
      <alignment vertical="center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0" fillId="0" borderId="0" xfId="0" applyAlignment="1">
      <alignment wrapText="1"/>
    </xf>
    <xf numFmtId="0" fontId="8" fillId="0" borderId="0" xfId="0" applyFont="1" applyAlignment="1">
      <alignment horizontal="left" vertical="center" wrapText="1"/>
    </xf>
    <xf numFmtId="0" fontId="6" fillId="6" borderId="0" xfId="0" applyFont="1" applyFill="1"/>
    <xf numFmtId="49" fontId="6" fillId="6" borderId="0" xfId="0" applyNumberFormat="1" applyFont="1" applyFill="1"/>
    <xf numFmtId="0" fontId="13" fillId="6" borderId="0" xfId="0" applyFont="1" applyFill="1" applyAlignment="1">
      <alignment vertical="center"/>
    </xf>
    <xf numFmtId="0" fontId="13" fillId="6" borderId="0" xfId="0" applyFont="1" applyFill="1" applyAlignment="1">
      <alignment horizontal="right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right" vertical="center"/>
    </xf>
    <xf numFmtId="0" fontId="8" fillId="0" borderId="0" xfId="0" applyFont="1" applyAlignment="1">
      <alignment vertical="center" wrapText="1"/>
    </xf>
    <xf numFmtId="0" fontId="15" fillId="12" borderId="0" xfId="0" applyFont="1" applyFill="1"/>
    <xf numFmtId="0" fontId="28" fillId="0" borderId="0" xfId="0" applyFont="1"/>
    <xf numFmtId="0" fontId="17" fillId="0" borderId="0" xfId="0" applyFont="1"/>
    <xf numFmtId="0" fontId="6" fillId="13" borderId="0" xfId="0" applyFont="1" applyFill="1" applyAlignment="1">
      <alignment wrapText="1"/>
    </xf>
    <xf numFmtId="0" fontId="19" fillId="0" borderId="0" xfId="0" applyFont="1" applyAlignment="1">
      <alignment wrapText="1"/>
    </xf>
    <xf numFmtId="0" fontId="19" fillId="0" borderId="0" xfId="0" applyFont="1" applyAlignment="1">
      <alignment wrapText="1"/>
    </xf>
  </cellXfs>
  <cellStyles count="6">
    <cellStyle name="Comma" xfId="1" xr:uid="{00000000-0005-0000-0000-000000000000}"/>
    <cellStyle name="Comma [0]" xfId="2" xr:uid="{00000000-0005-0000-0000-000001000000}"/>
    <cellStyle name="Currency" xfId="3" xr:uid="{00000000-0005-0000-0000-000002000000}"/>
    <cellStyle name="Currency [0]" xfId="4" xr:uid="{00000000-0005-0000-0000-000003000000}"/>
    <cellStyle name="Normal" xfId="0" builtinId="0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8D57"/>
      <rgbColor rgb="FF800080"/>
      <rgbColor rgb="FF008080"/>
      <rgbColor rgb="FFC9CFC6"/>
      <rgbColor rgb="FF878787"/>
      <rgbColor rgb="FF8FA98A"/>
      <rgbColor rgb="FFA35D5D"/>
      <rgbColor rgb="FFEEF3EC"/>
      <rgbColor rgb="FFF2F2F2"/>
      <rgbColor rgb="FF660066"/>
      <rgbColor rgb="FFFF8080"/>
      <rgbColor rgb="FF1F5C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D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F99"/>
      <rgbColor rgb="FF8C8C8C"/>
      <rgbColor rgb="FF1E4D3A"/>
      <rgbColor rgb="FF339966"/>
      <rgbColor rgb="FF003300"/>
      <rgbColor rgb="FF333300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Charts!$U$2:$U$6</c:f>
              <c:numCache>
                <c:formatCode>0.00</c:formatCode>
                <c:ptCount val="5"/>
                <c:pt idx="0">
                  <c:v>1.3006446691414961</c:v>
                </c:pt>
                <c:pt idx="1">
                  <c:v>1.8735085276109804</c:v>
                </c:pt>
                <c:pt idx="2">
                  <c:v>2.311570515459215</c:v>
                </c:pt>
                <c:pt idx="3">
                  <c:v>2.9031590530160019</c:v>
                </c:pt>
                <c:pt idx="4">
                  <c:v>3.311248687172772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E-4C03-983A-AE685FAA070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Charts!$V$2:$V$6</c:f>
              <c:numCache>
                <c:formatCode>0.00</c:formatCode>
                <c:ptCount val="5"/>
                <c:pt idx="0">
                  <c:v>1.3386079458938223</c:v>
                </c:pt>
                <c:pt idx="1">
                  <c:v>1.4760766300374313</c:v>
                </c:pt>
                <c:pt idx="2">
                  <c:v>1.290071633326858</c:v>
                </c:pt>
                <c:pt idx="3">
                  <c:v>1.2632222354743232</c:v>
                </c:pt>
                <c:pt idx="4">
                  <c:v>1.7146143875904156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6E-4C03-983A-AE685FAA070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Charts!$W$2:$W$6</c:f>
              <c:numCache>
                <c:formatCode>0.00</c:formatCode>
                <c:ptCount val="5"/>
                <c:pt idx="0">
                  <c:v>0.91452508864509019</c:v>
                </c:pt>
                <c:pt idx="1">
                  <c:v>0.88552877147710041</c:v>
                </c:pt>
                <c:pt idx="2">
                  <c:v>0.80176749057385621</c:v>
                </c:pt>
                <c:pt idx="3">
                  <c:v>1.296185931254842</c:v>
                </c:pt>
                <c:pt idx="4">
                  <c:v>1.8489517932979607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6E-4C03-983A-AE685FAA070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Charts!$X$2:$X$6</c:f>
              <c:numCache>
                <c:formatCode>0.00</c:formatCode>
                <c:ptCount val="5"/>
                <c:pt idx="0">
                  <c:v>1.4780988568182505</c:v>
                </c:pt>
                <c:pt idx="1">
                  <c:v>1.2549557408945418</c:v>
                </c:pt>
                <c:pt idx="2">
                  <c:v>1.3715472215546312</c:v>
                </c:pt>
                <c:pt idx="3">
                  <c:v>1.4446782415124371</c:v>
                </c:pt>
                <c:pt idx="4">
                  <c:v>1.5324411303645513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6E-4C03-983A-AE685FAA070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Charts!$Y$2:$Y$6</c:f>
              <c:numCache>
                <c:formatCode>0.00</c:formatCode>
                <c:ptCount val="5"/>
                <c:pt idx="0">
                  <c:v>2.01862288296847</c:v>
                </c:pt>
                <c:pt idx="1">
                  <c:v>1.0559688948718087</c:v>
                </c:pt>
                <c:pt idx="2">
                  <c:v>0.81211137558007007</c:v>
                </c:pt>
                <c:pt idx="3">
                  <c:v>0.95974773116730094</c:v>
                </c:pt>
                <c:pt idx="4">
                  <c:v>1.3210140828410366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6E-4C03-983A-AE685FAA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Charts!$U$2:$U$6</c:f>
              <c:numCache>
                <c:formatCode>0.00</c:formatCode>
                <c:ptCount val="5"/>
                <c:pt idx="0">
                  <c:v>1.3006446691414961</c:v>
                </c:pt>
                <c:pt idx="1">
                  <c:v>1.8735085276109804</c:v>
                </c:pt>
                <c:pt idx="2">
                  <c:v>2.311570515459215</c:v>
                </c:pt>
                <c:pt idx="3">
                  <c:v>2.9031590530160019</c:v>
                </c:pt>
                <c:pt idx="4">
                  <c:v>3.311248687172772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E4-44D5-BBB5-B30FBA6DC38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Charts!$Z$2:$Z$6</c:f>
              <c:numCache>
                <c:formatCode>0.00</c:formatCode>
                <c:ptCount val="5"/>
                <c:pt idx="0">
                  <c:v>1.410099888693426</c:v>
                </c:pt>
                <c:pt idx="1">
                  <c:v>1.3092077129783726</c:v>
                </c:pt>
                <c:pt idx="2">
                  <c:v>1.3174136472989262</c:v>
                </c:pt>
                <c:pt idx="3">
                  <c:v>1.5733986384849812</c:v>
                </c:pt>
                <c:pt idx="4">
                  <c:v>1.9456540162533476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E4-44D5-BBB5-B30FBA6DC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Quick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Charts!$U$10:$U$14</c:f>
              <c:numCache>
                <c:formatCode>0.00</c:formatCode>
                <c:ptCount val="5"/>
                <c:pt idx="0">
                  <c:v>0.74816043855554903</c:v>
                </c:pt>
                <c:pt idx="1">
                  <c:v>1.2758070110452304</c:v>
                </c:pt>
                <c:pt idx="2">
                  <c:v>1.5392110300634694</c:v>
                </c:pt>
                <c:pt idx="3">
                  <c:v>2.2200593399212352</c:v>
                </c:pt>
                <c:pt idx="4">
                  <c:v>2.6677003784340947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B5-4693-81DE-894C2B772BA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Charts!$V$10:$V$14</c:f>
              <c:numCache>
                <c:formatCode>0.00</c:formatCode>
                <c:ptCount val="5"/>
                <c:pt idx="0">
                  <c:v>0.89000886100685095</c:v>
                </c:pt>
                <c:pt idx="1">
                  <c:v>0.87076091919208631</c:v>
                </c:pt>
                <c:pt idx="2">
                  <c:v>0.85412226562426408</c:v>
                </c:pt>
                <c:pt idx="3">
                  <c:v>0.83698311631700717</c:v>
                </c:pt>
                <c:pt idx="4">
                  <c:v>1.2939267138361998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B5-4693-81DE-894C2B772BA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Charts!$W$10:$W$14</c:f>
              <c:numCache>
                <c:formatCode>0.00</c:formatCode>
                <c:ptCount val="5"/>
                <c:pt idx="0">
                  <c:v>0.52718830778210601</c:v>
                </c:pt>
                <c:pt idx="1">
                  <c:v>0.39093390789665328</c:v>
                </c:pt>
                <c:pt idx="2">
                  <c:v>0.33489936167445872</c:v>
                </c:pt>
                <c:pt idx="3">
                  <c:v>0.66771764923027133</c:v>
                </c:pt>
                <c:pt idx="4">
                  <c:v>1.0579587679634685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B5-4693-81DE-894C2B772BA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Charts!$X$10:$X$14</c:f>
              <c:numCache>
                <c:formatCode>0.00</c:formatCode>
                <c:ptCount val="5"/>
                <c:pt idx="0">
                  <c:v>0.43971691910387301</c:v>
                </c:pt>
                <c:pt idx="1">
                  <c:v>0.29473524106223353</c:v>
                </c:pt>
                <c:pt idx="2">
                  <c:v>0.5204561252187091</c:v>
                </c:pt>
                <c:pt idx="3">
                  <c:v>0.60942670638462615</c:v>
                </c:pt>
                <c:pt idx="4">
                  <c:v>0.80788282595509864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B5-4693-81DE-894C2B772BA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Charts!$Y$10:$Y$14</c:f>
              <c:numCache>
                <c:formatCode>0.00</c:formatCode>
                <c:ptCount val="5"/>
                <c:pt idx="0">
                  <c:v>1.1357988467684703</c:v>
                </c:pt>
                <c:pt idx="1">
                  <c:v>0.47078421060569281</c:v>
                </c:pt>
                <c:pt idx="2">
                  <c:v>0.28121710873313321</c:v>
                </c:pt>
                <c:pt idx="3">
                  <c:v>0.3420463898878065</c:v>
                </c:pt>
                <c:pt idx="4">
                  <c:v>0.67753380767364924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B5-4693-81DE-894C2B772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Quick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Charts!$U$10:$U$14</c:f>
              <c:numCache>
                <c:formatCode>0.00</c:formatCode>
                <c:ptCount val="5"/>
                <c:pt idx="0">
                  <c:v>0.74816043855554903</c:v>
                </c:pt>
                <c:pt idx="1">
                  <c:v>1.2758070110452304</c:v>
                </c:pt>
                <c:pt idx="2">
                  <c:v>1.5392110300634694</c:v>
                </c:pt>
                <c:pt idx="3">
                  <c:v>2.2200593399212352</c:v>
                </c:pt>
                <c:pt idx="4">
                  <c:v>2.6677003784340947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A0-4F8A-AAA7-4651EA3CF4D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Charts!$Z$10:$Z$14</c:f>
              <c:numCache>
                <c:formatCode>0.00</c:formatCode>
                <c:ptCount val="5"/>
                <c:pt idx="0">
                  <c:v>0.74817467464336995</c:v>
                </c:pt>
                <c:pt idx="1">
                  <c:v>0.66060425796037925</c:v>
                </c:pt>
                <c:pt idx="2">
                  <c:v>0.70598117826280693</c:v>
                </c:pt>
                <c:pt idx="3">
                  <c:v>0.93524664034818927</c:v>
                </c:pt>
                <c:pt idx="4">
                  <c:v>1.3010004987725021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0-4F8A-AAA7-4651EA3CF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Cash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Charts!$U$18:$U$22</c:f>
              <c:numCache>
                <c:formatCode>0.00</c:formatCode>
                <c:ptCount val="5"/>
                <c:pt idx="0">
                  <c:v>0.15817363525137568</c:v>
                </c:pt>
                <c:pt idx="1">
                  <c:v>5.0670963775722312E-2</c:v>
                </c:pt>
                <c:pt idx="2">
                  <c:v>9.4178046452072631E-2</c:v>
                </c:pt>
                <c:pt idx="3">
                  <c:v>9.9376831489781367E-2</c:v>
                </c:pt>
                <c:pt idx="4">
                  <c:v>0.1243988942257843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0C-4E4E-9C97-AF9AB403B51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Charts!$V$18:$V$22</c:f>
              <c:numCache>
                <c:formatCode>0.00</c:formatCode>
                <c:ptCount val="5"/>
                <c:pt idx="0">
                  <c:v>0.61509850934604882</c:v>
                </c:pt>
                <c:pt idx="1">
                  <c:v>0.51028731982278264</c:v>
                </c:pt>
                <c:pt idx="2">
                  <c:v>0.56303776721097065</c:v>
                </c:pt>
                <c:pt idx="3">
                  <c:v>0.59758338272421885</c:v>
                </c:pt>
                <c:pt idx="4">
                  <c:v>1.0928864859820921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0C-4E4E-9C97-AF9AB403B51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Charts!$W$18:$W$22</c:f>
              <c:numCache>
                <c:formatCode>0.00</c:formatCode>
                <c:ptCount val="5"/>
                <c:pt idx="0">
                  <c:v>2.0011480184397672E-2</c:v>
                </c:pt>
                <c:pt idx="1">
                  <c:v>8.913248794490819E-3</c:v>
                </c:pt>
                <c:pt idx="2">
                  <c:v>1.3866688142092815E-2</c:v>
                </c:pt>
                <c:pt idx="3">
                  <c:v>2.2719990993528554E-2</c:v>
                </c:pt>
                <c:pt idx="4">
                  <c:v>4.7175167844291127E-2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0C-4E4E-9C97-AF9AB403B51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Charts!$X$18:$X$22</c:f>
              <c:numCache>
                <c:formatCode>0.00</c:formatCode>
                <c:ptCount val="5"/>
                <c:pt idx="0">
                  <c:v>4.2825558053104403E-2</c:v>
                </c:pt>
                <c:pt idx="1">
                  <c:v>4.9006165540003331E-2</c:v>
                </c:pt>
                <c:pt idx="2">
                  <c:v>4.5680298533070048E-2</c:v>
                </c:pt>
                <c:pt idx="3">
                  <c:v>7.3767434857886421E-2</c:v>
                </c:pt>
                <c:pt idx="4">
                  <c:v>6.9243334827372452E-2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0C-4E4E-9C97-AF9AB403B51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Charts!$Y$18:$Y$22</c:f>
              <c:numCache>
                <c:formatCode>0.00</c:formatCode>
                <c:ptCount val="5"/>
                <c:pt idx="0">
                  <c:v>0.14618299383526975</c:v>
                </c:pt>
                <c:pt idx="1">
                  <c:v>8.632203736853207E-2</c:v>
                </c:pt>
                <c:pt idx="2">
                  <c:v>3.0925035424233385E-2</c:v>
                </c:pt>
                <c:pt idx="3">
                  <c:v>0.10599048957533475</c:v>
                </c:pt>
                <c:pt idx="4">
                  <c:v>8.4205246923402408E-2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0C-4E4E-9C97-AF9AB403B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Cash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Charts!$U$18:$U$22</c:f>
              <c:numCache>
                <c:formatCode>0.00</c:formatCode>
                <c:ptCount val="5"/>
                <c:pt idx="0">
                  <c:v>0.15817363525137568</c:v>
                </c:pt>
                <c:pt idx="1">
                  <c:v>5.0670963775722312E-2</c:v>
                </c:pt>
                <c:pt idx="2">
                  <c:v>9.4178046452072631E-2</c:v>
                </c:pt>
                <c:pt idx="3">
                  <c:v>9.9376831489781367E-2</c:v>
                </c:pt>
                <c:pt idx="4">
                  <c:v>0.1243988942257843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6A-4F0A-9D58-813EF4485BF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Charts!$Z$18:$Z$22</c:f>
              <c:numCache>
                <c:formatCode>0.00</c:formatCode>
                <c:ptCount val="5"/>
                <c:pt idx="0">
                  <c:v>0.19645843533403926</c:v>
                </c:pt>
                <c:pt idx="1">
                  <c:v>0.14103994706030626</c:v>
                </c:pt>
                <c:pt idx="2">
                  <c:v>0.14953756715248792</c:v>
                </c:pt>
                <c:pt idx="3">
                  <c:v>0.17988762592814997</c:v>
                </c:pt>
                <c:pt idx="4">
                  <c:v>0.28358182596058851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6A-4F0A-9D58-813EF4485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Working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Charts!$U$26:$U$30</c:f>
              <c:numCache>
                <c:formatCode>#,##0.0</c:formatCode>
                <c:ptCount val="5"/>
                <c:pt idx="0">
                  <c:v>2276.5547739999984</c:v>
                </c:pt>
                <c:pt idx="1">
                  <c:v>8287.8407679999964</c:v>
                </c:pt>
                <c:pt idx="2">
                  <c:v>13000.905238000001</c:v>
                </c:pt>
                <c:pt idx="3">
                  <c:v>21116.760542</c:v>
                </c:pt>
                <c:pt idx="4">
                  <c:v>26953.091383000003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C7-474B-B7AE-F8372A08026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Charts!$V$26:$V$30</c:f>
              <c:numCache>
                <c:formatCode>#,##0.0</c:formatCode>
                <c:ptCount val="5"/>
                <c:pt idx="0">
                  <c:v>10289.302000000007</c:v>
                </c:pt>
                <c:pt idx="1">
                  <c:v>14454.333000000006</c:v>
                </c:pt>
                <c:pt idx="2">
                  <c:v>13395.762999999999</c:v>
                </c:pt>
                <c:pt idx="3">
                  <c:v>14263.611000000004</c:v>
                </c:pt>
                <c:pt idx="4">
                  <c:v>41905.97600000001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C7-474B-B7AE-F8372A08026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Charts!$W$26:$W$30</c:f>
              <c:numCache>
                <c:formatCode>#,##0.0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9544.8039999999928</c:v>
                </c:pt>
                <c:pt idx="4">
                  <c:v>21997.121999999999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C7-474B-B7AE-F8372A08026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Charts!$X$26:$X$30</c:f>
              <c:numCache>
                <c:formatCode>#,##0.0</c:formatCode>
                <c:ptCount val="5"/>
                <c:pt idx="0">
                  <c:v>5473.9680000000026</c:v>
                </c:pt>
                <c:pt idx="1">
                  <c:v>4128.5980000000036</c:v>
                </c:pt>
                <c:pt idx="2">
                  <c:v>6024.645999999997</c:v>
                </c:pt>
                <c:pt idx="3">
                  <c:v>8270.0370000000003</c:v>
                </c:pt>
                <c:pt idx="4">
                  <c:v>12422.112999999994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C7-474B-B7AE-F8372A08026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Charts!$Y$26:$Y$30</c:f>
              <c:numCache>
                <c:formatCode>#,##0.0</c:formatCode>
                <c:ptCount val="5"/>
                <c:pt idx="0">
                  <c:v>6276.7430000000004</c:v>
                </c:pt>
                <c:pt idx="1">
                  <c:v>1495.5590000000011</c:v>
                </c:pt>
                <c:pt idx="2">
                  <c:v>#N/A</c:v>
                </c:pt>
                <c:pt idx="3">
                  <c:v>#N/A</c:v>
                </c:pt>
                <c:pt idx="4">
                  <c:v>9835.0680000000066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C7-474B-B7AE-F8372A080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PKR million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Working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Charts!$U$26:$U$30</c:f>
              <c:numCache>
                <c:formatCode>#,##0.0</c:formatCode>
                <c:ptCount val="5"/>
                <c:pt idx="0">
                  <c:v>2276.5547739999984</c:v>
                </c:pt>
                <c:pt idx="1">
                  <c:v>8287.8407679999964</c:v>
                </c:pt>
                <c:pt idx="2">
                  <c:v>13000.905238000001</c:v>
                </c:pt>
                <c:pt idx="3">
                  <c:v>21116.760542</c:v>
                </c:pt>
                <c:pt idx="4">
                  <c:v>26953.091383000003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0B-4A4B-9DF6-AE802B36D1F7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Charts!$Z$26:$Z$30</c:f>
              <c:numCache>
                <c:formatCode>#,##0.0</c:formatCode>
                <c:ptCount val="5"/>
                <c:pt idx="0">
                  <c:v>6079.1419435000025</c:v>
                </c:pt>
                <c:pt idx="1">
                  <c:v>7091.5826920000018</c:v>
                </c:pt>
                <c:pt idx="2">
                  <c:v>10807.104745999999</c:v>
                </c:pt>
                <c:pt idx="3">
                  <c:v>13298.803135499998</c:v>
                </c:pt>
                <c:pt idx="4">
                  <c:v>22622.674076600008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0B-4A4B-9DF6-AE802B36D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PKR million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Inventory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Charts!$U$34:$U$38</c:f>
              <c:numCache>
                <c:formatCode>0.00</c:formatCode>
                <c:ptCount val="5"/>
                <c:pt idx="0">
                  <c:v>4.8570986013255171</c:v>
                </c:pt>
                <c:pt idx="1">
                  <c:v>4.6811317215716919</c:v>
                </c:pt>
                <c:pt idx="2">
                  <c:v>4.2753791437713859</c:v>
                </c:pt>
                <c:pt idx="3">
                  <c:v>3.5957369645110586</c:v>
                </c:pt>
                <c:pt idx="4">
                  <c:v>3.024880626442934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7-4DEA-B6C1-3EC9162CAF76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Charts!$V$34:$V$38</c:f>
              <c:numCache>
                <c:formatCode>0.00</c:formatCode>
                <c:ptCount val="5"/>
                <c:pt idx="0">
                  <c:v>3.8136073127139278</c:v>
                </c:pt>
                <c:pt idx="1">
                  <c:v>3.657733126059421</c:v>
                </c:pt>
                <c:pt idx="2">
                  <c:v>3.6234818387767853</c:v>
                </c:pt>
                <c:pt idx="3">
                  <c:v>3.5401699550948362</c:v>
                </c:pt>
                <c:pt idx="4">
                  <c:v>3.4260949525900268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C7-4DEA-B6C1-3EC9162CAF76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Charts!$W$34:$W$38</c:f>
              <c:numCache>
                <c:formatCode>0.00</c:formatCode>
                <c:ptCount val="5"/>
                <c:pt idx="0">
                  <c:v>2.6267527531726218</c:v>
                </c:pt>
                <c:pt idx="1">
                  <c:v>2.479761249901864</c:v>
                </c:pt>
                <c:pt idx="2">
                  <c:v>2.4352964976956684</c:v>
                </c:pt>
                <c:pt idx="3">
                  <c:v>2.5832010951831741</c:v>
                </c:pt>
                <c:pt idx="4">
                  <c:v>2.6203448800361673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C7-4DEA-B6C1-3EC9162CAF76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Charts!$X$34:$X$38</c:f>
              <c:numCache>
                <c:formatCode>0.00</c:formatCode>
                <c:ptCount val="5"/>
                <c:pt idx="0">
                  <c:v>2.5503561154199565</c:v>
                </c:pt>
                <c:pt idx="1">
                  <c:v>2.6418827583195736</c:v>
                </c:pt>
                <c:pt idx="2">
                  <c:v>2.991643999189634</c:v>
                </c:pt>
                <c:pt idx="3">
                  <c:v>3.1013565995658121</c:v>
                </c:pt>
                <c:pt idx="4">
                  <c:v>2.7865732877055658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C7-4DEA-B6C1-3EC9162CAF76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Charts!$Y$34:$Y$38</c:f>
              <c:numCache>
                <c:formatCode>0.00</c:formatCode>
                <c:ptCount val="5"/>
                <c:pt idx="0">
                  <c:v>3.593399445976929</c:v>
                </c:pt>
                <c:pt idx="1">
                  <c:v>3.6798285509863442</c:v>
                </c:pt>
                <c:pt idx="2">
                  <c:v>3.0981941833220765</c:v>
                </c:pt>
                <c:pt idx="3">
                  <c:v>3.4267755412065504</c:v>
                </c:pt>
                <c:pt idx="4">
                  <c:v>3.1608830315846066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C7-4DEA-B6C1-3EC9162CA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Inventory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Charts!$U$34:$U$38</c:f>
              <c:numCache>
                <c:formatCode>0.00</c:formatCode>
                <c:ptCount val="5"/>
                <c:pt idx="0">
                  <c:v>4.8570986013255171</c:v>
                </c:pt>
                <c:pt idx="1">
                  <c:v>4.6811317215716919</c:v>
                </c:pt>
                <c:pt idx="2">
                  <c:v>4.2753791437713859</c:v>
                </c:pt>
                <c:pt idx="3">
                  <c:v>3.5957369645110586</c:v>
                </c:pt>
                <c:pt idx="4">
                  <c:v>3.024880626442934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5-41B3-BD51-0FCE4A21865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Charts!$Z$34:$Z$38</c:f>
              <c:numCache>
                <c:formatCode>0.00</c:formatCode>
                <c:ptCount val="5"/>
                <c:pt idx="0">
                  <c:v>3.4882428457217904</c:v>
                </c:pt>
                <c:pt idx="1">
                  <c:v>3.4280674813677789</c:v>
                </c:pt>
                <c:pt idx="2">
                  <c:v>3.2847991325511101</c:v>
                </c:pt>
                <c:pt idx="3">
                  <c:v>3.2494480311122858</c:v>
                </c:pt>
                <c:pt idx="4">
                  <c:v>3.0037553556718599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5-41B3-BD51-0FCE4A218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Receivables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Charts!$U$42:$U$46</c:f>
              <c:numCache>
                <c:formatCode>0.00</c:formatCode>
                <c:ptCount val="5"/>
                <c:pt idx="0">
                  <c:v>32.556527152183129</c:v>
                </c:pt>
                <c:pt idx="1">
                  <c:v>34.614462046513971</c:v>
                </c:pt>
                <c:pt idx="2">
                  <c:v>36.690956476472735</c:v>
                </c:pt>
                <c:pt idx="3">
                  <c:v>23.311269128267483</c:v>
                </c:pt>
                <c:pt idx="4">
                  <c:v>19.742821104933064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91-4FB2-B545-727988E1EB4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Charts!$V$42:$V$46</c:f>
              <c:numCache>
                <c:formatCode>0.00</c:formatCode>
                <c:ptCount val="5"/>
                <c:pt idx="0">
                  <c:v>20.525799758937445</c:v>
                </c:pt>
                <c:pt idx="1">
                  <c:v>26.020654219821807</c:v>
                </c:pt>
                <c:pt idx="2">
                  <c:v>22.253946370189343</c:v>
                </c:pt>
                <c:pt idx="3">
                  <c:v>19.185416979630755</c:v>
                </c:pt>
                <c:pt idx="4">
                  <c:v>18.743761644592638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91-4FB2-B545-727988E1EB4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Charts!$W$42:$W$46</c:f>
              <c:numCache>
                <c:formatCode>0.00</c:formatCode>
                <c:ptCount val="5"/>
                <c:pt idx="0">
                  <c:v>22.768270883109405</c:v>
                </c:pt>
                <c:pt idx="1">
                  <c:v>36.922320391767833</c:v>
                </c:pt>
                <c:pt idx="2">
                  <c:v>48.836111797909446</c:v>
                </c:pt>
                <c:pt idx="3">
                  <c:v>64.453707869774377</c:v>
                </c:pt>
                <c:pt idx="4">
                  <c:v>61.216079379365482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91-4FB2-B545-727988E1EB4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Charts!$X$42:$X$46</c:f>
              <c:numCache>
                <c:formatCode>0.00</c:formatCode>
                <c:ptCount val="5"/>
                <c:pt idx="0">
                  <c:v>15.020941563038772</c:v>
                </c:pt>
                <c:pt idx="1">
                  <c:v>25.905344380386534</c:v>
                </c:pt>
                <c:pt idx="2">
                  <c:v>26.600659453629234</c:v>
                </c:pt>
                <c:pt idx="3">
                  <c:v>19.574371293114748</c:v>
                </c:pt>
                <c:pt idx="4">
                  <c:v>15.67064847793373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91-4FB2-B545-727988E1EB4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Charts!$Y$42:$Y$46</c:f>
              <c:numCache>
                <c:formatCode>0.00</c:formatCode>
                <c:ptCount val="5"/>
                <c:pt idx="0">
                  <c:v>19.415164144242155</c:v>
                </c:pt>
                <c:pt idx="1">
                  <c:v>28.088084014998095</c:v>
                </c:pt>
                <c:pt idx="2">
                  <c:v>22.745855737892271</c:v>
                </c:pt>
                <c:pt idx="3">
                  <c:v>17.554064923929165</c:v>
                </c:pt>
                <c:pt idx="4">
                  <c:v>14.282644096931071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91-4FB2-B545-727988E1E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Receivables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Charts!$U$42:$U$46</c:f>
              <c:numCache>
                <c:formatCode>0.00</c:formatCode>
                <c:ptCount val="5"/>
                <c:pt idx="0">
                  <c:v>32.556527152183129</c:v>
                </c:pt>
                <c:pt idx="1">
                  <c:v>34.614462046513971</c:v>
                </c:pt>
                <c:pt idx="2">
                  <c:v>36.690956476472735</c:v>
                </c:pt>
                <c:pt idx="3">
                  <c:v>23.311269128267483</c:v>
                </c:pt>
                <c:pt idx="4">
                  <c:v>19.742821104933064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C-4F05-ADC6-12A17F4A9A7C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Charts!$Z$42:$Z$46</c:f>
              <c:numCache>
                <c:formatCode>0.00</c:formatCode>
                <c:ptCount val="5"/>
                <c:pt idx="0">
                  <c:v>22.057340700302184</c:v>
                </c:pt>
                <c:pt idx="1">
                  <c:v>30.31017301069765</c:v>
                </c:pt>
                <c:pt idx="2">
                  <c:v>31.425505967218601</c:v>
                </c:pt>
                <c:pt idx="3">
                  <c:v>28.815766038943309</c:v>
                </c:pt>
                <c:pt idx="4">
                  <c:v>25.931190940751197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0C-4F05-ADC6-12A17F4A9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Inventory Outstanding: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Charts!$U$50:$U$54</c:f>
              <c:numCache>
                <c:formatCode>0.00</c:formatCode>
                <c:ptCount val="5"/>
                <c:pt idx="0">
                  <c:v>75.147743531578783</c:v>
                </c:pt>
                <c:pt idx="1">
                  <c:v>77.972597591731756</c:v>
                </c:pt>
                <c:pt idx="2">
                  <c:v>85.372545387407953</c:v>
                </c:pt>
                <c:pt idx="3">
                  <c:v>101.50909357454404</c:v>
                </c:pt>
                <c:pt idx="4">
                  <c:v>120.66591878345184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BC-4012-B127-A13C3373665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Charts!$V$50:$V$54</c:f>
              <c:numCache>
                <c:formatCode>0.00</c:formatCode>
                <c:ptCount val="5"/>
                <c:pt idx="0">
                  <c:v>95.709906676324849</c:v>
                </c:pt>
                <c:pt idx="1">
                  <c:v>99.788581457615734</c:v>
                </c:pt>
                <c:pt idx="2">
                  <c:v>100.73184197970664</c:v>
                </c:pt>
                <c:pt idx="3">
                  <c:v>103.10239469568691</c:v>
                </c:pt>
                <c:pt idx="4">
                  <c:v>106.53528435458882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BC-4012-B127-A13C3373665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Charts!$W$50:$W$54</c:f>
              <c:numCache>
                <c:formatCode>0.00</c:formatCode>
                <c:ptCount val="5"/>
                <c:pt idx="0">
                  <c:v>138.95483675010863</c:v>
                </c:pt>
                <c:pt idx="1">
                  <c:v>147.19158951872677</c:v>
                </c:pt>
                <c:pt idx="2">
                  <c:v>149.87908057411946</c:v>
                </c:pt>
                <c:pt idx="3">
                  <c:v>141.29755545575051</c:v>
                </c:pt>
                <c:pt idx="4">
                  <c:v>139.29464124392746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BC-4012-B127-A13C3373665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Charts!$X$50:$X$54</c:f>
              <c:numCache>
                <c:formatCode>0.00</c:formatCode>
                <c:ptCount val="5"/>
                <c:pt idx="0">
                  <c:v>143.11726813096334</c:v>
                </c:pt>
                <c:pt idx="1">
                  <c:v>138.1590454196257</c:v>
                </c:pt>
                <c:pt idx="2">
                  <c:v>122.0064954583065</c:v>
                </c:pt>
                <c:pt idx="3">
                  <c:v>117.69043264844159</c:v>
                </c:pt>
                <c:pt idx="4">
                  <c:v>130.98525045452405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BC-4012-B127-A13C3373665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Charts!$Y$50:$Y$54</c:f>
              <c:numCache>
                <c:formatCode>0.00</c:formatCode>
                <c:ptCount val="5"/>
                <c:pt idx="0">
                  <c:v>101.57512558439446</c:v>
                </c:pt>
                <c:pt idx="1">
                  <c:v>99.189403784088</c:v>
                </c:pt>
                <c:pt idx="2">
                  <c:v>117.81056267061489</c:v>
                </c:pt>
                <c:pt idx="3">
                  <c:v>106.51412548353994</c:v>
                </c:pt>
                <c:pt idx="4">
                  <c:v>115.47406099903009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FBC-4012-B127-A13C33736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Inventory Outstanding: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Charts!$U$50:$U$54</c:f>
              <c:numCache>
                <c:formatCode>0.00</c:formatCode>
                <c:ptCount val="5"/>
                <c:pt idx="0">
                  <c:v>75.147743531578783</c:v>
                </c:pt>
                <c:pt idx="1">
                  <c:v>77.972597591731756</c:v>
                </c:pt>
                <c:pt idx="2">
                  <c:v>85.372545387407953</c:v>
                </c:pt>
                <c:pt idx="3">
                  <c:v>101.50909357454404</c:v>
                </c:pt>
                <c:pt idx="4">
                  <c:v>120.66591878345184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2-4C2C-A788-028B7AB6285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Charts!$Z$50:$Z$54</c:f>
              <c:numCache>
                <c:formatCode>0.00</c:formatCode>
                <c:ptCount val="5"/>
                <c:pt idx="0">
                  <c:v>110.90097613467401</c:v>
                </c:pt>
                <c:pt idx="1">
                  <c:v>112.46024355435759</c:v>
                </c:pt>
                <c:pt idx="2">
                  <c:v>115.16010521403109</c:v>
                </c:pt>
                <c:pt idx="3">
                  <c:v>114.0227203715926</c:v>
                </c:pt>
                <c:pt idx="4">
                  <c:v>122.59103116710443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B2-4C2C-A788-028B7AB62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Sales Outstanding: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Charts!$U$58:$U$62</c:f>
              <c:numCache>
                <c:formatCode>0.00</c:formatCode>
                <c:ptCount val="5"/>
                <c:pt idx="0">
                  <c:v>11.211269503464973</c:v>
                </c:pt>
                <c:pt idx="1">
                  <c:v>10.544725482358297</c:v>
                </c:pt>
                <c:pt idx="2">
                  <c:v>9.9479554378487851</c:v>
                </c:pt>
                <c:pt idx="3">
                  <c:v>15.657663166755571</c:v>
                </c:pt>
                <c:pt idx="4">
                  <c:v>18.487732733839078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6C-4214-95D5-5B9F3380137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Charts!$V$58:$V$62</c:f>
              <c:numCache>
                <c:formatCode>0.00</c:formatCode>
                <c:ptCount val="5"/>
                <c:pt idx="0">
                  <c:v>17.782498333156049</c:v>
                </c:pt>
                <c:pt idx="1">
                  <c:v>14.027318333985361</c:v>
                </c:pt>
                <c:pt idx="2">
                  <c:v>16.401585315624828</c:v>
                </c:pt>
                <c:pt idx="3">
                  <c:v>19.024866667611246</c:v>
                </c:pt>
                <c:pt idx="4">
                  <c:v>19.473145621508603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6C-4214-95D5-5B9F3380137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Charts!$W$58:$W$62</c:f>
              <c:numCache>
                <c:formatCode>0.00</c:formatCode>
                <c:ptCount val="5"/>
                <c:pt idx="0">
                  <c:v>16.031081230273596</c:v>
                </c:pt>
                <c:pt idx="1">
                  <c:v>9.8856192169704489</c:v>
                </c:pt>
                <c:pt idx="2">
                  <c:v>7.4739774843341396</c:v>
                </c:pt>
                <c:pt idx="3">
                  <c:v>5.6629790909386459</c:v>
                </c:pt>
                <c:pt idx="4">
                  <c:v>5.9624857341490083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6C-4214-95D5-5B9F3380137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Charts!$X$58:$X$62</c:f>
              <c:numCache>
                <c:formatCode>0.00</c:formatCode>
                <c:ptCount val="5"/>
                <c:pt idx="0">
                  <c:v>24.299408826550263</c:v>
                </c:pt>
                <c:pt idx="1">
                  <c:v>14.089756717395696</c:v>
                </c:pt>
                <c:pt idx="2">
                  <c:v>13.72146433573479</c:v>
                </c:pt>
                <c:pt idx="3">
                  <c:v>18.646831335440545</c:v>
                </c:pt>
                <c:pt idx="4">
                  <c:v>23.291952500495849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6C-4214-95D5-5B9F3380137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Charts!$Y$58:$Y$62</c:f>
              <c:numCache>
                <c:formatCode>0.00</c:formatCode>
                <c:ptCount val="5"/>
                <c:pt idx="0">
                  <c:v>18.799738044359827</c:v>
                </c:pt>
                <c:pt idx="1">
                  <c:v>12.994834386179642</c:v>
                </c:pt>
                <c:pt idx="2">
                  <c:v>16.046879229606091</c:v>
                </c:pt>
                <c:pt idx="3">
                  <c:v>20.792904753499183</c:v>
                </c:pt>
                <c:pt idx="4">
                  <c:v>25.555492212987932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6C-4214-95D5-5B9F33801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Sales Outstanding: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Charts!$U$58:$U$62</c:f>
              <c:numCache>
                <c:formatCode>0.00</c:formatCode>
                <c:ptCount val="5"/>
                <c:pt idx="0">
                  <c:v>11.211269503464973</c:v>
                </c:pt>
                <c:pt idx="1">
                  <c:v>10.544725482358297</c:v>
                </c:pt>
                <c:pt idx="2">
                  <c:v>9.9479554378487851</c:v>
                </c:pt>
                <c:pt idx="3">
                  <c:v>15.657663166755571</c:v>
                </c:pt>
                <c:pt idx="4">
                  <c:v>18.487732733839078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C-4998-858D-47D3CA5CEAF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Charts!$Z$58:$Z$62</c:f>
              <c:numCache>
                <c:formatCode>0.00</c:formatCode>
                <c:ptCount val="5"/>
                <c:pt idx="0">
                  <c:v>17.624799187560942</c:v>
                </c:pt>
                <c:pt idx="1">
                  <c:v>12.308450827377888</c:v>
                </c:pt>
                <c:pt idx="2">
                  <c:v>12.718372360629726</c:v>
                </c:pt>
                <c:pt idx="3">
                  <c:v>15.957049002849038</c:v>
                </c:pt>
                <c:pt idx="4">
                  <c:v>18.554161760596095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AC-4998-858D-47D3CA5CE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Fixed Asset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Charts!$U$66:$U$70</c:f>
              <c:numCache>
                <c:formatCode>0.00</c:formatCode>
                <c:ptCount val="5"/>
                <c:pt idx="0">
                  <c:v>1.0921496738296084</c:v>
                </c:pt>
                <c:pt idx="1">
                  <c:v>1.5412541563844033</c:v>
                </c:pt>
                <c:pt idx="2">
                  <c:v>1.7509053329621809</c:v>
                </c:pt>
                <c:pt idx="3">
                  <c:v>1.7442972870565909</c:v>
                </c:pt>
                <c:pt idx="4">
                  <c:v>1.606837829232711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7-4DF1-8DA4-BAC1442B67D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Charts!$V$66:$V$70</c:f>
              <c:numCache>
                <c:formatCode>0.00</c:formatCode>
                <c:ptCount val="5"/>
                <c:pt idx="0">
                  <c:v>1.0088292750112451</c:v>
                </c:pt>
                <c:pt idx="1">
                  <c:v>0.98532795146598973</c:v>
                </c:pt>
                <c:pt idx="2">
                  <c:v>1.0022154394695202</c:v>
                </c:pt>
                <c:pt idx="3">
                  <c:v>1.0752008785316265</c:v>
                </c:pt>
                <c:pt idx="4">
                  <c:v>1.1592237370838812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D7-4DF1-8DA4-BAC1442B67D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Charts!$W$66:$W$70</c:f>
              <c:numCache>
                <c:formatCode>0.00</c:formatCode>
                <c:ptCount val="5"/>
                <c:pt idx="0">
                  <c:v>0.53055318948132613</c:v>
                </c:pt>
                <c:pt idx="1">
                  <c:v>0.70098015962057802</c:v>
                </c:pt>
                <c:pt idx="2">
                  <c:v>0.79011863849334296</c:v>
                </c:pt>
                <c:pt idx="3">
                  <c:v>0.82674606407416695</c:v>
                </c:pt>
                <c:pt idx="4">
                  <c:v>0.93062078370763102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D7-4DF1-8DA4-BAC1442B67D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Charts!$X$66:$X$70</c:f>
              <c:numCache>
                <c:formatCode>0.00</c:formatCode>
                <c:ptCount val="5"/>
                <c:pt idx="0">
                  <c:v>0.8037513915639477</c:v>
                </c:pt>
                <c:pt idx="1">
                  <c:v>0.85444675022417971</c:v>
                </c:pt>
                <c:pt idx="2">
                  <c:v>0.99551999428815263</c:v>
                </c:pt>
                <c:pt idx="3">
                  <c:v>1.0069209161495893</c:v>
                </c:pt>
                <c:pt idx="4">
                  <c:v>1.0971769908727151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D7-4DF1-8DA4-BAC1442B67D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Charts!$Y$66:$Y$70</c:f>
              <c:numCache>
                <c:formatCode>0.00</c:formatCode>
                <c:ptCount val="5"/>
                <c:pt idx="0">
                  <c:v>1.1329960510619466</c:v>
                </c:pt>
                <c:pt idx="1">
                  <c:v>0.73176601318978285</c:v>
                </c:pt>
                <c:pt idx="2">
                  <c:v>0.65184739301529204</c:v>
                </c:pt>
                <c:pt idx="3">
                  <c:v>0.72196082222901214</c:v>
                </c:pt>
                <c:pt idx="4">
                  <c:v>0.81180021491144161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D7-4DF1-8DA4-BAC1442B6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Fixed Asset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Charts!$U$66:$U$70</c:f>
              <c:numCache>
                <c:formatCode>0.00</c:formatCode>
                <c:ptCount val="5"/>
                <c:pt idx="0">
                  <c:v>1.0921496738296084</c:v>
                </c:pt>
                <c:pt idx="1">
                  <c:v>1.5412541563844033</c:v>
                </c:pt>
                <c:pt idx="2">
                  <c:v>1.7509053329621809</c:v>
                </c:pt>
                <c:pt idx="3">
                  <c:v>1.7442972870565909</c:v>
                </c:pt>
                <c:pt idx="4">
                  <c:v>1.606837829232711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6A-4968-92CB-A7353042AF1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Charts!$Z$66:$Z$70</c:f>
              <c:numCache>
                <c:formatCode>0.00</c:formatCode>
                <c:ptCount val="5"/>
                <c:pt idx="0">
                  <c:v>0.91365591618961484</c:v>
                </c:pt>
                <c:pt idx="1">
                  <c:v>0.96275500617698673</c:v>
                </c:pt>
                <c:pt idx="2">
                  <c:v>1.038121359645698</c:v>
                </c:pt>
                <c:pt idx="3">
                  <c:v>1.0750251936081971</c:v>
                </c:pt>
                <c:pt idx="4">
                  <c:v>1.121131911161676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6A-4968-92CB-A7353042A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Asset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Charts!$U$74:$U$78</c:f>
              <c:numCache>
                <c:formatCode>0.00</c:formatCode>
                <c:ptCount val="5"/>
                <c:pt idx="0">
                  <c:v>0.66665082622797289</c:v>
                </c:pt>
                <c:pt idx="1">
                  <c:v>0.7583954484233022</c:v>
                </c:pt>
                <c:pt idx="2">
                  <c:v>0.78581821088962756</c:v>
                </c:pt>
                <c:pt idx="3">
                  <c:v>0.65679136157504614</c:v>
                </c:pt>
                <c:pt idx="4">
                  <c:v>0.56195953485342598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E6-4D09-BB3E-862865443E7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Charts!$V$74:$V$78</c:f>
              <c:numCache>
                <c:formatCode>0.00</c:formatCode>
                <c:ptCount val="5"/>
                <c:pt idx="0">
                  <c:v>0.40251701143421476</c:v>
                </c:pt>
                <c:pt idx="1">
                  <c:v>0.4384325626713429</c:v>
                </c:pt>
                <c:pt idx="2">
                  <c:v>0.44974923322711935</c:v>
                </c:pt>
                <c:pt idx="3">
                  <c:v>0.49280353497458251</c:v>
                </c:pt>
                <c:pt idx="4">
                  <c:v>0.46677662061834158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E6-4D09-BB3E-862865443E7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Charts!$W$74:$W$78</c:f>
              <c:numCache>
                <c:formatCode>0.00</c:formatCode>
                <c:ptCount val="5"/>
                <c:pt idx="0">
                  <c:v>0.32711693039218176</c:v>
                </c:pt>
                <c:pt idx="1">
                  <c:v>0.42503666813991675</c:v>
                </c:pt>
                <c:pt idx="2">
                  <c:v>0.4823862468647665</c:v>
                </c:pt>
                <c:pt idx="3">
                  <c:v>0.47720727814222835</c:v>
                </c:pt>
                <c:pt idx="4">
                  <c:v>0.49267235836459933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E6-4D09-BB3E-862865443E7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Charts!$X$74:$X$78</c:f>
              <c:numCache>
                <c:formatCode>0.00</c:formatCode>
                <c:ptCount val="5"/>
                <c:pt idx="0">
                  <c:v>0.53651401514370378</c:v>
                </c:pt>
                <c:pt idx="1">
                  <c:v>0.59016101960962719</c:v>
                </c:pt>
                <c:pt idx="2">
                  <c:v>0.69197238797008198</c:v>
                </c:pt>
                <c:pt idx="3">
                  <c:v>0.66876558045462819</c:v>
                </c:pt>
                <c:pt idx="4">
                  <c:v>0.57883136984449801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E6-4D09-BB3E-862865443E7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Charts!$Y$74:$Y$78</c:f>
              <c:numCache>
                <c:formatCode>0.00</c:formatCode>
                <c:ptCount val="5"/>
                <c:pt idx="0">
                  <c:v>0.71276636764269574</c:v>
                </c:pt>
                <c:pt idx="1">
                  <c:v>0.4770803467502796</c:v>
                </c:pt>
                <c:pt idx="2">
                  <c:v>0.49031202866080159</c:v>
                </c:pt>
                <c:pt idx="3">
                  <c:v>0.54204979765850125</c:v>
                </c:pt>
                <c:pt idx="4">
                  <c:v>0.55305556508680442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E6-4D09-BB3E-862865443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Asset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Charts!$U$74:$U$78</c:f>
              <c:numCache>
                <c:formatCode>0.00</c:formatCode>
                <c:ptCount val="5"/>
                <c:pt idx="0">
                  <c:v>0.66665082622797289</c:v>
                </c:pt>
                <c:pt idx="1">
                  <c:v>0.7583954484233022</c:v>
                </c:pt>
                <c:pt idx="2">
                  <c:v>0.78581821088962756</c:v>
                </c:pt>
                <c:pt idx="3">
                  <c:v>0.65679136157504614</c:v>
                </c:pt>
                <c:pt idx="4">
                  <c:v>0.56195953485342598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E-4E69-9597-BD39D0128377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Charts!$Z$74:$Z$78</c:f>
              <c:numCache>
                <c:formatCode>0.00</c:formatCode>
                <c:ptCount val="5"/>
                <c:pt idx="0">
                  <c:v>0.5291130301681537</c:v>
                </c:pt>
                <c:pt idx="1">
                  <c:v>0.53782120911889375</c:v>
                </c:pt>
                <c:pt idx="2">
                  <c:v>0.58004762152247946</c:v>
                </c:pt>
                <c:pt idx="3">
                  <c:v>0.56752351056099726</c:v>
                </c:pt>
                <c:pt idx="4">
                  <c:v>0.53065908975353382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BE-4E69-9597-BD39D0128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Charts!$U$82:$U$86</c:f>
              <c:numCache>
                <c:formatCode>0.00%</c:formatCode>
                <c:ptCount val="5"/>
                <c:pt idx="0">
                  <c:v>0.38416638255503399</c:v>
                </c:pt>
                <c:pt idx="1">
                  <c:v>0.37149249167170456</c:v>
                </c:pt>
                <c:pt idx="2">
                  <c:v>0.34161124098483342</c:v>
                </c:pt>
                <c:pt idx="3">
                  <c:v>0.30169945185029512</c:v>
                </c:pt>
                <c:pt idx="4">
                  <c:v>0.28204672647028445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87-451B-AB26-47763E07614F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Charts!$V$82:$V$86</c:f>
              <c:numCache>
                <c:formatCode>0.00%</c:formatCode>
                <c:ptCount val="5"/>
                <c:pt idx="0">
                  <c:v>0.27606535150381284</c:v>
                </c:pt>
                <c:pt idx="1">
                  <c:v>0.30504607293955061</c:v>
                </c:pt>
                <c:pt idx="2">
                  <c:v>0.35532697822447284</c:v>
                </c:pt>
                <c:pt idx="3">
                  <c:v>0.36859036410390322</c:v>
                </c:pt>
                <c:pt idx="4">
                  <c:v>0.34053721034041001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87-451B-AB26-47763E07614F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Charts!$W$82:$W$86</c:f>
              <c:numCache>
                <c:formatCode>0.00%</c:formatCode>
                <c:ptCount val="5"/>
                <c:pt idx="0">
                  <c:v>0.46714504184305206</c:v>
                </c:pt>
                <c:pt idx="1">
                  <c:v>0.48801207258126744</c:v>
                </c:pt>
                <c:pt idx="2">
                  <c:v>0.52348952241922664</c:v>
                </c:pt>
                <c:pt idx="3">
                  <c:v>0.45191223946360831</c:v>
                </c:pt>
                <c:pt idx="4">
                  <c:v>0.35125595827177031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87-451B-AB26-47763E07614F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Charts!$X$82:$X$86</c:f>
              <c:numCache>
                <c:formatCode>0.00%</c:formatCode>
                <c:ptCount val="5"/>
                <c:pt idx="0">
                  <c:v>0.43322840867921292</c:v>
                </c:pt>
                <c:pt idx="1">
                  <c:v>0.50666660909348882</c:v>
                </c:pt>
                <c:pt idx="2">
                  <c:v>0.49933942690835115</c:v>
                </c:pt>
                <c:pt idx="3">
                  <c:v>0.4704820926001394</c:v>
                </c:pt>
                <c:pt idx="4">
                  <c:v>0.40001822406143511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87-451B-AB26-47763E07614F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Charts!$Y$82:$Y$86</c:f>
              <c:numCache>
                <c:formatCode>0.00%</c:formatCode>
                <c:ptCount val="5"/>
                <c:pt idx="0">
                  <c:v>0.31647148170702821</c:v>
                </c:pt>
                <c:pt idx="1">
                  <c:v>0.49219848282922141</c:v>
                </c:pt>
                <c:pt idx="2">
                  <c:v>0.53053055814614203</c:v>
                </c:pt>
                <c:pt idx="3">
                  <c:v>0.5028400637434024</c:v>
                </c:pt>
                <c:pt idx="4">
                  <c:v>0.4760663500346739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87-451B-AB26-47763E076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Charts!$U$82:$U$86</c:f>
              <c:numCache>
                <c:formatCode>0.00%</c:formatCode>
                <c:ptCount val="5"/>
                <c:pt idx="0">
                  <c:v>0.38416638255503399</c:v>
                </c:pt>
                <c:pt idx="1">
                  <c:v>0.37149249167170456</c:v>
                </c:pt>
                <c:pt idx="2">
                  <c:v>0.34161124098483342</c:v>
                </c:pt>
                <c:pt idx="3">
                  <c:v>0.30169945185029512</c:v>
                </c:pt>
                <c:pt idx="4">
                  <c:v>0.28204672647028445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8-4F8C-8567-AD35F78A0B49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Charts!$Z$82:$Z$86</c:f>
              <c:numCache>
                <c:formatCode>0.00%</c:formatCode>
                <c:ptCount val="5"/>
                <c:pt idx="0">
                  <c:v>0.37541533325762799</c:v>
                </c:pt>
                <c:pt idx="1">
                  <c:v>0.43268314582304657</c:v>
                </c:pt>
                <c:pt idx="2">
                  <c:v>0.45005954533660519</c:v>
                </c:pt>
                <c:pt idx="3">
                  <c:v>0.41910484235226975</c:v>
                </c:pt>
                <c:pt idx="4">
                  <c:v>0.36998489383571476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8-4F8C-8567-AD35F78A0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Debt-to-Equity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Charts!$U$90:$U$94</c:f>
              <c:numCache>
                <c:formatCode>0.00</c:formatCode>
                <c:ptCount val="5"/>
                <c:pt idx="0">
                  <c:v>0.2722692388457173</c:v>
                </c:pt>
                <c:pt idx="1">
                  <c:v>0.15603310983895571</c:v>
                </c:pt>
                <c:pt idx="2">
                  <c:v>9.7619406864766459E-2</c:v>
                </c:pt>
                <c:pt idx="3">
                  <c:v>5.2398238191517746E-2</c:v>
                </c:pt>
                <c:pt idx="4">
                  <c:v>4.6764934517749976E-2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1-4258-97F3-8D7552F6D047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Charts!$V$90:$V$94</c:f>
              <c:numCache>
                <c:formatCode>0.00</c:formatCode>
                <c:ptCount val="5"/>
                <c:pt idx="0">
                  <c:v>9.267604319417716E-2</c:v>
                </c:pt>
                <c:pt idx="1">
                  <c:v>0.12132883685589589</c:v>
                </c:pt>
                <c:pt idx="2">
                  <c:v>0.15318126074071459</c:v>
                </c:pt>
                <c:pt idx="3">
                  <c:v>0.13768684470695258</c:v>
                </c:pt>
                <c:pt idx="4">
                  <c:v>9.9684879347667912E-2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91-4258-97F3-8D7552F6D047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Charts!$W$90:$W$94</c:f>
              <c:numCache>
                <c:formatCode>0.00</c:formatCode>
                <c:ptCount val="5"/>
                <c:pt idx="0">
                  <c:v>0.59600006385595838</c:v>
                </c:pt>
                <c:pt idx="1">
                  <c:v>0.66471914526512743</c:v>
                </c:pt>
                <c:pt idx="2">
                  <c:v>0.66251390334697124</c:v>
                </c:pt>
                <c:pt idx="3">
                  <c:v>0.45251048227827784</c:v>
                </c:pt>
                <c:pt idx="4">
                  <c:v>0.23141104487858016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91-4258-97F3-8D7552F6D047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Charts!$X$90:$X$94</c:f>
              <c:numCache>
                <c:formatCode>0.00</c:formatCode>
                <c:ptCount val="5"/>
                <c:pt idx="0">
                  <c:v>0.43245543768601064</c:v>
                </c:pt>
                <c:pt idx="1">
                  <c:v>0.61573768495117542</c:v>
                </c:pt>
                <c:pt idx="2">
                  <c:v>0.44250779404874935</c:v>
                </c:pt>
                <c:pt idx="3">
                  <c:v>0.36846998820204724</c:v>
                </c:pt>
                <c:pt idx="4">
                  <c:v>0.20402666092297522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91-4258-97F3-8D7552F6D047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Charts!$Y$90:$Y$94</c:f>
              <c:numCache>
                <c:formatCode>0.00</c:formatCode>
                <c:ptCount val="5"/>
                <c:pt idx="0">
                  <c:v>0.11033361830900601</c:v>
                </c:pt>
                <c:pt idx="1">
                  <c:v>0.44889851845785944</c:v>
                </c:pt>
                <c:pt idx="2">
                  <c:v>0.62375966688339879</c:v>
                </c:pt>
                <c:pt idx="3">
                  <c:v>0.49850573278032018</c:v>
                </c:pt>
                <c:pt idx="4">
                  <c:v>0.47508509566997464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91-4258-97F3-8D7552F6D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Debt-to-Equity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Charts!$U$90:$U$94</c:f>
              <c:numCache>
                <c:formatCode>0.00</c:formatCode>
                <c:ptCount val="5"/>
                <c:pt idx="0">
                  <c:v>0.2722692388457173</c:v>
                </c:pt>
                <c:pt idx="1">
                  <c:v>0.15603310983895571</c:v>
                </c:pt>
                <c:pt idx="2">
                  <c:v>9.7619406864766459E-2</c:v>
                </c:pt>
                <c:pt idx="3">
                  <c:v>5.2398238191517746E-2</c:v>
                </c:pt>
                <c:pt idx="4">
                  <c:v>4.6764934517749976E-2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5B-4360-966A-74BC25B2CE9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Charts!$Z$90:$Z$94</c:f>
              <c:numCache>
                <c:formatCode>0.00</c:formatCode>
                <c:ptCount val="5"/>
                <c:pt idx="0">
                  <c:v>0.30074688037817388</c:v>
                </c:pt>
                <c:pt idx="1">
                  <c:v>0.40134345907380276</c:v>
                </c:pt>
                <c:pt idx="2">
                  <c:v>0.3959164063769201</c:v>
                </c:pt>
                <c:pt idx="3">
                  <c:v>0.30191425723182308</c:v>
                </c:pt>
                <c:pt idx="4">
                  <c:v>0.21139452306738957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5B-4360-966A-74BC25B2C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Debt-to-Total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Charts!$U$98:$U$102</c:f>
              <c:numCache>
                <c:formatCode>0.00%</c:formatCode>
                <c:ptCount val="5"/>
                <c:pt idx="0">
                  <c:v>0.21400284667161887</c:v>
                </c:pt>
                <c:pt idx="1">
                  <c:v>0.13497287275854264</c:v>
                </c:pt>
                <c:pt idx="2">
                  <c:v>8.8937391462133447E-2</c:v>
                </c:pt>
                <c:pt idx="3">
                  <c:v>4.9789363275218823E-2</c:v>
                </c:pt>
                <c:pt idx="4">
                  <c:v>4.4675679300715997E-2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46-47E3-9052-B8D9593502D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Charts!$V$98:$V$102</c:f>
              <c:numCache>
                <c:formatCode>0.00%</c:formatCode>
                <c:ptCount val="5"/>
                <c:pt idx="0">
                  <c:v>8.4815663134025443E-2</c:v>
                </c:pt>
                <c:pt idx="1">
                  <c:v>0.10820094237127705</c:v>
                </c:pt>
                <c:pt idx="2">
                  <c:v>0.13283363678865434</c:v>
                </c:pt>
                <c:pt idx="3">
                  <c:v>0.12102350075289672</c:v>
                </c:pt>
                <c:pt idx="4">
                  <c:v>9.0648585990198302E-2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46-47E3-9052-B8D9593502D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Charts!$W$98:$W$102</c:f>
              <c:numCache>
                <c:formatCode>0.00%</c:formatCode>
                <c:ptCount val="5"/>
                <c:pt idx="0">
                  <c:v>0.37343360902882045</c:v>
                </c:pt>
                <c:pt idx="1">
                  <c:v>0.39929807208366225</c:v>
                </c:pt>
                <c:pt idx="2">
                  <c:v>0.39850127088453147</c:v>
                </c:pt>
                <c:pt idx="3">
                  <c:v>0.31153681009483003</c:v>
                </c:pt>
                <c:pt idx="4">
                  <c:v>0.18792347676351873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46-47E3-9052-B8D9593502D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Charts!$X$98:$X$102</c:f>
              <c:numCache>
                <c:formatCode>0.00%</c:formatCode>
                <c:ptCount val="5"/>
                <c:pt idx="0">
                  <c:v>0.30189800416032447</c:v>
                </c:pt>
                <c:pt idx="1">
                  <c:v>0.381087654689308</c:v>
                </c:pt>
                <c:pt idx="2">
                  <c:v>0.30676284445350793</c:v>
                </c:pt>
                <c:pt idx="3">
                  <c:v>0.2692569010491479</c:v>
                </c:pt>
                <c:pt idx="4">
                  <c:v>0.1694536072536581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46-47E3-9052-B8D9593502D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Charts!$Y$98:$Y$102</c:f>
              <c:numCache>
                <c:formatCode>0.00%</c:formatCode>
                <c:ptCount val="5"/>
                <c:pt idx="0">
                  <c:v>9.9369789844821352E-2</c:v>
                </c:pt>
                <c:pt idx="1">
                  <c:v>0.30982053797366449</c:v>
                </c:pt>
                <c:pt idx="2">
                  <c:v>0.38414531386940193</c:v>
                </c:pt>
                <c:pt idx="3">
                  <c:v>0.33266855232872222</c:v>
                </c:pt>
                <c:pt idx="4">
                  <c:v>0.3220730092552348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46-47E3-9052-B8D959350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Debt-to-Total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Charts!$U$98:$U$102</c:f>
              <c:numCache>
                <c:formatCode>0.00%</c:formatCode>
                <c:ptCount val="5"/>
                <c:pt idx="0">
                  <c:v>0.21400284667161887</c:v>
                </c:pt>
                <c:pt idx="1">
                  <c:v>0.13497287275854264</c:v>
                </c:pt>
                <c:pt idx="2">
                  <c:v>8.8937391462133447E-2</c:v>
                </c:pt>
                <c:pt idx="3">
                  <c:v>4.9789363275218823E-2</c:v>
                </c:pt>
                <c:pt idx="4">
                  <c:v>4.4675679300715997E-2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1-40DC-BBD0-FF0F5FA0C8B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Charts!$Z$98:$Z$102</c:f>
              <c:numCache>
                <c:formatCode>0.00%</c:formatCode>
                <c:ptCount val="5"/>
                <c:pt idx="0">
                  <c:v>0.21470398256792214</c:v>
                </c:pt>
                <c:pt idx="1">
                  <c:v>0.26667601597529089</c:v>
                </c:pt>
                <c:pt idx="2">
                  <c:v>0.26223609149164584</c:v>
                </c:pt>
                <c:pt idx="3">
                  <c:v>0.21685502550016317</c:v>
                </c:pt>
                <c:pt idx="4">
                  <c:v>0.16295487171266518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B1-40DC-BBD0-FF0F5FA0C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Times Interest Earned: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Charts!$U$106:$U$110</c:f>
              <c:numCache>
                <c:formatCode>0.00</c:formatCode>
                <c:ptCount val="5"/>
                <c:pt idx="0">
                  <c:v>10.965146742707439</c:v>
                </c:pt>
                <c:pt idx="1">
                  <c:v>18.319735243438064</c:v>
                </c:pt>
                <c:pt idx="2">
                  <c:v>16.315812571917526</c:v>
                </c:pt>
                <c:pt idx="3">
                  <c:v>22.319441864662931</c:v>
                </c:pt>
                <c:pt idx="4">
                  <c:v>58.956241100348862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9E-413B-97CD-367D13FAE40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Charts!$V$106:$V$110</c:f>
              <c:numCache>
                <c:formatCode>0.00</c:formatCode>
                <c:ptCount val="5"/>
                <c:pt idx="0">
                  <c:v>52.042228263318378</c:v>
                </c:pt>
                <c:pt idx="1">
                  <c:v>55.297361076962446</c:v>
                </c:pt>
                <c:pt idx="2">
                  <c:v>19.418491261619813</c:v>
                </c:pt>
                <c:pt idx="3">
                  <c:v>27.521394265428206</c:v>
                </c:pt>
                <c:pt idx="4">
                  <c:v>36.687316512913945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9E-413B-97CD-367D13FAE40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Charts!$W$106:$W$110</c:f>
              <c:numCache>
                <c:formatCode>0.00</c:formatCode>
                <c:ptCount val="5"/>
                <c:pt idx="0">
                  <c:v>2.6532310456742976</c:v>
                </c:pt>
                <c:pt idx="1">
                  <c:v>2.6982633298510965</c:v>
                </c:pt>
                <c:pt idx="2">
                  <c:v>1.4717538518085045</c:v>
                </c:pt>
                <c:pt idx="3">
                  <c:v>1.3582230764552283</c:v>
                </c:pt>
                <c:pt idx="4">
                  <c:v>4.4072600253200633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9E-413B-97CD-367D13FAE40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Charts!$X$106:$X$110</c:f>
              <c:numCache>
                <c:formatCode>0.00</c:formatCode>
                <c:ptCount val="5"/>
                <c:pt idx="0">
                  <c:v>6.0367662605249279</c:v>
                </c:pt>
                <c:pt idx="1">
                  <c:v>5.2505359388174728</c:v>
                </c:pt>
                <c:pt idx="2">
                  <c:v>4.4476569735481268</c:v>
                </c:pt>
                <c:pt idx="3">
                  <c:v>3.2023484620581835</c:v>
                </c:pt>
                <c:pt idx="4">
                  <c:v>7.3457905408215804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9E-413B-97CD-367D13FAE40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Charts!$Y$106:$Y$110</c:f>
              <c:numCache>
                <c:formatCode>0.00</c:formatCode>
                <c:ptCount val="5"/>
                <c:pt idx="0">
                  <c:v>56.450885878061477</c:v>
                </c:pt>
                <c:pt idx="1">
                  <c:v>12.583415391911771</c:v>
                </c:pt>
                <c:pt idx="2">
                  <c:v>5.9146829675290808</c:v>
                </c:pt>
                <c:pt idx="3">
                  <c:v>3.7798126521954241</c:v>
                </c:pt>
                <c:pt idx="4">
                  <c:v>4.7935258018729412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9E-413B-97CD-367D13FAE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Times Interest Earned: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Charts!$U$106:$U$110</c:f>
              <c:numCache>
                <c:formatCode>0.00</c:formatCode>
                <c:ptCount val="5"/>
                <c:pt idx="0">
                  <c:v>10.965146742707439</c:v>
                </c:pt>
                <c:pt idx="1">
                  <c:v>18.319735243438064</c:v>
                </c:pt>
                <c:pt idx="2">
                  <c:v>16.315812571917526</c:v>
                </c:pt>
                <c:pt idx="3">
                  <c:v>22.319441864662931</c:v>
                </c:pt>
                <c:pt idx="4">
                  <c:v>58.956241100348862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A-4485-977B-9D98A44EC04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Charts!$Z$106:$Z$110</c:f>
              <c:numCache>
                <c:formatCode>0.00</c:formatCode>
                <c:ptCount val="5"/>
                <c:pt idx="0">
                  <c:v>25.629651638057304</c:v>
                </c:pt>
                <c:pt idx="1">
                  <c:v>18.829862196196171</c:v>
                </c:pt>
                <c:pt idx="2">
                  <c:v>9.513679525284612</c:v>
                </c:pt>
                <c:pt idx="3">
                  <c:v>11.636244064159992</c:v>
                </c:pt>
                <c:pt idx="4">
                  <c:v>22.438026796255478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CA-4485-977B-9D98A44EC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Gross Profit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Charts!$U$114:$U$118</c:f>
              <c:numCache>
                <c:formatCode>0.00%</c:formatCode>
                <c:ptCount val="5"/>
                <c:pt idx="0">
                  <c:v>0.24796341300828931</c:v>
                </c:pt>
                <c:pt idx="1">
                  <c:v>0.29843914213509881</c:v>
                </c:pt>
                <c:pt idx="2">
                  <c:v>0.26804356818989611</c:v>
                </c:pt>
                <c:pt idx="3">
                  <c:v>0.29125851467425595</c:v>
                </c:pt>
                <c:pt idx="4">
                  <c:v>0.39220278175445145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5D-4B04-ACFB-6CD6F9DFB48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Charts!$V$114:$V$118</c:f>
              <c:numCache>
                <c:formatCode>0.00%</c:formatCode>
                <c:ptCount val="5"/>
                <c:pt idx="0">
                  <c:v>0.30117079055471246</c:v>
                </c:pt>
                <c:pt idx="1">
                  <c:v>0.27809669144361399</c:v>
                </c:pt>
                <c:pt idx="2">
                  <c:v>0.27194087595679139</c:v>
                </c:pt>
                <c:pt idx="3">
                  <c:v>0.33648030796321582</c:v>
                </c:pt>
                <c:pt idx="4">
                  <c:v>0.34281652982067301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5D-4B04-ACFB-6CD6F9DFB48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Charts!$W$114:$W$118</c:f>
              <c:numCache>
                <c:formatCode>0.00%</c:formatCode>
                <c:ptCount val="5"/>
                <c:pt idx="0">
                  <c:v>0.17894713739497631</c:v>
                </c:pt>
                <c:pt idx="1">
                  <c:v>0.17966261135996409</c:v>
                </c:pt>
                <c:pt idx="2">
                  <c:v>0.14704852458583501</c:v>
                </c:pt>
                <c:pt idx="3">
                  <c:v>0.15942563608432631</c:v>
                </c:pt>
                <c:pt idx="4">
                  <c:v>0.25740632547300923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5D-4B04-ACFB-6CD6F9DFB48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Charts!$X$114:$X$118</c:f>
              <c:numCache>
                <c:formatCode>0.00%</c:formatCode>
                <c:ptCount val="5"/>
                <c:pt idx="0">
                  <c:v>0.20830714445240356</c:v>
                </c:pt>
                <c:pt idx="1">
                  <c:v>0.25300003367709667</c:v>
                </c:pt>
                <c:pt idx="2">
                  <c:v>0.29276322471727417</c:v>
                </c:pt>
                <c:pt idx="3">
                  <c:v>0.31547845382378364</c:v>
                </c:pt>
                <c:pt idx="4">
                  <c:v>0.34444405990469212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5D-4B04-ACFB-6CD6F9DFB48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Charts!$Y$114:$Y$118</c:f>
              <c:numCache>
                <c:formatCode>0.00%</c:formatCode>
                <c:ptCount val="5"/>
                <c:pt idx="0">
                  <c:v>0.24985924725452316</c:v>
                </c:pt>
                <c:pt idx="1">
                  <c:v>0.28507903988852556</c:v>
                </c:pt>
                <c:pt idx="2">
                  <c:v>0.29996604048210768</c:v>
                </c:pt>
                <c:pt idx="3">
                  <c:v>0.32089986350224731</c:v>
                </c:pt>
                <c:pt idx="4">
                  <c:v>0.35490842202929052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5D-4B04-ACFB-6CD6F9DFB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Gross Profit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Charts!$U$114:$U$118</c:f>
              <c:numCache>
                <c:formatCode>0.00%</c:formatCode>
                <c:ptCount val="5"/>
                <c:pt idx="0">
                  <c:v>0.24796341300828931</c:v>
                </c:pt>
                <c:pt idx="1">
                  <c:v>0.29843914213509881</c:v>
                </c:pt>
                <c:pt idx="2">
                  <c:v>0.26804356818989611</c:v>
                </c:pt>
                <c:pt idx="3">
                  <c:v>0.29125851467425595</c:v>
                </c:pt>
                <c:pt idx="4">
                  <c:v>0.39220278175445145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A8-4618-9D6A-3CBCFCB1898E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Charts!$Z$114:$Z$118</c:f>
              <c:numCache>
                <c:formatCode>0.00%</c:formatCode>
                <c:ptCount val="5"/>
                <c:pt idx="0">
                  <c:v>0.23724954653298097</c:v>
                </c:pt>
                <c:pt idx="1">
                  <c:v>0.25885550370085986</c:v>
                </c:pt>
                <c:pt idx="2">
                  <c:v>0.25595244678638085</c:v>
                </c:pt>
                <c:pt idx="3">
                  <c:v>0.28470855520956578</c:v>
                </c:pt>
                <c:pt idx="4">
                  <c:v>0.33835562379642325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8-4618-9D6A-3CBCFCB18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Operating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Charts!$U$122:$U$126</c:f>
              <c:numCache>
                <c:formatCode>0.00%</c:formatCode>
                <c:ptCount val="5"/>
                <c:pt idx="0">
                  <c:v>0.223476531263751</c:v>
                </c:pt>
                <c:pt idx="1">
                  <c:v>0.28715637280086448</c:v>
                </c:pt>
                <c:pt idx="2">
                  <c:v>0.28654734202991289</c:v>
                </c:pt>
                <c:pt idx="3">
                  <c:v>0.37317728789535698</c:v>
                </c:pt>
                <c:pt idx="4">
                  <c:v>0.48095636892569549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90-4445-AB4B-A4EBDFF03BB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Charts!$V$122:$V$126</c:f>
              <c:numCache>
                <c:formatCode>0.00%</c:formatCode>
                <c:ptCount val="5"/>
                <c:pt idx="0">
                  <c:v>0.27526050866365631</c:v>
                </c:pt>
                <c:pt idx="1">
                  <c:v>0.26901961654768358</c:v>
                </c:pt>
                <c:pt idx="2">
                  <c:v>0.23480711540356072</c:v>
                </c:pt>
                <c:pt idx="3">
                  <c:v>0.37240945675047471</c:v>
                </c:pt>
                <c:pt idx="4">
                  <c:v>0.39071901522799324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90-4445-AB4B-A4EBDFF03BB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Charts!$W$122:$W$126</c:f>
              <c:numCache>
                <c:formatCode>0.00%</c:formatCode>
                <c:ptCount val="5"/>
                <c:pt idx="0">
                  <c:v>0.16976072150890459</c:v>
                </c:pt>
                <c:pt idx="1">
                  <c:v>0.1647791429733062</c:v>
                </c:pt>
                <c:pt idx="2">
                  <c:v>0.15182766799754666</c:v>
                </c:pt>
                <c:pt idx="3">
                  <c:v>0.16299366572828242</c:v>
                </c:pt>
                <c:pt idx="4">
                  <c:v>0.23397808045883622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90-4445-AB4B-A4EBDFF03BB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Charts!$X$122:$X$126</c:f>
              <c:numCache>
                <c:formatCode>0.00%</c:formatCode>
                <c:ptCount val="5"/>
                <c:pt idx="0">
                  <c:v>0.24584402613957254</c:v>
                </c:pt>
                <c:pt idx="1">
                  <c:v>0.18288553443388325</c:v>
                </c:pt>
                <c:pt idx="2">
                  <c:v>0.19224796146239193</c:v>
                </c:pt>
                <c:pt idx="3">
                  <c:v>0.19543128859795894</c:v>
                </c:pt>
                <c:pt idx="4">
                  <c:v>0.36375545770453227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90-4445-AB4B-A4EBDFF03BB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Charts!$Y$122:$Y$126</c:f>
              <c:numCache>
                <c:formatCode>0.00%</c:formatCode>
                <c:ptCount val="5"/>
                <c:pt idx="0">
                  <c:v>0.2142368646736256</c:v>
                </c:pt>
                <c:pt idx="1">
                  <c:v>0.23087384099122032</c:v>
                </c:pt>
                <c:pt idx="2">
                  <c:v>0.22807525720632701</c:v>
                </c:pt>
                <c:pt idx="3">
                  <c:v>0.26089810857755552</c:v>
                </c:pt>
                <c:pt idx="4">
                  <c:v>0.3057657460861018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90-4445-AB4B-A4EBDFF03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Operating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Charts!$U$122:$U$126</c:f>
              <c:numCache>
                <c:formatCode>0.00%</c:formatCode>
                <c:ptCount val="5"/>
                <c:pt idx="0">
                  <c:v>0.223476531263751</c:v>
                </c:pt>
                <c:pt idx="1">
                  <c:v>0.28715637280086448</c:v>
                </c:pt>
                <c:pt idx="2">
                  <c:v>0.28654734202991289</c:v>
                </c:pt>
                <c:pt idx="3">
                  <c:v>0.37317728789535698</c:v>
                </c:pt>
                <c:pt idx="4">
                  <c:v>0.48095636892569549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D-442E-ABA9-CD41A7BA7A22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Charts!$Z$122:$Z$126</c:f>
              <c:numCache>
                <c:formatCode>0.00%</c:formatCode>
                <c:ptCount val="5"/>
                <c:pt idx="0">
                  <c:v>0.22571573044990201</c:v>
                </c:pt>
                <c:pt idx="1">
                  <c:v>0.22694290154939156</c:v>
                </c:pt>
                <c:pt idx="2">
                  <c:v>0.21870106881994783</c:v>
                </c:pt>
                <c:pt idx="3">
                  <c:v>0.27298196150992571</c:v>
                </c:pt>
                <c:pt idx="4">
                  <c:v>0.35503493368063183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9D-442E-ABA9-CD41A7BA7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Profit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Charts!$U$130:$U$134</c:f>
              <c:numCache>
                <c:formatCode>0.00%</c:formatCode>
                <c:ptCount val="5"/>
                <c:pt idx="0">
                  <c:v>0.1453819089897026</c:v>
                </c:pt>
                <c:pt idx="1">
                  <c:v>0.15282075695786385</c:v>
                </c:pt>
                <c:pt idx="2">
                  <c:v>0.14955052871384544</c:v>
                </c:pt>
                <c:pt idx="3">
                  <c:v>0.23011561219895646</c:v>
                </c:pt>
                <c:pt idx="4">
                  <c:v>0.30837719707594857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65-49AF-93E4-694A3CE3B84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Charts!$V$130:$V$134</c:f>
              <c:numCache>
                <c:formatCode>0.00%</c:formatCode>
                <c:ptCount val="5"/>
                <c:pt idx="0">
                  <c:v>0.22354637821997994</c:v>
                </c:pt>
                <c:pt idx="1">
                  <c:v>0.18865400166042842</c:v>
                </c:pt>
                <c:pt idx="2">
                  <c:v>0.14322765825125466</c:v>
                </c:pt>
                <c:pt idx="3">
                  <c:v>0.24371604713228476</c:v>
                </c:pt>
                <c:pt idx="4">
                  <c:v>0.26577542757733763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65-49AF-93E4-694A3CE3B84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Charts!$W$130:$W$134</c:f>
              <c:numCache>
                <c:formatCode>0.00%</c:formatCode>
                <c:ptCount val="5"/>
                <c:pt idx="0">
                  <c:v>8.2497529800351119E-2</c:v>
                </c:pt>
                <c:pt idx="1">
                  <c:v>5.120493100192175E-2</c:v>
                </c:pt>
                <c:pt idx="2">
                  <c:v>#N/A</c:v>
                </c:pt>
                <c:pt idx="3">
                  <c:v>8.2133065966830711E-3</c:v>
                </c:pt>
                <c:pt idx="4">
                  <c:v>0.12066652759857006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65-49AF-93E4-694A3CE3B84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Charts!$X$130:$X$134</c:f>
              <c:numCache>
                <c:formatCode>0.00%</c:formatCode>
                <c:ptCount val="5"/>
                <c:pt idx="0">
                  <c:v>0.1759822170452098</c:v>
                </c:pt>
                <c:pt idx="1">
                  <c:v>7.4739658936337147E-2</c:v>
                </c:pt>
                <c:pt idx="2">
                  <c:v>7.2358441549152441E-2</c:v>
                </c:pt>
                <c:pt idx="3">
                  <c:v>7.9342975209845082E-2</c:v>
                </c:pt>
                <c:pt idx="4">
                  <c:v>0.24711008947956384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65-49AF-93E4-694A3CE3B84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Charts!$Y$130:$Y$134</c:f>
              <c:numCache>
                <c:formatCode>0.00%</c:formatCode>
                <c:ptCount val="5"/>
                <c:pt idx="0">
                  <c:v>0.14302295902338913</c:v>
                </c:pt>
                <c:pt idx="1">
                  <c:v>0.13112336204567002</c:v>
                </c:pt>
                <c:pt idx="2">
                  <c:v>0.10929571726641699</c:v>
                </c:pt>
                <c:pt idx="3">
                  <c:v>0.10275526425549537</c:v>
                </c:pt>
                <c:pt idx="4">
                  <c:v>0.14980611609777766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65-49AF-93E4-694A3CE3B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Profit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Charts!$U$130:$U$134</c:f>
              <c:numCache>
                <c:formatCode>0.00%</c:formatCode>
                <c:ptCount val="5"/>
                <c:pt idx="0">
                  <c:v>0.1453819089897026</c:v>
                </c:pt>
                <c:pt idx="1">
                  <c:v>0.15282075695786385</c:v>
                </c:pt>
                <c:pt idx="2">
                  <c:v>0.14955052871384544</c:v>
                </c:pt>
                <c:pt idx="3">
                  <c:v>0.23011561219895646</c:v>
                </c:pt>
                <c:pt idx="4">
                  <c:v>0.30837719707594857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6C-43A6-8051-E3714CA2365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Charts!$Z$130:$Z$134</c:f>
              <c:numCache>
                <c:formatCode>0.00%</c:formatCode>
                <c:ptCount val="5"/>
                <c:pt idx="0">
                  <c:v>0.15408619861572653</c:v>
                </c:pt>
                <c:pt idx="1">
                  <c:v>0.11970854212044424</c:v>
                </c:pt>
                <c:pt idx="2">
                  <c:v>0.11860808644516738</c:v>
                </c:pt>
                <c:pt idx="3">
                  <c:v>0.13282864107865294</c:v>
                </c:pt>
                <c:pt idx="4">
                  <c:v>0.21834707156583955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6C-43A6-8051-E3714CA23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Assets: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Charts!$U$138:$U$142</c:f>
              <c:numCache>
                <c:formatCode>0.00%</c:formatCode>
                <c:ptCount val="5"/>
                <c:pt idx="0">
                  <c:v>9.6918969746585204E-2</c:v>
                </c:pt>
                <c:pt idx="1">
                  <c:v>0.11589856650144761</c:v>
                </c:pt>
                <c:pt idx="2">
                  <c:v>0.11751952891151191</c:v>
                </c:pt>
                <c:pt idx="3">
                  <c:v>0.15113794625582791</c:v>
                </c:pt>
                <c:pt idx="4">
                  <c:v>0.17329550622820336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1-4251-8741-D7D8AC9448A4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Charts!$V$138:$V$142</c:f>
              <c:numCache>
                <c:formatCode>0.00%</c:formatCode>
                <c:ptCount val="5"/>
                <c:pt idx="0">
                  <c:v>8.9981220078048957E-2</c:v>
                </c:pt>
                <c:pt idx="1">
                  <c:v>8.271205740618541E-2</c:v>
                </c:pt>
                <c:pt idx="2">
                  <c:v>6.4416529475417678E-2</c:v>
                </c:pt>
                <c:pt idx="3">
                  <c:v>0.12010412955682188</c:v>
                </c:pt>
                <c:pt idx="4">
                  <c:v>0.12405775592794444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11-4251-8741-D7D8AC9448A4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Charts!$W$138:$W$142</c:f>
              <c:numCache>
                <c:formatCode>0.00%</c:formatCode>
                <c:ptCount val="5"/>
                <c:pt idx="0">
                  <c:v>2.6986338713228402E-2</c:v>
                </c:pt>
                <c:pt idx="1">
                  <c:v>2.1763973265391149E-2</c:v>
                </c:pt>
                <c:pt idx="2">
                  <c:v>#N/A</c:v>
                </c:pt>
                <c:pt idx="3">
                  <c:v>3.9194496855507379E-3</c:v>
                </c:pt>
                <c:pt idx="4">
                  <c:v>5.9449062727654524E-2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11-4251-8741-D7D8AC9448A4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Charts!$X$138:$X$142</c:f>
              <c:numCache>
                <c:formatCode>0.00%</c:formatCode>
                <c:ptCount val="5"/>
                <c:pt idx="0">
                  <c:v>9.4416925860816264E-2</c:v>
                </c:pt>
                <c:pt idx="1">
                  <c:v>4.4108433323144514E-2</c:v>
                </c:pt>
                <c:pt idx="2">
                  <c:v>5.0070043588560612E-2</c:v>
                </c:pt>
                <c:pt idx="3">
                  <c:v>5.3061850871209217E-2</c:v>
                </c:pt>
                <c:pt idx="4">
                  <c:v>0.14303507159585241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11-4251-8741-D7D8AC9448A4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Charts!$Y$138:$Y$142</c:f>
              <c:numCache>
                <c:formatCode>0.00%</c:formatCode>
                <c:ptCount val="5"/>
                <c:pt idx="0">
                  <c:v>0.10194195499261118</c:v>
                </c:pt>
                <c:pt idx="1">
                  <c:v>6.2556379031810716E-2</c:v>
                </c:pt>
                <c:pt idx="2">
                  <c:v>5.3589004856834314E-2</c:v>
                </c:pt>
                <c:pt idx="3">
                  <c:v>5.5698470198037101E-2</c:v>
                </c:pt>
                <c:pt idx="4">
                  <c:v>8.2851106191915852E-2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11-4251-8741-D7D8AC94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Assets: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Charts!$U$138:$U$142</c:f>
              <c:numCache>
                <c:formatCode>0.00%</c:formatCode>
                <c:ptCount val="5"/>
                <c:pt idx="0">
                  <c:v>9.6918969746585204E-2</c:v>
                </c:pt>
                <c:pt idx="1">
                  <c:v>0.11589856650144761</c:v>
                </c:pt>
                <c:pt idx="2">
                  <c:v>0.11751952891151191</c:v>
                </c:pt>
                <c:pt idx="3">
                  <c:v>0.15113794625582791</c:v>
                </c:pt>
                <c:pt idx="4">
                  <c:v>0.17329550622820336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7-4091-BDF8-01926EE20F6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Charts!$Z$138:$Z$142</c:f>
              <c:numCache>
                <c:formatCode>0.00%</c:formatCode>
                <c:ptCount val="5"/>
                <c:pt idx="0">
                  <c:v>8.204908187825799E-2</c:v>
                </c:pt>
                <c:pt idx="1">
                  <c:v>6.5407881905595877E-2</c:v>
                </c:pt>
                <c:pt idx="2">
                  <c:v>7.1398776708081133E-2</c:v>
                </c:pt>
                <c:pt idx="3">
                  <c:v>7.6784369313489378E-2</c:v>
                </c:pt>
                <c:pt idx="4">
                  <c:v>0.11653770053431411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7-4091-BDF8-01926EE20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Equity: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Charts!$U$146:$U$150</c:f>
              <c:numCache>
                <c:formatCode>0.00%</c:formatCode>
                <c:ptCount val="5"/>
                <c:pt idx="0">
                  <c:v>0.15737849802466555</c:v>
                </c:pt>
                <c:pt idx="1">
                  <c:v>0.18440283523376622</c:v>
                </c:pt>
                <c:pt idx="2">
                  <c:v>0.17849564911664104</c:v>
                </c:pt>
                <c:pt idx="3">
                  <c:v>0.21643681457260755</c:v>
                </c:pt>
                <c:pt idx="4">
                  <c:v>0.24137435208870983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C0-439C-B21E-2C3A041D69D4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Charts!$V$146:$V$150</c:f>
              <c:numCache>
                <c:formatCode>0.00%</c:formatCode>
                <c:ptCount val="5"/>
                <c:pt idx="0">
                  <c:v>0.12429467254394423</c:v>
                </c:pt>
                <c:pt idx="1">
                  <c:v>0.11901804448540206</c:v>
                </c:pt>
                <c:pt idx="2">
                  <c:v>9.9921242706891636E-2</c:v>
                </c:pt>
                <c:pt idx="3">
                  <c:v>0.19021586420101122</c:v>
                </c:pt>
                <c:pt idx="4">
                  <c:v>0.18811941761260281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C0-439C-B21E-2C3A041D69D4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Charts!$W$146:$W$150</c:f>
              <c:numCache>
                <c:formatCode>0.00%</c:formatCode>
                <c:ptCount val="5"/>
                <c:pt idx="0">
                  <c:v>5.0644811125656837E-2</c:v>
                </c:pt>
                <c:pt idx="1">
                  <c:v>4.2508762609145177E-2</c:v>
                </c:pt>
                <c:pt idx="2">
                  <c:v>#N/A</c:v>
                </c:pt>
                <c:pt idx="3">
                  <c:v>7.1511352154898129E-3</c:v>
                </c:pt>
                <c:pt idx="4">
                  <c:v>9.1637161813901913E-2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C0-439C-B21E-2C3A041D69D4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Charts!$X$146:$X$150</c:f>
              <c:numCache>
                <c:formatCode>0.00%</c:formatCode>
                <c:ptCount val="5"/>
                <c:pt idx="0">
                  <c:v>0.16658725897109622</c:v>
                </c:pt>
                <c:pt idx="1">
                  <c:v>8.9408976031592494E-2</c:v>
                </c:pt>
                <c:pt idx="2">
                  <c:v>0.10000796203977304</c:v>
                </c:pt>
                <c:pt idx="3">
                  <c:v>0.10020784968682853</c:v>
                </c:pt>
                <c:pt idx="4">
                  <c:v>0.2383990269906105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C0-439C-B21E-2C3A041D69D4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Charts!$Y$146:$Y$150</c:f>
              <c:numCache>
                <c:formatCode>0.00%</c:formatCode>
                <c:ptCount val="5"/>
                <c:pt idx="0">
                  <c:v>0.14914074872427949</c:v>
                </c:pt>
                <c:pt idx="1">
                  <c:v>0.12319061073378482</c:v>
                </c:pt>
                <c:pt idx="2">
                  <c:v>0.11414801492770245</c:v>
                </c:pt>
                <c:pt idx="3">
                  <c:v>0.1120333038446799</c:v>
                </c:pt>
                <c:pt idx="4">
                  <c:v>0.15813282120245373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C0-439C-B21E-2C3A041D6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Equity: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Charts!$U$146:$U$150</c:f>
              <c:numCache>
                <c:formatCode>0.00%</c:formatCode>
                <c:ptCount val="5"/>
                <c:pt idx="0">
                  <c:v>0.15737849802466555</c:v>
                </c:pt>
                <c:pt idx="1">
                  <c:v>0.18440283523376622</c:v>
                </c:pt>
                <c:pt idx="2">
                  <c:v>0.17849564911664104</c:v>
                </c:pt>
                <c:pt idx="3">
                  <c:v>0.21643681457260755</c:v>
                </c:pt>
                <c:pt idx="4">
                  <c:v>0.24137435208870983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86-47F1-87C4-F684BC02E82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Charts!$Z$146:$Z$150</c:f>
              <c:numCache>
                <c:formatCode>0.00%</c:formatCode>
                <c:ptCount val="5"/>
                <c:pt idx="0">
                  <c:v>0.12960919787792846</c:v>
                </c:pt>
                <c:pt idx="1">
                  <c:v>0.11170584581873814</c:v>
                </c:pt>
                <c:pt idx="2">
                  <c:v>0.12314321719775204</c:v>
                </c:pt>
                <c:pt idx="3">
                  <c:v>0.1252089935041234</c:v>
                </c:pt>
                <c:pt idx="4">
                  <c:v>0.18353255594165577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86-47F1-87C4-F684BC02E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Invested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Charts!$U$154:$U$158</c:f>
              <c:numCache>
                <c:formatCode>0.00%</c:formatCode>
                <c:ptCount val="5"/>
                <c:pt idx="0">
                  <c:v>0.13611222052431424</c:v>
                </c:pt>
                <c:pt idx="1">
                  <c:v>0.16872337936741016</c:v>
                </c:pt>
                <c:pt idx="2">
                  <c:v>0.17323854283924056</c:v>
                </c:pt>
                <c:pt idx="3">
                  <c:v>0.21530718381280636</c:v>
                </c:pt>
                <c:pt idx="4">
                  <c:v>0.23456949398989801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C9-45BA-8BEB-D176091B4C0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Charts!$V$154:$V$158</c:f>
              <c:numCache>
                <c:formatCode>0.00%</c:formatCode>
                <c:ptCount val="5"/>
                <c:pt idx="0">
                  <c:v>0.11598113408973314</c:v>
                </c:pt>
                <c:pt idx="1">
                  <c:v>0.10809497435976413</c:v>
                </c:pt>
                <c:pt idx="2">
                  <c:v>9.1352761839314733E-2</c:v>
                </c:pt>
                <c:pt idx="3">
                  <c:v>0.17349944050776198</c:v>
                </c:pt>
                <c:pt idx="4">
                  <c:v>0.17586014458599655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C9-45BA-8BEB-D176091B4C0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Charts!$W$154:$W$158</c:f>
              <c:numCache>
                <c:formatCode>0.00%</c:formatCode>
                <c:ptCount val="5"/>
                <c:pt idx="0">
                  <c:v>5.0926469503026137E-2</c:v>
                </c:pt>
                <c:pt idx="1">
                  <c:v>4.0571100495840479E-2</c:v>
                </c:pt>
                <c:pt idx="2">
                  <c:v>#N/A</c:v>
                </c:pt>
                <c:pt idx="3">
                  <c:v>1.8666945531428475E-2</c:v>
                </c:pt>
                <c:pt idx="4">
                  <c:v>9.6256924504903307E-2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C9-45BA-8BEB-D176091B4C0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Charts!$X$154:$X$158</c:f>
              <c:numCache>
                <c:formatCode>0.00%</c:formatCode>
                <c:ptCount val="5"/>
                <c:pt idx="0">
                  <c:v>0.13938409686265396</c:v>
                </c:pt>
                <c:pt idx="1">
                  <c:v>6.8354987715222609E-2</c:v>
                </c:pt>
                <c:pt idx="2">
                  <c:v>8.9438322458184685E-2</c:v>
                </c:pt>
                <c:pt idx="3">
                  <c:v>0.10647533565261356</c:v>
                </c:pt>
                <c:pt idx="4">
                  <c:v>0.22920346694221672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C9-45BA-8BEB-D176091B4C0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Charts!$Y$154:$Y$158</c:f>
              <c:numCache>
                <c:formatCode>0.00%</c:formatCode>
                <c:ptCount val="5"/>
                <c:pt idx="0">
                  <c:v>0.13674299962769382</c:v>
                </c:pt>
                <c:pt idx="1">
                  <c:v>9.2363746892435927E-2</c:v>
                </c:pt>
                <c:pt idx="2">
                  <c:v>8.4602379259019547E-2</c:v>
                </c:pt>
                <c:pt idx="3">
                  <c:v>0.10165844956887071</c:v>
                </c:pt>
                <c:pt idx="4">
                  <c:v>0.13546184028270253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C9-45BA-8BEB-D176091B4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Invested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Charts!$U$154:$U$158</c:f>
              <c:numCache>
                <c:formatCode>0.00%</c:formatCode>
                <c:ptCount val="5"/>
                <c:pt idx="0">
                  <c:v>0.13611222052431424</c:v>
                </c:pt>
                <c:pt idx="1">
                  <c:v>0.16872337936741016</c:v>
                </c:pt>
                <c:pt idx="2">
                  <c:v>0.17323854283924056</c:v>
                </c:pt>
                <c:pt idx="3">
                  <c:v>0.21530718381280636</c:v>
                </c:pt>
                <c:pt idx="4">
                  <c:v>0.23456949398989801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97-494C-AF64-F932CAD58B8C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Charts!$Z$154:$Z$158</c:f>
              <c:numCache>
                <c:formatCode>0.00%</c:formatCode>
                <c:ptCount val="5"/>
                <c:pt idx="0">
                  <c:v>0.11582938412148427</c:v>
                </c:pt>
                <c:pt idx="1">
                  <c:v>9.5621637766134665E-2</c:v>
                </c:pt>
                <c:pt idx="2">
                  <c:v>0.10965800159893987</c:v>
                </c:pt>
                <c:pt idx="3">
                  <c:v>0.12312147101469621</c:v>
                </c:pt>
                <c:pt idx="4">
                  <c:v>0.1742703740611434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97-494C-AF64-F932CAD58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Basic Earning Power: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Charts!$U$162:$U$166</c:f>
              <c:numCache>
                <c:formatCode>0.00%</c:formatCode>
                <c:ptCount val="5"/>
                <c:pt idx="0">
                  <c:v>0.14898081420954101</c:v>
                </c:pt>
                <c:pt idx="1">
                  <c:v>0.21777808611792054</c:v>
                </c:pt>
                <c:pt idx="2">
                  <c:v>0.22517411964912432</c:v>
                </c:pt>
                <c:pt idx="3">
                  <c:v>0.24509961902567451</c:v>
                </c:pt>
                <c:pt idx="4">
                  <c:v>0.2702780173662766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04-4032-AF1E-979F25B6526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Charts!$V$162:$V$166</c:f>
              <c:numCache>
                <c:formatCode>0.00%</c:formatCode>
                <c:ptCount val="5"/>
                <c:pt idx="0">
                  <c:v>0.11079703731315671</c:v>
                </c:pt>
                <c:pt idx="1">
                  <c:v>0.11794695989186292</c:v>
                </c:pt>
                <c:pt idx="2">
                  <c:v>0.10560432010902317</c:v>
                </c:pt>
                <c:pt idx="3">
                  <c:v>0.18352469674459784</c:v>
                </c:pt>
                <c:pt idx="4">
                  <c:v>0.18237850153944901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04-4032-AF1E-979F25B6526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Charts!$W$162:$W$166</c:f>
              <c:numCache>
                <c:formatCode>0.00%</c:formatCode>
                <c:ptCount val="5"/>
                <c:pt idx="0">
                  <c:v>5.5531606121154903E-2</c:v>
                </c:pt>
                <c:pt idx="1">
                  <c:v>7.0037177908325046E-2</c:v>
                </c:pt>
                <c:pt idx="2">
                  <c:v>7.3239578935566346E-2</c:v>
                </c:pt>
                <c:pt idx="3">
                  <c:v>7.7781763576617868E-2</c:v>
                </c:pt>
                <c:pt idx="4">
                  <c:v>0.11527453270527682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04-4032-AF1E-979F25B6526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Charts!$X$162:$X$166</c:f>
              <c:numCache>
                <c:formatCode>0.00%</c:formatCode>
                <c:ptCount val="5"/>
                <c:pt idx="0">
                  <c:v>0.13189876556323574</c:v>
                </c:pt>
                <c:pt idx="1">
                  <c:v>0.10793191347335213</c:v>
                </c:pt>
                <c:pt idx="2">
                  <c:v>0.13303028097551164</c:v>
                </c:pt>
                <c:pt idx="3">
                  <c:v>0.13069771915820996</c:v>
                </c:pt>
                <c:pt idx="4">
                  <c:v>0.21055306987152678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04-4032-AF1E-979F25B6526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Charts!$Y$162:$Y$166</c:f>
              <c:numCache>
                <c:formatCode>0.00%</c:formatCode>
                <c:ptCount val="5"/>
                <c:pt idx="0">
                  <c:v>0.15270083184857988</c:v>
                </c:pt>
                <c:pt idx="1">
                  <c:v>0.11014537211566031</c:v>
                </c:pt>
                <c:pt idx="2">
                  <c:v>0.11182804204816831</c:v>
                </c:pt>
                <c:pt idx="3">
                  <c:v>0.14141976696394967</c:v>
                </c:pt>
                <c:pt idx="4">
                  <c:v>0.16910544748583739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04-4032-AF1E-979F25B65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Basic Earning Power: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Charts!$U$162:$U$166</c:f>
              <c:numCache>
                <c:formatCode>0.00%</c:formatCode>
                <c:ptCount val="5"/>
                <c:pt idx="0">
                  <c:v>0.14898081420954101</c:v>
                </c:pt>
                <c:pt idx="1">
                  <c:v>0.21777808611792054</c:v>
                </c:pt>
                <c:pt idx="2">
                  <c:v>0.22517411964912432</c:v>
                </c:pt>
                <c:pt idx="3">
                  <c:v>0.24509961902567451</c:v>
                </c:pt>
                <c:pt idx="4">
                  <c:v>0.2702780173662766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CA-4B24-9EF6-64019A7FD5A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Charts!$Z$162:$Z$166</c:f>
              <c:numCache>
                <c:formatCode>0.00%</c:formatCode>
                <c:ptCount val="5"/>
                <c:pt idx="0">
                  <c:v>0.11998181101113366</c:v>
                </c:pt>
                <c:pt idx="1">
                  <c:v>0.1247679019014242</c:v>
                </c:pt>
                <c:pt idx="2">
                  <c:v>0.12977526834347874</c:v>
                </c:pt>
                <c:pt idx="3">
                  <c:v>0.15570471309380998</c:v>
                </c:pt>
                <c:pt idx="4">
                  <c:v>0.18951791379367333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CA-4B24-9EF6-64019A7F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Earnings per Share: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Charts!$U$170:$U$174</c:f>
              <c:numCache>
                <c:formatCode>0.00</c:formatCode>
                <c:ptCount val="5"/>
                <c:pt idx="0">
                  <c:v>17.412549352402124</c:v>
                </c:pt>
                <c:pt idx="1">
                  <c:v>25.013680261160516</c:v>
                </c:pt>
                <c:pt idx="2">
                  <c:v>28.978958275869324</c:v>
                </c:pt>
                <c:pt idx="3">
                  <c:v>45.274272678614977</c:v>
                </c:pt>
                <c:pt idx="4">
                  <c:v>59.842054600869929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8E-4AB0-AB5C-11B43D7E28A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Charts!$V$170:$V$174</c:f>
              <c:numCache>
                <c:formatCode>0.00</c:formatCode>
                <c:ptCount val="5"/>
                <c:pt idx="0">
                  <c:v>43.510441437959038</c:v>
                </c:pt>
                <c:pt idx="1">
                  <c:v>47.309216853498242</c:v>
                </c:pt>
                <c:pt idx="2">
                  <c:v>43.061512349842658</c:v>
                </c:pt>
                <c:pt idx="3">
                  <c:v>94.540589177116431</c:v>
                </c:pt>
                <c:pt idx="4">
                  <c:v>22.588506484641641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8E-4AB0-AB5C-11B43D7E28A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Charts!$W$170:$W$174</c:f>
              <c:numCache>
                <c:formatCode>0.00</c:formatCode>
                <c:ptCount val="5"/>
                <c:pt idx="0">
                  <c:v>8.4937471274650029</c:v>
                </c:pt>
                <c:pt idx="1">
                  <c:v>6.7838445707817723</c:v>
                </c:pt>
                <c:pt idx="2">
                  <c:v>#N/A</c:v>
                </c:pt>
                <c:pt idx="3">
                  <c:v>1.2380103440270365</c:v>
                </c:pt>
                <c:pt idx="4">
                  <c:v>19.800685803443983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8E-4AB0-AB5C-11B43D7E28A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Charts!$X$170:$X$174</c:f>
              <c:numCache>
                <c:formatCode>0.00</c:formatCode>
                <c:ptCount val="5"/>
                <c:pt idx="0">
                  <c:v>5.6941155155115029</c:v>
                </c:pt>
                <c:pt idx="1">
                  <c:v>3.3041099784606085</c:v>
                </c:pt>
                <c:pt idx="2">
                  <c:v>4.1845053824045904</c:v>
                </c:pt>
                <c:pt idx="3">
                  <c:v>4.9791974962957211</c:v>
                </c:pt>
                <c:pt idx="4">
                  <c:v>16.262863426829693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8E-4AB0-AB5C-11B43D7E28A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Charts!$Y$170:$Y$174</c:f>
              <c:numCache>
                <c:formatCode>0.00</c:formatCode>
                <c:ptCount val="5"/>
                <c:pt idx="0">
                  <c:v>2.5158090033808875</c:v>
                </c:pt>
                <c:pt idx="1">
                  <c:v>3.2621706372812294</c:v>
                </c:pt>
                <c:pt idx="2">
                  <c:v>3.0330791851886794</c:v>
                </c:pt>
                <c:pt idx="3">
                  <c:v>3.3524781610919856</c:v>
                </c:pt>
                <c:pt idx="4">
                  <c:v>5.4329528095311241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8E-4AB0-AB5C-11B43D7E2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Earnings per Share: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Charts!$U$170:$U$174</c:f>
              <c:numCache>
                <c:formatCode>0.00</c:formatCode>
                <c:ptCount val="5"/>
                <c:pt idx="0">
                  <c:v>17.412549352402124</c:v>
                </c:pt>
                <c:pt idx="1">
                  <c:v>25.013680261160516</c:v>
                </c:pt>
                <c:pt idx="2">
                  <c:v>28.978958275869324</c:v>
                </c:pt>
                <c:pt idx="3">
                  <c:v>45.274272678614977</c:v>
                </c:pt>
                <c:pt idx="4">
                  <c:v>59.842054600869929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9C-49AC-94DD-76EE00285FC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Charts!$Z$170:$Z$174</c:f>
              <c:numCache>
                <c:formatCode>0.00</c:formatCode>
                <c:ptCount val="5"/>
                <c:pt idx="0">
                  <c:v>15.525332487343713</c:v>
                </c:pt>
                <c:pt idx="1">
                  <c:v>17.134604460236471</c:v>
                </c:pt>
                <c:pt idx="2">
                  <c:v>19.814513798326313</c:v>
                </c:pt>
                <c:pt idx="3">
                  <c:v>29.876909571429231</c:v>
                </c:pt>
                <c:pt idx="4">
                  <c:v>24.785412625063277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9C-49AC-94DD-76EE00285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Book Value per Share: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Charts!$U$178:$U$182</c:f>
              <c:numCache>
                <c:formatCode>0.00</c:formatCode>
                <c:ptCount val="5"/>
                <c:pt idx="0">
                  <c:v>110.64122209168052</c:v>
                </c:pt>
                <c:pt idx="1">
                  <c:v>135.64693964412666</c:v>
                </c:pt>
                <c:pt idx="2">
                  <c:v>162.35106244484723</c:v>
                </c:pt>
                <c:pt idx="3">
                  <c:v>209.79287853383309</c:v>
                </c:pt>
                <c:pt idx="4">
                  <c:v>260.8226721418157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95-4D8F-9FBC-58FEC9DC418B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Charts!$V$178:$V$182</c:f>
              <c:numCache>
                <c:formatCode>0.00</c:formatCode>
                <c:ptCount val="5"/>
                <c:pt idx="0">
                  <c:v>350.05878005411677</c:v>
                </c:pt>
                <c:pt idx="1">
                  <c:v>397.49617008117508</c:v>
                </c:pt>
                <c:pt idx="2">
                  <c:v>440.50456229600826</c:v>
                </c:pt>
                <c:pt idx="3">
                  <c:v>504.3046996587031</c:v>
                </c:pt>
                <c:pt idx="4">
                  <c:v>120.07535836177475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95-4D8F-9FBC-58FEC9DC418B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Charts!$W$178:$W$182</c:f>
              <c:numCache>
                <c:formatCode>0.00</c:formatCode>
                <c:ptCount val="5"/>
                <c:pt idx="0">
                  <c:v>167.71209700741193</c:v>
                </c:pt>
                <c:pt idx="1">
                  <c:v>159.58697532246367</c:v>
                </c:pt>
                <c:pt idx="2">
                  <c:v>146.51786922779672</c:v>
                </c:pt>
                <c:pt idx="3">
                  <c:v>173.12082034314415</c:v>
                </c:pt>
                <c:pt idx="4">
                  <c:v>216.07703932560804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95-4D8F-9FBC-58FEC9DC418B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Charts!$X$178:$X$182</c:f>
              <c:numCache>
                <c:formatCode>0.00</c:formatCode>
                <c:ptCount val="5"/>
                <c:pt idx="0">
                  <c:v>34.180972265393187</c:v>
                </c:pt>
                <c:pt idx="1">
                  <c:v>37.561557627459578</c:v>
                </c:pt>
                <c:pt idx="2">
                  <c:v>41.844014540695262</c:v>
                </c:pt>
                <c:pt idx="3">
                  <c:v>50.226982139301263</c:v>
                </c:pt>
                <c:pt idx="4">
                  <c:v>68.217013474898792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95-4D8F-9FBC-58FEC9DC418B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Charts!$Y$178:$Y$182</c:f>
              <c:numCache>
                <c:formatCode>0.00</c:formatCode>
                <c:ptCount val="5"/>
                <c:pt idx="0">
                  <c:v>16.868689643176804</c:v>
                </c:pt>
                <c:pt idx="1">
                  <c:v>26.480675904195227</c:v>
                </c:pt>
                <c:pt idx="2">
                  <c:v>26.571458006604239</c:v>
                </c:pt>
                <c:pt idx="3">
                  <c:v>29.923935347634316</c:v>
                </c:pt>
                <c:pt idx="4">
                  <c:v>34.356887072804682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95-4D8F-9FBC-58FEC9DC4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Book Value per Share: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Charts!$U$178:$U$182</c:f>
              <c:numCache>
                <c:formatCode>0.00</c:formatCode>
                <c:ptCount val="5"/>
                <c:pt idx="0">
                  <c:v>110.64122209168052</c:v>
                </c:pt>
                <c:pt idx="1">
                  <c:v>135.64693964412666</c:v>
                </c:pt>
                <c:pt idx="2">
                  <c:v>162.35106244484723</c:v>
                </c:pt>
                <c:pt idx="3">
                  <c:v>209.79287853383309</c:v>
                </c:pt>
                <c:pt idx="4">
                  <c:v>260.8226721418157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5-41C2-8D7C-57924EAC08D0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Charts!$Z$178:$Z$182</c:f>
              <c:numCache>
                <c:formatCode>0.00</c:formatCode>
                <c:ptCount val="5"/>
                <c:pt idx="0">
                  <c:v>135.89235221235583</c:v>
                </c:pt>
                <c:pt idx="1">
                  <c:v>151.35446371588404</c:v>
                </c:pt>
                <c:pt idx="2">
                  <c:v>163.55779330319035</c:v>
                </c:pt>
                <c:pt idx="3">
                  <c:v>193.47386320452318</c:v>
                </c:pt>
                <c:pt idx="4">
                  <c:v>139.90979407538038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15-41C2-8D7C-57924EAC0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Price-to-Earnings: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Charts!$U$186:$U$190</c:f>
              <c:numCache>
                <c:formatCode>0.00</c:formatCode>
                <c:ptCount val="5"/>
                <c:pt idx="0">
                  <c:v>11.858688571154802</c:v>
                </c:pt>
                <c:pt idx="1">
                  <c:v>5.2023532179731546</c:v>
                </c:pt>
                <c:pt idx="2">
                  <c:v>5.9860674889907219</c:v>
                </c:pt>
                <c:pt idx="3">
                  <c:v>5.5313975285193058</c:v>
                </c:pt>
                <c:pt idx="4">
                  <c:v>6.3393545313613817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760-9811-80AF189CDB4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Charts!$V$186:$V$190</c:f>
              <c:numCache>
                <c:formatCode>0.00</c:formatCode>
                <c:ptCount val="5"/>
                <c:pt idx="0">
                  <c:v>19.844432082610968</c:v>
                </c:pt>
                <c:pt idx="1">
                  <c:v>9.7029718632101325</c:v>
                </c:pt>
                <c:pt idx="2">
                  <c:v>12.124283879265743</c:v>
                </c:pt>
                <c:pt idx="3">
                  <c:v>9.5909070156236584</c:v>
                </c:pt>
                <c:pt idx="4">
                  <c:v>15.726582022655393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75-4760-9811-80AF189CDB4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Charts!$W$186:$W$190</c:f>
              <c:numCache>
                <c:formatCode>0.00</c:formatCode>
                <c:ptCount val="5"/>
                <c:pt idx="0">
                  <c:v>13.883154069739035</c:v>
                </c:pt>
                <c:pt idx="1">
                  <c:v>9.2130648554640278</c:v>
                </c:pt>
                <c:pt idx="2">
                  <c:v>#N/A</c:v>
                </c:pt>
                <c:pt idx="3">
                  <c:v>72.91538429829842</c:v>
                </c:pt>
                <c:pt idx="4">
                  <c:v>8.3613265542147914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75-4760-9811-80AF189CDB4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Charts!$X$186:$X$190</c:f>
              <c:numCache>
                <c:formatCode>0.00</c:formatCode>
                <c:ptCount val="5"/>
                <c:pt idx="0">
                  <c:v>8.2506229232653325</c:v>
                </c:pt>
                <c:pt idx="1">
                  <c:v>8.2775695053414715</c:v>
                </c:pt>
                <c:pt idx="2">
                  <c:v>6.7702147353244424</c:v>
                </c:pt>
                <c:pt idx="3">
                  <c:v>7.6317519094733912</c:v>
                </c:pt>
                <c:pt idx="4">
                  <c:v>5.1823592062489379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75-4760-9811-80AF189CDB4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Charts!$Y$186:$Y$190</c:f>
              <c:numCache>
                <c:formatCode>0.00</c:formatCode>
                <c:ptCount val="5"/>
                <c:pt idx="0">
                  <c:v>9.1421884447870596</c:v>
                </c:pt>
                <c:pt idx="1">
                  <c:v>4.3437335368236942</c:v>
                </c:pt>
                <c:pt idx="2">
                  <c:v>3.877247932539039</c:v>
                </c:pt>
                <c:pt idx="3">
                  <c:v>6.8337507059367812</c:v>
                </c:pt>
                <c:pt idx="4">
                  <c:v>8.2220482242427426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75-4760-9811-80AF189CD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Price-to-Earnings: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Charts!$U$186:$U$190</c:f>
              <c:numCache>
                <c:formatCode>0.00</c:formatCode>
                <c:ptCount val="5"/>
                <c:pt idx="0">
                  <c:v>11.858688571154802</c:v>
                </c:pt>
                <c:pt idx="1">
                  <c:v>5.2023532179731546</c:v>
                </c:pt>
                <c:pt idx="2">
                  <c:v>5.9860674889907219</c:v>
                </c:pt>
                <c:pt idx="3">
                  <c:v>5.5313975285193058</c:v>
                </c:pt>
                <c:pt idx="4">
                  <c:v>6.3393545313613817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5B-40AA-A590-1389E0A5B6DF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Charts!$Z$186:$Z$190</c:f>
              <c:numCache>
                <c:formatCode>0.00</c:formatCode>
                <c:ptCount val="5"/>
                <c:pt idx="0">
                  <c:v>12.59581721831144</c:v>
                </c:pt>
                <c:pt idx="1">
                  <c:v>7.3479385957624954</c:v>
                </c:pt>
                <c:pt idx="2">
                  <c:v>7.1894535090299874</c:v>
                </c:pt>
                <c:pt idx="3">
                  <c:v>20.500638291570311</c:v>
                </c:pt>
                <c:pt idx="4">
                  <c:v>8.7663341077446493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5B-40AA-A590-1389E0A5B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Market-to-Book: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Charts!$U$194:$U$198</c:f>
              <c:numCache>
                <c:formatCode>0.00</c:formatCode>
                <c:ptCount val="5"/>
                <c:pt idx="0">
                  <c:v>1.8663025958706099</c:v>
                </c:pt>
                <c:pt idx="1">
                  <c:v>0.95932868328175702</c:v>
                </c:pt>
                <c:pt idx="2">
                  <c:v>1.0684870021034203</c:v>
                </c:pt>
                <c:pt idx="3">
                  <c:v>1.1937011482475723</c:v>
                </c:pt>
                <c:pt idx="4">
                  <c:v>1.4544747850514033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5B-4402-99FD-D21F9C6552D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Charts!$V$194:$V$198</c:f>
              <c:numCache>
                <c:formatCode>0.00</c:formatCode>
                <c:ptCount val="5"/>
                <c:pt idx="0">
                  <c:v>2.4665571875286716</c:v>
                </c:pt>
                <c:pt idx="1">
                  <c:v>1.1548287368561481</c:v>
                </c:pt>
                <c:pt idx="2">
                  <c:v>1.1852090640758639</c:v>
                </c:pt>
                <c:pt idx="3">
                  <c:v>1.7979804681845026</c:v>
                </c:pt>
                <c:pt idx="4">
                  <c:v>2.9584754511387614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5B-4402-99FD-D21F9C6552D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Charts!$W$194:$W$198</c:f>
              <c:numCache>
                <c:formatCode>0.00</c:formatCode>
                <c:ptCount val="5"/>
                <c:pt idx="0">
                  <c:v>0.7031096868032638</c:v>
                </c:pt>
                <c:pt idx="1">
                  <c:v>0.39163597075332512</c:v>
                </c:pt>
                <c:pt idx="2">
                  <c:v>0.35012794187063967</c:v>
                </c:pt>
                <c:pt idx="3">
                  <c:v>0.52142775098382221</c:v>
                </c:pt>
                <c:pt idx="4">
                  <c:v>0.76620820294800718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5B-4402-99FD-D21F9C6552D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Charts!$X$194:$X$198</c:f>
              <c:numCache>
                <c:formatCode>0.00</c:formatCode>
                <c:ptCount val="5"/>
                <c:pt idx="0">
                  <c:v>1.3744489078669448</c:v>
                </c:pt>
                <c:pt idx="1">
                  <c:v>0.72813806794864222</c:v>
                </c:pt>
                <c:pt idx="2">
                  <c:v>0.67703828877240613</c:v>
                </c:pt>
                <c:pt idx="3">
                  <c:v>0.75656546305349337</c:v>
                </c:pt>
                <c:pt idx="4">
                  <c:v>1.2354689205356633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5B-4402-99FD-D21F9C6552D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Charts!$Y$194:$Y$198</c:f>
              <c:numCache>
                <c:formatCode>0.00</c:formatCode>
                <c:ptCount val="5"/>
                <c:pt idx="0">
                  <c:v>1.3634728296339984</c:v>
                </c:pt>
                <c:pt idx="1">
                  <c:v>0.53510718726613404</c:v>
                </c:pt>
                <c:pt idx="2">
                  <c:v>0.44258015488186969</c:v>
                </c:pt>
                <c:pt idx="3">
                  <c:v>0.76560785651514207</c:v>
                </c:pt>
                <c:pt idx="4">
                  <c:v>1.3001759998029245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5B-4402-99FD-D21F9C655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Market-to-Book: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Charts!$U$194:$U$198</c:f>
              <c:numCache>
                <c:formatCode>0.00</c:formatCode>
                <c:ptCount val="5"/>
                <c:pt idx="0">
                  <c:v>1.8663025958706099</c:v>
                </c:pt>
                <c:pt idx="1">
                  <c:v>0.95932868328175702</c:v>
                </c:pt>
                <c:pt idx="2">
                  <c:v>1.0684870021034203</c:v>
                </c:pt>
                <c:pt idx="3">
                  <c:v>1.1937011482475723</c:v>
                </c:pt>
                <c:pt idx="4">
                  <c:v>1.4544747850514033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50-49EC-8A2F-6032453B8D6A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Charts!$Z$194:$Z$198</c:f>
              <c:numCache>
                <c:formatCode>0.00</c:formatCode>
                <c:ptCount val="5"/>
                <c:pt idx="0">
                  <c:v>1.5547782415406979</c:v>
                </c:pt>
                <c:pt idx="1">
                  <c:v>0.75380772922120132</c:v>
                </c:pt>
                <c:pt idx="2">
                  <c:v>0.74468849034083984</c:v>
                </c:pt>
                <c:pt idx="3">
                  <c:v>1.0070565373969065</c:v>
                </c:pt>
                <c:pt idx="4">
                  <c:v>1.5429606718953519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50-49EC-8A2F-6032453B8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Dividend Yield: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Charts!$U$202:$U$206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C5-4632-9B77-A4F1B63621EB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Charts!$V$202:$V$206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3.4476814342354764E-2</c:v>
                </c:pt>
                <c:pt idx="3">
                  <c:v>1.6542962072502287E-2</c:v>
                </c:pt>
                <c:pt idx="4">
                  <c:v>1.1259993244004052E-2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C5-4632-9B77-A4F1B63621EB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Charts!$W$202:$W$206</c:f>
              <c:numCache>
                <c:formatCode>0.00%</c:formatCode>
                <c:ptCount val="5"/>
                <c:pt idx="0">
                  <c:v>8.4803256445047485E-3</c:v>
                </c:pt>
                <c:pt idx="1">
                  <c:v>1.6E-2</c:v>
                </c:pt>
                <c:pt idx="2">
                  <c:v>0</c:v>
                </c:pt>
                <c:pt idx="3">
                  <c:v>0</c:v>
                </c:pt>
                <c:pt idx="4">
                  <c:v>1.2080212611741966E-2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C5-4632-9B77-A4F1B63621EB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Charts!$X$202:$X$206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C5-4632-9B77-A4F1B63621EB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Charts!$Y$202:$Y$206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4.3649061545176782E-2</c:v>
                </c:pt>
                <c:pt idx="4">
                  <c:v>2.7982986344302664E-2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C5-4632-9B77-A4F1B6362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Dividend Yield: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Charts!$U$202:$U$206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B-4932-98DA-0D071906B8A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Charts!$Z$202:$Z$206</c:f>
              <c:numCache>
                <c:formatCode>0.00%</c:formatCode>
                <c:ptCount val="5"/>
                <c:pt idx="0">
                  <c:v>1.6960651289009497E-3</c:v>
                </c:pt>
                <c:pt idx="1">
                  <c:v>3.2000000000000002E-3</c:v>
                </c:pt>
                <c:pt idx="2">
                  <c:v>6.8953628684709526E-3</c:v>
                </c:pt>
                <c:pt idx="3">
                  <c:v>1.2038404723535814E-2</c:v>
                </c:pt>
                <c:pt idx="4">
                  <c:v>1.0264638440009737E-2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EB-4932-98DA-0D071906B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Enterprise Value/EBITDA: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Charts!$U$210:$U$214</c:f>
              <c:numCache>
                <c:formatCode>0.00</c:formatCode>
                <c:ptCount val="5"/>
                <c:pt idx="0">
                  <c:v>7.030703799061059</c:v>
                </c:pt>
                <c:pt idx="1">
                  <c:v>2.8460065892461768</c:v>
                </c:pt>
                <c:pt idx="2">
                  <c:v>3.0390586129963157</c:v>
                </c:pt>
                <c:pt idx="3">
                  <c:v>3.2191008909496732</c:v>
                </c:pt>
                <c:pt idx="4">
                  <c:v>3.6540457208322041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9C-435E-B85B-17E60E182CB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Charts!$V$210:$V$214</c:f>
              <c:numCache>
                <c:formatCode>0.00</c:formatCode>
                <c:ptCount val="5"/>
                <c:pt idx="0">
                  <c:v>12.530231924140164</c:v>
                </c:pt>
                <c:pt idx="1">
                  <c:v>5.6439003003016683</c:v>
                </c:pt>
                <c:pt idx="2">
                  <c:v>5.6924500846825419</c:v>
                </c:pt>
                <c:pt idx="3">
                  <c:v>5.178403100254557</c:v>
                </c:pt>
                <c:pt idx="4">
                  <c:v>8.5282679327793396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9C-435E-B85B-17E60E182CB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Charts!$W$210:$W$214</c:f>
              <c:numCache>
                <c:formatCode>0.00</c:formatCode>
                <c:ptCount val="5"/>
                <c:pt idx="0">
                  <c:v>8.4672094053907152</c:v>
                </c:pt>
                <c:pt idx="1">
                  <c:v>5.5150906801201929</c:v>
                </c:pt>
                <c:pt idx="2">
                  <c:v>4.7839328299471351</c:v>
                </c:pt>
                <c:pt idx="3">
                  <c:v>5.0911516840273263</c:v>
                </c:pt>
                <c:pt idx="4">
                  <c:v>4.5245291189336676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9C-435E-B85B-17E60E182CB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Charts!$X$210:$X$214</c:f>
              <c:numCache>
                <c:formatCode>0.00</c:formatCode>
                <c:ptCount val="5"/>
                <c:pt idx="0">
                  <c:v>5.6223501239668989</c:v>
                </c:pt>
                <c:pt idx="1">
                  <c:v>4.4912459172048038</c:v>
                </c:pt>
                <c:pt idx="2">
                  <c:v>3.2721791070017887</c:v>
                </c:pt>
                <c:pt idx="3">
                  <c:v>3.3522633268626687</c:v>
                </c:pt>
                <c:pt idx="4">
                  <c:v>3.4441662826745523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9C-435E-B85B-17E60E182CB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Charts!$Y$210:$Y$214</c:f>
              <c:numCache>
                <c:formatCode>0.00</c:formatCode>
                <c:ptCount val="5"/>
                <c:pt idx="0">
                  <c:v>4.9126800998035849</c:v>
                </c:pt>
                <c:pt idx="1">
                  <c:v>3.9999441320816422</c:v>
                </c:pt>
                <c:pt idx="2">
                  <c:v>3.9638226712605413</c:v>
                </c:pt>
                <c:pt idx="3">
                  <c:v>3.9028355635230949</c:v>
                </c:pt>
                <c:pt idx="4">
                  <c:v>4.5760845203336329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9C-435E-B85B-17E60E182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Enterprise Value/EBITDA: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Charts!$U$210:$U$214</c:f>
              <c:numCache>
                <c:formatCode>0.00</c:formatCode>
                <c:ptCount val="5"/>
                <c:pt idx="0">
                  <c:v>7.030703799061059</c:v>
                </c:pt>
                <c:pt idx="1">
                  <c:v>2.8460065892461768</c:v>
                </c:pt>
                <c:pt idx="2">
                  <c:v>3.0390586129963157</c:v>
                </c:pt>
                <c:pt idx="3">
                  <c:v>3.2191008909496732</c:v>
                </c:pt>
                <c:pt idx="4">
                  <c:v>3.6540457208322041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72-4E3C-8A8B-04B324BC93F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Charts!$Z$210:$Z$214</c:f>
              <c:numCache>
                <c:formatCode>0.00</c:formatCode>
                <c:ptCount val="5"/>
                <c:pt idx="0">
                  <c:v>7.7126350704724844</c:v>
                </c:pt>
                <c:pt idx="1">
                  <c:v>4.4992375237908968</c:v>
                </c:pt>
                <c:pt idx="2">
                  <c:v>4.1502886611776644</c:v>
                </c:pt>
                <c:pt idx="3">
                  <c:v>4.1487509131234637</c:v>
                </c:pt>
                <c:pt idx="4">
                  <c:v>4.9454187151106792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72-4E3C-8A8B-04B324BC9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9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6</xdr:row>
      <xdr:rowOff>0</xdr:rowOff>
    </xdr:from>
    <xdr:to>
      <xdr:col>19</xdr:col>
      <xdr:colOff>0</xdr:colOff>
      <xdr:row>28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9</xdr:col>
      <xdr:colOff>0</xdr:colOff>
      <xdr:row>51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29</xdr:row>
      <xdr:rowOff>0</xdr:rowOff>
    </xdr:from>
    <xdr:to>
      <xdr:col>19</xdr:col>
      <xdr:colOff>0</xdr:colOff>
      <xdr:row>51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9</xdr:col>
      <xdr:colOff>0</xdr:colOff>
      <xdr:row>74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19</xdr:col>
      <xdr:colOff>0</xdr:colOff>
      <xdr:row>74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75</xdr:row>
      <xdr:rowOff>0</xdr:rowOff>
    </xdr:from>
    <xdr:to>
      <xdr:col>9</xdr:col>
      <xdr:colOff>0</xdr:colOff>
      <xdr:row>97</xdr:row>
      <xdr:rowOff>0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19</xdr:col>
      <xdr:colOff>0</xdr:colOff>
      <xdr:row>97</xdr:row>
      <xdr:rowOff>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98</xdr:row>
      <xdr:rowOff>0</xdr:rowOff>
    </xdr:from>
    <xdr:to>
      <xdr:col>9</xdr:col>
      <xdr:colOff>0</xdr:colOff>
      <xdr:row>120</xdr:row>
      <xdr:rowOff>0</xdr:rowOff>
    </xdr:to>
    <xdr:graphicFrame macro="">
      <xdr:nvGraphicFramePr>
        <xdr:cNvPr id="10" name="Chart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98</xdr:row>
      <xdr:rowOff>0</xdr:rowOff>
    </xdr:from>
    <xdr:to>
      <xdr:col>19</xdr:col>
      <xdr:colOff>0</xdr:colOff>
      <xdr:row>120</xdr:row>
      <xdr:rowOff>0</xdr:rowOff>
    </xdr:to>
    <xdr:graphicFrame macro="">
      <xdr:nvGraphicFramePr>
        <xdr:cNvPr id="11" name="Chart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121</xdr:row>
      <xdr:rowOff>0</xdr:rowOff>
    </xdr:from>
    <xdr:to>
      <xdr:col>9</xdr:col>
      <xdr:colOff>0</xdr:colOff>
      <xdr:row>143</xdr:row>
      <xdr:rowOff>0</xdr:rowOff>
    </xdr:to>
    <xdr:graphicFrame macro="">
      <xdr:nvGraphicFramePr>
        <xdr:cNvPr id="12" name="Chart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121</xdr:row>
      <xdr:rowOff>0</xdr:rowOff>
    </xdr:from>
    <xdr:to>
      <xdr:col>19</xdr:col>
      <xdr:colOff>0</xdr:colOff>
      <xdr:row>143</xdr:row>
      <xdr:rowOff>0</xdr:rowOff>
    </xdr:to>
    <xdr:graphicFrame macro="">
      <xdr:nvGraphicFramePr>
        <xdr:cNvPr id="13" name="Chart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144</xdr:row>
      <xdr:rowOff>0</xdr:rowOff>
    </xdr:from>
    <xdr:to>
      <xdr:col>9</xdr:col>
      <xdr:colOff>0</xdr:colOff>
      <xdr:row>166</xdr:row>
      <xdr:rowOff>0</xdr:rowOff>
    </xdr:to>
    <xdr:graphicFrame macro="">
      <xdr:nvGraphicFramePr>
        <xdr:cNvPr id="14" name="Chart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144</xdr:row>
      <xdr:rowOff>0</xdr:rowOff>
    </xdr:from>
    <xdr:to>
      <xdr:col>19</xdr:col>
      <xdr:colOff>0</xdr:colOff>
      <xdr:row>166</xdr:row>
      <xdr:rowOff>0</xdr:rowOff>
    </xdr:to>
    <xdr:graphicFrame macro="">
      <xdr:nvGraphicFramePr>
        <xdr:cNvPr id="15" name="Chart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167</xdr:row>
      <xdr:rowOff>0</xdr:rowOff>
    </xdr:from>
    <xdr:to>
      <xdr:col>9</xdr:col>
      <xdr:colOff>0</xdr:colOff>
      <xdr:row>189</xdr:row>
      <xdr:rowOff>0</xdr:rowOff>
    </xdr:to>
    <xdr:graphicFrame macro="">
      <xdr:nvGraphicFramePr>
        <xdr:cNvPr id="16" name="Chart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167</xdr:row>
      <xdr:rowOff>0</xdr:rowOff>
    </xdr:from>
    <xdr:to>
      <xdr:col>19</xdr:col>
      <xdr:colOff>0</xdr:colOff>
      <xdr:row>189</xdr:row>
      <xdr:rowOff>0</xdr:rowOff>
    </xdr:to>
    <xdr:graphicFrame macro="">
      <xdr:nvGraphicFramePr>
        <xdr:cNvPr id="17" name="Chart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190</xdr:row>
      <xdr:rowOff>0</xdr:rowOff>
    </xdr:from>
    <xdr:to>
      <xdr:col>9</xdr:col>
      <xdr:colOff>0</xdr:colOff>
      <xdr:row>212</xdr:row>
      <xdr:rowOff>0</xdr:rowOff>
    </xdr:to>
    <xdr:graphicFrame macro="">
      <xdr:nvGraphicFramePr>
        <xdr:cNvPr id="18" name="Chart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190</xdr:row>
      <xdr:rowOff>0</xdr:rowOff>
    </xdr:from>
    <xdr:to>
      <xdr:col>19</xdr:col>
      <xdr:colOff>0</xdr:colOff>
      <xdr:row>212</xdr:row>
      <xdr:rowOff>0</xdr:rowOff>
    </xdr:to>
    <xdr:graphicFrame macro="">
      <xdr:nvGraphicFramePr>
        <xdr:cNvPr id="19" name="Chart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213</xdr:row>
      <xdr:rowOff>0</xdr:rowOff>
    </xdr:from>
    <xdr:to>
      <xdr:col>9</xdr:col>
      <xdr:colOff>0</xdr:colOff>
      <xdr:row>235</xdr:row>
      <xdr:rowOff>0</xdr:rowOff>
    </xdr:to>
    <xdr:graphicFrame macro="">
      <xdr:nvGraphicFramePr>
        <xdr:cNvPr id="20" name="Chart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</xdr:col>
      <xdr:colOff>0</xdr:colOff>
      <xdr:row>213</xdr:row>
      <xdr:rowOff>0</xdr:rowOff>
    </xdr:from>
    <xdr:to>
      <xdr:col>19</xdr:col>
      <xdr:colOff>0</xdr:colOff>
      <xdr:row>235</xdr:row>
      <xdr:rowOff>0</xdr:rowOff>
    </xdr:to>
    <xdr:graphicFrame macro="">
      <xdr:nvGraphicFramePr>
        <xdr:cNvPr id="21" name="Chart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236</xdr:row>
      <xdr:rowOff>0</xdr:rowOff>
    </xdr:from>
    <xdr:to>
      <xdr:col>9</xdr:col>
      <xdr:colOff>0</xdr:colOff>
      <xdr:row>258</xdr:row>
      <xdr:rowOff>0</xdr:rowOff>
    </xdr:to>
    <xdr:graphicFrame macro="">
      <xdr:nvGraphicFramePr>
        <xdr:cNvPr id="22" name="Chart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10</xdr:col>
      <xdr:colOff>0</xdr:colOff>
      <xdr:row>236</xdr:row>
      <xdr:rowOff>0</xdr:rowOff>
    </xdr:from>
    <xdr:to>
      <xdr:col>19</xdr:col>
      <xdr:colOff>0</xdr:colOff>
      <xdr:row>258</xdr:row>
      <xdr:rowOff>0</xdr:rowOff>
    </xdr:to>
    <xdr:graphicFrame macro="">
      <xdr:nvGraphicFramePr>
        <xdr:cNvPr id="23" name="Chart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259</xdr:row>
      <xdr:rowOff>0</xdr:rowOff>
    </xdr:from>
    <xdr:to>
      <xdr:col>9</xdr:col>
      <xdr:colOff>0</xdr:colOff>
      <xdr:row>281</xdr:row>
      <xdr:rowOff>0</xdr:rowOff>
    </xdr:to>
    <xdr:graphicFrame macro="">
      <xdr:nvGraphicFramePr>
        <xdr:cNvPr id="24" name="Chart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10</xdr:col>
      <xdr:colOff>0</xdr:colOff>
      <xdr:row>259</xdr:row>
      <xdr:rowOff>0</xdr:rowOff>
    </xdr:from>
    <xdr:to>
      <xdr:col>19</xdr:col>
      <xdr:colOff>0</xdr:colOff>
      <xdr:row>281</xdr:row>
      <xdr:rowOff>0</xdr:rowOff>
    </xdr:to>
    <xdr:graphicFrame macro="">
      <xdr:nvGraphicFramePr>
        <xdr:cNvPr id="25" name="Chart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282</xdr:row>
      <xdr:rowOff>0</xdr:rowOff>
    </xdr:from>
    <xdr:to>
      <xdr:col>9</xdr:col>
      <xdr:colOff>0</xdr:colOff>
      <xdr:row>304</xdr:row>
      <xdr:rowOff>0</xdr:rowOff>
    </xdr:to>
    <xdr:graphicFrame macro="">
      <xdr:nvGraphicFramePr>
        <xdr:cNvPr id="26" name="Chart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10</xdr:col>
      <xdr:colOff>0</xdr:colOff>
      <xdr:row>282</xdr:row>
      <xdr:rowOff>0</xdr:rowOff>
    </xdr:from>
    <xdr:to>
      <xdr:col>19</xdr:col>
      <xdr:colOff>0</xdr:colOff>
      <xdr:row>304</xdr:row>
      <xdr:rowOff>0</xdr:rowOff>
    </xdr:to>
    <xdr:graphicFrame macro="">
      <xdr:nvGraphicFramePr>
        <xdr:cNvPr id="27" name="Chart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305</xdr:row>
      <xdr:rowOff>0</xdr:rowOff>
    </xdr:from>
    <xdr:to>
      <xdr:col>9</xdr:col>
      <xdr:colOff>0</xdr:colOff>
      <xdr:row>327</xdr:row>
      <xdr:rowOff>0</xdr:rowOff>
    </xdr:to>
    <xdr:graphicFrame macro="">
      <xdr:nvGraphicFramePr>
        <xdr:cNvPr id="28" name="Chart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10</xdr:col>
      <xdr:colOff>0</xdr:colOff>
      <xdr:row>305</xdr:row>
      <xdr:rowOff>0</xdr:rowOff>
    </xdr:from>
    <xdr:to>
      <xdr:col>19</xdr:col>
      <xdr:colOff>0</xdr:colOff>
      <xdr:row>327</xdr:row>
      <xdr:rowOff>0</xdr:rowOff>
    </xdr:to>
    <xdr:graphicFrame macro="">
      <xdr:nvGraphicFramePr>
        <xdr:cNvPr id="29" name="Chart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328</xdr:row>
      <xdr:rowOff>0</xdr:rowOff>
    </xdr:from>
    <xdr:to>
      <xdr:col>9</xdr:col>
      <xdr:colOff>0</xdr:colOff>
      <xdr:row>350</xdr:row>
      <xdr:rowOff>0</xdr:rowOff>
    </xdr:to>
    <xdr:graphicFrame macro="">
      <xdr:nvGraphicFramePr>
        <xdr:cNvPr id="30" name="Chart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10</xdr:col>
      <xdr:colOff>0</xdr:colOff>
      <xdr:row>328</xdr:row>
      <xdr:rowOff>0</xdr:rowOff>
    </xdr:from>
    <xdr:to>
      <xdr:col>19</xdr:col>
      <xdr:colOff>0</xdr:colOff>
      <xdr:row>350</xdr:row>
      <xdr:rowOff>0</xdr:rowOff>
    </xdr:to>
    <xdr:graphicFrame macro="">
      <xdr:nvGraphicFramePr>
        <xdr:cNvPr id="31" name="Chart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351</xdr:row>
      <xdr:rowOff>0</xdr:rowOff>
    </xdr:from>
    <xdr:to>
      <xdr:col>9</xdr:col>
      <xdr:colOff>0</xdr:colOff>
      <xdr:row>373</xdr:row>
      <xdr:rowOff>0</xdr:rowOff>
    </xdr:to>
    <xdr:graphicFrame macro="">
      <xdr:nvGraphicFramePr>
        <xdr:cNvPr id="32" name="Chart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10</xdr:col>
      <xdr:colOff>0</xdr:colOff>
      <xdr:row>351</xdr:row>
      <xdr:rowOff>0</xdr:rowOff>
    </xdr:from>
    <xdr:to>
      <xdr:col>19</xdr:col>
      <xdr:colOff>0</xdr:colOff>
      <xdr:row>373</xdr:row>
      <xdr:rowOff>0</xdr:rowOff>
    </xdr:to>
    <xdr:graphicFrame macro="">
      <xdr:nvGraphicFramePr>
        <xdr:cNvPr id="33" name="Chart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374</xdr:row>
      <xdr:rowOff>0</xdr:rowOff>
    </xdr:from>
    <xdr:to>
      <xdr:col>9</xdr:col>
      <xdr:colOff>0</xdr:colOff>
      <xdr:row>396</xdr:row>
      <xdr:rowOff>0</xdr:rowOff>
    </xdr:to>
    <xdr:graphicFrame macro="">
      <xdr:nvGraphicFramePr>
        <xdr:cNvPr id="34" name="Chart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10</xdr:col>
      <xdr:colOff>0</xdr:colOff>
      <xdr:row>374</xdr:row>
      <xdr:rowOff>0</xdr:rowOff>
    </xdr:from>
    <xdr:to>
      <xdr:col>19</xdr:col>
      <xdr:colOff>0</xdr:colOff>
      <xdr:row>396</xdr:row>
      <xdr:rowOff>0</xdr:rowOff>
    </xdr:to>
    <xdr:graphicFrame macro="">
      <xdr:nvGraphicFramePr>
        <xdr:cNvPr id="35" name="Chart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0</xdr:col>
      <xdr:colOff>0</xdr:colOff>
      <xdr:row>397</xdr:row>
      <xdr:rowOff>0</xdr:rowOff>
    </xdr:from>
    <xdr:to>
      <xdr:col>9</xdr:col>
      <xdr:colOff>0</xdr:colOff>
      <xdr:row>419</xdr:row>
      <xdr:rowOff>0</xdr:rowOff>
    </xdr:to>
    <xdr:graphicFrame macro="">
      <xdr:nvGraphicFramePr>
        <xdr:cNvPr id="36" name="Chart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10</xdr:col>
      <xdr:colOff>0</xdr:colOff>
      <xdr:row>397</xdr:row>
      <xdr:rowOff>0</xdr:rowOff>
    </xdr:from>
    <xdr:to>
      <xdr:col>19</xdr:col>
      <xdr:colOff>0</xdr:colOff>
      <xdr:row>419</xdr:row>
      <xdr:rowOff>0</xdr:rowOff>
    </xdr:to>
    <xdr:graphicFrame macro="">
      <xdr:nvGraphicFramePr>
        <xdr:cNvPr id="37" name="Chart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0</xdr:colOff>
      <xdr:row>420</xdr:row>
      <xdr:rowOff>0</xdr:rowOff>
    </xdr:from>
    <xdr:to>
      <xdr:col>9</xdr:col>
      <xdr:colOff>0</xdr:colOff>
      <xdr:row>442</xdr:row>
      <xdr:rowOff>0</xdr:rowOff>
    </xdr:to>
    <xdr:graphicFrame macro="">
      <xdr:nvGraphicFramePr>
        <xdr:cNvPr id="38" name="Chart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0</xdr:colOff>
      <xdr:row>420</xdr:row>
      <xdr:rowOff>0</xdr:rowOff>
    </xdr:from>
    <xdr:to>
      <xdr:col>19</xdr:col>
      <xdr:colOff>0</xdr:colOff>
      <xdr:row>442</xdr:row>
      <xdr:rowOff>0</xdr:rowOff>
    </xdr:to>
    <xdr:graphicFrame macro="">
      <xdr:nvGraphicFramePr>
        <xdr:cNvPr id="39" name="Chart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0</xdr:col>
      <xdr:colOff>0</xdr:colOff>
      <xdr:row>443</xdr:row>
      <xdr:rowOff>0</xdr:rowOff>
    </xdr:from>
    <xdr:to>
      <xdr:col>9</xdr:col>
      <xdr:colOff>0</xdr:colOff>
      <xdr:row>465</xdr:row>
      <xdr:rowOff>0</xdr:rowOff>
    </xdr:to>
    <xdr:graphicFrame macro="">
      <xdr:nvGraphicFramePr>
        <xdr:cNvPr id="40" name="Chart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10</xdr:col>
      <xdr:colOff>0</xdr:colOff>
      <xdr:row>443</xdr:row>
      <xdr:rowOff>0</xdr:rowOff>
    </xdr:from>
    <xdr:to>
      <xdr:col>19</xdr:col>
      <xdr:colOff>0</xdr:colOff>
      <xdr:row>465</xdr:row>
      <xdr:rowOff>0</xdr:rowOff>
    </xdr:to>
    <xdr:graphicFrame macro="">
      <xdr:nvGraphicFramePr>
        <xdr:cNvPr id="41" name="Chart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0</xdr:col>
      <xdr:colOff>0</xdr:colOff>
      <xdr:row>466</xdr:row>
      <xdr:rowOff>0</xdr:rowOff>
    </xdr:from>
    <xdr:to>
      <xdr:col>9</xdr:col>
      <xdr:colOff>0</xdr:colOff>
      <xdr:row>488</xdr:row>
      <xdr:rowOff>0</xdr:rowOff>
    </xdr:to>
    <xdr:graphicFrame macro="">
      <xdr:nvGraphicFramePr>
        <xdr:cNvPr id="42" name="Chart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10</xdr:col>
      <xdr:colOff>0</xdr:colOff>
      <xdr:row>466</xdr:row>
      <xdr:rowOff>0</xdr:rowOff>
    </xdr:from>
    <xdr:to>
      <xdr:col>19</xdr:col>
      <xdr:colOff>0</xdr:colOff>
      <xdr:row>488</xdr:row>
      <xdr:rowOff>0</xdr:rowOff>
    </xdr:to>
    <xdr:graphicFrame macro="">
      <xdr:nvGraphicFramePr>
        <xdr:cNvPr id="43" name="Chart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0</xdr:col>
      <xdr:colOff>0</xdr:colOff>
      <xdr:row>489</xdr:row>
      <xdr:rowOff>0</xdr:rowOff>
    </xdr:from>
    <xdr:to>
      <xdr:col>9</xdr:col>
      <xdr:colOff>0</xdr:colOff>
      <xdr:row>511</xdr:row>
      <xdr:rowOff>0</xdr:rowOff>
    </xdr:to>
    <xdr:graphicFrame macro="">
      <xdr:nvGraphicFramePr>
        <xdr:cNvPr id="44" name="Chart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10</xdr:col>
      <xdr:colOff>0</xdr:colOff>
      <xdr:row>489</xdr:row>
      <xdr:rowOff>0</xdr:rowOff>
    </xdr:from>
    <xdr:to>
      <xdr:col>19</xdr:col>
      <xdr:colOff>0</xdr:colOff>
      <xdr:row>511</xdr:row>
      <xdr:rowOff>0</xdr:rowOff>
    </xdr:to>
    <xdr:graphicFrame macro="">
      <xdr:nvGraphicFramePr>
        <xdr:cNvPr id="45" name="Chart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9</xdr:col>
      <xdr:colOff>0</xdr:colOff>
      <xdr:row>534</xdr:row>
      <xdr:rowOff>0</xdr:rowOff>
    </xdr:to>
    <xdr:graphicFrame macro="">
      <xdr:nvGraphicFramePr>
        <xdr:cNvPr id="46" name="Chart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10</xdr:col>
      <xdr:colOff>0</xdr:colOff>
      <xdr:row>512</xdr:row>
      <xdr:rowOff>0</xdr:rowOff>
    </xdr:from>
    <xdr:to>
      <xdr:col>19</xdr:col>
      <xdr:colOff>0</xdr:colOff>
      <xdr:row>534</xdr:row>
      <xdr:rowOff>0</xdr:rowOff>
    </xdr:to>
    <xdr:graphicFrame macro="">
      <xdr:nvGraphicFramePr>
        <xdr:cNvPr id="47" name="Chart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0</xdr:colOff>
      <xdr:row>535</xdr:row>
      <xdr:rowOff>0</xdr:rowOff>
    </xdr:from>
    <xdr:to>
      <xdr:col>9</xdr:col>
      <xdr:colOff>0</xdr:colOff>
      <xdr:row>557</xdr:row>
      <xdr:rowOff>0</xdr:rowOff>
    </xdr:to>
    <xdr:graphicFrame macro="">
      <xdr:nvGraphicFramePr>
        <xdr:cNvPr id="48" name="Chart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10</xdr:col>
      <xdr:colOff>0</xdr:colOff>
      <xdr:row>535</xdr:row>
      <xdr:rowOff>0</xdr:rowOff>
    </xdr:from>
    <xdr:to>
      <xdr:col>19</xdr:col>
      <xdr:colOff>0</xdr:colOff>
      <xdr:row>557</xdr:row>
      <xdr:rowOff>0</xdr:rowOff>
    </xdr:to>
    <xdr:graphicFrame macro="">
      <xdr:nvGraphicFramePr>
        <xdr:cNvPr id="49" name="Chart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0</xdr:col>
      <xdr:colOff>0</xdr:colOff>
      <xdr:row>558</xdr:row>
      <xdr:rowOff>0</xdr:rowOff>
    </xdr:from>
    <xdr:to>
      <xdr:col>9</xdr:col>
      <xdr:colOff>0</xdr:colOff>
      <xdr:row>580</xdr:row>
      <xdr:rowOff>0</xdr:rowOff>
    </xdr:to>
    <xdr:graphicFrame macro="">
      <xdr:nvGraphicFramePr>
        <xdr:cNvPr id="50" name="Chart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10</xdr:col>
      <xdr:colOff>0</xdr:colOff>
      <xdr:row>558</xdr:row>
      <xdr:rowOff>0</xdr:rowOff>
    </xdr:from>
    <xdr:to>
      <xdr:col>19</xdr:col>
      <xdr:colOff>0</xdr:colOff>
      <xdr:row>580</xdr:row>
      <xdr:rowOff>0</xdr:rowOff>
    </xdr:to>
    <xdr:graphicFrame macro="">
      <xdr:nvGraphicFramePr>
        <xdr:cNvPr id="51" name="Chart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0</xdr:col>
      <xdr:colOff>0</xdr:colOff>
      <xdr:row>581</xdr:row>
      <xdr:rowOff>0</xdr:rowOff>
    </xdr:from>
    <xdr:to>
      <xdr:col>9</xdr:col>
      <xdr:colOff>0</xdr:colOff>
      <xdr:row>603</xdr:row>
      <xdr:rowOff>0</xdr:rowOff>
    </xdr:to>
    <xdr:graphicFrame macro="">
      <xdr:nvGraphicFramePr>
        <xdr:cNvPr id="52" name="Chart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10</xdr:col>
      <xdr:colOff>0</xdr:colOff>
      <xdr:row>581</xdr:row>
      <xdr:rowOff>0</xdr:rowOff>
    </xdr:from>
    <xdr:to>
      <xdr:col>19</xdr:col>
      <xdr:colOff>0</xdr:colOff>
      <xdr:row>603</xdr:row>
      <xdr:rowOff>0</xdr:rowOff>
    </xdr:to>
    <xdr:graphicFrame macro="">
      <xdr:nvGraphicFramePr>
        <xdr:cNvPr id="53" name="Chart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0</xdr:col>
      <xdr:colOff>0</xdr:colOff>
      <xdr:row>604</xdr:row>
      <xdr:rowOff>0</xdr:rowOff>
    </xdr:from>
    <xdr:to>
      <xdr:col>9</xdr:col>
      <xdr:colOff>0</xdr:colOff>
      <xdr:row>626</xdr:row>
      <xdr:rowOff>0</xdr:rowOff>
    </xdr:to>
    <xdr:graphicFrame macro="">
      <xdr:nvGraphicFramePr>
        <xdr:cNvPr id="54" name="Chart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10</xdr:col>
      <xdr:colOff>0</xdr:colOff>
      <xdr:row>604</xdr:row>
      <xdr:rowOff>0</xdr:rowOff>
    </xdr:from>
    <xdr:to>
      <xdr:col>19</xdr:col>
      <xdr:colOff>0</xdr:colOff>
      <xdr:row>626</xdr:row>
      <xdr:rowOff>0</xdr:rowOff>
    </xdr:to>
    <xdr:graphicFrame macro="">
      <xdr:nvGraphicFramePr>
        <xdr:cNvPr id="55" name="Chart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KOHC_Financial_Analysis_FINAL.xlsx" TargetMode="External"/><Relationship Id="rId7" Type="http://schemas.openxmlformats.org/officeDocument/2006/relationships/hyperlink" Target="KOHC_Financial_Analysis_FINAL.xlsx" TargetMode="External"/><Relationship Id="rId2" Type="http://schemas.openxmlformats.org/officeDocument/2006/relationships/hyperlink" Target="KOHC_Financial_Analysis_FINAL.xlsx" TargetMode="External"/><Relationship Id="rId1" Type="http://schemas.openxmlformats.org/officeDocument/2006/relationships/hyperlink" Target="KOHC_Financial_Analysis_FINAL.xlsx" TargetMode="External"/><Relationship Id="rId6" Type="http://schemas.openxmlformats.org/officeDocument/2006/relationships/hyperlink" Target="KOHC_Financial_Analysis_FINAL.xlsx" TargetMode="External"/><Relationship Id="rId5" Type="http://schemas.openxmlformats.org/officeDocument/2006/relationships/hyperlink" Target="KOHC_Financial_Analysis_FINAL.xlsx" TargetMode="External"/><Relationship Id="rId4" Type="http://schemas.openxmlformats.org/officeDocument/2006/relationships/hyperlink" Target="KOHC_Financial_Analysis_FINA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4D3A"/>
    <pageSetUpPr fitToPage="1"/>
  </sheetPr>
  <dimension ref="A1:G52"/>
  <sheetViews>
    <sheetView showGridLines="0" tabSelected="1" workbookViewId="0">
      <selection activeCell="H41" sqref="H41"/>
    </sheetView>
  </sheetViews>
  <sheetFormatPr defaultColWidth="8.6640625" defaultRowHeight="14.4" x14ac:dyDescent="0.3"/>
  <cols>
    <col min="1" max="1" width="26" customWidth="1"/>
    <col min="2" max="2" width="40" customWidth="1"/>
    <col min="3" max="7" width="14" customWidth="1"/>
    <col min="8" max="8" width="10" customWidth="1"/>
  </cols>
  <sheetData>
    <row r="1" spans="1:7" ht="28.95" customHeight="1" x14ac:dyDescent="0.35">
      <c r="A1" s="85" t="s">
        <v>256</v>
      </c>
      <c r="B1" s="86"/>
      <c r="C1" s="86"/>
      <c r="D1" s="86"/>
      <c r="E1" s="86"/>
      <c r="F1" s="86"/>
      <c r="G1" s="86"/>
    </row>
    <row r="2" spans="1:7" ht="22.95" customHeight="1" x14ac:dyDescent="0.3">
      <c r="A2" s="87"/>
      <c r="B2" s="88"/>
      <c r="C2" s="88"/>
      <c r="D2" s="88"/>
      <c r="E2" s="88"/>
      <c r="F2" s="88"/>
      <c r="G2" s="88"/>
    </row>
    <row r="3" spans="1:7" ht="4.95" customHeight="1" x14ac:dyDescent="0.3"/>
    <row r="4" spans="1:7" ht="4.95" customHeight="1" x14ac:dyDescent="0.3"/>
    <row r="5" spans="1:7" x14ac:dyDescent="0.3">
      <c r="A5" s="1" t="s">
        <v>0</v>
      </c>
      <c r="B5" t="s">
        <v>1</v>
      </c>
    </row>
    <row r="6" spans="1:7" x14ac:dyDescent="0.3">
      <c r="A6" s="1" t="s">
        <v>2</v>
      </c>
      <c r="B6" t="s">
        <v>3</v>
      </c>
    </row>
    <row r="7" spans="1:7" ht="78" customHeight="1" x14ac:dyDescent="0.3">
      <c r="A7" s="55" t="s">
        <v>4</v>
      </c>
      <c r="B7" s="89" t="s">
        <v>5</v>
      </c>
      <c r="C7" s="89"/>
      <c r="D7" s="89"/>
      <c r="E7" s="89"/>
      <c r="F7" s="89"/>
      <c r="G7" s="89"/>
    </row>
    <row r="8" spans="1:7" ht="7.95" customHeight="1" x14ac:dyDescent="0.3"/>
    <row r="9" spans="1:7" ht="19.5" customHeight="1" x14ac:dyDescent="0.3">
      <c r="A9" s="81" t="s">
        <v>6</v>
      </c>
      <c r="B9" s="2"/>
      <c r="C9" s="2"/>
      <c r="D9" s="2"/>
      <c r="E9" s="2"/>
      <c r="F9" s="2"/>
      <c r="G9" s="2"/>
    </row>
    <row r="10" spans="1:7" x14ac:dyDescent="0.3">
      <c r="A10" s="3" t="s">
        <v>257</v>
      </c>
      <c r="B10" s="3" t="s">
        <v>7</v>
      </c>
      <c r="C10" s="3" t="s">
        <v>8</v>
      </c>
      <c r="D10" s="3" t="s">
        <v>258</v>
      </c>
      <c r="E10" s="3"/>
    </row>
    <row r="11" spans="1:7" x14ac:dyDescent="0.3">
      <c r="A11" s="4" t="s">
        <v>9</v>
      </c>
      <c r="B11" s="4" t="s">
        <v>10</v>
      </c>
      <c r="C11" s="4" t="s">
        <v>11</v>
      </c>
      <c r="D11" s="5" t="s">
        <v>12</v>
      </c>
    </row>
    <row r="12" spans="1:7" x14ac:dyDescent="0.3">
      <c r="A12" s="6" t="s">
        <v>13</v>
      </c>
      <c r="B12" s="6" t="s">
        <v>14</v>
      </c>
      <c r="C12" s="6" t="s">
        <v>15</v>
      </c>
      <c r="D12" s="5" t="s">
        <v>16</v>
      </c>
    </row>
    <row r="13" spans="1:7" x14ac:dyDescent="0.3">
      <c r="A13" s="6" t="s">
        <v>17</v>
      </c>
      <c r="B13" s="6" t="s">
        <v>18</v>
      </c>
      <c r="C13" s="6" t="s">
        <v>19</v>
      </c>
      <c r="D13" s="5" t="s">
        <v>20</v>
      </c>
    </row>
    <row r="14" spans="1:7" x14ac:dyDescent="0.3">
      <c r="A14" s="6" t="s">
        <v>21</v>
      </c>
      <c r="B14" s="6" t="s">
        <v>22</v>
      </c>
      <c r="C14" s="6" t="s">
        <v>23</v>
      </c>
      <c r="D14" s="5" t="s">
        <v>24</v>
      </c>
    </row>
    <row r="15" spans="1:7" x14ac:dyDescent="0.3">
      <c r="A15" s="6" t="s">
        <v>25</v>
      </c>
      <c r="B15" s="6" t="s">
        <v>26</v>
      </c>
      <c r="C15" s="6" t="s">
        <v>27</v>
      </c>
      <c r="D15" s="5" t="s">
        <v>28</v>
      </c>
    </row>
    <row r="16" spans="1:7" x14ac:dyDescent="0.3">
      <c r="D16" s="7" t="s">
        <v>29</v>
      </c>
    </row>
    <row r="17" spans="1:7" x14ac:dyDescent="0.3">
      <c r="D17" s="7" t="s">
        <v>30</v>
      </c>
    </row>
    <row r="18" spans="1:7" ht="7.95" customHeight="1" x14ac:dyDescent="0.3"/>
    <row r="19" spans="1:7" ht="19.05" customHeight="1" x14ac:dyDescent="0.3">
      <c r="A19" s="100" t="s">
        <v>289</v>
      </c>
      <c r="B19" s="100"/>
      <c r="C19" s="100"/>
      <c r="D19" s="100"/>
      <c r="E19" s="100"/>
      <c r="F19" s="100"/>
      <c r="G19" s="100"/>
    </row>
    <row r="20" spans="1:7" ht="16.05" customHeight="1" x14ac:dyDescent="0.3">
      <c r="A20" s="101" t="s">
        <v>290</v>
      </c>
      <c r="B20" s="101"/>
      <c r="C20" s="101"/>
      <c r="D20" s="101"/>
      <c r="E20" s="101"/>
      <c r="F20" s="101"/>
      <c r="G20" s="101"/>
    </row>
    <row r="21" spans="1:7" ht="28.05" customHeight="1" x14ac:dyDescent="0.3">
      <c r="A21" s="101" t="s">
        <v>291</v>
      </c>
      <c r="B21" s="101"/>
      <c r="C21" s="101"/>
      <c r="D21" s="101"/>
      <c r="E21" s="101"/>
      <c r="F21" s="101"/>
      <c r="G21" s="101"/>
    </row>
    <row r="22" spans="1:7" ht="28.05" customHeight="1" x14ac:dyDescent="0.3">
      <c r="A22" s="101" t="s">
        <v>292</v>
      </c>
      <c r="B22" s="101"/>
      <c r="C22" s="101"/>
      <c r="D22" s="101"/>
      <c r="E22" s="101"/>
      <c r="F22" s="101"/>
      <c r="G22" s="101"/>
    </row>
    <row r="23" spans="1:7" ht="28.05" customHeight="1" x14ac:dyDescent="0.3">
      <c r="A23" s="101" t="s">
        <v>293</v>
      </c>
      <c r="B23" s="101"/>
      <c r="C23" s="101"/>
      <c r="D23" s="101"/>
      <c r="E23" s="101"/>
      <c r="F23" s="101"/>
      <c r="G23" s="101"/>
    </row>
    <row r="24" spans="1:7" ht="28.05" customHeight="1" x14ac:dyDescent="0.3">
      <c r="A24" s="101" t="s">
        <v>294</v>
      </c>
      <c r="B24" s="101"/>
      <c r="C24" s="101"/>
      <c r="D24" s="101"/>
      <c r="E24" s="101"/>
      <c r="F24" s="101"/>
      <c r="G24" s="101"/>
    </row>
    <row r="25" spans="1:7" ht="28.05" customHeight="1" x14ac:dyDescent="0.3">
      <c r="A25" s="101" t="s">
        <v>295</v>
      </c>
      <c r="B25" s="101"/>
      <c r="C25" s="101"/>
      <c r="D25" s="101"/>
      <c r="E25" s="101"/>
      <c r="F25" s="101"/>
      <c r="G25" s="101"/>
    </row>
    <row r="26" spans="1:7" ht="16.05" customHeight="1" x14ac:dyDescent="0.3">
      <c r="A26" s="101" t="s">
        <v>296</v>
      </c>
      <c r="B26" s="101"/>
      <c r="C26" s="101"/>
      <c r="D26" s="101"/>
      <c r="E26" s="101"/>
      <c r="F26" s="101"/>
      <c r="G26" s="101"/>
    </row>
    <row r="27" spans="1:7" ht="16.05" customHeight="1" x14ac:dyDescent="0.3">
      <c r="A27" s="101" t="s">
        <v>297</v>
      </c>
      <c r="B27" s="101"/>
      <c r="C27" s="101"/>
      <c r="D27" s="101"/>
      <c r="E27" s="101"/>
      <c r="F27" s="101"/>
      <c r="G27" s="101"/>
    </row>
    <row r="28" spans="1:7" ht="4.05" customHeight="1" x14ac:dyDescent="0.3">
      <c r="A28" s="102"/>
      <c r="B28" s="102"/>
      <c r="C28" s="102"/>
      <c r="D28" s="102"/>
      <c r="E28" s="102"/>
      <c r="F28" s="102"/>
      <c r="G28" s="102"/>
    </row>
    <row r="29" spans="1:7" ht="19.05" customHeight="1" x14ac:dyDescent="0.3">
      <c r="A29" s="100" t="s">
        <v>288</v>
      </c>
      <c r="B29" s="100"/>
      <c r="C29" s="100"/>
      <c r="D29" s="100"/>
      <c r="E29" s="100"/>
      <c r="F29" s="100"/>
      <c r="G29" s="100"/>
    </row>
    <row r="30" spans="1:7" ht="28.05" customHeight="1" x14ac:dyDescent="0.3">
      <c r="A30" s="101" t="s">
        <v>298</v>
      </c>
      <c r="B30" s="101"/>
      <c r="C30" s="101"/>
      <c r="D30" s="101"/>
      <c r="E30" s="101"/>
      <c r="F30" s="101"/>
      <c r="G30" s="101"/>
    </row>
    <row r="31" spans="1:7" ht="16.05" customHeight="1" x14ac:dyDescent="0.3">
      <c r="A31" s="101" t="s">
        <v>299</v>
      </c>
      <c r="B31" s="101"/>
      <c r="C31" s="101"/>
      <c r="D31" s="101"/>
      <c r="E31" s="101"/>
      <c r="F31" s="101"/>
      <c r="G31" s="101"/>
    </row>
    <row r="32" spans="1:7" ht="28.05" customHeight="1" x14ac:dyDescent="0.3">
      <c r="A32" s="101" t="s">
        <v>300</v>
      </c>
      <c r="B32" s="101"/>
      <c r="C32" s="101"/>
      <c r="D32" s="101"/>
      <c r="E32" s="101"/>
      <c r="F32" s="101"/>
      <c r="G32" s="101"/>
    </row>
    <row r="33" spans="1:7" ht="4.05" customHeight="1" x14ac:dyDescent="0.3">
      <c r="A33" s="102"/>
      <c r="B33" s="102"/>
      <c r="C33" s="102"/>
      <c r="D33" s="102"/>
      <c r="E33" s="102"/>
      <c r="F33" s="102"/>
      <c r="G33" s="102"/>
    </row>
    <row r="34" spans="1:7" ht="19.05" customHeight="1" x14ac:dyDescent="0.3">
      <c r="A34" s="100" t="s">
        <v>259</v>
      </c>
      <c r="B34" s="100"/>
      <c r="C34" s="100"/>
      <c r="D34" s="100"/>
      <c r="E34" s="100"/>
      <c r="F34" s="100"/>
      <c r="G34" s="100"/>
    </row>
    <row r="35" spans="1:7" ht="16.05" customHeight="1" x14ac:dyDescent="0.3">
      <c r="A35" s="101" t="s">
        <v>301</v>
      </c>
      <c r="B35" s="101"/>
      <c r="C35" s="101"/>
      <c r="D35" s="101"/>
      <c r="E35" s="101"/>
      <c r="F35" s="101"/>
      <c r="G35" s="101"/>
    </row>
    <row r="36" spans="1:7" ht="16.05" customHeight="1" x14ac:dyDescent="0.3">
      <c r="A36" s="101" t="s">
        <v>31</v>
      </c>
      <c r="B36" s="101"/>
      <c r="C36" s="101"/>
      <c r="D36" s="101"/>
      <c r="E36" s="101"/>
      <c r="F36" s="101"/>
      <c r="G36" s="101"/>
    </row>
    <row r="37" spans="1:7" ht="16.05" customHeight="1" x14ac:dyDescent="0.3">
      <c r="A37" s="101" t="s">
        <v>32</v>
      </c>
      <c r="B37" s="101"/>
      <c r="C37" s="101"/>
      <c r="D37" s="101"/>
      <c r="E37" s="101"/>
      <c r="F37" s="101"/>
      <c r="G37" s="101"/>
    </row>
    <row r="38" spans="1:7" ht="16.05" customHeight="1" x14ac:dyDescent="0.3">
      <c r="A38" s="101" t="s">
        <v>33</v>
      </c>
      <c r="B38" s="101"/>
      <c r="C38" s="101"/>
      <c r="D38" s="101"/>
      <c r="E38" s="101"/>
      <c r="F38" s="101"/>
      <c r="G38" s="101"/>
    </row>
    <row r="39" spans="1:7" ht="16.05" customHeight="1" x14ac:dyDescent="0.3">
      <c r="A39" s="101" t="s">
        <v>34</v>
      </c>
      <c r="B39" s="101"/>
      <c r="C39" s="101"/>
      <c r="D39" s="101"/>
      <c r="E39" s="101"/>
      <c r="F39" s="101"/>
      <c r="G39" s="101"/>
    </row>
    <row r="40" spans="1:7" ht="16.05" customHeight="1" x14ac:dyDescent="0.3">
      <c r="A40" s="101" t="s">
        <v>35</v>
      </c>
      <c r="B40" s="101"/>
      <c r="C40" s="101"/>
      <c r="D40" s="101"/>
      <c r="E40" s="101"/>
      <c r="F40" s="101"/>
      <c r="G40" s="101"/>
    </row>
    <row r="41" spans="1:7" ht="4.05" customHeight="1" x14ac:dyDescent="0.3">
      <c r="A41" s="102"/>
      <c r="B41" s="102"/>
      <c r="C41" s="102"/>
      <c r="D41" s="102"/>
      <c r="E41" s="102"/>
      <c r="F41" s="102"/>
      <c r="G41" s="102"/>
    </row>
    <row r="42" spans="1:7" ht="4.05" customHeight="1" x14ac:dyDescent="0.3">
      <c r="A42" s="102"/>
      <c r="B42" s="102"/>
      <c r="C42" s="102"/>
      <c r="D42" s="102"/>
      <c r="E42" s="102"/>
      <c r="F42" s="102"/>
      <c r="G42" s="102"/>
    </row>
    <row r="43" spans="1:7" ht="4.05" customHeight="1" x14ac:dyDescent="0.3">
      <c r="A43" s="102"/>
      <c r="B43" s="102"/>
      <c r="C43" s="102"/>
      <c r="D43" s="102"/>
      <c r="E43" s="102"/>
      <c r="F43" s="102"/>
      <c r="G43" s="102"/>
    </row>
    <row r="44" spans="1:7" ht="4.05" customHeight="1" x14ac:dyDescent="0.3">
      <c r="A44" s="102"/>
      <c r="B44" s="102"/>
      <c r="C44" s="102"/>
      <c r="D44" s="102"/>
      <c r="E44" s="102"/>
      <c r="F44" s="102"/>
      <c r="G44" s="102"/>
    </row>
    <row r="45" spans="1:7" ht="4.05" customHeight="1" x14ac:dyDescent="0.3">
      <c r="A45" s="102"/>
      <c r="B45" s="102"/>
      <c r="C45" s="102"/>
      <c r="D45" s="102"/>
      <c r="E45" s="102"/>
      <c r="F45" s="102"/>
      <c r="G45" s="102"/>
    </row>
    <row r="46" spans="1:7" ht="4.05" customHeight="1" x14ac:dyDescent="0.3">
      <c r="A46" s="102"/>
      <c r="B46" s="102"/>
      <c r="C46" s="102"/>
      <c r="D46" s="102"/>
      <c r="E46" s="102"/>
      <c r="F46" s="102"/>
      <c r="G46" s="102"/>
    </row>
    <row r="47" spans="1:7" ht="4.05" customHeight="1" x14ac:dyDescent="0.3">
      <c r="A47" s="102"/>
      <c r="B47" s="102"/>
      <c r="C47" s="102"/>
      <c r="D47" s="102"/>
      <c r="E47" s="102"/>
      <c r="F47" s="102"/>
      <c r="G47" s="102"/>
    </row>
    <row r="48" spans="1:7" ht="4.05" customHeight="1" x14ac:dyDescent="0.3">
      <c r="A48" s="102"/>
      <c r="B48" s="102"/>
      <c r="C48" s="102"/>
      <c r="D48" s="102"/>
      <c r="E48" s="102"/>
      <c r="F48" s="102"/>
      <c r="G48" s="102"/>
    </row>
    <row r="49" spans="1:7" ht="4.05" customHeight="1" x14ac:dyDescent="0.3">
      <c r="A49" s="102"/>
      <c r="B49" s="102"/>
      <c r="C49" s="102"/>
      <c r="D49" s="102"/>
      <c r="E49" s="102"/>
      <c r="F49" s="102"/>
      <c r="G49" s="102"/>
    </row>
    <row r="50" spans="1:7" ht="4.05" customHeight="1" x14ac:dyDescent="0.3">
      <c r="A50" s="102"/>
      <c r="B50" s="102"/>
      <c r="C50" s="102"/>
      <c r="D50" s="102"/>
      <c r="E50" s="102"/>
      <c r="F50" s="102"/>
      <c r="G50" s="102"/>
    </row>
    <row r="51" spans="1:7" ht="4.05" customHeight="1" x14ac:dyDescent="0.3">
      <c r="A51" s="102"/>
      <c r="B51" s="102"/>
      <c r="C51" s="102"/>
      <c r="D51" s="102"/>
      <c r="E51" s="102"/>
      <c r="F51" s="102"/>
      <c r="G51" s="102"/>
    </row>
    <row r="52" spans="1:7" ht="7.95" customHeight="1" x14ac:dyDescent="0.3">
      <c r="A52" s="51"/>
      <c r="B52" s="51"/>
      <c r="C52" s="51"/>
      <c r="D52" s="51"/>
      <c r="E52" s="51"/>
      <c r="F52" s="51"/>
      <c r="G52" s="51"/>
    </row>
  </sheetData>
  <mergeCells count="23">
    <mergeCell ref="A34:G34"/>
    <mergeCell ref="A38:G38"/>
    <mergeCell ref="A20:G20"/>
    <mergeCell ref="A21:G21"/>
    <mergeCell ref="A22:G22"/>
    <mergeCell ref="A23:G23"/>
    <mergeCell ref="B7:G7"/>
    <mergeCell ref="A36:G36"/>
    <mergeCell ref="A37:G37"/>
    <mergeCell ref="A39:G39"/>
    <mergeCell ref="A40:G40"/>
    <mergeCell ref="A1:G1"/>
    <mergeCell ref="A2:G2"/>
    <mergeCell ref="A30:G30"/>
    <mergeCell ref="A31:G31"/>
    <mergeCell ref="A32:G32"/>
    <mergeCell ref="A35:G35"/>
    <mergeCell ref="A24:G24"/>
    <mergeCell ref="A25:G25"/>
    <mergeCell ref="A26:G26"/>
    <mergeCell ref="A27:G27"/>
    <mergeCell ref="A29:G29"/>
    <mergeCell ref="A19:G19"/>
  </mergeCells>
  <hyperlinks>
    <hyperlink ref="D11" r:id="rId1" xr:uid="{00000000-0004-0000-0000-000000000000}"/>
    <hyperlink ref="D12" r:id="rId2" xr:uid="{00000000-0004-0000-0000-000001000000}"/>
    <hyperlink ref="D13" r:id="rId3" xr:uid="{00000000-0004-0000-0000-000002000000}"/>
    <hyperlink ref="D14" r:id="rId4" xr:uid="{00000000-0004-0000-0000-000003000000}"/>
    <hyperlink ref="D15" r:id="rId5" xr:uid="{00000000-0004-0000-0000-000004000000}"/>
    <hyperlink ref="D16" r:id="rId6" xr:uid="{00000000-0004-0000-0000-000005000000}"/>
    <hyperlink ref="D17" r:id="rId7" xr:uid="{00000000-0004-0000-0000-000006000000}"/>
  </hyperlinks>
  <pageMargins left="0.7" right="0.7" top="0.75" bottom="0.75" header="0.3" footer="0.3"/>
  <pageSetup paperSize="9" scale="96" orientation="landscape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4D3A"/>
    <pageSetUpPr fitToPage="1"/>
  </sheetPr>
  <dimension ref="A1:I164"/>
  <sheetViews>
    <sheetView showGridLines="0" workbookViewId="0">
      <pane xSplit="3" ySplit="7" topLeftCell="D120" activePane="bottomRight" state="frozen"/>
      <selection activeCell="J35" sqref="J35"/>
      <selection pane="topRight" activeCell="J35" sqref="J35"/>
      <selection pane="bottomLeft" activeCell="J35" sqref="J35"/>
      <selection pane="bottomRight" activeCell="A2" sqref="A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36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22027.544913000002</v>
      </c>
      <c r="E9" s="10">
        <v>21331.296362000001</v>
      </c>
      <c r="F9" s="10">
        <v>22229.434463000001</v>
      </c>
      <c r="G9" s="10">
        <v>22156.640533000002</v>
      </c>
      <c r="H9" s="10">
        <v>23359.980509000001</v>
      </c>
      <c r="I9" s="10">
        <v>22777.666270999998</v>
      </c>
    </row>
    <row r="10" spans="1:9" x14ac:dyDescent="0.3">
      <c r="A10" s="24" t="s">
        <v>47</v>
      </c>
      <c r="B10" s="25"/>
      <c r="C10" s="10"/>
      <c r="D10" s="10">
        <v>273.93955899999997</v>
      </c>
      <c r="E10" s="10">
        <v>130.89794699999999</v>
      </c>
      <c r="F10" s="10">
        <v>1943.019581</v>
      </c>
      <c r="G10" s="10">
        <v>999.32660499999997</v>
      </c>
      <c r="H10" s="10">
        <v>2486.634755</v>
      </c>
      <c r="I10" s="10">
        <v>164.578022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6.725911</v>
      </c>
      <c r="E12" s="10">
        <v>2.7013569999999998</v>
      </c>
      <c r="F12" s="10">
        <v>1.567709</v>
      </c>
      <c r="G12" s="10">
        <v>0.50822599999999996</v>
      </c>
      <c r="H12" s="10">
        <v>0.25974199999999997</v>
      </c>
      <c r="I12" s="10">
        <v>11.210982</v>
      </c>
    </row>
    <row r="13" spans="1:9" x14ac:dyDescent="0.3">
      <c r="A13" s="24" t="s">
        <v>50</v>
      </c>
      <c r="B13" s="25"/>
      <c r="C13" s="10"/>
      <c r="D13" s="10">
        <v>4134.0861590000004</v>
      </c>
      <c r="E13" s="10">
        <v>4134.2552089999999</v>
      </c>
      <c r="F13" s="10">
        <v>4324.9107430000004</v>
      </c>
      <c r="G13" s="10">
        <v>4326.3615589999999</v>
      </c>
      <c r="H13" s="10">
        <v>4326.3615589999999</v>
      </c>
      <c r="I13" s="10">
        <v>3691.8396349999998</v>
      </c>
    </row>
    <row r="14" spans="1:9" x14ac:dyDescent="0.3">
      <c r="A14" s="24" t="s">
        <v>51</v>
      </c>
      <c r="B14" s="25"/>
      <c r="C14" s="10"/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</row>
    <row r="15" spans="1:9" x14ac:dyDescent="0.3">
      <c r="A15" s="24" t="s">
        <v>52</v>
      </c>
      <c r="B15" s="25"/>
      <c r="C15" s="10"/>
      <c r="D15" s="10">
        <v>69.765739999999994</v>
      </c>
      <c r="E15" s="10">
        <v>106.58346899999999</v>
      </c>
      <c r="F15" s="10">
        <v>60.785981</v>
      </c>
      <c r="G15" s="10">
        <v>147.38810599999999</v>
      </c>
      <c r="H15" s="10">
        <v>492.917464</v>
      </c>
      <c r="I15" s="10">
        <v>38.326639999999998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26238.122723000004</v>
      </c>
      <c r="E16" s="11">
        <f t="shared" si="0"/>
        <v>25574.836397000003</v>
      </c>
      <c r="F16" s="11">
        <f t="shared" si="0"/>
        <v>26616.698896000002</v>
      </c>
      <c r="G16" s="11">
        <f t="shared" si="0"/>
        <v>26630.898424000003</v>
      </c>
      <c r="H16" s="11">
        <f t="shared" si="0"/>
        <v>28179.519273999998</v>
      </c>
      <c r="I16" s="11">
        <f t="shared" si="0"/>
        <v>26519.043527999998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3070.7691009999999</v>
      </c>
      <c r="E18" s="10">
        <v>4214.8296360000004</v>
      </c>
      <c r="F18" s="10">
        <v>4713.1297640000003</v>
      </c>
      <c r="G18" s="10">
        <v>5785.6834859999999</v>
      </c>
      <c r="H18" s="10">
        <v>4991.3114750000004</v>
      </c>
      <c r="I18" s="10">
        <v>2250.1564370000001</v>
      </c>
    </row>
    <row r="19" spans="1:9" x14ac:dyDescent="0.3">
      <c r="A19" s="24" t="s">
        <v>56</v>
      </c>
      <c r="B19" s="25"/>
      <c r="C19" s="10"/>
      <c r="D19" s="10">
        <v>1112.7762660000001</v>
      </c>
      <c r="E19" s="10">
        <v>1456.156782</v>
      </c>
      <c r="F19" s="10">
        <v>2942.8615540000001</v>
      </c>
      <c r="G19" s="10">
        <v>1793.74244</v>
      </c>
      <c r="H19" s="10">
        <v>2513.556552</v>
      </c>
      <c r="I19" s="10">
        <v>1016.024223</v>
      </c>
    </row>
    <row r="20" spans="1:9" x14ac:dyDescent="0.3">
      <c r="A20" s="24" t="s">
        <v>57</v>
      </c>
      <c r="B20" s="25"/>
      <c r="C20" s="10"/>
      <c r="D20" s="10">
        <v>983.56822299999999</v>
      </c>
      <c r="E20" s="10">
        <v>916.03946900000005</v>
      </c>
      <c r="F20" s="10">
        <v>1205.553375</v>
      </c>
      <c r="G20" s="10">
        <v>2110.2479020000001</v>
      </c>
      <c r="H20" s="10">
        <v>1692.217832</v>
      </c>
      <c r="I20" s="10">
        <v>494.31520599999999</v>
      </c>
    </row>
    <row r="21" spans="1:9" x14ac:dyDescent="0.3">
      <c r="A21" s="24" t="s">
        <v>58</v>
      </c>
      <c r="B21" s="25"/>
      <c r="C21" s="10"/>
      <c r="D21" s="10">
        <v>2999.496423</v>
      </c>
      <c r="E21" s="10">
        <v>10124.095692999999</v>
      </c>
      <c r="F21" s="10">
        <v>12335.073816</v>
      </c>
      <c r="G21" s="10">
        <v>20279.745954000002</v>
      </c>
      <c r="H21" s="10">
        <v>26941.632205000002</v>
      </c>
      <c r="I21" s="10">
        <v>160.13059999999999</v>
      </c>
    </row>
    <row r="22" spans="1:9" x14ac:dyDescent="0.3">
      <c r="A22" s="24" t="s">
        <v>59</v>
      </c>
      <c r="B22" s="25"/>
      <c r="C22" s="10"/>
      <c r="D22" s="10">
        <v>1197.729351</v>
      </c>
      <c r="E22" s="10">
        <v>480.76563199999998</v>
      </c>
      <c r="F22" s="10">
        <v>933.537193</v>
      </c>
      <c r="G22" s="10">
        <v>1102.6491719999999</v>
      </c>
      <c r="H22" s="10">
        <v>1450.7027230000001</v>
      </c>
      <c r="I22" s="10">
        <v>891.606087</v>
      </c>
    </row>
    <row r="23" spans="1:9" x14ac:dyDescent="0.3">
      <c r="A23" s="24" t="s">
        <v>60</v>
      </c>
      <c r="B23" s="25"/>
      <c r="C23" s="10"/>
      <c r="D23" s="10">
        <v>484.45934999999997</v>
      </c>
      <c r="E23" s="10">
        <v>583.94423500000005</v>
      </c>
      <c r="F23" s="10">
        <v>783.22094700000002</v>
      </c>
      <c r="G23" s="10">
        <v>1140.3278190000001</v>
      </c>
      <c r="H23" s="10">
        <v>1025.371707</v>
      </c>
      <c r="I23" s="10">
        <v>425.39122600000002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9848.7987139999987</v>
      </c>
      <c r="E24" s="11">
        <f t="shared" si="1"/>
        <v>17775.831446999997</v>
      </c>
      <c r="F24" s="11">
        <f t="shared" si="1"/>
        <v>22913.376649000002</v>
      </c>
      <c r="G24" s="11">
        <f t="shared" si="1"/>
        <v>32212.396773</v>
      </c>
      <c r="H24" s="11">
        <f t="shared" si="1"/>
        <v>38614.792494000001</v>
      </c>
      <c r="I24" s="11">
        <f t="shared" si="1"/>
        <v>5237.6237789999996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36086.921437000005</v>
      </c>
      <c r="E25" s="11">
        <f t="shared" si="2"/>
        <v>43350.667843999996</v>
      </c>
      <c r="F25" s="11">
        <f t="shared" si="2"/>
        <v>49530.075545</v>
      </c>
      <c r="G25" s="11">
        <f t="shared" si="2"/>
        <v>58843.295196999999</v>
      </c>
      <c r="H25" s="11">
        <f t="shared" si="2"/>
        <v>66794.311768</v>
      </c>
      <c r="I25" s="11">
        <f t="shared" si="2"/>
        <v>31756.667306999996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2008.6129699999999</v>
      </c>
      <c r="E27" s="10">
        <v>2008.6129699999999</v>
      </c>
      <c r="F27" s="10">
        <v>2008.6129699999999</v>
      </c>
      <c r="G27" s="10">
        <v>1958.6129699999999</v>
      </c>
      <c r="H27" s="10">
        <v>1838.6129699999999</v>
      </c>
      <c r="I27" s="10">
        <v>2008.6129699999999</v>
      </c>
    </row>
    <row r="28" spans="1:9" x14ac:dyDescent="0.3">
      <c r="A28" s="24" t="s">
        <v>65</v>
      </c>
      <c r="B28" s="25"/>
      <c r="C28" s="10"/>
      <c r="D28" s="10">
        <v>20214.926401000001</v>
      </c>
      <c r="E28" s="10">
        <v>25237.607261000001</v>
      </c>
      <c r="F28" s="10">
        <v>30601.432002000001</v>
      </c>
      <c r="G28" s="10">
        <v>39131.692321000002</v>
      </c>
      <c r="H28" s="10">
        <v>46116.581816999998</v>
      </c>
      <c r="I28" s="10">
        <v>16718.060354000001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22223.539370999999</v>
      </c>
      <c r="E29" s="11">
        <f t="shared" si="3"/>
        <v>27246.220230999999</v>
      </c>
      <c r="F29" s="11">
        <f t="shared" si="3"/>
        <v>32610.044972</v>
      </c>
      <c r="G29" s="11">
        <f t="shared" si="3"/>
        <v>41090.305291000004</v>
      </c>
      <c r="H29" s="11">
        <f t="shared" si="3"/>
        <v>47955.194787</v>
      </c>
      <c r="I29" s="11">
        <f t="shared" si="3"/>
        <v>18726.673323999999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4405.7653060000002</v>
      </c>
      <c r="E31" s="10">
        <v>3179.400118</v>
      </c>
      <c r="F31" s="10">
        <v>2149.0173749999999</v>
      </c>
      <c r="G31" s="10">
        <v>1118.642478</v>
      </c>
      <c r="H31" s="10">
        <v>1448.977799</v>
      </c>
      <c r="I31" s="10">
        <v>5439.2261420000004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1.328937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</row>
    <row r="34" spans="1:9" x14ac:dyDescent="0.3">
      <c r="A34" s="24" t="s">
        <v>71</v>
      </c>
      <c r="B34" s="25"/>
      <c r="C34" s="10"/>
      <c r="D34" s="10">
        <v>1857.649347</v>
      </c>
      <c r="E34" s="10">
        <v>3407.3736180000001</v>
      </c>
      <c r="F34" s="10">
        <v>4823.1584460000004</v>
      </c>
      <c r="G34" s="10">
        <v>5505.8239940000003</v>
      </c>
      <c r="H34" s="10">
        <v>5688.1160399999999</v>
      </c>
      <c r="I34" s="10">
        <v>1287.9421130000001</v>
      </c>
    </row>
    <row r="35" spans="1:9" x14ac:dyDescent="0.3">
      <c r="A35" s="24" t="s">
        <v>72</v>
      </c>
      <c r="B35" s="25"/>
      <c r="C35" s="10"/>
      <c r="D35" s="10">
        <v>26.394535999999999</v>
      </c>
      <c r="E35" s="10">
        <v>29.683198000000001</v>
      </c>
      <c r="F35" s="10">
        <v>35.383341000000001</v>
      </c>
      <c r="G35" s="10">
        <v>32.887203</v>
      </c>
      <c r="H35" s="10">
        <v>40.322031000000003</v>
      </c>
      <c r="I35" s="10">
        <v>23.277456000000001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6291.1381259999998</v>
      </c>
      <c r="E36" s="11">
        <f t="shared" si="4"/>
        <v>6616.4569339999998</v>
      </c>
      <c r="F36" s="11">
        <f t="shared" si="4"/>
        <v>7007.5591620000005</v>
      </c>
      <c r="G36" s="11">
        <f t="shared" si="4"/>
        <v>6657.3536750000003</v>
      </c>
      <c r="H36" s="11">
        <f t="shared" si="4"/>
        <v>7177.4158699999998</v>
      </c>
      <c r="I36" s="11">
        <f t="shared" si="4"/>
        <v>6750.4457110000003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4985.3855290000001</v>
      </c>
      <c r="E38" s="10">
        <v>5525.2212079999999</v>
      </c>
      <c r="F38" s="10">
        <v>5307.0753530000002</v>
      </c>
      <c r="G38" s="10">
        <v>6223.1533209999998</v>
      </c>
      <c r="H38" s="10">
        <v>7710.0123979999998</v>
      </c>
      <c r="I38" s="10">
        <v>4293.205395</v>
      </c>
    </row>
    <row r="39" spans="1:9" x14ac:dyDescent="0.3">
      <c r="A39" s="24" t="s">
        <v>76</v>
      </c>
      <c r="B39" s="25"/>
      <c r="C39" s="10"/>
      <c r="D39" s="10">
        <v>137.0915</v>
      </c>
      <c r="E39" s="10">
        <v>264.98440799999997</v>
      </c>
      <c r="F39" s="10">
        <v>253.13594499999999</v>
      </c>
      <c r="G39" s="10">
        <v>113.418606</v>
      </c>
      <c r="H39" s="10">
        <v>144.300907</v>
      </c>
      <c r="I39" s="10">
        <v>126.582689</v>
      </c>
    </row>
    <row r="40" spans="1:9" x14ac:dyDescent="0.3">
      <c r="A40" s="24" t="s">
        <v>77</v>
      </c>
      <c r="B40" s="25"/>
      <c r="C40" s="10"/>
      <c r="D40" s="10">
        <v>122.613973</v>
      </c>
      <c r="E40" s="10">
        <v>142.17199299999999</v>
      </c>
      <c r="F40" s="10">
        <v>192.67479</v>
      </c>
      <c r="G40" s="10">
        <v>0</v>
      </c>
      <c r="H40" s="10">
        <v>0</v>
      </c>
      <c r="I40" s="10">
        <v>208.76675599999999</v>
      </c>
    </row>
    <row r="41" spans="1:9" x14ac:dyDescent="0.3">
      <c r="A41" s="24" t="s">
        <v>78</v>
      </c>
      <c r="B41" s="25"/>
      <c r="C41" s="10"/>
      <c r="D41" s="10">
        <v>498</v>
      </c>
      <c r="E41" s="10">
        <v>0</v>
      </c>
      <c r="F41" s="10">
        <v>0</v>
      </c>
      <c r="G41" s="10">
        <v>6.1253000000000002E-2</v>
      </c>
      <c r="H41" s="10">
        <v>3.7048839999999998</v>
      </c>
      <c r="I41" s="10">
        <v>1301.6090999999999</v>
      </c>
    </row>
    <row r="42" spans="1:9" x14ac:dyDescent="0.3">
      <c r="A42" s="24" t="s">
        <v>79</v>
      </c>
      <c r="B42" s="25"/>
      <c r="C42" s="10"/>
      <c r="D42" s="10">
        <v>1147.020843</v>
      </c>
      <c r="E42" s="10">
        <v>1071.912356</v>
      </c>
      <c r="F42" s="10">
        <v>1034.355873</v>
      </c>
      <c r="G42" s="10">
        <v>1169.2956429999999</v>
      </c>
      <c r="H42" s="10">
        <v>837.35925799999995</v>
      </c>
      <c r="I42" s="10">
        <v>248.49632199999999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</row>
    <row r="45" spans="1:9" x14ac:dyDescent="0.3">
      <c r="A45" s="24" t="s">
        <v>82</v>
      </c>
      <c r="B45" s="25"/>
      <c r="C45" s="10"/>
      <c r="D45" s="10">
        <v>46.197552000000002</v>
      </c>
      <c r="E45" s="10">
        <v>45.648049</v>
      </c>
      <c r="F45" s="10">
        <v>45.47522</v>
      </c>
      <c r="G45" s="10">
        <v>45.338931000000002</v>
      </c>
      <c r="H45" s="10">
        <v>42.181257000000002</v>
      </c>
      <c r="I45" s="10">
        <v>48.014347999999998</v>
      </c>
    </row>
    <row r="46" spans="1:9" x14ac:dyDescent="0.3">
      <c r="A46" s="24" t="s">
        <v>83</v>
      </c>
      <c r="B46" s="25"/>
      <c r="C46" s="10"/>
      <c r="D46" s="10">
        <v>635.93454299999996</v>
      </c>
      <c r="E46" s="10">
        <v>2438.0526650000002</v>
      </c>
      <c r="F46" s="10">
        <v>3079.75423</v>
      </c>
      <c r="G46" s="10">
        <v>3544.368477</v>
      </c>
      <c r="H46" s="10">
        <v>2924.1424069999998</v>
      </c>
      <c r="I46" s="10">
        <v>52.873660999999998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7572.2439400000003</v>
      </c>
      <c r="E48" s="11">
        <f t="shared" si="5"/>
        <v>9487.9906790000005</v>
      </c>
      <c r="F48" s="11">
        <f t="shared" si="5"/>
        <v>9912.4714110000004</v>
      </c>
      <c r="G48" s="11">
        <f t="shared" si="5"/>
        <v>11095.636231</v>
      </c>
      <c r="H48" s="11">
        <f t="shared" si="5"/>
        <v>11661.701110999998</v>
      </c>
      <c r="I48" s="11">
        <f t="shared" si="5"/>
        <v>6279.5482709999987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13863.382066</v>
      </c>
      <c r="E49" s="11">
        <f t="shared" si="6"/>
        <v>16104.447613</v>
      </c>
      <c r="F49" s="11">
        <f t="shared" si="6"/>
        <v>16920.030573</v>
      </c>
      <c r="G49" s="11">
        <f t="shared" si="6"/>
        <v>17752.989906000003</v>
      </c>
      <c r="H49" s="11">
        <f t="shared" si="6"/>
        <v>18839.116980999999</v>
      </c>
      <c r="I49" s="11">
        <f t="shared" si="6"/>
        <v>13029.993982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36086.921436999997</v>
      </c>
      <c r="E50" s="11">
        <f t="shared" si="7"/>
        <v>43350.667843999996</v>
      </c>
      <c r="F50" s="11">
        <f t="shared" si="7"/>
        <v>49530.075545</v>
      </c>
      <c r="G50" s="11">
        <f t="shared" si="7"/>
        <v>58843.295197000007</v>
      </c>
      <c r="H50" s="11">
        <f t="shared" si="7"/>
        <v>66794.311768</v>
      </c>
      <c r="I50" s="11">
        <f t="shared" si="7"/>
        <v>31756.667305999999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1555.157545</v>
      </c>
      <c r="E52" s="10">
        <v>1281.5597969999999</v>
      </c>
      <c r="F52" s="10">
        <v>674.67428399999994</v>
      </c>
      <c r="G52" s="10">
        <v>1781.4468710000001</v>
      </c>
      <c r="H52" s="10">
        <v>2107.1359750000001</v>
      </c>
      <c r="I52" s="10">
        <v>1091.3009709999999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21753.605354000003</v>
      </c>
      <c r="E53" s="10">
        <f t="shared" si="8"/>
        <v>21200.398415</v>
      </c>
      <c r="F53" s="10">
        <f t="shared" si="8"/>
        <v>20286.414882000001</v>
      </c>
      <c r="G53" s="10">
        <f t="shared" si="8"/>
        <v>21157.313928000003</v>
      </c>
      <c r="H53" s="10">
        <f t="shared" si="8"/>
        <v>20873.345754000002</v>
      </c>
      <c r="I53" s="10">
        <f t="shared" si="8"/>
        <v>22613.088248999997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4183.5453669999997</v>
      </c>
      <c r="E54" s="10">
        <f t="shared" si="9"/>
        <v>5670.9864180000004</v>
      </c>
      <c r="F54" s="10">
        <f t="shared" si="9"/>
        <v>7655.9913180000003</v>
      </c>
      <c r="G54" s="10">
        <f t="shared" si="9"/>
        <v>7579.4259259999999</v>
      </c>
      <c r="H54" s="10">
        <f t="shared" si="9"/>
        <v>7504.8680270000004</v>
      </c>
      <c r="I54" s="10">
        <f t="shared" si="9"/>
        <v>3266.18066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6050.7861490000005</v>
      </c>
      <c r="E55" s="10">
        <f t="shared" si="10"/>
        <v>4251.3124740000003</v>
      </c>
      <c r="F55" s="10">
        <f t="shared" si="10"/>
        <v>3183.3732479999999</v>
      </c>
      <c r="G55" s="10">
        <f t="shared" si="10"/>
        <v>2153.059604</v>
      </c>
      <c r="H55" s="10">
        <f t="shared" si="10"/>
        <v>2242.6215440000001</v>
      </c>
      <c r="I55" s="10">
        <f t="shared" si="10"/>
        <v>6989.3315640000001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4405.7653060000002</v>
      </c>
      <c r="E56" s="10">
        <f t="shared" si="11"/>
        <v>3179.400118</v>
      </c>
      <c r="F56" s="10">
        <f t="shared" si="11"/>
        <v>2149.0173749999999</v>
      </c>
      <c r="G56" s="10">
        <f t="shared" si="11"/>
        <v>1118.642478</v>
      </c>
      <c r="H56" s="10">
        <f t="shared" si="11"/>
        <v>1448.977799</v>
      </c>
      <c r="I56" s="10">
        <f t="shared" si="11"/>
        <v>5439.2261420000004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28274.325519999999</v>
      </c>
      <c r="E58" s="10">
        <f t="shared" si="12"/>
        <v>31497.532704999998</v>
      </c>
      <c r="F58" s="10">
        <f t="shared" si="12"/>
        <v>35793.41822</v>
      </c>
      <c r="G58" s="10">
        <f t="shared" si="12"/>
        <v>43243.364895000006</v>
      </c>
      <c r="H58" s="10">
        <f t="shared" si="12"/>
        <v>50197.816331000002</v>
      </c>
      <c r="I58" s="10">
        <f t="shared" si="12"/>
        <v>25716.004887999999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5651.5729399999982</v>
      </c>
      <c r="E59" s="10">
        <f t="shared" si="13"/>
        <v>7170.9701219999988</v>
      </c>
      <c r="F59" s="10">
        <f t="shared" si="13"/>
        <v>9644.7656400000014</v>
      </c>
      <c r="G59" s="10">
        <f t="shared" si="13"/>
        <v>10830.001646999997</v>
      </c>
      <c r="H59" s="10">
        <f t="shared" si="13"/>
        <v>10222.457565999997</v>
      </c>
      <c r="I59" s="10">
        <f t="shared" si="13"/>
        <v>4185.887091999999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5758.411572</v>
      </c>
      <c r="E60" s="10">
        <f t="shared" si="14"/>
        <v>8228.2582810000004</v>
      </c>
      <c r="F60" s="10">
        <f t="shared" si="14"/>
        <v>8639.9655280000006</v>
      </c>
      <c r="G60" s="10">
        <f t="shared" si="14"/>
        <v>9880.9404040000009</v>
      </c>
      <c r="H60" s="10">
        <f t="shared" si="14"/>
        <v>10778.455711999997</v>
      </c>
      <c r="I60" s="10">
        <f t="shared" si="14"/>
        <v>4472.6617449999994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24057.375992000001</v>
      </c>
      <c r="E64" s="10">
        <v>32876.949179000003</v>
      </c>
      <c r="F64" s="10">
        <v>38921.635349999997</v>
      </c>
      <c r="G64" s="10">
        <v>38647.767972000001</v>
      </c>
      <c r="H64" s="10">
        <v>37535.700371999999</v>
      </c>
      <c r="I64" s="10">
        <v>11300.240540000001</v>
      </c>
    </row>
    <row r="65" spans="1:9" x14ac:dyDescent="0.3">
      <c r="A65" s="24" t="s">
        <v>99</v>
      </c>
      <c r="B65" s="25"/>
      <c r="C65" s="10"/>
      <c r="D65" s="10">
        <v>-18092.026933000001</v>
      </c>
      <c r="E65" s="10">
        <v>-23065.180670000002</v>
      </c>
      <c r="F65" s="10">
        <v>-28488.941331000002</v>
      </c>
      <c r="G65" s="10">
        <v>-27391.276476999999</v>
      </c>
      <c r="H65" s="10">
        <v>-22814.094271000002</v>
      </c>
      <c r="I65" s="10">
        <v>-11324.560852000001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5965.3490590000001</v>
      </c>
      <c r="E66" s="11">
        <f t="shared" si="15"/>
        <v>9811.7685090000014</v>
      </c>
      <c r="F66" s="11">
        <f t="shared" si="15"/>
        <v>10432.694018999995</v>
      </c>
      <c r="G66" s="11">
        <f t="shared" si="15"/>
        <v>11256.491495000002</v>
      </c>
      <c r="H66" s="11">
        <f t="shared" si="15"/>
        <v>14721.606100999998</v>
      </c>
      <c r="I66" s="11">
        <f t="shared" si="15"/>
        <v>-24.320311999999831</v>
      </c>
    </row>
    <row r="67" spans="1:9" x14ac:dyDescent="0.3">
      <c r="A67" s="24" t="s">
        <v>101</v>
      </c>
      <c r="B67" s="25"/>
      <c r="C67" s="10"/>
      <c r="D67" s="10">
        <v>-94.165965</v>
      </c>
      <c r="E67" s="10">
        <v>-122.136736</v>
      </c>
      <c r="F67" s="10">
        <v>-176.123458</v>
      </c>
      <c r="G67" s="10">
        <v>-197.25935899999999</v>
      </c>
      <c r="H67" s="10">
        <v>-225.60041699999999</v>
      </c>
      <c r="I67" s="10">
        <v>-64.260434000000004</v>
      </c>
    </row>
    <row r="68" spans="1:9" x14ac:dyDescent="0.3">
      <c r="A68" s="24" t="s">
        <v>102</v>
      </c>
      <c r="B68" s="25"/>
      <c r="C68" s="10"/>
      <c r="D68" s="10">
        <v>-313.52467000000001</v>
      </c>
      <c r="E68" s="10">
        <v>-353.52284600000002</v>
      </c>
      <c r="F68" s="10">
        <v>-396.23005499999999</v>
      </c>
      <c r="G68" s="10">
        <v>-488.04283099999998</v>
      </c>
      <c r="H68" s="10">
        <v>-695.55311800000004</v>
      </c>
      <c r="I68" s="10">
        <v>-238.72760299999999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2.010516</v>
      </c>
      <c r="H69" s="10">
        <v>-44.078564999999998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-325.32307400000002</v>
      </c>
      <c r="E70" s="10">
        <v>-563.05238199999997</v>
      </c>
      <c r="F70" s="10">
        <v>-736.51295900000002</v>
      </c>
      <c r="G70" s="10">
        <v>-571.95038899999997</v>
      </c>
      <c r="H70" s="10">
        <v>-940.35906499999999</v>
      </c>
      <c r="I70" s="10">
        <v>-16.456530000000001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5232.3353500000003</v>
      </c>
      <c r="E71" s="11">
        <f t="shared" si="16"/>
        <v>8773.0565450000013</v>
      </c>
      <c r="F71" s="11">
        <f t="shared" si="16"/>
        <v>9123.8275469999953</v>
      </c>
      <c r="G71" s="11">
        <f t="shared" si="16"/>
        <v>10001.249432000002</v>
      </c>
      <c r="H71" s="11">
        <f t="shared" si="16"/>
        <v>12816.014935999998</v>
      </c>
      <c r="I71" s="11">
        <f t="shared" si="16"/>
        <v>-343.76487899999978</v>
      </c>
    </row>
    <row r="72" spans="1:9" x14ac:dyDescent="0.3">
      <c r="A72" s="24" t="s">
        <v>106</v>
      </c>
      <c r="B72" s="25"/>
      <c r="C72" s="10"/>
      <c r="D72" s="10">
        <v>170.67466999999999</v>
      </c>
      <c r="E72" s="10">
        <v>690.14339600000005</v>
      </c>
      <c r="F72" s="10">
        <v>2085.8080530000002</v>
      </c>
      <c r="G72" s="10">
        <v>4452.4165130000001</v>
      </c>
      <c r="H72" s="10">
        <v>5280.7191970000003</v>
      </c>
      <c r="I72" s="10">
        <v>196.15211199999999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-517.05541300000004</v>
      </c>
      <c r="E75" s="10">
        <v>-537.71081500000003</v>
      </c>
      <c r="F75" s="10">
        <v>-740.307772</v>
      </c>
      <c r="G75" s="10">
        <v>-677.38084500000002</v>
      </c>
      <c r="H75" s="10">
        <v>-349.91071599999998</v>
      </c>
      <c r="I75" s="10">
        <v>-409.70218299999999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4885.9546070000006</v>
      </c>
      <c r="E76" s="11">
        <f t="shared" si="17"/>
        <v>8925.4891260000004</v>
      </c>
      <c r="F76" s="11">
        <f t="shared" si="17"/>
        <v>10469.327827999996</v>
      </c>
      <c r="G76" s="11">
        <f t="shared" si="17"/>
        <v>13776.285100000003</v>
      </c>
      <c r="H76" s="11">
        <f t="shared" si="17"/>
        <v>17746.823417</v>
      </c>
      <c r="I76" s="11">
        <f t="shared" si="17"/>
        <v>-557.31494999999973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-343.98100499999998</v>
      </c>
      <c r="G77" s="10">
        <v>-844.15136500000006</v>
      </c>
      <c r="H77" s="10">
        <v>-58.631368000000002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-1388.4473599999999</v>
      </c>
      <c r="E78" s="10">
        <v>-3901.2088659999999</v>
      </c>
      <c r="F78" s="10">
        <v>-4304.5956779999997</v>
      </c>
      <c r="G78" s="10">
        <v>-4038.6789480000002</v>
      </c>
      <c r="H78" s="10">
        <v>-6113.0379780000003</v>
      </c>
      <c r="I78" s="10">
        <v>113.579251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3497.5072470000005</v>
      </c>
      <c r="E79" s="11">
        <f t="shared" si="18"/>
        <v>5024.2802600000005</v>
      </c>
      <c r="F79" s="11">
        <f t="shared" si="18"/>
        <v>5820.7511449999965</v>
      </c>
      <c r="G79" s="11">
        <f t="shared" si="18"/>
        <v>8893.4547870000024</v>
      </c>
      <c r="H79" s="11">
        <f t="shared" si="18"/>
        <v>11575.154071000001</v>
      </c>
      <c r="I79" s="11">
        <f t="shared" si="18"/>
        <v>-443.73569899999973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1230.6927009999999</v>
      </c>
      <c r="E81" s="10">
        <v>1118.1098160000001</v>
      </c>
      <c r="F81" s="10">
        <v>1116.0133900000001</v>
      </c>
      <c r="G81" s="10">
        <v>1182.7871740000001</v>
      </c>
      <c r="H81" s="10">
        <v>1264.994747</v>
      </c>
      <c r="I81" s="10"/>
    </row>
    <row r="82" spans="1:9" x14ac:dyDescent="0.3">
      <c r="A82" s="24" t="s">
        <v>116</v>
      </c>
      <c r="B82" s="25"/>
      <c r="C82" s="10"/>
      <c r="D82" s="10">
        <f>D76+D85</f>
        <v>5376.2589380000009</v>
      </c>
      <c r="E82" s="10">
        <f>E76+E85</f>
        <v>9440.8254749999996</v>
      </c>
      <c r="F82" s="10">
        <f>F76+F85</f>
        <v>11152.891156999996</v>
      </c>
      <c r="G82" s="10">
        <f>G76+G85</f>
        <v>14422.469235000002</v>
      </c>
      <c r="H82" s="10">
        <f>H76+H85</f>
        <v>18053.034155999998</v>
      </c>
      <c r="I82" s="10">
        <f>I76-I75</f>
        <v>-147.61276699999974</v>
      </c>
    </row>
    <row r="83" spans="1:9" x14ac:dyDescent="0.3">
      <c r="A83" s="24" t="s">
        <v>117</v>
      </c>
      <c r="B83" s="25"/>
      <c r="C83" s="10"/>
      <c r="D83" s="10">
        <f>D82+D81</f>
        <v>6606.9516390000008</v>
      </c>
      <c r="E83" s="10">
        <f>E82+E81</f>
        <v>10558.935291</v>
      </c>
      <c r="F83" s="10">
        <f>F82+F81</f>
        <v>12268.904546999996</v>
      </c>
      <c r="G83" s="10">
        <f>G82+G81</f>
        <v>15605.256409000001</v>
      </c>
      <c r="H83" s="10">
        <f>H82+H81</f>
        <v>19318.028902999999</v>
      </c>
      <c r="I83" s="10"/>
    </row>
    <row r="84" spans="1:9" x14ac:dyDescent="0.3">
      <c r="A84" s="24" t="s">
        <v>118</v>
      </c>
      <c r="B84" s="25"/>
      <c r="C84" s="10"/>
      <c r="D84" s="10">
        <v>26.751082</v>
      </c>
      <c r="E84" s="10">
        <v>22.374466000000002</v>
      </c>
      <c r="F84" s="10">
        <v>56.744442999999997</v>
      </c>
      <c r="G84" s="10">
        <v>31.196709999999999</v>
      </c>
      <c r="H84" s="10">
        <v>43.699976999999997</v>
      </c>
      <c r="I84" s="12"/>
    </row>
    <row r="85" spans="1:9" x14ac:dyDescent="0.3">
      <c r="A85" s="24" t="s">
        <v>119</v>
      </c>
      <c r="B85" s="25"/>
      <c r="C85" s="10"/>
      <c r="D85" s="10">
        <f>-D75-D84</f>
        <v>490.30433100000005</v>
      </c>
      <c r="E85" s="10">
        <f>-E75-E84</f>
        <v>515.33634900000004</v>
      </c>
      <c r="F85" s="10">
        <f>-F75-F84</f>
        <v>683.56332899999995</v>
      </c>
      <c r="G85" s="10">
        <f>-G75-G84</f>
        <v>646.18413499999997</v>
      </c>
      <c r="H85" s="10">
        <f>-H75-H84</f>
        <v>306.21073899999999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0.28417115419181377</v>
      </c>
      <c r="E86" s="13">
        <f>IF(E76&lt;=0,"n/m",-(E77+E78)/E76)</f>
        <v>0.43708628299548946</v>
      </c>
      <c r="F86" s="13">
        <f>IF(F76&lt;=0,"n/m",-(F77+F78)/F76)</f>
        <v>0.44401863800343316</v>
      </c>
      <c r="G86" s="13">
        <f>IF(G76&lt;=0,"n/m",-(G77+G78)/G76)</f>
        <v>0.35443737390423197</v>
      </c>
      <c r="H86" s="13">
        <f>IF(H76&lt;=0,"n/m",-(H77+H78)/H76)</f>
        <v>0.34776191778006016</v>
      </c>
      <c r="I86" s="12"/>
    </row>
    <row r="87" spans="1:9" x14ac:dyDescent="0.3">
      <c r="A87" s="24" t="s">
        <v>121</v>
      </c>
      <c r="B87" s="25"/>
      <c r="C87" s="13"/>
      <c r="D87" s="13">
        <f>D86</f>
        <v>0.28417115419181377</v>
      </c>
      <c r="E87" s="13">
        <f>E86</f>
        <v>0.43708628299548946</v>
      </c>
      <c r="F87" s="13">
        <f>F86</f>
        <v>0.44401863800343316</v>
      </c>
      <c r="G87" s="13">
        <f>G86</f>
        <v>0.35443737390423197</v>
      </c>
      <c r="H87" s="13">
        <f>H86</f>
        <v>0.34776191778006016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3848.4812303544859</v>
      </c>
      <c r="E88" s="10">
        <f>IF(ISNUMBER(E87),E82*(1-E87),"n/m")</f>
        <v>5314.3701597231238</v>
      </c>
      <c r="F88" s="10">
        <f>IF(ISNUMBER(F87),F82*(1-F87),"n/m")</f>
        <v>6200.7996156683239</v>
      </c>
      <c r="G88" s="10">
        <f>IF(ISNUMBER(G87),G82*(1-G87),"n/m")</f>
        <v>9310.6071141320244</v>
      </c>
      <c r="H88" s="10">
        <f>IF(ISNUMBER(H87),H82*(1-H87),"n/m")</f>
        <v>11774.87637616051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6012.0307430000003</v>
      </c>
      <c r="E92" s="10">
        <v>9429.2529919999997</v>
      </c>
      <c r="F92" s="10">
        <v>7862.5932089999997</v>
      </c>
      <c r="G92" s="10">
        <v>11482.975487</v>
      </c>
      <c r="H92" s="10">
        <v>16574.725509</v>
      </c>
      <c r="I92" s="10">
        <v>246.21905100000001</v>
      </c>
    </row>
    <row r="93" spans="1:9" x14ac:dyDescent="0.3">
      <c r="A93" s="24" t="s">
        <v>125</v>
      </c>
      <c r="B93" s="25"/>
      <c r="C93" s="10"/>
      <c r="D93" s="10">
        <v>5089.3158640000001</v>
      </c>
      <c r="E93" s="10">
        <v>8181.3578900000002</v>
      </c>
      <c r="F93" s="10">
        <v>4452.0817610000004</v>
      </c>
      <c r="G93" s="10">
        <v>6647.173409</v>
      </c>
      <c r="H93" s="10">
        <v>9378.2885380000007</v>
      </c>
      <c r="I93" s="10">
        <v>-502.39586000000003</v>
      </c>
    </row>
    <row r="94" spans="1:9" x14ac:dyDescent="0.3">
      <c r="A94" s="24" t="s">
        <v>126</v>
      </c>
      <c r="B94" s="25"/>
      <c r="C94" s="10"/>
      <c r="D94" s="10">
        <v>-3950.1783479999999</v>
      </c>
      <c r="E94" s="10">
        <v>-7092.9885160000003</v>
      </c>
      <c r="F94" s="10">
        <v>-2470.5157629999999</v>
      </c>
      <c r="G94" s="10">
        <v>-5030.3240939999996</v>
      </c>
      <c r="H94" s="10">
        <v>-4398.5957699999999</v>
      </c>
      <c r="I94" s="10">
        <v>-18.793346</v>
      </c>
    </row>
    <row r="95" spans="1:9" x14ac:dyDescent="0.3">
      <c r="A95" s="24" t="s">
        <v>127</v>
      </c>
      <c r="B95" s="25"/>
      <c r="C95" s="10"/>
      <c r="D95" s="10">
        <v>-943.01425200000006</v>
      </c>
      <c r="E95" s="10">
        <v>-1805.333093</v>
      </c>
      <c r="F95" s="10">
        <v>-1528.794437</v>
      </c>
      <c r="G95" s="10">
        <v>-1447.7373359999999</v>
      </c>
      <c r="H95" s="10">
        <v>-4631.6392169999999</v>
      </c>
      <c r="I95" s="10">
        <v>838.90926999999999</v>
      </c>
    </row>
    <row r="96" spans="1:9" x14ac:dyDescent="0.3">
      <c r="A96" s="24" t="s">
        <v>128</v>
      </c>
      <c r="B96" s="25"/>
      <c r="C96" s="10"/>
      <c r="D96" s="10">
        <v>-610.59704499999998</v>
      </c>
      <c r="E96" s="10">
        <v>-461.84737000000001</v>
      </c>
      <c r="F96" s="10">
        <v>-2015.8970380000001</v>
      </c>
      <c r="G96" s="10">
        <v>-1107.2849329999999</v>
      </c>
      <c r="H96" s="10">
        <v>-2398.9193359999999</v>
      </c>
      <c r="I96" s="10">
        <v>-1704.7789439999999</v>
      </c>
    </row>
    <row r="97" spans="1:9" x14ac:dyDescent="0.3">
      <c r="A97" s="24" t="s">
        <v>129</v>
      </c>
      <c r="B97" s="25"/>
      <c r="C97" s="10"/>
      <c r="D97" s="10">
        <v>-599.22721799999999</v>
      </c>
      <c r="E97" s="10">
        <v>-514.17181700000003</v>
      </c>
      <c r="F97" s="10">
        <v>-685.82399699999996</v>
      </c>
      <c r="G97" s="10">
        <v>-731.07363399999997</v>
      </c>
      <c r="H97" s="10">
        <v>-391.06182100000001</v>
      </c>
      <c r="I97" s="10">
        <v>-302.106064</v>
      </c>
    </row>
    <row r="98" spans="1:9" x14ac:dyDescent="0.3">
      <c r="A98" s="24" t="s">
        <v>130</v>
      </c>
      <c r="B98" s="25"/>
      <c r="C98" s="10"/>
      <c r="D98" s="10">
        <v>-1.8167960000000001</v>
      </c>
      <c r="E98" s="10">
        <v>-0.54950299999999996</v>
      </c>
      <c r="F98" s="10">
        <v>-0.17282900000000001</v>
      </c>
      <c r="G98" s="10">
        <v>-0.13628899999999999</v>
      </c>
      <c r="H98" s="10">
        <v>-3.1576740000000001</v>
      </c>
      <c r="I98" s="10">
        <v>-499.29020300000002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200.86129699999998</v>
      </c>
      <c r="E103" s="15">
        <f>E27/E102-E107</f>
        <v>200.86129699999998</v>
      </c>
      <c r="F103" s="15">
        <f>F27/F102-F107</f>
        <v>200.86129699999998</v>
      </c>
      <c r="G103" s="15">
        <f>G27/G102-G107</f>
        <v>195.86129699999998</v>
      </c>
      <c r="H103" s="15">
        <f>H27/H102-H107</f>
        <v>183.86129699999998</v>
      </c>
    </row>
    <row r="104" spans="1:9" x14ac:dyDescent="0.3">
      <c r="A104" s="24" t="s">
        <v>134</v>
      </c>
      <c r="B104" s="25"/>
      <c r="C104" s="15"/>
      <c r="D104" s="15">
        <v>200.86129700000001</v>
      </c>
      <c r="E104" s="15">
        <v>200.86129700000001</v>
      </c>
      <c r="F104" s="15">
        <v>200.86129700000001</v>
      </c>
      <c r="G104" s="15">
        <v>196.435067</v>
      </c>
      <c r="H104" s="15">
        <v>193.42841999999999</v>
      </c>
    </row>
    <row r="105" spans="1:9" x14ac:dyDescent="0.3">
      <c r="A105" s="24" t="s">
        <v>135</v>
      </c>
      <c r="B105" s="25"/>
      <c r="C105" s="14"/>
      <c r="D105" s="14">
        <v>206.49</v>
      </c>
      <c r="E105" s="14">
        <v>130.13</v>
      </c>
      <c r="F105" s="14">
        <v>173.47</v>
      </c>
      <c r="G105" s="14">
        <v>250.43</v>
      </c>
      <c r="H105" s="14">
        <v>379.36</v>
      </c>
    </row>
    <row r="106" spans="1:9" x14ac:dyDescent="0.3">
      <c r="A106" s="24" t="s">
        <v>136</v>
      </c>
      <c r="B106" s="25"/>
      <c r="C106" s="14"/>
      <c r="D106" s="52">
        <v>0</v>
      </c>
      <c r="E106" s="52">
        <v>0</v>
      </c>
      <c r="F106" s="52">
        <v>0</v>
      </c>
      <c r="G106" s="52">
        <v>0</v>
      </c>
      <c r="H106" s="52">
        <v>0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260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2" t="s">
        <v>141</v>
      </c>
      <c r="B110" s="92"/>
      <c r="C110" s="92"/>
      <c r="D110" s="92"/>
      <c r="E110" s="92"/>
      <c r="F110" s="92"/>
      <c r="G110" s="92"/>
      <c r="H110" s="92"/>
    </row>
    <row r="111" spans="1:9" ht="27" customHeight="1" x14ac:dyDescent="0.3">
      <c r="A111" s="73" t="s">
        <v>142</v>
      </c>
      <c r="B111" s="30" t="s">
        <v>143</v>
      </c>
      <c r="C111" s="80" t="s">
        <v>261</v>
      </c>
      <c r="D111" s="74">
        <f>IF(OR(NOT(ISNUMBER(D24)),NOT(ISNUMBER(D48))),"n/m",IF(OR((D48)&lt;=0,(D24)&lt;0),"n/m",(D24)/(D48)))</f>
        <v>1.3006446691414961</v>
      </c>
      <c r="E111" s="74">
        <f>IF(OR(NOT(ISNUMBER(E24)),NOT(ISNUMBER(E48))),"n/m",IF(OR((E48)&lt;=0,(E24)&lt;0),"n/m",(E24)/(E48)))</f>
        <v>1.8735085276109804</v>
      </c>
      <c r="F111" s="74">
        <f>IF(OR(NOT(ISNUMBER(F24)),NOT(ISNUMBER(F48))),"n/m",IF(OR((F48)&lt;=0,(F24)&lt;0),"n/m",(F24)/(F48)))</f>
        <v>2.311570515459215</v>
      </c>
      <c r="G111" s="74">
        <f>IF(OR(NOT(ISNUMBER(G24)),NOT(ISNUMBER(G48))),"n/m",IF(OR((G48)&lt;=0,(G24)&lt;0),"n/m",(G24)/(G48)))</f>
        <v>2.9031590530160019</v>
      </c>
      <c r="H111" s="74">
        <f>IF(OR(NOT(ISNUMBER(H24)),NOT(ISNUMBER(H48))),"n/m",IF(OR((H48)&lt;=0,(H24)&lt;0),"n/m",(H24)/(H48)))</f>
        <v>3.311248687172772</v>
      </c>
    </row>
    <row r="112" spans="1:9" ht="27" customHeight="1" x14ac:dyDescent="0.3">
      <c r="A112" s="73" t="s">
        <v>144</v>
      </c>
      <c r="B112" s="30" t="s">
        <v>145</v>
      </c>
      <c r="C112" s="80" t="s">
        <v>262</v>
      </c>
      <c r="D112" s="74">
        <f>IF(OR(NOT(ISNUMBER(D24-D54)),NOT(ISNUMBER(D48))),"n/m",IF(OR((D48)&lt;=0,(D24-D54)&lt;0),"n/m",(D24-D54)/(D48)))</f>
        <v>0.74816043855554903</v>
      </c>
      <c r="E112" s="74">
        <f>IF(OR(NOT(ISNUMBER(E24-E54)),NOT(ISNUMBER(E48))),"n/m",IF(OR((E48)&lt;=0,(E24-E54)&lt;0),"n/m",(E24-E54)/(E48)))</f>
        <v>1.2758070110452304</v>
      </c>
      <c r="F112" s="74">
        <f>IF(OR(NOT(ISNUMBER(F24-F54)),NOT(ISNUMBER(F48))),"n/m",IF(OR((F48)&lt;=0,(F24-F54)&lt;0),"n/m",(F24-F54)/(F48)))</f>
        <v>1.5392110300634694</v>
      </c>
      <c r="G112" s="74">
        <f>IF(OR(NOT(ISNUMBER(G24-G54)),NOT(ISNUMBER(G48))),"n/m",IF(OR((G48)&lt;=0,(G24-G54)&lt;0),"n/m",(G24-G54)/(G48)))</f>
        <v>2.2200593399212352</v>
      </c>
      <c r="H112" s="74">
        <f>IF(OR(NOT(ISNUMBER(H24-H54)),NOT(ISNUMBER(H48))),"n/m",IF(OR((H48)&lt;=0,(H24-H54)&lt;0),"n/m",(H24-H54)/(H48)))</f>
        <v>2.6677003784340947</v>
      </c>
    </row>
    <row r="113" spans="1:8" ht="27" customHeight="1" x14ac:dyDescent="0.3">
      <c r="A113" s="73" t="s">
        <v>146</v>
      </c>
      <c r="B113" s="30" t="s">
        <v>147</v>
      </c>
      <c r="C113" s="80" t="s">
        <v>263</v>
      </c>
      <c r="D113" s="74">
        <f>IF(OR(NOT(ISNUMBER(D157)),NOT(ISNUMBER(D48))),"n/m",IF(OR((D48)&lt;=0,(D157)&lt;0),"n/m",(D157)/(D48)))</f>
        <v>0.15817363525137568</v>
      </c>
      <c r="E113" s="74">
        <f>IF(OR(NOT(ISNUMBER(E157)),NOT(ISNUMBER(E48))),"n/m",IF(OR((E48)&lt;=0,(E157)&lt;0),"n/m",(E157)/(E48)))</f>
        <v>5.0670963775722312E-2</v>
      </c>
      <c r="F113" s="74">
        <f>IF(OR(NOT(ISNUMBER(F157)),NOT(ISNUMBER(F48))),"n/m",IF(OR((F48)&lt;=0,(F157)&lt;0),"n/m",(F157)/(F48)))</f>
        <v>9.4178046452072631E-2</v>
      </c>
      <c r="G113" s="74">
        <f>IF(OR(NOT(ISNUMBER(G157)),NOT(ISNUMBER(G48))),"n/m",IF(OR((G48)&lt;=0,(G157)&lt;0),"n/m",(G157)/(G48)))</f>
        <v>9.9376831489781367E-2</v>
      </c>
      <c r="H113" s="74">
        <f>IF(OR(NOT(ISNUMBER(H157)),NOT(ISNUMBER(H48))),"n/m",IF(OR((H48)&lt;=0,(H157)&lt;0),"n/m",(H157)/(H48)))</f>
        <v>0.1243988942257843</v>
      </c>
    </row>
    <row r="114" spans="1:8" ht="27" customHeight="1" x14ac:dyDescent="0.3">
      <c r="A114" s="73" t="s">
        <v>148</v>
      </c>
      <c r="B114" s="30" t="s">
        <v>149</v>
      </c>
      <c r="C114" s="80" t="s">
        <v>264</v>
      </c>
      <c r="D114" s="75">
        <f>IF(OR(NOT(ISNUMBER(D24-D48)),NOT(ISNUMBER(1))),"n/m",IF(OR((1)&lt;=0,(D24-D48)&lt;0),"n/m",(D24-D48)/(1)))</f>
        <v>2276.5547739999984</v>
      </c>
      <c r="E114" s="75">
        <f>IF(OR(NOT(ISNUMBER(E24-E48)),NOT(ISNUMBER(1))),"n/m",IF(OR((1)&lt;=0,(E24-E48)&lt;0),"n/m",(E24-E48)/(1)))</f>
        <v>8287.8407679999964</v>
      </c>
      <c r="F114" s="75">
        <f>IF(OR(NOT(ISNUMBER(F24-F48)),NOT(ISNUMBER(1))),"n/m",IF(OR((1)&lt;=0,(F24-F48)&lt;0),"n/m",(F24-F48)/(1)))</f>
        <v>13000.905238000001</v>
      </c>
      <c r="G114" s="75">
        <f>IF(OR(NOT(ISNUMBER(G24-G48)),NOT(ISNUMBER(1))),"n/m",IF(OR((1)&lt;=0,(G24-G48)&lt;0),"n/m",(G24-G48)/(1)))</f>
        <v>21116.760542</v>
      </c>
      <c r="H114" s="75">
        <f>IF(OR(NOT(ISNUMBER(H24-H48)),NOT(ISNUMBER(1))),"n/m",IF(OR((1)&lt;=0,(H24-H48)&lt;0),"n/m",(H24-H48)/(1)))</f>
        <v>26953.091383000003</v>
      </c>
    </row>
    <row r="115" spans="1:8" ht="21" customHeight="1" x14ac:dyDescent="0.3">
      <c r="A115" s="92" t="s">
        <v>150</v>
      </c>
      <c r="B115" s="92"/>
      <c r="C115" s="92"/>
      <c r="D115" s="93"/>
      <c r="E115" s="93"/>
      <c r="F115" s="93"/>
      <c r="G115" s="93"/>
      <c r="H115" s="93"/>
    </row>
    <row r="116" spans="1:8" ht="27" customHeight="1" x14ac:dyDescent="0.3">
      <c r="A116" s="73" t="s">
        <v>151</v>
      </c>
      <c r="B116" s="30" t="s">
        <v>152</v>
      </c>
      <c r="C116" s="80" t="s">
        <v>265</v>
      </c>
      <c r="D116" s="74">
        <f>IF(OR(NOT(ISNUMBER(-D65)),NOT(ISNUMBER(AVERAGE(I54,D54)))),"n/m",IF(OR((AVERAGE(I54,D54))&lt;=0,(-D65)&lt;0),"n/m",(-D65)/(AVERAGE(I54,D54))))</f>
        <v>4.8570986013255171</v>
      </c>
      <c r="E116" s="74">
        <f>IF(OR(NOT(ISNUMBER(-E65)),NOT(ISNUMBER(AVERAGE(D54,E54)))),"n/m",IF(OR((AVERAGE(D54,E54))&lt;=0,(-E65)&lt;0),"n/m",(-E65)/(AVERAGE(D54,E54))))</f>
        <v>4.6811317215716919</v>
      </c>
      <c r="F116" s="74">
        <f>IF(OR(NOT(ISNUMBER(-F65)),NOT(ISNUMBER(AVERAGE(E54,F54)))),"n/m",IF(OR((AVERAGE(E54,F54))&lt;=0,(-F65)&lt;0),"n/m",(-F65)/(AVERAGE(E54,F54))))</f>
        <v>4.2753791437713859</v>
      </c>
      <c r="G116" s="74">
        <f>IF(OR(NOT(ISNUMBER(-G65)),NOT(ISNUMBER(AVERAGE(F54,G54)))),"n/m",IF(OR((AVERAGE(F54,G54))&lt;=0,(-G65)&lt;0),"n/m",(-G65)/(AVERAGE(F54,G54))))</f>
        <v>3.5957369645110586</v>
      </c>
      <c r="H116" s="74">
        <f>IF(OR(NOT(ISNUMBER(-H65)),NOT(ISNUMBER(AVERAGE(G54,H54)))),"n/m",IF(OR((AVERAGE(G54,H54))&lt;=0,(-H65)&lt;0),"n/m",(-H65)/(AVERAGE(G54,H54))))</f>
        <v>3.024880626442934</v>
      </c>
    </row>
    <row r="117" spans="1:8" ht="27" customHeight="1" x14ac:dyDescent="0.3">
      <c r="A117" s="73" t="s">
        <v>153</v>
      </c>
      <c r="B117" s="30" t="s">
        <v>154</v>
      </c>
      <c r="C117" s="80" t="s">
        <v>266</v>
      </c>
      <c r="D117" s="74">
        <f>IF(OR(NOT(ISNUMBER(D64)),NOT(ISNUMBER(AVERAGE(I20,D20)))),"n/m",IF(OR((AVERAGE(I20,D20))&lt;=0,(D64)&lt;0),"n/m",(D64)/(AVERAGE(I20,D20))))</f>
        <v>32.556527152183129</v>
      </c>
      <c r="E117" s="74">
        <f>IF(OR(NOT(ISNUMBER(E64)),NOT(ISNUMBER(AVERAGE(D20,E20)))),"n/m",IF(OR((AVERAGE(D20,E20))&lt;=0,(E64)&lt;0),"n/m",(E64)/(AVERAGE(D20,E20))))</f>
        <v>34.614462046513971</v>
      </c>
      <c r="F117" s="74">
        <f>IF(OR(NOT(ISNUMBER(F64)),NOT(ISNUMBER(AVERAGE(E20,F20)))),"n/m",IF(OR((AVERAGE(E20,F20))&lt;=0,(F64)&lt;0),"n/m",(F64)/(AVERAGE(E20,F20))))</f>
        <v>36.690956476472735</v>
      </c>
      <c r="G117" s="74">
        <f>IF(OR(NOT(ISNUMBER(G64)),NOT(ISNUMBER(AVERAGE(F20,G20)))),"n/m",IF(OR((AVERAGE(F20,G20))&lt;=0,(G64)&lt;0),"n/m",(G64)/(AVERAGE(F20,G20))))</f>
        <v>23.311269128267483</v>
      </c>
      <c r="H117" s="74">
        <f>IF(OR(NOT(ISNUMBER(H64)),NOT(ISNUMBER(AVERAGE(G20,H20)))),"n/m",IF(OR((AVERAGE(G20,H20))&lt;=0,(H64)&lt;0),"n/m",(H64)/(AVERAGE(G20,H20))))</f>
        <v>19.742821104933064</v>
      </c>
    </row>
    <row r="118" spans="1:8" ht="27" customHeight="1" x14ac:dyDescent="0.3">
      <c r="A118" s="73" t="s">
        <v>155</v>
      </c>
      <c r="B118" s="30" t="s">
        <v>156</v>
      </c>
      <c r="C118" s="80" t="s">
        <v>267</v>
      </c>
      <c r="D118" s="76">
        <f>IF(OR(NOT(ISNUMBER(365*AVERAGE(I54,D54))),NOT(ISNUMBER(-D65))),"n/m",IF(OR((-D65)&lt;=0,(365*AVERAGE(I54,D54))&lt;0),"n/m",(365*AVERAGE(I54,D54))/(-D65)))</f>
        <v>75.147743531578783</v>
      </c>
      <c r="E118" s="76">
        <f>IF(OR(NOT(ISNUMBER(365*AVERAGE(D54,E54))),NOT(ISNUMBER(-E65))),"n/m",IF(OR((-E65)&lt;=0,(365*AVERAGE(D54,E54))&lt;0),"n/m",(365*AVERAGE(D54,E54))/(-E65)))</f>
        <v>77.972597591731756</v>
      </c>
      <c r="F118" s="76">
        <f>IF(OR(NOT(ISNUMBER(365*AVERAGE(E54,F54))),NOT(ISNUMBER(-F65))),"n/m",IF(OR((-F65)&lt;=0,(365*AVERAGE(E54,F54))&lt;0),"n/m",(365*AVERAGE(E54,F54))/(-F65)))</f>
        <v>85.372545387407953</v>
      </c>
      <c r="G118" s="76">
        <f>IF(OR(NOT(ISNUMBER(365*AVERAGE(F54,G54))),NOT(ISNUMBER(-G65))),"n/m",IF(OR((-G65)&lt;=0,(365*AVERAGE(F54,G54))&lt;0),"n/m",(365*AVERAGE(F54,G54))/(-G65)))</f>
        <v>101.50909357454404</v>
      </c>
      <c r="H118" s="76">
        <f>IF(OR(NOT(ISNUMBER(365*AVERAGE(G54,H54))),NOT(ISNUMBER(-H65))),"n/m",IF(OR((-H65)&lt;=0,(365*AVERAGE(G54,H54))&lt;0),"n/m",(365*AVERAGE(G54,H54))/(-H65)))</f>
        <v>120.66591878345184</v>
      </c>
    </row>
    <row r="119" spans="1:8" ht="27" customHeight="1" x14ac:dyDescent="0.3">
      <c r="A119" s="73" t="s">
        <v>157</v>
      </c>
      <c r="B119" s="30" t="s">
        <v>158</v>
      </c>
      <c r="C119" s="80" t="s">
        <v>268</v>
      </c>
      <c r="D119" s="76">
        <f>IF(OR(NOT(ISNUMBER(365*AVERAGE(I20,D20))),NOT(ISNUMBER(D64))),"n/m",IF(OR((D64)&lt;=0,(365*AVERAGE(I20,D20))&lt;0),"n/m",(365*AVERAGE(I20,D20))/(D64)))</f>
        <v>11.211269503464973</v>
      </c>
      <c r="E119" s="76">
        <f>IF(OR(NOT(ISNUMBER(365*AVERAGE(D20,E20))),NOT(ISNUMBER(E64))),"n/m",IF(OR((E64)&lt;=0,(365*AVERAGE(D20,E20))&lt;0),"n/m",(365*AVERAGE(D20,E20))/(E64)))</f>
        <v>10.544725482358297</v>
      </c>
      <c r="F119" s="76">
        <f>IF(OR(NOT(ISNUMBER(365*AVERAGE(E20,F20))),NOT(ISNUMBER(F64))),"n/m",IF(OR((F64)&lt;=0,(365*AVERAGE(E20,F20))&lt;0),"n/m",(365*AVERAGE(E20,F20))/(F64)))</f>
        <v>9.9479554378487851</v>
      </c>
      <c r="G119" s="76">
        <f>IF(OR(NOT(ISNUMBER(365*AVERAGE(F20,G20))),NOT(ISNUMBER(G64))),"n/m",IF(OR((G64)&lt;=0,(365*AVERAGE(F20,G20))&lt;0),"n/m",(365*AVERAGE(F20,G20))/(G64)))</f>
        <v>15.657663166755571</v>
      </c>
      <c r="H119" s="76">
        <f>IF(OR(NOT(ISNUMBER(365*AVERAGE(G20,H20))),NOT(ISNUMBER(H64))),"n/m",IF(OR((H64)&lt;=0,(365*AVERAGE(G20,H20))&lt;0),"n/m",(365*AVERAGE(G20,H20))/(H64)))</f>
        <v>18.487732733839078</v>
      </c>
    </row>
    <row r="120" spans="1:8" ht="27" customHeight="1" x14ac:dyDescent="0.3">
      <c r="A120" s="73" t="s">
        <v>159</v>
      </c>
      <c r="B120" s="30" t="s">
        <v>160</v>
      </c>
      <c r="C120" s="80" t="s">
        <v>269</v>
      </c>
      <c r="D120" s="74">
        <f>IF(OR(NOT(ISNUMBER(D64)),NOT(ISNUMBER(D9))),"n/m",IF(OR((D9)&lt;=0,(D64)&lt;0),"n/m",(D64)/(D9)))</f>
        <v>1.0921496738296084</v>
      </c>
      <c r="E120" s="74">
        <f>IF(OR(NOT(ISNUMBER(E64)),NOT(ISNUMBER(E9))),"n/m",IF(OR((E9)&lt;=0,(E64)&lt;0),"n/m",(E64)/(E9)))</f>
        <v>1.5412541563844033</v>
      </c>
      <c r="F120" s="74">
        <f>IF(OR(NOT(ISNUMBER(F64)),NOT(ISNUMBER(F9))),"n/m",IF(OR((F9)&lt;=0,(F64)&lt;0),"n/m",(F64)/(F9)))</f>
        <v>1.7509053329621809</v>
      </c>
      <c r="G120" s="74">
        <f>IF(OR(NOT(ISNUMBER(G64)),NOT(ISNUMBER(G9))),"n/m",IF(OR((G9)&lt;=0,(G64)&lt;0),"n/m",(G64)/(G9)))</f>
        <v>1.7442972870565909</v>
      </c>
      <c r="H120" s="74">
        <f>IF(OR(NOT(ISNUMBER(H64)),NOT(ISNUMBER(H9))),"n/m",IF(OR((H9)&lt;=0,(H64)&lt;0),"n/m",(H64)/(H9)))</f>
        <v>1.606837829232711</v>
      </c>
    </row>
    <row r="121" spans="1:8" ht="27" customHeight="1" x14ac:dyDescent="0.3">
      <c r="A121" s="73" t="s">
        <v>161</v>
      </c>
      <c r="B121" s="30" t="s">
        <v>162</v>
      </c>
      <c r="C121" s="80" t="s">
        <v>270</v>
      </c>
      <c r="D121" s="74">
        <f>IF(OR(NOT(ISNUMBER(D64)),NOT(ISNUMBER(D25))),"n/m",IF(OR((D25)&lt;=0,(D64)&lt;0),"n/m",(D64)/(D25)))</f>
        <v>0.66665082622797289</v>
      </c>
      <c r="E121" s="74">
        <f>IF(OR(NOT(ISNUMBER(E64)),NOT(ISNUMBER(E25))),"n/m",IF(OR((E25)&lt;=0,(E64)&lt;0),"n/m",(E64)/(E25)))</f>
        <v>0.7583954484233022</v>
      </c>
      <c r="F121" s="74">
        <f>IF(OR(NOT(ISNUMBER(F64)),NOT(ISNUMBER(F25))),"n/m",IF(OR((F25)&lt;=0,(F64)&lt;0),"n/m",(F64)/(F25)))</f>
        <v>0.78581821088962756</v>
      </c>
      <c r="G121" s="74">
        <f>IF(OR(NOT(ISNUMBER(G64)),NOT(ISNUMBER(G25))),"n/m",IF(OR((G25)&lt;=0,(G64)&lt;0),"n/m",(G64)/(G25)))</f>
        <v>0.65679136157504614</v>
      </c>
      <c r="H121" s="74">
        <f>IF(OR(NOT(ISNUMBER(H64)),NOT(ISNUMBER(H25))),"n/m",IF(OR((H25)&lt;=0,(H64)&lt;0),"n/m",(H64)/(H25)))</f>
        <v>0.56195953485342598</v>
      </c>
    </row>
    <row r="122" spans="1:8" ht="21" customHeight="1" x14ac:dyDescent="0.3">
      <c r="A122" s="92" t="s">
        <v>163</v>
      </c>
      <c r="B122" s="92"/>
      <c r="C122" s="92"/>
      <c r="D122" s="93"/>
      <c r="E122" s="93"/>
      <c r="F122" s="93"/>
      <c r="G122" s="93"/>
      <c r="H122" s="93"/>
    </row>
    <row r="123" spans="1:8" ht="27" customHeight="1" x14ac:dyDescent="0.3">
      <c r="A123" s="73" t="s">
        <v>164</v>
      </c>
      <c r="B123" s="30" t="s">
        <v>165</v>
      </c>
      <c r="C123" s="80" t="s">
        <v>271</v>
      </c>
      <c r="D123" s="77">
        <f>IF(OR(NOT(ISNUMBER(D49)),NOT(ISNUMBER(D25))),"n/m",IF(OR((D25)&lt;=0,(D49)&lt;0),"n/m",(D49)/(D25)))</f>
        <v>0.38416638255503399</v>
      </c>
      <c r="E123" s="77">
        <f>IF(OR(NOT(ISNUMBER(E49)),NOT(ISNUMBER(E25))),"n/m",IF(OR((E25)&lt;=0,(E49)&lt;0),"n/m",(E49)/(E25)))</f>
        <v>0.37149249167170456</v>
      </c>
      <c r="F123" s="77">
        <f>IF(OR(NOT(ISNUMBER(F49)),NOT(ISNUMBER(F25))),"n/m",IF(OR((F25)&lt;=0,(F49)&lt;0),"n/m",(F49)/(F25)))</f>
        <v>0.34161124098483342</v>
      </c>
      <c r="G123" s="77">
        <f>IF(OR(NOT(ISNUMBER(G49)),NOT(ISNUMBER(G25))),"n/m",IF(OR((G25)&lt;=0,(G49)&lt;0),"n/m",(G49)/(G25)))</f>
        <v>0.30169945185029512</v>
      </c>
      <c r="H123" s="77">
        <f>IF(OR(NOT(ISNUMBER(H49)),NOT(ISNUMBER(H25))),"n/m",IF(OR((H25)&lt;=0,(H49)&lt;0),"n/m",(H49)/(H25)))</f>
        <v>0.28204672647028445</v>
      </c>
    </row>
    <row r="124" spans="1:8" ht="27" customHeight="1" x14ac:dyDescent="0.3">
      <c r="A124" s="73" t="s">
        <v>166</v>
      </c>
      <c r="B124" s="30" t="s">
        <v>167</v>
      </c>
      <c r="C124" s="80" t="s">
        <v>272</v>
      </c>
      <c r="D124" s="74">
        <f>IF(OR(NOT(ISNUMBER(D55)),NOT(ISNUMBER(D29))),"n/m",IF(OR((D29)&lt;=0,(D55)&lt;0),"n/m",(D55)/(D29)))</f>
        <v>0.2722692388457173</v>
      </c>
      <c r="E124" s="74">
        <f>IF(OR(NOT(ISNUMBER(E55)),NOT(ISNUMBER(E29))),"n/m",IF(OR((E29)&lt;=0,(E55)&lt;0),"n/m",(E55)/(E29)))</f>
        <v>0.15603310983895571</v>
      </c>
      <c r="F124" s="74">
        <f>IF(OR(NOT(ISNUMBER(F55)),NOT(ISNUMBER(F29))),"n/m",IF(OR((F29)&lt;=0,(F55)&lt;0),"n/m",(F55)/(F29)))</f>
        <v>9.7619406864766459E-2</v>
      </c>
      <c r="G124" s="74">
        <f>IF(OR(NOT(ISNUMBER(G55)),NOT(ISNUMBER(G29))),"n/m",IF(OR((G29)&lt;=0,(G55)&lt;0),"n/m",(G55)/(G29)))</f>
        <v>5.2398238191517746E-2</v>
      </c>
      <c r="H124" s="74">
        <f>IF(OR(NOT(ISNUMBER(H55)),NOT(ISNUMBER(H29))),"n/m",IF(OR((H29)&lt;=0,(H55)&lt;0),"n/m",(H55)/(H29)))</f>
        <v>4.6764934517749976E-2</v>
      </c>
    </row>
    <row r="125" spans="1:8" ht="27" customHeight="1" x14ac:dyDescent="0.3">
      <c r="A125" s="73" t="s">
        <v>168</v>
      </c>
      <c r="B125" s="30" t="s">
        <v>169</v>
      </c>
      <c r="C125" s="80" t="s">
        <v>273</v>
      </c>
      <c r="D125" s="77">
        <f>IF(OR(NOT(ISNUMBER(D55)),NOT(ISNUMBER(D55+D29))),"n/m",IF(OR((D55+D29)&lt;=0,(D55)&lt;0),"n/m",(D55)/(D55+D29)))</f>
        <v>0.21400284667161887</v>
      </c>
      <c r="E125" s="77">
        <f>IF(OR(NOT(ISNUMBER(E55)),NOT(ISNUMBER(E55+E29))),"n/m",IF(OR((E55+E29)&lt;=0,(E55)&lt;0),"n/m",(E55)/(E55+E29)))</f>
        <v>0.13497287275854264</v>
      </c>
      <c r="F125" s="77">
        <f>IF(OR(NOT(ISNUMBER(F55)),NOT(ISNUMBER(F55+F29))),"n/m",IF(OR((F55+F29)&lt;=0,(F55)&lt;0),"n/m",(F55)/(F55+F29)))</f>
        <v>8.8937391462133447E-2</v>
      </c>
      <c r="G125" s="77">
        <f>IF(OR(NOT(ISNUMBER(G55)),NOT(ISNUMBER(G55+G29))),"n/m",IF(OR((G55+G29)&lt;=0,(G55)&lt;0),"n/m",(G55)/(G55+G29)))</f>
        <v>4.9789363275218823E-2</v>
      </c>
      <c r="H125" s="77">
        <f>IF(OR(NOT(ISNUMBER(H55)),NOT(ISNUMBER(H55+H29))),"n/m",IF(OR((H55+H29)&lt;=0,(H55)&lt;0),"n/m",(H55)/(H55+H29)))</f>
        <v>4.4675679300715997E-2</v>
      </c>
    </row>
    <row r="126" spans="1:8" ht="27" customHeight="1" x14ac:dyDescent="0.3">
      <c r="A126" s="73" t="s">
        <v>170</v>
      </c>
      <c r="B126" s="30" t="s">
        <v>171</v>
      </c>
      <c r="C126" s="80" t="s">
        <v>274</v>
      </c>
      <c r="D126" s="74">
        <f>IF(OR(NOT(ISNUMBER(D82)),NOT(ISNUMBER(D85))),"n/m",IF(OR((D85)&lt;=0,(D82)&lt;0),"n/m",(D82)/(D85)))</f>
        <v>10.965146742707439</v>
      </c>
      <c r="E126" s="74">
        <f>IF(OR(NOT(ISNUMBER(E82)),NOT(ISNUMBER(E85))),"n/m",IF(OR((E85)&lt;=0,(E82)&lt;0),"n/m",(E82)/(E85)))</f>
        <v>18.319735243438064</v>
      </c>
      <c r="F126" s="74">
        <f>IF(OR(NOT(ISNUMBER(F82)),NOT(ISNUMBER(F85))),"n/m",IF(OR((F85)&lt;=0,(F82)&lt;0),"n/m",(F82)/(F85)))</f>
        <v>16.315812571917526</v>
      </c>
      <c r="G126" s="74">
        <f>IF(OR(NOT(ISNUMBER(G82)),NOT(ISNUMBER(G85))),"n/m",IF(OR((G85)&lt;=0,(G82)&lt;0),"n/m",(G82)/(G85)))</f>
        <v>22.319441864662931</v>
      </c>
      <c r="H126" s="74">
        <f>IF(OR(NOT(ISNUMBER(H82)),NOT(ISNUMBER(H85))),"n/m",IF(OR((H85)&lt;=0,(H82)&lt;0),"n/m",(H82)/(H85)))</f>
        <v>58.956241100348862</v>
      </c>
    </row>
    <row r="127" spans="1:8" ht="21" customHeight="1" x14ac:dyDescent="0.3">
      <c r="A127" s="92" t="s">
        <v>172</v>
      </c>
      <c r="B127" s="92"/>
      <c r="C127" s="92"/>
      <c r="D127" s="93"/>
      <c r="E127" s="93"/>
      <c r="F127" s="93"/>
      <c r="G127" s="93"/>
      <c r="H127" s="93"/>
    </row>
    <row r="128" spans="1:8" ht="27" customHeight="1" x14ac:dyDescent="0.3">
      <c r="A128" s="73" t="s">
        <v>173</v>
      </c>
      <c r="B128" s="30" t="s">
        <v>174</v>
      </c>
      <c r="C128" s="80" t="s">
        <v>275</v>
      </c>
      <c r="D128" s="77">
        <f>IF(OR(NOT(ISNUMBER(D66)),NOT(ISNUMBER(D64))),"n/m",IF(OR((D64)&lt;=0,(D66)&lt;0),"n/m",(D66)/(D64)))</f>
        <v>0.24796341300828931</v>
      </c>
      <c r="E128" s="77">
        <f>IF(OR(NOT(ISNUMBER(E66)),NOT(ISNUMBER(E64))),"n/m",IF(OR((E64)&lt;=0,(E66)&lt;0),"n/m",(E66)/(E64)))</f>
        <v>0.29843914213509881</v>
      </c>
      <c r="F128" s="77">
        <f>IF(OR(NOT(ISNUMBER(F66)),NOT(ISNUMBER(F64))),"n/m",IF(OR((F64)&lt;=0,(F66)&lt;0),"n/m",(F66)/(F64)))</f>
        <v>0.26804356818989611</v>
      </c>
      <c r="G128" s="77">
        <f>IF(OR(NOT(ISNUMBER(G66)),NOT(ISNUMBER(G64))),"n/m",IF(OR((G64)&lt;=0,(G66)&lt;0),"n/m",(G66)/(G64)))</f>
        <v>0.29125851467425595</v>
      </c>
      <c r="H128" s="77">
        <f>IF(OR(NOT(ISNUMBER(H66)),NOT(ISNUMBER(H64))),"n/m",IF(OR((H64)&lt;=0,(H66)&lt;0),"n/m",(H66)/(H64)))</f>
        <v>0.39220278175445145</v>
      </c>
    </row>
    <row r="129" spans="1:8" ht="27" customHeight="1" x14ac:dyDescent="0.3">
      <c r="A129" s="73" t="s">
        <v>175</v>
      </c>
      <c r="B129" s="30" t="s">
        <v>176</v>
      </c>
      <c r="C129" s="80" t="s">
        <v>276</v>
      </c>
      <c r="D129" s="77">
        <f>IF(OR(NOT(ISNUMBER(D82)),NOT(ISNUMBER(D64))),"n/m",IF(OR((D64)&lt;=0,(D82)&lt;0),"n/m",(D82)/(D64)))</f>
        <v>0.223476531263751</v>
      </c>
      <c r="E129" s="77">
        <f>IF(OR(NOT(ISNUMBER(E82)),NOT(ISNUMBER(E64))),"n/m",IF(OR((E64)&lt;=0,(E82)&lt;0),"n/m",(E82)/(E64)))</f>
        <v>0.28715637280086448</v>
      </c>
      <c r="F129" s="77">
        <f>IF(OR(NOT(ISNUMBER(F82)),NOT(ISNUMBER(F64))),"n/m",IF(OR((F64)&lt;=0,(F82)&lt;0),"n/m",(F82)/(F64)))</f>
        <v>0.28654734202991289</v>
      </c>
      <c r="G129" s="77">
        <f>IF(OR(NOT(ISNUMBER(G82)),NOT(ISNUMBER(G64))),"n/m",IF(OR((G64)&lt;=0,(G82)&lt;0),"n/m",(G82)/(G64)))</f>
        <v>0.37317728789535698</v>
      </c>
      <c r="H129" s="77">
        <f>IF(OR(NOT(ISNUMBER(H82)),NOT(ISNUMBER(H64))),"n/m",IF(OR((H64)&lt;=0,(H82)&lt;0),"n/m",(H82)/(H64)))</f>
        <v>0.48095636892569549</v>
      </c>
    </row>
    <row r="130" spans="1:8" ht="27" customHeight="1" x14ac:dyDescent="0.3">
      <c r="A130" s="73" t="s">
        <v>177</v>
      </c>
      <c r="B130" s="30" t="s">
        <v>178</v>
      </c>
      <c r="C130" s="80" t="s">
        <v>277</v>
      </c>
      <c r="D130" s="77">
        <f>IF(OR(NOT(ISNUMBER(D79)),NOT(ISNUMBER(D64))),"n/m",IF(OR((D64)&lt;=0,(D79)&lt;0),"n/m",(D79)/(D64)))</f>
        <v>0.1453819089897026</v>
      </c>
      <c r="E130" s="77">
        <f>IF(OR(NOT(ISNUMBER(E79)),NOT(ISNUMBER(E64))),"n/m",IF(OR((E64)&lt;=0,(E79)&lt;0),"n/m",(E79)/(E64)))</f>
        <v>0.15282075695786385</v>
      </c>
      <c r="F130" s="77">
        <f>IF(OR(NOT(ISNUMBER(F79)),NOT(ISNUMBER(F64))),"n/m",IF(OR((F64)&lt;=0,(F79)&lt;0),"n/m",(F79)/(F64)))</f>
        <v>0.14955052871384544</v>
      </c>
      <c r="G130" s="77">
        <f>IF(OR(NOT(ISNUMBER(G79)),NOT(ISNUMBER(G64))),"n/m",IF(OR((G64)&lt;=0,(G79)&lt;0),"n/m",(G79)/(G64)))</f>
        <v>0.23011561219895646</v>
      </c>
      <c r="H130" s="77">
        <f>IF(OR(NOT(ISNUMBER(H79)),NOT(ISNUMBER(H64))),"n/m",IF(OR((H64)&lt;=0,(H79)&lt;0),"n/m",(H79)/(H64)))</f>
        <v>0.30837719707594857</v>
      </c>
    </row>
    <row r="131" spans="1:8" ht="27" customHeight="1" x14ac:dyDescent="0.3">
      <c r="A131" s="73" t="s">
        <v>179</v>
      </c>
      <c r="B131" s="30" t="s">
        <v>180</v>
      </c>
      <c r="C131" s="80" t="s">
        <v>278</v>
      </c>
      <c r="D131" s="77">
        <f>IF(OR(NOT(ISNUMBER(D79)),NOT(ISNUMBER(D25))),"n/m",IF(OR((D25)&lt;=0,(D79)&lt;0),"n/m",(D79)/(D25)))</f>
        <v>9.6918969746585204E-2</v>
      </c>
      <c r="E131" s="77">
        <f>IF(OR(NOT(ISNUMBER(E79)),NOT(ISNUMBER(E25))),"n/m",IF(OR((E25)&lt;=0,(E79)&lt;0),"n/m",(E79)/(E25)))</f>
        <v>0.11589856650144761</v>
      </c>
      <c r="F131" s="77">
        <f>IF(OR(NOT(ISNUMBER(F79)),NOT(ISNUMBER(F25))),"n/m",IF(OR((F25)&lt;=0,(F79)&lt;0),"n/m",(F79)/(F25)))</f>
        <v>0.11751952891151191</v>
      </c>
      <c r="G131" s="77">
        <f>IF(OR(NOT(ISNUMBER(G79)),NOT(ISNUMBER(G25))),"n/m",IF(OR((G25)&lt;=0,(G79)&lt;0),"n/m",(G79)/(G25)))</f>
        <v>0.15113794625582791</v>
      </c>
      <c r="H131" s="77">
        <f>IF(OR(NOT(ISNUMBER(H79)),NOT(ISNUMBER(H25))),"n/m",IF(OR((H25)&lt;=0,(H79)&lt;0),"n/m",(H79)/(H25)))</f>
        <v>0.17329550622820336</v>
      </c>
    </row>
    <row r="132" spans="1:8" ht="27" customHeight="1" x14ac:dyDescent="0.3">
      <c r="A132" s="73" t="s">
        <v>181</v>
      </c>
      <c r="B132" s="30" t="s">
        <v>182</v>
      </c>
      <c r="C132" s="80" t="s">
        <v>279</v>
      </c>
      <c r="D132" s="77">
        <f>IF(OR(NOT(ISNUMBER(D79)),NOT(ISNUMBER(D29))),"n/m",IF(OR((D29)&lt;=0,(D79)&lt;0),"n/m",(D79)/(D29)))</f>
        <v>0.15737849802466555</v>
      </c>
      <c r="E132" s="77">
        <f>IF(OR(NOT(ISNUMBER(E79)),NOT(ISNUMBER(E29))),"n/m",IF(OR((E29)&lt;=0,(E79)&lt;0),"n/m",(E79)/(E29)))</f>
        <v>0.18440283523376622</v>
      </c>
      <c r="F132" s="77">
        <f>IF(OR(NOT(ISNUMBER(F79)),NOT(ISNUMBER(F29))),"n/m",IF(OR((F29)&lt;=0,(F79)&lt;0),"n/m",(F79)/(F29)))</f>
        <v>0.17849564911664104</v>
      </c>
      <c r="G132" s="77">
        <f>IF(OR(NOT(ISNUMBER(G79)),NOT(ISNUMBER(G29))),"n/m",IF(OR((G29)&lt;=0,(G79)&lt;0),"n/m",(G79)/(G29)))</f>
        <v>0.21643681457260755</v>
      </c>
      <c r="H132" s="77">
        <f>IF(OR(NOT(ISNUMBER(H79)),NOT(ISNUMBER(H29))),"n/m",IF(OR((H29)&lt;=0,(H79)&lt;0),"n/m",(H79)/(H29)))</f>
        <v>0.24137435208870983</v>
      </c>
    </row>
    <row r="133" spans="1:8" ht="27" customHeight="1" x14ac:dyDescent="0.3">
      <c r="A133" s="73" t="s">
        <v>183</v>
      </c>
      <c r="B133" s="30" t="s">
        <v>184</v>
      </c>
      <c r="C133" s="80" t="s">
        <v>280</v>
      </c>
      <c r="D133" s="77">
        <f>IF(OR(NOT(ISNUMBER(D88)),NOT(ISNUMBER(D58))),"n/m",IF(OR((D58)&lt;=0,(D88)&lt;0),"n/m",(D88)/(D58)))</f>
        <v>0.13611222052431424</v>
      </c>
      <c r="E133" s="77">
        <f>IF(OR(NOT(ISNUMBER(E88)),NOT(ISNUMBER(E58))),"n/m",IF(OR((E58)&lt;=0,(E88)&lt;0),"n/m",(E88)/(E58)))</f>
        <v>0.16872337936741016</v>
      </c>
      <c r="F133" s="77">
        <f>IF(OR(NOT(ISNUMBER(F88)),NOT(ISNUMBER(F58))),"n/m",IF(OR((F58)&lt;=0,(F88)&lt;0),"n/m",(F88)/(F58)))</f>
        <v>0.17323854283924056</v>
      </c>
      <c r="G133" s="77">
        <f>IF(OR(NOT(ISNUMBER(G88)),NOT(ISNUMBER(G58))),"n/m",IF(OR((G58)&lt;=0,(G88)&lt;0),"n/m",(G88)/(G58)))</f>
        <v>0.21530718381280636</v>
      </c>
      <c r="H133" s="77">
        <f>IF(OR(NOT(ISNUMBER(H88)),NOT(ISNUMBER(H58))),"n/m",IF(OR((H58)&lt;=0,(H88)&lt;0),"n/m",(H88)/(H58)))</f>
        <v>0.23456949398989801</v>
      </c>
    </row>
    <row r="134" spans="1:8" ht="27" customHeight="1" x14ac:dyDescent="0.3">
      <c r="A134" s="73" t="s">
        <v>185</v>
      </c>
      <c r="B134" s="30" t="s">
        <v>186</v>
      </c>
      <c r="C134" s="80" t="s">
        <v>281</v>
      </c>
      <c r="D134" s="77">
        <f>IF(OR(NOT(ISNUMBER(D82)),NOT(ISNUMBER(D25))),"n/m",IF(OR((D25)&lt;=0,(D82)&lt;0),"n/m",(D82)/(D25)))</f>
        <v>0.14898081420954101</v>
      </c>
      <c r="E134" s="77">
        <f>IF(OR(NOT(ISNUMBER(E82)),NOT(ISNUMBER(E25))),"n/m",IF(OR((E25)&lt;=0,(E82)&lt;0),"n/m",(E82)/(E25)))</f>
        <v>0.21777808611792054</v>
      </c>
      <c r="F134" s="77">
        <f>IF(OR(NOT(ISNUMBER(F82)),NOT(ISNUMBER(F25))),"n/m",IF(OR((F25)&lt;=0,(F82)&lt;0),"n/m",(F82)/(F25)))</f>
        <v>0.22517411964912432</v>
      </c>
      <c r="G134" s="77">
        <f>IF(OR(NOT(ISNUMBER(G82)),NOT(ISNUMBER(G25))),"n/m",IF(OR((G25)&lt;=0,(G82)&lt;0),"n/m",(G82)/(G25)))</f>
        <v>0.24509961902567451</v>
      </c>
      <c r="H134" s="77">
        <f>IF(OR(NOT(ISNUMBER(H82)),NOT(ISNUMBER(H25))),"n/m",IF(OR((H25)&lt;=0,(H82)&lt;0),"n/m",(H82)/(H25)))</f>
        <v>0.2702780173662766</v>
      </c>
    </row>
    <row r="135" spans="1:8" ht="21" customHeight="1" x14ac:dyDescent="0.3">
      <c r="A135" s="92" t="s">
        <v>187</v>
      </c>
      <c r="B135" s="92"/>
      <c r="C135" s="92"/>
      <c r="D135" s="93"/>
      <c r="E135" s="93"/>
      <c r="F135" s="93"/>
      <c r="G135" s="93"/>
      <c r="H135" s="93"/>
    </row>
    <row r="136" spans="1:8" ht="27" customHeight="1" x14ac:dyDescent="0.3">
      <c r="A136" s="73" t="s">
        <v>188</v>
      </c>
      <c r="B136" s="30" t="s">
        <v>189</v>
      </c>
      <c r="C136" s="80" t="s">
        <v>282</v>
      </c>
      <c r="D136" s="78">
        <f>IF(OR(NOT(ISNUMBER(D79)),NOT(ISNUMBER(D104))),"n/m",IF(OR((D104)&lt;=0,(D79)&lt;0),"n/m",(D79)/(D104)))</f>
        <v>17.412549352402124</v>
      </c>
      <c r="E136" s="78">
        <f>IF(OR(NOT(ISNUMBER(E79)),NOT(ISNUMBER(E104))),"n/m",IF(OR((E104)&lt;=0,(E79)&lt;0),"n/m",(E79)/(E104)))</f>
        <v>25.013680261160516</v>
      </c>
      <c r="F136" s="78">
        <f>IF(OR(NOT(ISNUMBER(F79)),NOT(ISNUMBER(F104))),"n/m",IF(OR((F104)&lt;=0,(F79)&lt;0),"n/m",(F79)/(F104)))</f>
        <v>28.978958275869324</v>
      </c>
      <c r="G136" s="78">
        <f>IF(OR(NOT(ISNUMBER(G79)),NOT(ISNUMBER(G104))),"n/m",IF(OR((G104)&lt;=0,(G79)&lt;0),"n/m",(G79)/(G104)))</f>
        <v>45.274272678614977</v>
      </c>
      <c r="H136" s="78">
        <f>IF(OR(NOT(ISNUMBER(H79)),NOT(ISNUMBER(H104))),"n/m",IF(OR((H104)&lt;=0,(H79)&lt;0),"n/m",(H79)/(H104)))</f>
        <v>59.842054600869929</v>
      </c>
    </row>
    <row r="137" spans="1:8" ht="27" customHeight="1" x14ac:dyDescent="0.3">
      <c r="A137" s="73" t="s">
        <v>190</v>
      </c>
      <c r="B137" s="30" t="s">
        <v>191</v>
      </c>
      <c r="C137" s="80" t="s">
        <v>283</v>
      </c>
      <c r="D137" s="78">
        <f>IF(OR(NOT(ISNUMBER(D29)),NOT(ISNUMBER(D103))),"n/m",IF(OR((D103)&lt;=0,(D29)&lt;0),"n/m",(D29)/(D103)))</f>
        <v>110.64122209168052</v>
      </c>
      <c r="E137" s="78">
        <f>IF(OR(NOT(ISNUMBER(E29)),NOT(ISNUMBER(E103))),"n/m",IF(OR((E103)&lt;=0,(E29)&lt;0),"n/m",(E29)/(E103)))</f>
        <v>135.64693964412666</v>
      </c>
      <c r="F137" s="78">
        <f>IF(OR(NOT(ISNUMBER(F29)),NOT(ISNUMBER(F103))),"n/m",IF(OR((F103)&lt;=0,(F29)&lt;0),"n/m",(F29)/(F103)))</f>
        <v>162.35106244484723</v>
      </c>
      <c r="G137" s="78">
        <f>IF(OR(NOT(ISNUMBER(G29)),NOT(ISNUMBER(G103))),"n/m",IF(OR((G103)&lt;=0,(G29)&lt;0),"n/m",(G29)/(G103)))</f>
        <v>209.79287853383309</v>
      </c>
      <c r="H137" s="78">
        <f>IF(OR(NOT(ISNUMBER(H29)),NOT(ISNUMBER(H103))),"n/m",IF(OR((H103)&lt;=0,(H29)&lt;0),"n/m",(H29)/(H103)))</f>
        <v>260.8226721418157</v>
      </c>
    </row>
    <row r="138" spans="1:8" ht="27" customHeight="1" x14ac:dyDescent="0.3">
      <c r="A138" s="73" t="s">
        <v>192</v>
      </c>
      <c r="B138" s="30" t="s">
        <v>193</v>
      </c>
      <c r="C138" s="80" t="s">
        <v>284</v>
      </c>
      <c r="D138" s="74">
        <f>IF(OR(NOT(ISNUMBER(D105)),NOT(ISNUMBER(D79/D104))),"n/m",IF(OR((D79/D104)&lt;=0,(D105)&lt;0),"n/m",(D105)/(D79/D104)))</f>
        <v>11.858688571154802</v>
      </c>
      <c r="E138" s="74">
        <f>IF(OR(NOT(ISNUMBER(E105)),NOT(ISNUMBER(E79/E104))),"n/m",IF(OR((E79/E104)&lt;=0,(E105)&lt;0),"n/m",(E105)/(E79/E104)))</f>
        <v>5.2023532179731546</v>
      </c>
      <c r="F138" s="74">
        <f>IF(OR(NOT(ISNUMBER(F105)),NOT(ISNUMBER(F79/F104))),"n/m",IF(OR((F79/F104)&lt;=0,(F105)&lt;0),"n/m",(F105)/(F79/F104)))</f>
        <v>5.9860674889907219</v>
      </c>
      <c r="G138" s="74">
        <f>IF(OR(NOT(ISNUMBER(G105)),NOT(ISNUMBER(G79/G104))),"n/m",IF(OR((G79/G104)&lt;=0,(G105)&lt;0),"n/m",(G105)/(G79/G104)))</f>
        <v>5.5313975285193058</v>
      </c>
      <c r="H138" s="74">
        <f>IF(OR(NOT(ISNUMBER(H105)),NOT(ISNUMBER(H79/H104))),"n/m",IF(OR((H79/H104)&lt;=0,(H105)&lt;0),"n/m",(H105)/(H79/H104)))</f>
        <v>6.3393545313613817</v>
      </c>
    </row>
    <row r="139" spans="1:8" ht="27" customHeight="1" x14ac:dyDescent="0.3">
      <c r="A139" s="73" t="s">
        <v>194</v>
      </c>
      <c r="B139" s="30" t="s">
        <v>195</v>
      </c>
      <c r="C139" s="80" t="s">
        <v>285</v>
      </c>
      <c r="D139" s="74">
        <f>IF(OR(NOT(ISNUMBER(D105)),NOT(ISNUMBER(D29/D103))),"n/m",IF(OR((D29/D103)&lt;=0,(D105)&lt;0),"n/m",(D105)/(D29/D103)))</f>
        <v>1.8663025958706099</v>
      </c>
      <c r="E139" s="74">
        <f>IF(OR(NOT(ISNUMBER(E105)),NOT(ISNUMBER(E29/E103))),"n/m",IF(OR((E29/E103)&lt;=0,(E105)&lt;0),"n/m",(E105)/(E29/E103)))</f>
        <v>0.95932868328175702</v>
      </c>
      <c r="F139" s="74">
        <f>IF(OR(NOT(ISNUMBER(F105)),NOT(ISNUMBER(F29/F103))),"n/m",IF(OR((F29/F103)&lt;=0,(F105)&lt;0),"n/m",(F105)/(F29/F103)))</f>
        <v>1.0684870021034203</v>
      </c>
      <c r="G139" s="74">
        <f>IF(OR(NOT(ISNUMBER(G105)),NOT(ISNUMBER(G29/G103))),"n/m",IF(OR((G29/G103)&lt;=0,(G105)&lt;0),"n/m",(G105)/(G29/G103)))</f>
        <v>1.1937011482475723</v>
      </c>
      <c r="H139" s="74">
        <f>IF(OR(NOT(ISNUMBER(H105)),NOT(ISNUMBER(H29/H103))),"n/m",IF(OR((H29/H103)&lt;=0,(H105)&lt;0),"n/m",(H105)/(H29/H103)))</f>
        <v>1.4544747850514033</v>
      </c>
    </row>
    <row r="140" spans="1:8" ht="36" customHeight="1" x14ac:dyDescent="0.3">
      <c r="A140" s="73" t="s">
        <v>196</v>
      </c>
      <c r="B140" s="30" t="s">
        <v>197</v>
      </c>
      <c r="C140" s="30" t="s">
        <v>198</v>
      </c>
      <c r="D140" s="79">
        <f>IF(OR(NOT(ISNUMBER(D106)),NOT(ISNUMBER(D105))),"n/m",IF(OR((D105)&lt;=0,(D106)&lt;0),"n/m",(D106)/(D105)))</f>
        <v>0</v>
      </c>
      <c r="E140" s="79">
        <f>IF(OR(NOT(ISNUMBER(E106)),NOT(ISNUMBER(E105))),"n/m",IF(OR((E105)&lt;=0,(E106)&lt;0),"n/m",(E106)/(E105)))</f>
        <v>0</v>
      </c>
      <c r="F140" s="79">
        <f>IF(OR(NOT(ISNUMBER(F106)),NOT(ISNUMBER(F105))),"n/m",IF(OR((F105)&lt;=0,(F106)&lt;0),"n/m",(F106)/(F105)))</f>
        <v>0</v>
      </c>
      <c r="G140" s="79">
        <f>IF(OR(NOT(ISNUMBER(G106)),NOT(ISNUMBER(G105))),"n/m",IF(OR((G105)&lt;=0,(G106)&lt;0),"n/m",(G106)/(G105)))</f>
        <v>0</v>
      </c>
      <c r="H140" s="79">
        <f>IF(OR(NOT(ISNUMBER(H106)),NOT(ISNUMBER(H105))),"n/m",IF(OR((H105)&lt;=0,(H106)&lt;0),"n/m",(H106)/(H105)))</f>
        <v>0</v>
      </c>
    </row>
    <row r="141" spans="1:8" ht="27" customHeight="1" x14ac:dyDescent="0.3">
      <c r="A141" s="73" t="s">
        <v>199</v>
      </c>
      <c r="B141" s="30" t="s">
        <v>200</v>
      </c>
      <c r="C141" s="80" t="s">
        <v>286</v>
      </c>
      <c r="D141" s="74">
        <f>IF(OR(NOT(ISNUMBER(D160)),NOT(ISNUMBER(D83))),"n/m",IF(OR((D83)&lt;=0,(D160)&lt;0),"n/m",(D160)/(D83)))</f>
        <v>7.030703799061059</v>
      </c>
      <c r="E141" s="74">
        <f>IF(OR(NOT(ISNUMBER(E160)),NOT(ISNUMBER(E83))),"n/m",IF(OR((E83)&lt;=0,(E160)&lt;0),"n/m",(E160)/(E83)))</f>
        <v>2.8460065892461768</v>
      </c>
      <c r="F141" s="74">
        <f>IF(OR(NOT(ISNUMBER(F160)),NOT(ISNUMBER(F83))),"n/m",IF(OR((F83)&lt;=0,(F160)&lt;0),"n/m",(F160)/(F83)))</f>
        <v>3.0390586129963157</v>
      </c>
      <c r="G141" s="74">
        <f>IF(OR(NOT(ISNUMBER(G160)),NOT(ISNUMBER(G83))),"n/m",IF(OR((G83)&lt;=0,(G160)&lt;0),"n/m",(G160)/(G83)))</f>
        <v>3.2191008909496732</v>
      </c>
      <c r="H141" s="74">
        <f>IF(OR(NOT(ISNUMBER(H160)),NOT(ISNUMBER(H83))),"n/m",IF(OR((H83)&lt;=0,(H160)&lt;0),"n/m",(H160)/(H83)))</f>
        <v>3.6540457208322041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1" t="s">
        <v>201</v>
      </c>
      <c r="B147" s="91"/>
      <c r="C147" s="90"/>
      <c r="D147" s="90"/>
      <c r="E147" s="90"/>
      <c r="F147" s="90"/>
      <c r="G147" s="90"/>
      <c r="H147" s="90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134.93977000000001</v>
      </c>
      <c r="H149" s="16">
        <v>47.420397000000001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60"/>
      <c r="C152" s="61"/>
      <c r="D152" s="61"/>
      <c r="E152" s="61"/>
      <c r="F152" s="61"/>
      <c r="G152" s="61"/>
      <c r="H152" s="61"/>
    </row>
    <row r="153" spans="1:9" ht="4.05" customHeight="1" x14ac:dyDescent="0.3">
      <c r="A153" s="60"/>
      <c r="B153" s="60"/>
      <c r="C153" s="61"/>
      <c r="D153" s="61"/>
      <c r="E153" s="61"/>
      <c r="F153" s="61"/>
      <c r="G153" s="61"/>
      <c r="H153" s="61"/>
    </row>
    <row r="154" spans="1:9" ht="4.05" customHeight="1" x14ac:dyDescent="0.3"/>
    <row r="155" spans="1:9" ht="22.95" customHeight="1" x14ac:dyDescent="0.3">
      <c r="A155" s="90" t="s">
        <v>205</v>
      </c>
      <c r="B155" s="90"/>
      <c r="C155" s="90"/>
      <c r="D155" s="90"/>
      <c r="E155" s="90"/>
      <c r="F155" s="90"/>
      <c r="G155" s="90"/>
      <c r="H155" s="90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3">
        <f>D22+D161-D162</f>
        <v>1197.729351</v>
      </c>
      <c r="E157" s="33">
        <f>E22+E161-E162</f>
        <v>480.76563199999998</v>
      </c>
      <c r="F157" s="33">
        <f>F22+F161-F162</f>
        <v>933.537193</v>
      </c>
      <c r="G157" s="33">
        <f>G22+G161-G162</f>
        <v>1102.6491719999999</v>
      </c>
      <c r="H157" s="33">
        <f>H22+H161-H162</f>
        <v>1450.7027230000001</v>
      </c>
    </row>
    <row r="158" spans="1:9" ht="15" customHeight="1" x14ac:dyDescent="0.3">
      <c r="A158" t="s">
        <v>207</v>
      </c>
      <c r="D158" s="33">
        <f>D40+D148+D149</f>
        <v>122.613973</v>
      </c>
      <c r="E158" s="33">
        <f>E40+E148+E149</f>
        <v>142.17199299999999</v>
      </c>
      <c r="F158" s="33">
        <f>F40+F148+F149</f>
        <v>192.67479</v>
      </c>
      <c r="G158" s="33">
        <f>G40+G148+G149</f>
        <v>134.93977000000001</v>
      </c>
      <c r="H158" s="33">
        <f>H40+H148+H149</f>
        <v>47.420397000000001</v>
      </c>
    </row>
    <row r="159" spans="1:9" ht="15" customHeight="1" x14ac:dyDescent="0.3">
      <c r="A159" t="s">
        <v>208</v>
      </c>
      <c r="D159" s="33">
        <f>D105*D103</f>
        <v>41475.849217529998</v>
      </c>
      <c r="E159" s="33">
        <f>E105*E103</f>
        <v>26138.080578609995</v>
      </c>
      <c r="F159" s="33">
        <f>F105*F103</f>
        <v>34843.409190589999</v>
      </c>
      <c r="G159" s="33">
        <f>G105*G103</f>
        <v>49049.544607709999</v>
      </c>
      <c r="H159" s="33">
        <f>H105*H103</f>
        <v>69749.621629919988</v>
      </c>
    </row>
    <row r="160" spans="1:9" ht="15" customHeight="1" x14ac:dyDescent="0.3">
      <c r="A160" t="s">
        <v>209</v>
      </c>
      <c r="D160" s="33">
        <f>D159+D55+D158-D157</f>
        <v>46451.519988529995</v>
      </c>
      <c r="E160" s="33">
        <f>E159+E55+E158-E157</f>
        <v>30050.799413609995</v>
      </c>
      <c r="F160" s="33">
        <f>F159+F55+F158-F157</f>
        <v>37285.920035590003</v>
      </c>
      <c r="G160" s="33">
        <f>G159+G55+G158-G157</f>
        <v>50234.89480971</v>
      </c>
      <c r="H160" s="33">
        <f>H159+H55+H158-H157</f>
        <v>70588.960847919981</v>
      </c>
    </row>
    <row r="161" spans="1:8" ht="15" customHeight="1" x14ac:dyDescent="0.3">
      <c r="A161" t="s">
        <v>210</v>
      </c>
      <c r="D161" s="33">
        <v>0</v>
      </c>
      <c r="E161" s="33">
        <v>0</v>
      </c>
      <c r="F161" s="33">
        <v>0</v>
      </c>
      <c r="G161" s="33">
        <v>0</v>
      </c>
      <c r="H161" s="33">
        <v>0</v>
      </c>
    </row>
    <row r="162" spans="1:8" ht="15" customHeight="1" x14ac:dyDescent="0.3">
      <c r="A162" t="s">
        <v>211</v>
      </c>
      <c r="D162" s="33">
        <v>0</v>
      </c>
      <c r="E162" s="33">
        <v>0</v>
      </c>
      <c r="F162" s="33">
        <v>0</v>
      </c>
      <c r="G162" s="33">
        <v>0</v>
      </c>
      <c r="H162" s="33">
        <v>0</v>
      </c>
    </row>
    <row r="163" spans="1:8" ht="15" customHeight="1" x14ac:dyDescent="0.3">
      <c r="B163" s="32"/>
      <c r="C163" s="32"/>
      <c r="D163" s="32"/>
      <c r="E163" s="32"/>
      <c r="F163" s="32"/>
      <c r="G163" s="32"/>
      <c r="H163" s="32"/>
    </row>
    <row r="164" spans="1:8" ht="15" customHeight="1" x14ac:dyDescent="0.3">
      <c r="B164" s="32"/>
      <c r="C164" s="32"/>
      <c r="D164" s="32"/>
      <c r="E164" s="32"/>
      <c r="F164" s="32"/>
      <c r="G164" s="32"/>
      <c r="H164" s="32"/>
    </row>
  </sheetData>
  <mergeCells count="7">
    <mergeCell ref="A155:H155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FA98A"/>
    <pageSetUpPr fitToPage="1"/>
  </sheetPr>
  <dimension ref="A1:I164"/>
  <sheetViews>
    <sheetView showGridLines="0" workbookViewId="0">
      <pane xSplit="3" ySplit="7" topLeftCell="D11" activePane="bottomRight" state="frozen"/>
      <selection pane="topRight"/>
      <selection pane="bottomLeft"/>
      <selection pane="bottomRight" activeCell="A4" sqref="A4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212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62389.947</v>
      </c>
      <c r="E9" s="10">
        <v>82301.05</v>
      </c>
      <c r="F9" s="10">
        <v>95620.305999999997</v>
      </c>
      <c r="G9" s="10">
        <v>107258.973</v>
      </c>
      <c r="H9" s="10">
        <v>107409.588</v>
      </c>
      <c r="I9" s="10">
        <v>60247.57</v>
      </c>
    </row>
    <row r="10" spans="1:9" x14ac:dyDescent="0.3">
      <c r="A10" s="24" t="s">
        <v>47</v>
      </c>
      <c r="B10" s="25"/>
      <c r="C10" s="10"/>
      <c r="D10" s="10">
        <v>4015.0439999999999</v>
      </c>
      <c r="E10" s="10">
        <v>21911.214</v>
      </c>
      <c r="F10" s="10">
        <v>5562.1450000000004</v>
      </c>
      <c r="G10" s="10">
        <v>11633.303</v>
      </c>
      <c r="H10" s="10">
        <v>5420.7420000000002</v>
      </c>
      <c r="I10" s="10">
        <v>334.19099999999997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0.67</v>
      </c>
      <c r="E12" s="10">
        <v>51.351999999999997</v>
      </c>
      <c r="F12" s="10">
        <v>85.587999999999994</v>
      </c>
      <c r="G12" s="10">
        <v>69.394000000000005</v>
      </c>
      <c r="H12" s="10">
        <v>46.228999999999999</v>
      </c>
      <c r="I12" s="10">
        <v>11.323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53194.485000000001</v>
      </c>
      <c r="E14" s="10">
        <v>57594.485000000001</v>
      </c>
      <c r="F14" s="10">
        <v>57594.485000000001</v>
      </c>
      <c r="G14" s="10">
        <v>58072.373</v>
      </c>
      <c r="H14" s="10">
        <v>58555.707000000002</v>
      </c>
      <c r="I14" s="10">
        <v>47144.485000000001</v>
      </c>
    </row>
    <row r="15" spans="1:9" x14ac:dyDescent="0.3">
      <c r="A15" s="24" t="s">
        <v>52</v>
      </c>
      <c r="B15" s="25"/>
      <c r="C15" s="10"/>
      <c r="D15" s="10">
        <v>106.592</v>
      </c>
      <c r="E15" s="10">
        <v>199.79</v>
      </c>
      <c r="F15" s="10">
        <v>202.04599999999999</v>
      </c>
      <c r="G15" s="10">
        <v>165.26599999999999</v>
      </c>
      <c r="H15" s="10">
        <v>189.14699999999999</v>
      </c>
      <c r="I15" s="10">
        <v>90.183000000000007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115691.694</v>
      </c>
      <c r="E16" s="11">
        <f t="shared" si="0"/>
        <v>140146.677</v>
      </c>
      <c r="F16" s="11">
        <f t="shared" si="0"/>
        <v>153502.42500000002</v>
      </c>
      <c r="G16" s="11">
        <f t="shared" si="0"/>
        <v>165566.00599999999</v>
      </c>
      <c r="H16" s="11">
        <f t="shared" si="0"/>
        <v>166200.671</v>
      </c>
      <c r="I16" s="11">
        <f t="shared" si="0"/>
        <v>107493.561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10526.573</v>
      </c>
      <c r="E18" s="10">
        <v>11206.843000000001</v>
      </c>
      <c r="F18" s="10">
        <v>14084.018</v>
      </c>
      <c r="G18" s="10">
        <v>14591.821</v>
      </c>
      <c r="H18" s="10">
        <v>19895.13</v>
      </c>
      <c r="I18" s="10">
        <v>6520.17</v>
      </c>
    </row>
    <row r="19" spans="1:9" x14ac:dyDescent="0.3">
      <c r="A19" s="24" t="s">
        <v>56</v>
      </c>
      <c r="B19" s="25"/>
      <c r="C19" s="10"/>
      <c r="D19" s="10">
        <v>3105.0369999999998</v>
      </c>
      <c r="E19" s="10">
        <v>7171.3639999999996</v>
      </c>
      <c r="F19" s="10">
        <v>6048.5069999999996</v>
      </c>
      <c r="G19" s="10">
        <v>8505.4259999999995</v>
      </c>
      <c r="H19" s="10">
        <v>4774.5770000000002</v>
      </c>
      <c r="I19" s="10">
        <v>2915.5520000000001</v>
      </c>
    </row>
    <row r="20" spans="1:9" x14ac:dyDescent="0.3">
      <c r="A20" s="24" t="s">
        <v>57</v>
      </c>
      <c r="B20" s="25"/>
      <c r="C20" s="10"/>
      <c r="D20" s="10">
        <v>2710.0810000000001</v>
      </c>
      <c r="E20" s="10">
        <v>3522.931</v>
      </c>
      <c r="F20" s="10">
        <v>5089.6670000000004</v>
      </c>
      <c r="G20" s="10">
        <v>6932.4790000000003</v>
      </c>
      <c r="H20" s="10">
        <v>6353.1940000000004</v>
      </c>
      <c r="I20" s="10">
        <v>3422.7669999999998</v>
      </c>
    </row>
    <row r="21" spans="1:9" x14ac:dyDescent="0.3">
      <c r="A21" s="24" t="s">
        <v>58</v>
      </c>
      <c r="B21" s="25"/>
      <c r="C21" s="10"/>
      <c r="D21" s="10">
        <v>16227.102999999999</v>
      </c>
      <c r="E21" s="10">
        <v>12751.155000000001</v>
      </c>
      <c r="F21" s="10">
        <v>21898.495999999999</v>
      </c>
      <c r="G21" s="10">
        <v>29837.628000000001</v>
      </c>
      <c r="H21" s="10">
        <v>61298.052000000003</v>
      </c>
      <c r="I21" s="10">
        <v>2970.9989999999998</v>
      </c>
    </row>
    <row r="22" spans="1:9" x14ac:dyDescent="0.3">
      <c r="A22" s="24" t="s">
        <v>59</v>
      </c>
      <c r="B22" s="25"/>
      <c r="C22" s="10"/>
      <c r="D22" s="10">
        <v>2825.424</v>
      </c>
      <c r="E22" s="10">
        <v>3871.078</v>
      </c>
      <c r="F22" s="10">
        <v>4116.1809999999996</v>
      </c>
      <c r="G22" s="10">
        <v>2567.1759999999999</v>
      </c>
      <c r="H22" s="10">
        <v>2790.3229999999999</v>
      </c>
      <c r="I22" s="10">
        <v>7816.6059999999998</v>
      </c>
    </row>
    <row r="23" spans="1:9" x14ac:dyDescent="0.3">
      <c r="A23" s="24" t="s">
        <v>60</v>
      </c>
      <c r="B23" s="25"/>
      <c r="C23" s="10"/>
      <c r="D23" s="10">
        <v>5282.15</v>
      </c>
      <c r="E23" s="10">
        <v>6292.32</v>
      </c>
      <c r="F23" s="10">
        <v>8339.7729999999992</v>
      </c>
      <c r="G23" s="10">
        <v>6017.5540000000001</v>
      </c>
      <c r="H23" s="10">
        <v>5436.0829999999996</v>
      </c>
      <c r="I23" s="10">
        <v>4728.8190000000004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40676.368000000002</v>
      </c>
      <c r="E24" s="11">
        <f t="shared" si="1"/>
        <v>44815.691000000006</v>
      </c>
      <c r="F24" s="11">
        <f t="shared" si="1"/>
        <v>59576.642</v>
      </c>
      <c r="G24" s="11">
        <f t="shared" si="1"/>
        <v>68452.084000000003</v>
      </c>
      <c r="H24" s="11">
        <f t="shared" si="1"/>
        <v>100547.35900000001</v>
      </c>
      <c r="I24" s="11">
        <f t="shared" si="1"/>
        <v>28374.912999999997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156368.06200000001</v>
      </c>
      <c r="E25" s="11">
        <f t="shared" si="2"/>
        <v>184962.36800000002</v>
      </c>
      <c r="F25" s="11">
        <f t="shared" si="2"/>
        <v>213079.06700000001</v>
      </c>
      <c r="G25" s="11">
        <f t="shared" si="2"/>
        <v>234018.09</v>
      </c>
      <c r="H25" s="11">
        <f t="shared" si="2"/>
        <v>266748.03000000003</v>
      </c>
      <c r="I25" s="11">
        <f t="shared" si="2"/>
        <v>135868.47399999999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3233.75</v>
      </c>
      <c r="E27" s="10">
        <v>3233.75</v>
      </c>
      <c r="F27" s="10">
        <v>3118.386</v>
      </c>
      <c r="G27" s="10">
        <v>2930</v>
      </c>
      <c r="H27" s="10">
        <v>2930</v>
      </c>
      <c r="I27" s="10">
        <v>3233.75</v>
      </c>
    </row>
    <row r="28" spans="1:9" x14ac:dyDescent="0.3">
      <c r="A28" s="24" t="s">
        <v>65</v>
      </c>
      <c r="B28" s="25"/>
      <c r="C28" s="10"/>
      <c r="D28" s="10">
        <v>109966.508</v>
      </c>
      <c r="E28" s="10">
        <v>125306.57399999999</v>
      </c>
      <c r="F28" s="10">
        <v>134247.94</v>
      </c>
      <c r="G28" s="10">
        <v>144831.277</v>
      </c>
      <c r="H28" s="10">
        <v>172980.4</v>
      </c>
      <c r="I28" s="10">
        <v>95950.111000000004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113200.258</v>
      </c>
      <c r="E29" s="11">
        <f t="shared" si="3"/>
        <v>128540.32399999999</v>
      </c>
      <c r="F29" s="11">
        <f t="shared" si="3"/>
        <v>137366.326</v>
      </c>
      <c r="G29" s="11">
        <f t="shared" si="3"/>
        <v>147761.277</v>
      </c>
      <c r="H29" s="11">
        <f t="shared" si="3"/>
        <v>175910.39999999999</v>
      </c>
      <c r="I29" s="11">
        <f t="shared" si="3"/>
        <v>99183.861000000004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2934.0439999999999</v>
      </c>
      <c r="E31" s="10">
        <v>14108.446</v>
      </c>
      <c r="F31" s="10">
        <v>14557.294</v>
      </c>
      <c r="G31" s="10">
        <v>12760.637000000001</v>
      </c>
      <c r="H31" s="10">
        <v>9184.5220000000008</v>
      </c>
      <c r="I31" s="10">
        <v>320.46100000000001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1107.94</v>
      </c>
      <c r="E33" s="10">
        <v>2164.4549999999999</v>
      </c>
      <c r="F33" s="10">
        <v>2121.3069999999998</v>
      </c>
      <c r="G33" s="10">
        <v>1766.0550000000001</v>
      </c>
      <c r="H33" s="10">
        <v>1382.6510000000001</v>
      </c>
      <c r="I33" s="10">
        <v>59.72</v>
      </c>
    </row>
    <row r="34" spans="1:9" x14ac:dyDescent="0.3">
      <c r="A34" s="24" t="s">
        <v>71</v>
      </c>
      <c r="B34" s="25"/>
      <c r="C34" s="10"/>
      <c r="D34" s="10">
        <v>6157.2240000000002</v>
      </c>
      <c r="E34" s="10">
        <v>6941.1719999999996</v>
      </c>
      <c r="F34" s="10">
        <v>10025.499</v>
      </c>
      <c r="G34" s="10">
        <v>0</v>
      </c>
      <c r="H34" s="10">
        <v>0</v>
      </c>
      <c r="I34" s="10">
        <v>5167.5609999999997</v>
      </c>
    </row>
    <row r="35" spans="1:9" x14ac:dyDescent="0.3">
      <c r="A35" s="24" t="s">
        <v>72</v>
      </c>
      <c r="B35" s="25"/>
      <c r="C35" s="10"/>
      <c r="D35" s="10">
        <v>2581.5300000000002</v>
      </c>
      <c r="E35" s="10">
        <v>2846.6129999999998</v>
      </c>
      <c r="F35" s="10">
        <v>2827.7620000000002</v>
      </c>
      <c r="G35" s="10">
        <v>17541.648000000001</v>
      </c>
      <c r="H35" s="10">
        <v>21629.074000000001</v>
      </c>
      <c r="I35" s="10">
        <v>2181.5189999999998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12780.738000000001</v>
      </c>
      <c r="E36" s="11">
        <f t="shared" si="4"/>
        <v>26060.686000000002</v>
      </c>
      <c r="F36" s="11">
        <f t="shared" si="4"/>
        <v>29531.861999999997</v>
      </c>
      <c r="G36" s="11">
        <f t="shared" si="4"/>
        <v>32068.340000000004</v>
      </c>
      <c r="H36" s="11">
        <f t="shared" si="4"/>
        <v>32196.247000000003</v>
      </c>
      <c r="I36" s="11">
        <f t="shared" si="4"/>
        <v>7729.2610000000004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20789.759999999998</v>
      </c>
      <c r="E38" s="10">
        <v>23191.483</v>
      </c>
      <c r="F38" s="10">
        <v>29918.702000000001</v>
      </c>
      <c r="G38" s="10">
        <v>30006.625</v>
      </c>
      <c r="H38" s="10">
        <v>27300.919000000002</v>
      </c>
      <c r="I38" s="10">
        <v>19354.794000000002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70.867999999999995</v>
      </c>
      <c r="E40" s="10">
        <v>135.452</v>
      </c>
      <c r="F40" s="10">
        <v>497.745</v>
      </c>
      <c r="G40" s="10">
        <v>342.935</v>
      </c>
      <c r="H40" s="10">
        <v>185.61600000000001</v>
      </c>
      <c r="I40" s="10">
        <v>46.173000000000002</v>
      </c>
    </row>
    <row r="41" spans="1:9" x14ac:dyDescent="0.3">
      <c r="A41" s="24" t="s">
        <v>78</v>
      </c>
      <c r="B41" s="25"/>
      <c r="C41" s="10"/>
      <c r="D41" s="10">
        <v>7050</v>
      </c>
      <c r="E41" s="10">
        <v>1000</v>
      </c>
      <c r="F41" s="10">
        <v>5885</v>
      </c>
      <c r="G41" s="10">
        <v>5485</v>
      </c>
      <c r="H41" s="10">
        <v>6485</v>
      </c>
      <c r="I41" s="10">
        <v>7931.4440000000004</v>
      </c>
    </row>
    <row r="42" spans="1:9" x14ac:dyDescent="0.3">
      <c r="A42" s="24" t="s">
        <v>79</v>
      </c>
      <c r="B42" s="25"/>
      <c r="C42" s="10"/>
      <c r="D42" s="10">
        <v>506.90800000000002</v>
      </c>
      <c r="E42" s="10">
        <v>487.202</v>
      </c>
      <c r="F42" s="10">
        <v>599.65300000000002</v>
      </c>
      <c r="G42" s="10">
        <v>2099.1469999999999</v>
      </c>
      <c r="H42" s="10">
        <v>1866.085</v>
      </c>
      <c r="I42" s="10">
        <v>126.727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</row>
    <row r="45" spans="1:9" x14ac:dyDescent="0.3">
      <c r="A45" s="24" t="s">
        <v>82</v>
      </c>
      <c r="B45" s="25"/>
      <c r="C45" s="10"/>
      <c r="D45" s="10">
        <v>53.457999999999998</v>
      </c>
      <c r="E45" s="10">
        <v>51.03</v>
      </c>
      <c r="F45" s="10">
        <v>50.115000000000002</v>
      </c>
      <c r="G45" s="10">
        <v>59.148000000000003</v>
      </c>
      <c r="H45" s="10">
        <v>65.745000000000005</v>
      </c>
      <c r="I45" s="10">
        <v>73.346999999999994</v>
      </c>
    </row>
    <row r="46" spans="1:9" x14ac:dyDescent="0.3">
      <c r="A46" s="24" t="s">
        <v>83</v>
      </c>
      <c r="B46" s="25"/>
      <c r="C46" s="10"/>
      <c r="D46" s="10">
        <v>1916.0719999999999</v>
      </c>
      <c r="E46" s="10">
        <v>5496.1909999999998</v>
      </c>
      <c r="F46" s="10">
        <v>9229.6640000000007</v>
      </c>
      <c r="G46" s="10">
        <v>16195.618</v>
      </c>
      <c r="H46" s="10">
        <v>22738.018</v>
      </c>
      <c r="I46" s="10">
        <v>1422.867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30387.065999999995</v>
      </c>
      <c r="E48" s="11">
        <f t="shared" si="5"/>
        <v>30361.358</v>
      </c>
      <c r="F48" s="11">
        <f t="shared" si="5"/>
        <v>46180.879000000001</v>
      </c>
      <c r="G48" s="11">
        <f t="shared" si="5"/>
        <v>54188.472999999998</v>
      </c>
      <c r="H48" s="11">
        <f t="shared" si="5"/>
        <v>58641.383000000002</v>
      </c>
      <c r="I48" s="11">
        <f t="shared" si="5"/>
        <v>28955.351999999999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43167.803999999996</v>
      </c>
      <c r="E49" s="11">
        <f t="shared" si="6"/>
        <v>56422.044000000002</v>
      </c>
      <c r="F49" s="11">
        <f t="shared" si="6"/>
        <v>75712.740999999995</v>
      </c>
      <c r="G49" s="11">
        <f t="shared" si="6"/>
        <v>86256.812999999995</v>
      </c>
      <c r="H49" s="11">
        <f t="shared" si="6"/>
        <v>90837.63</v>
      </c>
      <c r="I49" s="11">
        <f t="shared" si="6"/>
        <v>36684.612999999998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156368.06200000001</v>
      </c>
      <c r="E50" s="11">
        <f t="shared" si="7"/>
        <v>184962.36799999999</v>
      </c>
      <c r="F50" s="11">
        <f t="shared" si="7"/>
        <v>213079.06699999998</v>
      </c>
      <c r="G50" s="11">
        <f t="shared" si="7"/>
        <v>234018.09</v>
      </c>
      <c r="H50" s="11">
        <f t="shared" si="7"/>
        <v>266748.03000000003</v>
      </c>
      <c r="I50" s="11">
        <f t="shared" si="7"/>
        <v>135868.47399999999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2882.4340000000002</v>
      </c>
      <c r="E52" s="10">
        <v>3352.998</v>
      </c>
      <c r="F52" s="10">
        <v>5030.5460000000003</v>
      </c>
      <c r="G52" s="10">
        <v>7172.1440000000002</v>
      </c>
      <c r="H52" s="10">
        <v>6426.9750000000004</v>
      </c>
      <c r="I52" s="10">
        <v>2599.29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58374.902999999998</v>
      </c>
      <c r="E53" s="10">
        <f t="shared" si="8"/>
        <v>60389.836000000003</v>
      </c>
      <c r="F53" s="10">
        <f t="shared" si="8"/>
        <v>90058.160999999993</v>
      </c>
      <c r="G53" s="10">
        <f t="shared" si="8"/>
        <v>95625.67</v>
      </c>
      <c r="H53" s="10">
        <f t="shared" si="8"/>
        <v>101988.84600000001</v>
      </c>
      <c r="I53" s="10">
        <f t="shared" si="8"/>
        <v>59913.379000000001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13631.61</v>
      </c>
      <c r="E54" s="10">
        <f t="shared" si="9"/>
        <v>18378.207000000002</v>
      </c>
      <c r="F54" s="10">
        <f t="shared" si="9"/>
        <v>20132.525000000001</v>
      </c>
      <c r="G54" s="10">
        <f t="shared" si="9"/>
        <v>23097.246999999999</v>
      </c>
      <c r="H54" s="10">
        <f t="shared" si="9"/>
        <v>24669.707000000002</v>
      </c>
      <c r="I54" s="10">
        <f t="shared" si="9"/>
        <v>9435.7219999999998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10490.951999999999</v>
      </c>
      <c r="E55" s="10">
        <f t="shared" si="10"/>
        <v>15595.647999999999</v>
      </c>
      <c r="F55" s="10">
        <f t="shared" si="10"/>
        <v>21041.947</v>
      </c>
      <c r="G55" s="10">
        <f t="shared" si="10"/>
        <v>20344.784000000003</v>
      </c>
      <c r="H55" s="10">
        <f t="shared" si="10"/>
        <v>17535.607</v>
      </c>
      <c r="I55" s="10">
        <f t="shared" si="10"/>
        <v>8378.6320000000014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2934.0439999999999</v>
      </c>
      <c r="E56" s="10">
        <f t="shared" si="11"/>
        <v>14108.446</v>
      </c>
      <c r="F56" s="10">
        <f t="shared" si="11"/>
        <v>14557.294</v>
      </c>
      <c r="G56" s="10">
        <f t="shared" si="11"/>
        <v>12760.637000000001</v>
      </c>
      <c r="H56" s="10">
        <f t="shared" si="11"/>
        <v>9184.5220000000008</v>
      </c>
      <c r="I56" s="10">
        <f t="shared" si="11"/>
        <v>320.46100000000001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123691.21</v>
      </c>
      <c r="E58" s="10">
        <f t="shared" si="12"/>
        <v>144135.97199999998</v>
      </c>
      <c r="F58" s="10">
        <f t="shared" si="12"/>
        <v>158408.27299999999</v>
      </c>
      <c r="G58" s="10">
        <f t="shared" si="12"/>
        <v>168106.06100000002</v>
      </c>
      <c r="H58" s="10">
        <f t="shared" si="12"/>
        <v>193446.00699999998</v>
      </c>
      <c r="I58" s="10">
        <f t="shared" si="12"/>
        <v>107562.493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21623.841000000004</v>
      </c>
      <c r="E59" s="10">
        <f t="shared" si="13"/>
        <v>28193.458000000006</v>
      </c>
      <c r="F59" s="10">
        <f t="shared" si="13"/>
        <v>33561.965000000004</v>
      </c>
      <c r="G59" s="10">
        <f t="shared" si="13"/>
        <v>36047.279999999999</v>
      </c>
      <c r="H59" s="10">
        <f t="shared" si="13"/>
        <v>36458.984000000004</v>
      </c>
      <c r="I59" s="10">
        <f t="shared" si="13"/>
        <v>17587.307999999997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22705.831999999999</v>
      </c>
      <c r="E60" s="10">
        <f t="shared" si="14"/>
        <v>28687.673999999999</v>
      </c>
      <c r="F60" s="10">
        <f t="shared" si="14"/>
        <v>39148.366000000002</v>
      </c>
      <c r="G60" s="10">
        <f t="shared" si="14"/>
        <v>46202.243000000002</v>
      </c>
      <c r="H60" s="10">
        <f t="shared" si="14"/>
        <v>50038.936999999998</v>
      </c>
      <c r="I60" s="10">
        <f t="shared" si="14"/>
        <v>20777.661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62940.805</v>
      </c>
      <c r="E64" s="10">
        <v>81093.524999999994</v>
      </c>
      <c r="F64" s="10">
        <v>95832.146999999997</v>
      </c>
      <c r="G64" s="10">
        <v>115324.942</v>
      </c>
      <c r="H64" s="10">
        <v>124511.74400000001</v>
      </c>
      <c r="I64" s="10">
        <v>41870.796000000002</v>
      </c>
    </row>
    <row r="65" spans="1:9" x14ac:dyDescent="0.3">
      <c r="A65" s="24" t="s">
        <v>99</v>
      </c>
      <c r="B65" s="25"/>
      <c r="C65" s="10"/>
      <c r="D65" s="10">
        <v>-43984.873</v>
      </c>
      <c r="E65" s="10">
        <v>-58541.684000000001</v>
      </c>
      <c r="F65" s="10">
        <v>-69771.468999999997</v>
      </c>
      <c r="G65" s="10">
        <v>-76520.37</v>
      </c>
      <c r="H65" s="10">
        <v>-81827.06</v>
      </c>
      <c r="I65" s="10">
        <v>-35794.031000000003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18955.932000000001</v>
      </c>
      <c r="E66" s="11">
        <f t="shared" si="15"/>
        <v>22551.840999999993</v>
      </c>
      <c r="F66" s="11">
        <f t="shared" si="15"/>
        <v>26060.678</v>
      </c>
      <c r="G66" s="11">
        <f t="shared" si="15"/>
        <v>38804.572</v>
      </c>
      <c r="H66" s="11">
        <f t="shared" si="15"/>
        <v>42684.684000000008</v>
      </c>
      <c r="I66" s="11">
        <f t="shared" si="15"/>
        <v>6076.7649999999994</v>
      </c>
    </row>
    <row r="67" spans="1:9" x14ac:dyDescent="0.3">
      <c r="A67" s="24" t="s">
        <v>101</v>
      </c>
      <c r="B67" s="25"/>
      <c r="C67" s="10"/>
      <c r="D67" s="10">
        <v>-4859.0959999999995</v>
      </c>
      <c r="E67" s="10">
        <v>-4764.5739999999996</v>
      </c>
      <c r="F67" s="10">
        <v>-5326.8940000000002</v>
      </c>
      <c r="G67" s="10">
        <v>-7773.8850000000002</v>
      </c>
      <c r="H67" s="10">
        <v>-8972.8150000000005</v>
      </c>
      <c r="I67" s="10">
        <v>-3699.154</v>
      </c>
    </row>
    <row r="68" spans="1:9" x14ac:dyDescent="0.3">
      <c r="A68" s="24" t="s">
        <v>102</v>
      </c>
      <c r="B68" s="25"/>
      <c r="C68" s="10"/>
      <c r="D68" s="10">
        <v>-1257.0740000000001</v>
      </c>
      <c r="E68" s="10">
        <v>-1512.279</v>
      </c>
      <c r="F68" s="10">
        <v>-1825.578</v>
      </c>
      <c r="G68" s="10">
        <v>-2160.6819999999998</v>
      </c>
      <c r="H68" s="10">
        <v>-2427.2489999999998</v>
      </c>
      <c r="I68" s="10">
        <v>-1189.6379999999999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-1507.673</v>
      </c>
      <c r="E70" s="10">
        <v>-1847.039</v>
      </c>
      <c r="F70" s="10">
        <v>-2442.585</v>
      </c>
      <c r="G70" s="10">
        <v>-2476.636</v>
      </c>
      <c r="H70" s="10">
        <v>-3056.913</v>
      </c>
      <c r="I70" s="10">
        <v>-377.52600000000001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11332.089</v>
      </c>
      <c r="E71" s="11">
        <f t="shared" si="16"/>
        <v>14427.948999999991</v>
      </c>
      <c r="F71" s="11">
        <f t="shared" si="16"/>
        <v>16465.620999999999</v>
      </c>
      <c r="G71" s="11">
        <f t="shared" si="16"/>
        <v>26393.368999999999</v>
      </c>
      <c r="H71" s="11">
        <f t="shared" si="16"/>
        <v>28227.707000000006</v>
      </c>
      <c r="I71" s="11">
        <f t="shared" si="16"/>
        <v>810.44699999999943</v>
      </c>
    </row>
    <row r="72" spans="1:9" x14ac:dyDescent="0.3">
      <c r="A72" s="24" t="s">
        <v>106</v>
      </c>
      <c r="B72" s="25"/>
      <c r="C72" s="10"/>
      <c r="D72" s="10">
        <v>5993.0290000000005</v>
      </c>
      <c r="E72" s="10">
        <v>7387.8</v>
      </c>
      <c r="F72" s="10">
        <v>6047.4229999999998</v>
      </c>
      <c r="G72" s="10">
        <v>16575.363000000001</v>
      </c>
      <c r="H72" s="10">
        <v>20465.920999999998</v>
      </c>
      <c r="I72" s="10">
        <v>3185.8589999999999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-332.90499999999997</v>
      </c>
      <c r="E75" s="10">
        <v>-394.517</v>
      </c>
      <c r="F75" s="10">
        <v>-1169.77</v>
      </c>
      <c r="G75" s="10">
        <v>-1581.1679999999999</v>
      </c>
      <c r="H75" s="10">
        <v>-1370.569</v>
      </c>
      <c r="I75" s="10">
        <v>-176.37799999999999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16992.213000000003</v>
      </c>
      <c r="E76" s="11">
        <f t="shared" si="17"/>
        <v>21421.231999999993</v>
      </c>
      <c r="F76" s="11">
        <f t="shared" si="17"/>
        <v>21343.273999999998</v>
      </c>
      <c r="G76" s="11">
        <f t="shared" si="17"/>
        <v>41387.564000000006</v>
      </c>
      <c r="H76" s="11">
        <f t="shared" si="17"/>
        <v>47323.059000000001</v>
      </c>
      <c r="I76" s="11">
        <f t="shared" si="17"/>
        <v>3819.9279999999994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-437.83300000000003</v>
      </c>
      <c r="G77" s="10">
        <v>-953.05100000000004</v>
      </c>
      <c r="H77" s="10">
        <v>-329.6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-2922.0239999999999</v>
      </c>
      <c r="E78" s="10">
        <v>-6122.6139999999996</v>
      </c>
      <c r="F78" s="10">
        <v>-7179.6270000000004</v>
      </c>
      <c r="G78" s="10">
        <v>-12327.974</v>
      </c>
      <c r="H78" s="10">
        <v>-13901.297</v>
      </c>
      <c r="I78" s="10">
        <v>-475.995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14070.189000000004</v>
      </c>
      <c r="E79" s="11">
        <f t="shared" si="18"/>
        <v>15298.617999999993</v>
      </c>
      <c r="F79" s="11">
        <f t="shared" si="18"/>
        <v>13725.813999999998</v>
      </c>
      <c r="G79" s="11">
        <f t="shared" si="18"/>
        <v>28106.539000000004</v>
      </c>
      <c r="H79" s="11">
        <f t="shared" si="18"/>
        <v>33092.162000000004</v>
      </c>
      <c r="I79" s="11">
        <f t="shared" si="18"/>
        <v>3343.9329999999995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4309.4130000000005</v>
      </c>
      <c r="E81" s="10">
        <v>4527.7610000000004</v>
      </c>
      <c r="F81" s="10">
        <v>5314.7620000000006</v>
      </c>
      <c r="G81" s="10">
        <v>6097.4219999999996</v>
      </c>
      <c r="H81" s="10">
        <v>6937.732</v>
      </c>
      <c r="I81" s="10"/>
    </row>
    <row r="82" spans="1:9" x14ac:dyDescent="0.3">
      <c r="A82" s="24" t="s">
        <v>116</v>
      </c>
      <c r="B82" s="25"/>
      <c r="C82" s="10"/>
      <c r="D82" s="10">
        <f>D76+D85</f>
        <v>17325.118000000002</v>
      </c>
      <c r="E82" s="10">
        <f>E76+E85</f>
        <v>21815.748999999993</v>
      </c>
      <c r="F82" s="10">
        <f>F76+F85</f>
        <v>22502.069999999996</v>
      </c>
      <c r="G82" s="10">
        <f>G76+G85</f>
        <v>42948.099000000002</v>
      </c>
      <c r="H82" s="10">
        <f>H76+H85</f>
        <v>48649.106</v>
      </c>
      <c r="I82" s="10">
        <f>I76-I75</f>
        <v>3996.3059999999996</v>
      </c>
    </row>
    <row r="83" spans="1:9" x14ac:dyDescent="0.3">
      <c r="A83" s="24" t="s">
        <v>117</v>
      </c>
      <c r="B83" s="25"/>
      <c r="C83" s="10"/>
      <c r="D83" s="10">
        <f>D82+D81</f>
        <v>21634.531000000003</v>
      </c>
      <c r="E83" s="10">
        <f>E82+E81</f>
        <v>26343.509999999995</v>
      </c>
      <c r="F83" s="10">
        <f>F82+F81</f>
        <v>27816.831999999995</v>
      </c>
      <c r="G83" s="10">
        <f>G82+G81</f>
        <v>49045.521000000001</v>
      </c>
      <c r="H83" s="10">
        <f>H82+H81</f>
        <v>55586.838000000003</v>
      </c>
      <c r="I83" s="10"/>
    </row>
    <row r="84" spans="1:9" x14ac:dyDescent="0.3">
      <c r="A84" s="24" t="s">
        <v>118</v>
      </c>
      <c r="B84" s="25"/>
      <c r="C84" s="10"/>
      <c r="D84" s="10">
        <v>0</v>
      </c>
      <c r="E84" s="10">
        <v>0</v>
      </c>
      <c r="F84" s="10">
        <v>10.974</v>
      </c>
      <c r="G84" s="10">
        <v>20.632999999999999</v>
      </c>
      <c r="H84" s="10">
        <v>44.521999999999998</v>
      </c>
      <c r="I84" s="12"/>
    </row>
    <row r="85" spans="1:9" x14ac:dyDescent="0.3">
      <c r="A85" s="24" t="s">
        <v>119</v>
      </c>
      <c r="B85" s="25"/>
      <c r="C85" s="10"/>
      <c r="D85" s="10">
        <f>-D75-D84</f>
        <v>332.90499999999997</v>
      </c>
      <c r="E85" s="10">
        <f>-E75-E84</f>
        <v>394.517</v>
      </c>
      <c r="F85" s="10">
        <f>-F75-F84</f>
        <v>1158.796</v>
      </c>
      <c r="G85" s="10">
        <f>-G75-G84</f>
        <v>1560.5349999999999</v>
      </c>
      <c r="H85" s="10">
        <f>-H75-H84</f>
        <v>1326.047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0.17196253366174255</v>
      </c>
      <c r="E86" s="13">
        <f>IF(E76&lt;=0,"n/m",-(E77+E78)/E76)</f>
        <v>0.28581988188167712</v>
      </c>
      <c r="F86" s="13">
        <f>IF(F76&lt;=0,"n/m",-(F77+F78)/F76)</f>
        <v>0.35690213225955875</v>
      </c>
      <c r="G86" s="13">
        <f>IF(G76&lt;=0,"n/m",-(G77+G78)/G76)</f>
        <v>0.32089409756032022</v>
      </c>
      <c r="H86" s="13">
        <f>IF(H76&lt;=0,"n/m",-(H77+H78)/H76)</f>
        <v>0.30071802839288136</v>
      </c>
      <c r="I86" s="12"/>
    </row>
    <row r="87" spans="1:9" x14ac:dyDescent="0.3">
      <c r="A87" s="24" t="s">
        <v>121</v>
      </c>
      <c r="B87" s="25"/>
      <c r="C87" s="13"/>
      <c r="D87" s="13">
        <f>D86</f>
        <v>0.17196253366174255</v>
      </c>
      <c r="E87" s="13">
        <f>E86</f>
        <v>0.28581988188167712</v>
      </c>
      <c r="F87" s="13">
        <f>F86</f>
        <v>0.35690213225955875</v>
      </c>
      <c r="G87" s="13">
        <f>G86</f>
        <v>0.32089409756032022</v>
      </c>
      <c r="H87" s="13">
        <f>H86</f>
        <v>0.30071802839288136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14345.846812731341</v>
      </c>
      <c r="E88" s="10">
        <f>IF(ISNUMBER(E87),E82*(1-E87),"n/m")</f>
        <v>15580.374197659679</v>
      </c>
      <c r="F88" s="10">
        <f>IF(ISNUMBER(F87),F82*(1-F87),"n/m")</f>
        <v>14471.033236746149</v>
      </c>
      <c r="G88" s="10">
        <f>IF(ISNUMBER(G87),G82*(1-G87),"n/m")</f>
        <v>29166.307529463709</v>
      </c>
      <c r="H88" s="10">
        <f>IF(ISNUMBER(H87),H82*(1-H87),"n/m")</f>
        <v>34019.442760603699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13285.674000000001</v>
      </c>
      <c r="E92" s="10">
        <v>18126.508000000002</v>
      </c>
      <c r="F92" s="10">
        <v>24515.258000000002</v>
      </c>
      <c r="G92" s="10">
        <v>30937.432000000001</v>
      </c>
      <c r="H92" s="10">
        <v>33808.781000000003</v>
      </c>
      <c r="I92" s="10">
        <v>4141.7759999999998</v>
      </c>
    </row>
    <row r="93" spans="1:9" x14ac:dyDescent="0.3">
      <c r="A93" s="24" t="s">
        <v>125</v>
      </c>
      <c r="B93" s="25"/>
      <c r="C93" s="10"/>
      <c r="D93" s="10">
        <v>12492.630999999999</v>
      </c>
      <c r="E93" s="10">
        <v>15469.449000000001</v>
      </c>
      <c r="F93" s="10">
        <v>23242.896000000001</v>
      </c>
      <c r="G93" s="10">
        <v>27580.741000000002</v>
      </c>
      <c r="H93" s="10">
        <v>27572.566999999999</v>
      </c>
      <c r="I93" s="10">
        <v>5046.8609999999999</v>
      </c>
    </row>
    <row r="94" spans="1:9" x14ac:dyDescent="0.3">
      <c r="A94" s="24" t="s">
        <v>126</v>
      </c>
      <c r="B94" s="25"/>
      <c r="C94" s="10"/>
      <c r="D94" s="10">
        <v>-5762.3249999999998</v>
      </c>
      <c r="E94" s="10">
        <v>-24826.255000000001</v>
      </c>
      <c r="F94" s="10">
        <v>-12978.915000000001</v>
      </c>
      <c r="G94" s="10">
        <v>-2580.0210000000002</v>
      </c>
      <c r="H94" s="10">
        <v>11714.661</v>
      </c>
      <c r="I94" s="10">
        <v>-8395.8979999999992</v>
      </c>
    </row>
    <row r="95" spans="1:9" x14ac:dyDescent="0.3">
      <c r="A95" s="24" t="s">
        <v>127</v>
      </c>
      <c r="B95" s="25"/>
      <c r="C95" s="10"/>
      <c r="D95" s="10">
        <v>4022.0949999999998</v>
      </c>
      <c r="E95" s="10">
        <v>6158.7830000000004</v>
      </c>
      <c r="F95" s="10">
        <v>244.58199999999999</v>
      </c>
      <c r="G95" s="10">
        <v>-18620.168000000001</v>
      </c>
      <c r="H95" s="10">
        <v>-7580.9840000000004</v>
      </c>
      <c r="I95" s="10">
        <v>-1666.7550000000001</v>
      </c>
    </row>
    <row r="96" spans="1:9" x14ac:dyDescent="0.3">
      <c r="A96" s="24" t="s">
        <v>128</v>
      </c>
      <c r="B96" s="25"/>
      <c r="C96" s="10"/>
      <c r="D96" s="10">
        <v>-6470.9129999999996</v>
      </c>
      <c r="E96" s="10">
        <v>-24537.83</v>
      </c>
      <c r="F96" s="10">
        <v>-18644.905999999999</v>
      </c>
      <c r="G96" s="10">
        <v>-17709.901999999998</v>
      </c>
      <c r="H96" s="10">
        <v>-7048.7250000000004</v>
      </c>
      <c r="I96" s="10">
        <v>-6855.8159999999998</v>
      </c>
    </row>
    <row r="97" spans="1:9" x14ac:dyDescent="0.3">
      <c r="A97" s="24" t="s">
        <v>129</v>
      </c>
      <c r="B97" s="25"/>
      <c r="C97" s="10"/>
      <c r="D97" s="10">
        <v>-308.20999999999998</v>
      </c>
      <c r="E97" s="10">
        <v>-329.93299999999999</v>
      </c>
      <c r="F97" s="10">
        <v>-807.47699999999998</v>
      </c>
      <c r="G97" s="10">
        <v>-1735.9780000000001</v>
      </c>
      <c r="H97" s="10">
        <v>-1527.8879999999999</v>
      </c>
      <c r="I97" s="10">
        <v>-140.54300000000001</v>
      </c>
    </row>
    <row r="98" spans="1:9" x14ac:dyDescent="0.3">
      <c r="A98" s="24" t="s">
        <v>130</v>
      </c>
      <c r="B98" s="25"/>
      <c r="C98" s="10"/>
      <c r="D98" s="10">
        <v>-19.888999999999999</v>
      </c>
      <c r="E98" s="10">
        <v>-2.4279999999999999</v>
      </c>
      <c r="F98" s="10">
        <v>-0.91500000000000004</v>
      </c>
      <c r="G98" s="10">
        <v>-5443.0839999999998</v>
      </c>
      <c r="H98" s="10">
        <v>-4388.4030000000002</v>
      </c>
      <c r="I98" s="10">
        <v>-2173.663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2</v>
      </c>
    </row>
    <row r="103" spans="1:9" x14ac:dyDescent="0.3">
      <c r="A103" s="24" t="s">
        <v>133</v>
      </c>
      <c r="B103" s="25"/>
      <c r="C103" s="15"/>
      <c r="D103" s="15">
        <f>D27/D102-D107</f>
        <v>323.375</v>
      </c>
      <c r="E103" s="15">
        <f>E27/E102-E107</f>
        <v>323.375</v>
      </c>
      <c r="F103" s="15">
        <f>F27/F102-F107</f>
        <v>311.83859999999999</v>
      </c>
      <c r="G103" s="15">
        <f>G27/G102-G107</f>
        <v>293</v>
      </c>
      <c r="H103" s="15">
        <f>H27/H102-H107</f>
        <v>1465</v>
      </c>
    </row>
    <row r="104" spans="1:9" x14ac:dyDescent="0.3">
      <c r="A104" s="24" t="s">
        <v>134</v>
      </c>
      <c r="B104" s="25"/>
      <c r="C104" s="15"/>
      <c r="D104" s="15">
        <v>323.375</v>
      </c>
      <c r="E104" s="15">
        <v>323.375</v>
      </c>
      <c r="F104" s="15">
        <v>318.74900000000002</v>
      </c>
      <c r="G104" s="15">
        <v>297.29599999999999</v>
      </c>
      <c r="H104" s="15">
        <v>1465</v>
      </c>
    </row>
    <row r="105" spans="1:9" x14ac:dyDescent="0.3">
      <c r="A105" s="24" t="s">
        <v>135</v>
      </c>
      <c r="B105" s="25"/>
      <c r="C105" s="14"/>
      <c r="D105" s="14">
        <v>863.44</v>
      </c>
      <c r="E105" s="14">
        <v>459.04</v>
      </c>
      <c r="F105" s="14">
        <v>522.09</v>
      </c>
      <c r="G105" s="14">
        <v>906.73</v>
      </c>
      <c r="H105" s="14">
        <v>355.24</v>
      </c>
    </row>
    <row r="106" spans="1:9" x14ac:dyDescent="0.3">
      <c r="A106" s="24" t="s">
        <v>136</v>
      </c>
      <c r="B106" s="25"/>
      <c r="C106" s="14"/>
      <c r="D106" s="52">
        <v>0</v>
      </c>
      <c r="E106" s="52">
        <v>0</v>
      </c>
      <c r="F106" s="14">
        <v>18</v>
      </c>
      <c r="G106" s="14">
        <v>15</v>
      </c>
      <c r="H106" s="14">
        <v>4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260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2" t="s">
        <v>141</v>
      </c>
      <c r="B110" s="92"/>
      <c r="C110" s="92"/>
      <c r="D110" s="92"/>
      <c r="E110" s="92"/>
      <c r="F110" s="92"/>
      <c r="G110" s="92"/>
      <c r="H110" s="92"/>
    </row>
    <row r="111" spans="1:9" ht="27" customHeight="1" x14ac:dyDescent="0.3">
      <c r="A111" s="73" t="s">
        <v>142</v>
      </c>
      <c r="B111" s="30" t="s">
        <v>143</v>
      </c>
      <c r="C111" s="80" t="s">
        <v>261</v>
      </c>
      <c r="D111" s="74">
        <f>IF(OR(NOT(ISNUMBER(D24)),NOT(ISNUMBER(D48))),"n/m",IF(OR((D48)&lt;=0,(D24)&lt;0),"n/m",(D24)/(D48)))</f>
        <v>1.3386079458938223</v>
      </c>
      <c r="E111" s="74">
        <f>IF(OR(NOT(ISNUMBER(E24)),NOT(ISNUMBER(E48))),"n/m",IF(OR((E48)&lt;=0,(E24)&lt;0),"n/m",(E24)/(E48)))</f>
        <v>1.4760766300374313</v>
      </c>
      <c r="F111" s="74">
        <f>IF(OR(NOT(ISNUMBER(F24)),NOT(ISNUMBER(F48))),"n/m",IF(OR((F48)&lt;=0,(F24)&lt;0),"n/m",(F24)/(F48)))</f>
        <v>1.290071633326858</v>
      </c>
      <c r="G111" s="74">
        <f>IF(OR(NOT(ISNUMBER(G24)),NOT(ISNUMBER(G48))),"n/m",IF(OR((G48)&lt;=0,(G24)&lt;0),"n/m",(G24)/(G48)))</f>
        <v>1.2632222354743232</v>
      </c>
      <c r="H111" s="74">
        <f>IF(OR(NOT(ISNUMBER(H24)),NOT(ISNUMBER(H48))),"n/m",IF(OR((H48)&lt;=0,(H24)&lt;0),"n/m",(H24)/(H48)))</f>
        <v>1.7146143875904156</v>
      </c>
    </row>
    <row r="112" spans="1:9" ht="27" customHeight="1" x14ac:dyDescent="0.3">
      <c r="A112" s="73" t="s">
        <v>144</v>
      </c>
      <c r="B112" s="30" t="s">
        <v>145</v>
      </c>
      <c r="C112" s="80" t="s">
        <v>262</v>
      </c>
      <c r="D112" s="74">
        <f>IF(OR(NOT(ISNUMBER(D24-D54)),NOT(ISNUMBER(D48))),"n/m",IF(OR((D48)&lt;=0,(D24-D54)&lt;0),"n/m",(D24-D54)/(D48)))</f>
        <v>0.89000886100685095</v>
      </c>
      <c r="E112" s="74">
        <f>IF(OR(NOT(ISNUMBER(E24-E54)),NOT(ISNUMBER(E48))),"n/m",IF(OR((E48)&lt;=0,(E24-E54)&lt;0),"n/m",(E24-E54)/(E48)))</f>
        <v>0.87076091919208631</v>
      </c>
      <c r="F112" s="74">
        <f>IF(OR(NOT(ISNUMBER(F24-F54)),NOT(ISNUMBER(F48))),"n/m",IF(OR((F48)&lt;=0,(F24-F54)&lt;0),"n/m",(F24-F54)/(F48)))</f>
        <v>0.85412226562426408</v>
      </c>
      <c r="G112" s="74">
        <f>IF(OR(NOT(ISNUMBER(G24-G54)),NOT(ISNUMBER(G48))),"n/m",IF(OR((G48)&lt;=0,(G24-G54)&lt;0),"n/m",(G24-G54)/(G48)))</f>
        <v>0.83698311631700717</v>
      </c>
      <c r="H112" s="74">
        <f>IF(OR(NOT(ISNUMBER(H24-H54)),NOT(ISNUMBER(H48))),"n/m",IF(OR((H48)&lt;=0,(H24-H54)&lt;0),"n/m",(H24-H54)/(H48)))</f>
        <v>1.2939267138361998</v>
      </c>
    </row>
    <row r="113" spans="1:8" ht="27" customHeight="1" x14ac:dyDescent="0.3">
      <c r="A113" s="73" t="s">
        <v>146</v>
      </c>
      <c r="B113" s="30" t="s">
        <v>147</v>
      </c>
      <c r="C113" s="80" t="s">
        <v>263</v>
      </c>
      <c r="D113" s="74">
        <f>IF(OR(NOT(ISNUMBER(D157)),NOT(ISNUMBER(D48))),"n/m",IF(OR((D48)&lt;=0,(D157)&lt;0),"n/m",(D157)/(D48)))</f>
        <v>0.61509850934604882</v>
      </c>
      <c r="E113" s="74">
        <f>IF(OR(NOT(ISNUMBER(E157)),NOT(ISNUMBER(E48))),"n/m",IF(OR((E48)&lt;=0,(E157)&lt;0),"n/m",(E157)/(E48)))</f>
        <v>0.51028731982278264</v>
      </c>
      <c r="F113" s="74">
        <f>IF(OR(NOT(ISNUMBER(F157)),NOT(ISNUMBER(F48))),"n/m",IF(OR((F48)&lt;=0,(F157)&lt;0),"n/m",(F157)/(F48)))</f>
        <v>0.56303776721097065</v>
      </c>
      <c r="G113" s="74">
        <f>IF(OR(NOT(ISNUMBER(G157)),NOT(ISNUMBER(G48))),"n/m",IF(OR((G48)&lt;=0,(G157)&lt;0),"n/m",(G157)/(G48)))</f>
        <v>0.59758338272421885</v>
      </c>
      <c r="H113" s="74">
        <f>IF(OR(NOT(ISNUMBER(H157)),NOT(ISNUMBER(H48))),"n/m",IF(OR((H48)&lt;=0,(H157)&lt;0),"n/m",(H157)/(H48)))</f>
        <v>1.0928864859820921</v>
      </c>
    </row>
    <row r="114" spans="1:8" ht="27" customHeight="1" x14ac:dyDescent="0.3">
      <c r="A114" s="73" t="s">
        <v>148</v>
      </c>
      <c r="B114" s="30" t="s">
        <v>149</v>
      </c>
      <c r="C114" s="80" t="s">
        <v>264</v>
      </c>
      <c r="D114" s="75">
        <f>IF(OR(NOT(ISNUMBER(D24-D48)),NOT(ISNUMBER(1))),"n/m",IF(OR((1)&lt;=0,(D24-D48)&lt;0),"n/m",(D24-D48)/(1)))</f>
        <v>10289.302000000007</v>
      </c>
      <c r="E114" s="75">
        <f>IF(OR(NOT(ISNUMBER(E24-E48)),NOT(ISNUMBER(1))),"n/m",IF(OR((1)&lt;=0,(E24-E48)&lt;0),"n/m",(E24-E48)/(1)))</f>
        <v>14454.333000000006</v>
      </c>
      <c r="F114" s="75">
        <f>IF(OR(NOT(ISNUMBER(F24-F48)),NOT(ISNUMBER(1))),"n/m",IF(OR((1)&lt;=0,(F24-F48)&lt;0),"n/m",(F24-F48)/(1)))</f>
        <v>13395.762999999999</v>
      </c>
      <c r="G114" s="75">
        <f>IF(OR(NOT(ISNUMBER(G24-G48)),NOT(ISNUMBER(1))),"n/m",IF(OR((1)&lt;=0,(G24-G48)&lt;0),"n/m",(G24-G48)/(1)))</f>
        <v>14263.611000000004</v>
      </c>
      <c r="H114" s="75">
        <f>IF(OR(NOT(ISNUMBER(H24-H48)),NOT(ISNUMBER(1))),"n/m",IF(OR((1)&lt;=0,(H24-H48)&lt;0),"n/m",(H24-H48)/(1)))</f>
        <v>41905.97600000001</v>
      </c>
    </row>
    <row r="115" spans="1:8" ht="21" customHeight="1" x14ac:dyDescent="0.3">
      <c r="A115" s="92" t="s">
        <v>150</v>
      </c>
      <c r="B115" s="92"/>
      <c r="C115" s="92"/>
      <c r="D115" s="93"/>
      <c r="E115" s="93"/>
      <c r="F115" s="93"/>
      <c r="G115" s="93"/>
      <c r="H115" s="93"/>
    </row>
    <row r="116" spans="1:8" ht="27" customHeight="1" x14ac:dyDescent="0.3">
      <c r="A116" s="73" t="s">
        <v>151</v>
      </c>
      <c r="B116" s="30" t="s">
        <v>152</v>
      </c>
      <c r="C116" s="80" t="s">
        <v>265</v>
      </c>
      <c r="D116" s="74">
        <f>IF(OR(NOT(ISNUMBER(-D65)),NOT(ISNUMBER(AVERAGE(I54,D54)))),"n/m",IF(OR((AVERAGE(I54,D54))&lt;=0,(-D65)&lt;0),"n/m",(-D65)/(AVERAGE(I54,D54))))</f>
        <v>3.8136073127139278</v>
      </c>
      <c r="E116" s="74">
        <f>IF(OR(NOT(ISNUMBER(-E65)),NOT(ISNUMBER(AVERAGE(D54,E54)))),"n/m",IF(OR((AVERAGE(D54,E54))&lt;=0,(-E65)&lt;0),"n/m",(-E65)/(AVERAGE(D54,E54))))</f>
        <v>3.657733126059421</v>
      </c>
      <c r="F116" s="74">
        <f>IF(OR(NOT(ISNUMBER(-F65)),NOT(ISNUMBER(AVERAGE(E54,F54)))),"n/m",IF(OR((AVERAGE(E54,F54))&lt;=0,(-F65)&lt;0),"n/m",(-F65)/(AVERAGE(E54,F54))))</f>
        <v>3.6234818387767853</v>
      </c>
      <c r="G116" s="74">
        <f>IF(OR(NOT(ISNUMBER(-G65)),NOT(ISNUMBER(AVERAGE(F54,G54)))),"n/m",IF(OR((AVERAGE(F54,G54))&lt;=0,(-G65)&lt;0),"n/m",(-G65)/(AVERAGE(F54,G54))))</f>
        <v>3.5401699550948362</v>
      </c>
      <c r="H116" s="74">
        <f>IF(OR(NOT(ISNUMBER(-H65)),NOT(ISNUMBER(AVERAGE(G54,H54)))),"n/m",IF(OR((AVERAGE(G54,H54))&lt;=0,(-H65)&lt;0),"n/m",(-H65)/(AVERAGE(G54,H54))))</f>
        <v>3.4260949525900268</v>
      </c>
    </row>
    <row r="117" spans="1:8" ht="27" customHeight="1" x14ac:dyDescent="0.3">
      <c r="A117" s="73" t="s">
        <v>153</v>
      </c>
      <c r="B117" s="30" t="s">
        <v>154</v>
      </c>
      <c r="C117" s="80" t="s">
        <v>266</v>
      </c>
      <c r="D117" s="74">
        <f>IF(OR(NOT(ISNUMBER(D64)),NOT(ISNUMBER(AVERAGE(I20,D20)))),"n/m",IF(OR((AVERAGE(I20,D20))&lt;=0,(D64)&lt;0),"n/m",(D64)/(AVERAGE(I20,D20))))</f>
        <v>20.525799758937445</v>
      </c>
      <c r="E117" s="74">
        <f>IF(OR(NOT(ISNUMBER(E64)),NOT(ISNUMBER(AVERAGE(D20,E20)))),"n/m",IF(OR((AVERAGE(D20,E20))&lt;=0,(E64)&lt;0),"n/m",(E64)/(AVERAGE(D20,E20))))</f>
        <v>26.020654219821807</v>
      </c>
      <c r="F117" s="74">
        <f>IF(OR(NOT(ISNUMBER(F64)),NOT(ISNUMBER(AVERAGE(E20,F20)))),"n/m",IF(OR((AVERAGE(E20,F20))&lt;=0,(F64)&lt;0),"n/m",(F64)/(AVERAGE(E20,F20))))</f>
        <v>22.253946370189343</v>
      </c>
      <c r="G117" s="74">
        <f>IF(OR(NOT(ISNUMBER(G64)),NOT(ISNUMBER(AVERAGE(F20,G20)))),"n/m",IF(OR((AVERAGE(F20,G20))&lt;=0,(G64)&lt;0),"n/m",(G64)/(AVERAGE(F20,G20))))</f>
        <v>19.185416979630755</v>
      </c>
      <c r="H117" s="74">
        <f>IF(OR(NOT(ISNUMBER(H64)),NOT(ISNUMBER(AVERAGE(G20,H20)))),"n/m",IF(OR((AVERAGE(G20,H20))&lt;=0,(H64)&lt;0),"n/m",(H64)/(AVERAGE(G20,H20))))</f>
        <v>18.743761644592638</v>
      </c>
    </row>
    <row r="118" spans="1:8" ht="27" customHeight="1" x14ac:dyDescent="0.3">
      <c r="A118" s="73" t="s">
        <v>155</v>
      </c>
      <c r="B118" s="30" t="s">
        <v>156</v>
      </c>
      <c r="C118" s="80" t="s">
        <v>267</v>
      </c>
      <c r="D118" s="76">
        <f>IF(OR(NOT(ISNUMBER(365*AVERAGE(I54,D54))),NOT(ISNUMBER(-D65))),"n/m",IF(OR((-D65)&lt;=0,(365*AVERAGE(I54,D54))&lt;0),"n/m",(365*AVERAGE(I54,D54))/(-D65)))</f>
        <v>95.709906676324849</v>
      </c>
      <c r="E118" s="76">
        <f>IF(OR(NOT(ISNUMBER(365*AVERAGE(D54,E54))),NOT(ISNUMBER(-E65))),"n/m",IF(OR((-E65)&lt;=0,(365*AVERAGE(D54,E54))&lt;0),"n/m",(365*AVERAGE(D54,E54))/(-E65)))</f>
        <v>99.788581457615734</v>
      </c>
      <c r="F118" s="76">
        <f>IF(OR(NOT(ISNUMBER(365*AVERAGE(E54,F54))),NOT(ISNUMBER(-F65))),"n/m",IF(OR((-F65)&lt;=0,(365*AVERAGE(E54,F54))&lt;0),"n/m",(365*AVERAGE(E54,F54))/(-F65)))</f>
        <v>100.73184197970664</v>
      </c>
      <c r="G118" s="76">
        <f>IF(OR(NOT(ISNUMBER(365*AVERAGE(F54,G54))),NOT(ISNUMBER(-G65))),"n/m",IF(OR((-G65)&lt;=0,(365*AVERAGE(F54,G54))&lt;0),"n/m",(365*AVERAGE(F54,G54))/(-G65)))</f>
        <v>103.10239469568691</v>
      </c>
      <c r="H118" s="76">
        <f>IF(OR(NOT(ISNUMBER(365*AVERAGE(G54,H54))),NOT(ISNUMBER(-H65))),"n/m",IF(OR((-H65)&lt;=0,(365*AVERAGE(G54,H54))&lt;0),"n/m",(365*AVERAGE(G54,H54))/(-H65)))</f>
        <v>106.53528435458882</v>
      </c>
    </row>
    <row r="119" spans="1:8" ht="27" customHeight="1" x14ac:dyDescent="0.3">
      <c r="A119" s="73" t="s">
        <v>157</v>
      </c>
      <c r="B119" s="30" t="s">
        <v>158</v>
      </c>
      <c r="C119" s="80" t="s">
        <v>268</v>
      </c>
      <c r="D119" s="76">
        <f>IF(OR(NOT(ISNUMBER(365*AVERAGE(I20,D20))),NOT(ISNUMBER(D64))),"n/m",IF(OR((D64)&lt;=0,(365*AVERAGE(I20,D20))&lt;0),"n/m",(365*AVERAGE(I20,D20))/(D64)))</f>
        <v>17.782498333156049</v>
      </c>
      <c r="E119" s="76">
        <f>IF(OR(NOT(ISNUMBER(365*AVERAGE(D20,E20))),NOT(ISNUMBER(E64))),"n/m",IF(OR((E64)&lt;=0,(365*AVERAGE(D20,E20))&lt;0),"n/m",(365*AVERAGE(D20,E20))/(E64)))</f>
        <v>14.027318333985361</v>
      </c>
      <c r="F119" s="76">
        <f>IF(OR(NOT(ISNUMBER(365*AVERAGE(E20,F20))),NOT(ISNUMBER(F64))),"n/m",IF(OR((F64)&lt;=0,(365*AVERAGE(E20,F20))&lt;0),"n/m",(365*AVERAGE(E20,F20))/(F64)))</f>
        <v>16.401585315624828</v>
      </c>
      <c r="G119" s="76">
        <f>IF(OR(NOT(ISNUMBER(365*AVERAGE(F20,G20))),NOT(ISNUMBER(G64))),"n/m",IF(OR((G64)&lt;=0,(365*AVERAGE(F20,G20))&lt;0),"n/m",(365*AVERAGE(F20,G20))/(G64)))</f>
        <v>19.024866667611246</v>
      </c>
      <c r="H119" s="76">
        <f>IF(OR(NOT(ISNUMBER(365*AVERAGE(G20,H20))),NOT(ISNUMBER(H64))),"n/m",IF(OR((H64)&lt;=0,(365*AVERAGE(G20,H20))&lt;0),"n/m",(365*AVERAGE(G20,H20))/(H64)))</f>
        <v>19.473145621508603</v>
      </c>
    </row>
    <row r="120" spans="1:8" ht="27" customHeight="1" x14ac:dyDescent="0.3">
      <c r="A120" s="73" t="s">
        <v>159</v>
      </c>
      <c r="B120" s="30" t="s">
        <v>160</v>
      </c>
      <c r="C120" s="80" t="s">
        <v>269</v>
      </c>
      <c r="D120" s="74">
        <f>IF(OR(NOT(ISNUMBER(D64)),NOT(ISNUMBER(D9))),"n/m",IF(OR((D9)&lt;=0,(D64)&lt;0),"n/m",(D64)/(D9)))</f>
        <v>1.0088292750112451</v>
      </c>
      <c r="E120" s="74">
        <f>IF(OR(NOT(ISNUMBER(E64)),NOT(ISNUMBER(E9))),"n/m",IF(OR((E9)&lt;=0,(E64)&lt;0),"n/m",(E64)/(E9)))</f>
        <v>0.98532795146598973</v>
      </c>
      <c r="F120" s="74">
        <f>IF(OR(NOT(ISNUMBER(F64)),NOT(ISNUMBER(F9))),"n/m",IF(OR((F9)&lt;=0,(F64)&lt;0),"n/m",(F64)/(F9)))</f>
        <v>1.0022154394695202</v>
      </c>
      <c r="G120" s="74">
        <f>IF(OR(NOT(ISNUMBER(G64)),NOT(ISNUMBER(G9))),"n/m",IF(OR((G9)&lt;=0,(G64)&lt;0),"n/m",(G64)/(G9)))</f>
        <v>1.0752008785316265</v>
      </c>
      <c r="H120" s="74">
        <f>IF(OR(NOT(ISNUMBER(H64)),NOT(ISNUMBER(H9))),"n/m",IF(OR((H9)&lt;=0,(H64)&lt;0),"n/m",(H64)/(H9)))</f>
        <v>1.1592237370838812</v>
      </c>
    </row>
    <row r="121" spans="1:8" ht="27" customHeight="1" x14ac:dyDescent="0.3">
      <c r="A121" s="73" t="s">
        <v>161</v>
      </c>
      <c r="B121" s="30" t="s">
        <v>162</v>
      </c>
      <c r="C121" s="80" t="s">
        <v>270</v>
      </c>
      <c r="D121" s="74">
        <f>IF(OR(NOT(ISNUMBER(D64)),NOT(ISNUMBER(D25))),"n/m",IF(OR((D25)&lt;=0,(D64)&lt;0),"n/m",(D64)/(D25)))</f>
        <v>0.40251701143421476</v>
      </c>
      <c r="E121" s="74">
        <f>IF(OR(NOT(ISNUMBER(E64)),NOT(ISNUMBER(E25))),"n/m",IF(OR((E25)&lt;=0,(E64)&lt;0),"n/m",(E64)/(E25)))</f>
        <v>0.4384325626713429</v>
      </c>
      <c r="F121" s="74">
        <f>IF(OR(NOT(ISNUMBER(F64)),NOT(ISNUMBER(F25))),"n/m",IF(OR((F25)&lt;=0,(F64)&lt;0),"n/m",(F64)/(F25)))</f>
        <v>0.44974923322711935</v>
      </c>
      <c r="G121" s="74">
        <f>IF(OR(NOT(ISNUMBER(G64)),NOT(ISNUMBER(G25))),"n/m",IF(OR((G25)&lt;=0,(G64)&lt;0),"n/m",(G64)/(G25)))</f>
        <v>0.49280353497458251</v>
      </c>
      <c r="H121" s="74">
        <f>IF(OR(NOT(ISNUMBER(H64)),NOT(ISNUMBER(H25))),"n/m",IF(OR((H25)&lt;=0,(H64)&lt;0),"n/m",(H64)/(H25)))</f>
        <v>0.46677662061834158</v>
      </c>
    </row>
    <row r="122" spans="1:8" ht="21" customHeight="1" x14ac:dyDescent="0.3">
      <c r="A122" s="92" t="s">
        <v>163</v>
      </c>
      <c r="B122" s="92"/>
      <c r="C122" s="92"/>
      <c r="D122" s="93"/>
      <c r="E122" s="93"/>
      <c r="F122" s="93"/>
      <c r="G122" s="93"/>
      <c r="H122" s="93"/>
    </row>
    <row r="123" spans="1:8" ht="27" customHeight="1" x14ac:dyDescent="0.3">
      <c r="A123" s="73" t="s">
        <v>164</v>
      </c>
      <c r="B123" s="30" t="s">
        <v>165</v>
      </c>
      <c r="C123" s="80" t="s">
        <v>271</v>
      </c>
      <c r="D123" s="77">
        <f>IF(OR(NOT(ISNUMBER(D49)),NOT(ISNUMBER(D25))),"n/m",IF(OR((D25)&lt;=0,(D49)&lt;0),"n/m",(D49)/(D25)))</f>
        <v>0.27606535150381284</v>
      </c>
      <c r="E123" s="77">
        <f>IF(OR(NOT(ISNUMBER(E49)),NOT(ISNUMBER(E25))),"n/m",IF(OR((E25)&lt;=0,(E49)&lt;0),"n/m",(E49)/(E25)))</f>
        <v>0.30504607293955061</v>
      </c>
      <c r="F123" s="77">
        <f>IF(OR(NOT(ISNUMBER(F49)),NOT(ISNUMBER(F25))),"n/m",IF(OR((F25)&lt;=0,(F49)&lt;0),"n/m",(F49)/(F25)))</f>
        <v>0.35532697822447284</v>
      </c>
      <c r="G123" s="77">
        <f>IF(OR(NOT(ISNUMBER(G49)),NOT(ISNUMBER(G25))),"n/m",IF(OR((G25)&lt;=0,(G49)&lt;0),"n/m",(G49)/(G25)))</f>
        <v>0.36859036410390322</v>
      </c>
      <c r="H123" s="77">
        <f>IF(OR(NOT(ISNUMBER(H49)),NOT(ISNUMBER(H25))),"n/m",IF(OR((H25)&lt;=0,(H49)&lt;0),"n/m",(H49)/(H25)))</f>
        <v>0.34053721034041001</v>
      </c>
    </row>
    <row r="124" spans="1:8" ht="27" customHeight="1" x14ac:dyDescent="0.3">
      <c r="A124" s="73" t="s">
        <v>166</v>
      </c>
      <c r="B124" s="30" t="s">
        <v>167</v>
      </c>
      <c r="C124" s="80" t="s">
        <v>272</v>
      </c>
      <c r="D124" s="74">
        <f>IF(OR(NOT(ISNUMBER(D55)),NOT(ISNUMBER(D29))),"n/m",IF(OR((D29)&lt;=0,(D55)&lt;0),"n/m",(D55)/(D29)))</f>
        <v>9.267604319417716E-2</v>
      </c>
      <c r="E124" s="74">
        <f>IF(OR(NOT(ISNUMBER(E55)),NOT(ISNUMBER(E29))),"n/m",IF(OR((E29)&lt;=0,(E55)&lt;0),"n/m",(E55)/(E29)))</f>
        <v>0.12132883685589589</v>
      </c>
      <c r="F124" s="74">
        <f>IF(OR(NOT(ISNUMBER(F55)),NOT(ISNUMBER(F29))),"n/m",IF(OR((F29)&lt;=0,(F55)&lt;0),"n/m",(F55)/(F29)))</f>
        <v>0.15318126074071459</v>
      </c>
      <c r="G124" s="74">
        <f>IF(OR(NOT(ISNUMBER(G55)),NOT(ISNUMBER(G29))),"n/m",IF(OR((G29)&lt;=0,(G55)&lt;0),"n/m",(G55)/(G29)))</f>
        <v>0.13768684470695258</v>
      </c>
      <c r="H124" s="74">
        <f>IF(OR(NOT(ISNUMBER(H55)),NOT(ISNUMBER(H29))),"n/m",IF(OR((H29)&lt;=0,(H55)&lt;0),"n/m",(H55)/(H29)))</f>
        <v>9.9684879347667912E-2</v>
      </c>
    </row>
    <row r="125" spans="1:8" ht="27" customHeight="1" x14ac:dyDescent="0.3">
      <c r="A125" s="73" t="s">
        <v>168</v>
      </c>
      <c r="B125" s="30" t="s">
        <v>169</v>
      </c>
      <c r="C125" s="80" t="s">
        <v>273</v>
      </c>
      <c r="D125" s="77">
        <f>IF(OR(NOT(ISNUMBER(D55)),NOT(ISNUMBER(D55+D29))),"n/m",IF(OR((D55+D29)&lt;=0,(D55)&lt;0),"n/m",(D55)/(D55+D29)))</f>
        <v>8.4815663134025443E-2</v>
      </c>
      <c r="E125" s="77">
        <f>IF(OR(NOT(ISNUMBER(E55)),NOT(ISNUMBER(E55+E29))),"n/m",IF(OR((E55+E29)&lt;=0,(E55)&lt;0),"n/m",(E55)/(E55+E29)))</f>
        <v>0.10820094237127705</v>
      </c>
      <c r="F125" s="77">
        <f>IF(OR(NOT(ISNUMBER(F55)),NOT(ISNUMBER(F55+F29))),"n/m",IF(OR((F55+F29)&lt;=0,(F55)&lt;0),"n/m",(F55)/(F55+F29)))</f>
        <v>0.13283363678865434</v>
      </c>
      <c r="G125" s="77">
        <f>IF(OR(NOT(ISNUMBER(G55)),NOT(ISNUMBER(G55+G29))),"n/m",IF(OR((G55+G29)&lt;=0,(G55)&lt;0),"n/m",(G55)/(G55+G29)))</f>
        <v>0.12102350075289672</v>
      </c>
      <c r="H125" s="77">
        <f>IF(OR(NOT(ISNUMBER(H55)),NOT(ISNUMBER(H55+H29))),"n/m",IF(OR((H55+H29)&lt;=0,(H55)&lt;0),"n/m",(H55)/(H55+H29)))</f>
        <v>9.0648585990198302E-2</v>
      </c>
    </row>
    <row r="126" spans="1:8" ht="27" customHeight="1" x14ac:dyDescent="0.3">
      <c r="A126" s="73" t="s">
        <v>170</v>
      </c>
      <c r="B126" s="30" t="s">
        <v>171</v>
      </c>
      <c r="C126" s="80" t="s">
        <v>274</v>
      </c>
      <c r="D126" s="74">
        <f>IF(OR(NOT(ISNUMBER(D82)),NOT(ISNUMBER(D85))),"n/m",IF(OR((D85)&lt;=0,(D82)&lt;0),"n/m",(D82)/(D85)))</f>
        <v>52.042228263318378</v>
      </c>
      <c r="E126" s="74">
        <f>IF(OR(NOT(ISNUMBER(E82)),NOT(ISNUMBER(E85))),"n/m",IF(OR((E85)&lt;=0,(E82)&lt;0),"n/m",(E82)/(E85)))</f>
        <v>55.297361076962446</v>
      </c>
      <c r="F126" s="74">
        <f>IF(OR(NOT(ISNUMBER(F82)),NOT(ISNUMBER(F85))),"n/m",IF(OR((F85)&lt;=0,(F82)&lt;0),"n/m",(F82)/(F85)))</f>
        <v>19.418491261619813</v>
      </c>
      <c r="G126" s="74">
        <f>IF(OR(NOT(ISNUMBER(G82)),NOT(ISNUMBER(G85))),"n/m",IF(OR((G85)&lt;=0,(G82)&lt;0),"n/m",(G82)/(G85)))</f>
        <v>27.521394265428206</v>
      </c>
      <c r="H126" s="74">
        <f>IF(OR(NOT(ISNUMBER(H82)),NOT(ISNUMBER(H85))),"n/m",IF(OR((H85)&lt;=0,(H82)&lt;0),"n/m",(H82)/(H85)))</f>
        <v>36.687316512913945</v>
      </c>
    </row>
    <row r="127" spans="1:8" ht="21" customHeight="1" x14ac:dyDescent="0.3">
      <c r="A127" s="92" t="s">
        <v>172</v>
      </c>
      <c r="B127" s="92"/>
      <c r="C127" s="92"/>
      <c r="D127" s="93"/>
      <c r="E127" s="93"/>
      <c r="F127" s="93"/>
      <c r="G127" s="93"/>
      <c r="H127" s="93"/>
    </row>
    <row r="128" spans="1:8" ht="27" customHeight="1" x14ac:dyDescent="0.3">
      <c r="A128" s="73" t="s">
        <v>173</v>
      </c>
      <c r="B128" s="30" t="s">
        <v>174</v>
      </c>
      <c r="C128" s="80" t="s">
        <v>275</v>
      </c>
      <c r="D128" s="77">
        <f>IF(OR(NOT(ISNUMBER(D66)),NOT(ISNUMBER(D64))),"n/m",IF(OR((D64)&lt;=0,(D66)&lt;0),"n/m",(D66)/(D64)))</f>
        <v>0.30117079055471246</v>
      </c>
      <c r="E128" s="77">
        <f>IF(OR(NOT(ISNUMBER(E66)),NOT(ISNUMBER(E64))),"n/m",IF(OR((E64)&lt;=0,(E66)&lt;0),"n/m",(E66)/(E64)))</f>
        <v>0.27809669144361399</v>
      </c>
      <c r="F128" s="77">
        <f>IF(OR(NOT(ISNUMBER(F66)),NOT(ISNUMBER(F64))),"n/m",IF(OR((F64)&lt;=0,(F66)&lt;0),"n/m",(F66)/(F64)))</f>
        <v>0.27194087595679139</v>
      </c>
      <c r="G128" s="77">
        <f>IF(OR(NOT(ISNUMBER(G66)),NOT(ISNUMBER(G64))),"n/m",IF(OR((G64)&lt;=0,(G66)&lt;0),"n/m",(G66)/(G64)))</f>
        <v>0.33648030796321582</v>
      </c>
      <c r="H128" s="77">
        <f>IF(OR(NOT(ISNUMBER(H66)),NOT(ISNUMBER(H64))),"n/m",IF(OR((H64)&lt;=0,(H66)&lt;0),"n/m",(H66)/(H64)))</f>
        <v>0.34281652982067301</v>
      </c>
    </row>
    <row r="129" spans="1:8" ht="27" customHeight="1" x14ac:dyDescent="0.3">
      <c r="A129" s="73" t="s">
        <v>175</v>
      </c>
      <c r="B129" s="30" t="s">
        <v>176</v>
      </c>
      <c r="C129" s="80" t="s">
        <v>276</v>
      </c>
      <c r="D129" s="77">
        <f>IF(OR(NOT(ISNUMBER(D82)),NOT(ISNUMBER(D64))),"n/m",IF(OR((D64)&lt;=0,(D82)&lt;0),"n/m",(D82)/(D64)))</f>
        <v>0.27526050866365631</v>
      </c>
      <c r="E129" s="77">
        <f>IF(OR(NOT(ISNUMBER(E82)),NOT(ISNUMBER(E64))),"n/m",IF(OR((E64)&lt;=0,(E82)&lt;0),"n/m",(E82)/(E64)))</f>
        <v>0.26901961654768358</v>
      </c>
      <c r="F129" s="77">
        <f>IF(OR(NOT(ISNUMBER(F82)),NOT(ISNUMBER(F64))),"n/m",IF(OR((F64)&lt;=0,(F82)&lt;0),"n/m",(F82)/(F64)))</f>
        <v>0.23480711540356072</v>
      </c>
      <c r="G129" s="77">
        <f>IF(OR(NOT(ISNUMBER(G82)),NOT(ISNUMBER(G64))),"n/m",IF(OR((G64)&lt;=0,(G82)&lt;0),"n/m",(G82)/(G64)))</f>
        <v>0.37240945675047471</v>
      </c>
      <c r="H129" s="77">
        <f>IF(OR(NOT(ISNUMBER(H82)),NOT(ISNUMBER(H64))),"n/m",IF(OR((H64)&lt;=0,(H82)&lt;0),"n/m",(H82)/(H64)))</f>
        <v>0.39071901522799324</v>
      </c>
    </row>
    <row r="130" spans="1:8" ht="27" customHeight="1" x14ac:dyDescent="0.3">
      <c r="A130" s="73" t="s">
        <v>177</v>
      </c>
      <c r="B130" s="30" t="s">
        <v>178</v>
      </c>
      <c r="C130" s="80" t="s">
        <v>277</v>
      </c>
      <c r="D130" s="77">
        <f>IF(OR(NOT(ISNUMBER(D79)),NOT(ISNUMBER(D64))),"n/m",IF(OR((D64)&lt;=0,(D79)&lt;0),"n/m",(D79)/(D64)))</f>
        <v>0.22354637821997994</v>
      </c>
      <c r="E130" s="77">
        <f>IF(OR(NOT(ISNUMBER(E79)),NOT(ISNUMBER(E64))),"n/m",IF(OR((E64)&lt;=0,(E79)&lt;0),"n/m",(E79)/(E64)))</f>
        <v>0.18865400166042842</v>
      </c>
      <c r="F130" s="77">
        <f>IF(OR(NOT(ISNUMBER(F79)),NOT(ISNUMBER(F64))),"n/m",IF(OR((F64)&lt;=0,(F79)&lt;0),"n/m",(F79)/(F64)))</f>
        <v>0.14322765825125466</v>
      </c>
      <c r="G130" s="77">
        <f>IF(OR(NOT(ISNUMBER(G79)),NOT(ISNUMBER(G64))),"n/m",IF(OR((G64)&lt;=0,(G79)&lt;0),"n/m",(G79)/(G64)))</f>
        <v>0.24371604713228476</v>
      </c>
      <c r="H130" s="77">
        <f>IF(OR(NOT(ISNUMBER(H79)),NOT(ISNUMBER(H64))),"n/m",IF(OR((H64)&lt;=0,(H79)&lt;0),"n/m",(H79)/(H64)))</f>
        <v>0.26577542757733763</v>
      </c>
    </row>
    <row r="131" spans="1:8" ht="27" customHeight="1" x14ac:dyDescent="0.3">
      <c r="A131" s="73" t="s">
        <v>179</v>
      </c>
      <c r="B131" s="30" t="s">
        <v>180</v>
      </c>
      <c r="C131" s="80" t="s">
        <v>278</v>
      </c>
      <c r="D131" s="77">
        <f>IF(OR(NOT(ISNUMBER(D79)),NOT(ISNUMBER(D25))),"n/m",IF(OR((D25)&lt;=0,(D79)&lt;0),"n/m",(D79)/(D25)))</f>
        <v>8.9981220078048957E-2</v>
      </c>
      <c r="E131" s="77">
        <f>IF(OR(NOT(ISNUMBER(E79)),NOT(ISNUMBER(E25))),"n/m",IF(OR((E25)&lt;=0,(E79)&lt;0),"n/m",(E79)/(E25)))</f>
        <v>8.271205740618541E-2</v>
      </c>
      <c r="F131" s="77">
        <f>IF(OR(NOT(ISNUMBER(F79)),NOT(ISNUMBER(F25))),"n/m",IF(OR((F25)&lt;=0,(F79)&lt;0),"n/m",(F79)/(F25)))</f>
        <v>6.4416529475417678E-2</v>
      </c>
      <c r="G131" s="77">
        <f>IF(OR(NOT(ISNUMBER(G79)),NOT(ISNUMBER(G25))),"n/m",IF(OR((G25)&lt;=0,(G79)&lt;0),"n/m",(G79)/(G25)))</f>
        <v>0.12010412955682188</v>
      </c>
      <c r="H131" s="77">
        <f>IF(OR(NOT(ISNUMBER(H79)),NOT(ISNUMBER(H25))),"n/m",IF(OR((H25)&lt;=0,(H79)&lt;0),"n/m",(H79)/(H25)))</f>
        <v>0.12405775592794444</v>
      </c>
    </row>
    <row r="132" spans="1:8" ht="27" customHeight="1" x14ac:dyDescent="0.3">
      <c r="A132" s="73" t="s">
        <v>181</v>
      </c>
      <c r="B132" s="30" t="s">
        <v>182</v>
      </c>
      <c r="C132" s="80" t="s">
        <v>279</v>
      </c>
      <c r="D132" s="77">
        <f>IF(OR(NOT(ISNUMBER(D79)),NOT(ISNUMBER(D29))),"n/m",IF(OR((D29)&lt;=0,(D79)&lt;0),"n/m",(D79)/(D29)))</f>
        <v>0.12429467254394423</v>
      </c>
      <c r="E132" s="77">
        <f>IF(OR(NOT(ISNUMBER(E79)),NOT(ISNUMBER(E29))),"n/m",IF(OR((E29)&lt;=0,(E79)&lt;0),"n/m",(E79)/(E29)))</f>
        <v>0.11901804448540206</v>
      </c>
      <c r="F132" s="77">
        <f>IF(OR(NOT(ISNUMBER(F79)),NOT(ISNUMBER(F29))),"n/m",IF(OR((F29)&lt;=0,(F79)&lt;0),"n/m",(F79)/(F29)))</f>
        <v>9.9921242706891636E-2</v>
      </c>
      <c r="G132" s="77">
        <f>IF(OR(NOT(ISNUMBER(G79)),NOT(ISNUMBER(G29))),"n/m",IF(OR((G29)&lt;=0,(G79)&lt;0),"n/m",(G79)/(G29)))</f>
        <v>0.19021586420101122</v>
      </c>
      <c r="H132" s="77">
        <f>IF(OR(NOT(ISNUMBER(H79)),NOT(ISNUMBER(H29))),"n/m",IF(OR((H29)&lt;=0,(H79)&lt;0),"n/m",(H79)/(H29)))</f>
        <v>0.18811941761260281</v>
      </c>
    </row>
    <row r="133" spans="1:8" ht="27" customHeight="1" x14ac:dyDescent="0.3">
      <c r="A133" s="73" t="s">
        <v>183</v>
      </c>
      <c r="B133" s="30" t="s">
        <v>184</v>
      </c>
      <c r="C133" s="80" t="s">
        <v>280</v>
      </c>
      <c r="D133" s="77">
        <f>IF(OR(NOT(ISNUMBER(D88)),NOT(ISNUMBER(D58))),"n/m",IF(OR((D58)&lt;=0,(D88)&lt;0),"n/m",(D88)/(D58)))</f>
        <v>0.11598113408973314</v>
      </c>
      <c r="E133" s="77">
        <f>IF(OR(NOT(ISNUMBER(E88)),NOT(ISNUMBER(E58))),"n/m",IF(OR((E58)&lt;=0,(E88)&lt;0),"n/m",(E88)/(E58)))</f>
        <v>0.10809497435976413</v>
      </c>
      <c r="F133" s="77">
        <f>IF(OR(NOT(ISNUMBER(F88)),NOT(ISNUMBER(F58))),"n/m",IF(OR((F58)&lt;=0,(F88)&lt;0),"n/m",(F88)/(F58)))</f>
        <v>9.1352761839314733E-2</v>
      </c>
      <c r="G133" s="77">
        <f>IF(OR(NOT(ISNUMBER(G88)),NOT(ISNUMBER(G58))),"n/m",IF(OR((G58)&lt;=0,(G88)&lt;0),"n/m",(G88)/(G58)))</f>
        <v>0.17349944050776198</v>
      </c>
      <c r="H133" s="77">
        <f>IF(OR(NOT(ISNUMBER(H88)),NOT(ISNUMBER(H58))),"n/m",IF(OR((H58)&lt;=0,(H88)&lt;0),"n/m",(H88)/(H58)))</f>
        <v>0.17586014458599655</v>
      </c>
    </row>
    <row r="134" spans="1:8" ht="27" customHeight="1" x14ac:dyDescent="0.3">
      <c r="A134" s="73" t="s">
        <v>185</v>
      </c>
      <c r="B134" s="30" t="s">
        <v>186</v>
      </c>
      <c r="C134" s="80" t="s">
        <v>281</v>
      </c>
      <c r="D134" s="77">
        <f>IF(OR(NOT(ISNUMBER(D82)),NOT(ISNUMBER(D25))),"n/m",IF(OR((D25)&lt;=0,(D82)&lt;0),"n/m",(D82)/(D25)))</f>
        <v>0.11079703731315671</v>
      </c>
      <c r="E134" s="77">
        <f>IF(OR(NOT(ISNUMBER(E82)),NOT(ISNUMBER(E25))),"n/m",IF(OR((E25)&lt;=0,(E82)&lt;0),"n/m",(E82)/(E25)))</f>
        <v>0.11794695989186292</v>
      </c>
      <c r="F134" s="77">
        <f>IF(OR(NOT(ISNUMBER(F82)),NOT(ISNUMBER(F25))),"n/m",IF(OR((F25)&lt;=0,(F82)&lt;0),"n/m",(F82)/(F25)))</f>
        <v>0.10560432010902317</v>
      </c>
      <c r="G134" s="77">
        <f>IF(OR(NOT(ISNUMBER(G82)),NOT(ISNUMBER(G25))),"n/m",IF(OR((G25)&lt;=0,(G82)&lt;0),"n/m",(G82)/(G25)))</f>
        <v>0.18352469674459784</v>
      </c>
      <c r="H134" s="77">
        <f>IF(OR(NOT(ISNUMBER(H82)),NOT(ISNUMBER(H25))),"n/m",IF(OR((H25)&lt;=0,(H82)&lt;0),"n/m",(H82)/(H25)))</f>
        <v>0.18237850153944901</v>
      </c>
    </row>
    <row r="135" spans="1:8" ht="21" customHeight="1" x14ac:dyDescent="0.3">
      <c r="A135" s="92" t="s">
        <v>187</v>
      </c>
      <c r="B135" s="92"/>
      <c r="C135" s="92"/>
      <c r="D135" s="93"/>
      <c r="E135" s="93"/>
      <c r="F135" s="93"/>
      <c r="G135" s="93"/>
      <c r="H135" s="93"/>
    </row>
    <row r="136" spans="1:8" ht="27" customHeight="1" x14ac:dyDescent="0.3">
      <c r="A136" s="73" t="s">
        <v>188</v>
      </c>
      <c r="B136" s="30" t="s">
        <v>189</v>
      </c>
      <c r="C136" s="80" t="s">
        <v>282</v>
      </c>
      <c r="D136" s="78">
        <f>IF(OR(NOT(ISNUMBER(D79)),NOT(ISNUMBER(D104))),"n/m",IF(OR((D104)&lt;=0,(D79)&lt;0),"n/m",(D79)/(D104)))</f>
        <v>43.510441437959038</v>
      </c>
      <c r="E136" s="78">
        <f>IF(OR(NOT(ISNUMBER(E79)),NOT(ISNUMBER(E104))),"n/m",IF(OR((E104)&lt;=0,(E79)&lt;0),"n/m",(E79)/(E104)))</f>
        <v>47.309216853498242</v>
      </c>
      <c r="F136" s="78">
        <f>IF(OR(NOT(ISNUMBER(F79)),NOT(ISNUMBER(F104))),"n/m",IF(OR((F104)&lt;=0,(F79)&lt;0),"n/m",(F79)/(F104)))</f>
        <v>43.061512349842658</v>
      </c>
      <c r="G136" s="78">
        <f>IF(OR(NOT(ISNUMBER(G79)),NOT(ISNUMBER(G104))),"n/m",IF(OR((G104)&lt;=0,(G79)&lt;0),"n/m",(G79)/(G104)))</f>
        <v>94.540589177116431</v>
      </c>
      <c r="H136" s="78">
        <f>IF(OR(NOT(ISNUMBER(H79)),NOT(ISNUMBER(H104))),"n/m",IF(OR((H104)&lt;=0,(H79)&lt;0),"n/m",(H79)/(H104)))</f>
        <v>22.588506484641641</v>
      </c>
    </row>
    <row r="137" spans="1:8" ht="27" customHeight="1" x14ac:dyDescent="0.3">
      <c r="A137" s="73" t="s">
        <v>190</v>
      </c>
      <c r="B137" s="30" t="s">
        <v>191</v>
      </c>
      <c r="C137" s="80" t="s">
        <v>283</v>
      </c>
      <c r="D137" s="78">
        <f>IF(OR(NOT(ISNUMBER(D29)),NOT(ISNUMBER(D103))),"n/m",IF(OR((D103)&lt;=0,(D29)&lt;0),"n/m",(D29)/(D103)))</f>
        <v>350.05878005411677</v>
      </c>
      <c r="E137" s="78">
        <f>IF(OR(NOT(ISNUMBER(E29)),NOT(ISNUMBER(E103))),"n/m",IF(OR((E103)&lt;=0,(E29)&lt;0),"n/m",(E29)/(E103)))</f>
        <v>397.49617008117508</v>
      </c>
      <c r="F137" s="78">
        <f>IF(OR(NOT(ISNUMBER(F29)),NOT(ISNUMBER(F103))),"n/m",IF(OR((F103)&lt;=0,(F29)&lt;0),"n/m",(F29)/(F103)))</f>
        <v>440.50456229600826</v>
      </c>
      <c r="G137" s="78">
        <f>IF(OR(NOT(ISNUMBER(G29)),NOT(ISNUMBER(G103))),"n/m",IF(OR((G103)&lt;=0,(G29)&lt;0),"n/m",(G29)/(G103)))</f>
        <v>504.3046996587031</v>
      </c>
      <c r="H137" s="78">
        <f>IF(OR(NOT(ISNUMBER(H29)),NOT(ISNUMBER(H103))),"n/m",IF(OR((H103)&lt;=0,(H29)&lt;0),"n/m",(H29)/(H103)))</f>
        <v>120.07535836177475</v>
      </c>
    </row>
    <row r="138" spans="1:8" ht="27" customHeight="1" x14ac:dyDescent="0.3">
      <c r="A138" s="73" t="s">
        <v>192</v>
      </c>
      <c r="B138" s="30" t="s">
        <v>193</v>
      </c>
      <c r="C138" s="80" t="s">
        <v>284</v>
      </c>
      <c r="D138" s="74">
        <f>IF(OR(NOT(ISNUMBER(D105)),NOT(ISNUMBER(D79/D104))),"n/m",IF(OR((D79/D104)&lt;=0,(D105)&lt;0),"n/m",(D105)/(D79/D104)))</f>
        <v>19.844432082610968</v>
      </c>
      <c r="E138" s="74">
        <f>IF(OR(NOT(ISNUMBER(E105)),NOT(ISNUMBER(E79/E104))),"n/m",IF(OR((E79/E104)&lt;=0,(E105)&lt;0),"n/m",(E105)/(E79/E104)))</f>
        <v>9.7029718632101325</v>
      </c>
      <c r="F138" s="74">
        <f>IF(OR(NOT(ISNUMBER(F105)),NOT(ISNUMBER(F79/F104))),"n/m",IF(OR((F79/F104)&lt;=0,(F105)&lt;0),"n/m",(F105)/(F79/F104)))</f>
        <v>12.124283879265743</v>
      </c>
      <c r="G138" s="74">
        <f>IF(OR(NOT(ISNUMBER(G105)),NOT(ISNUMBER(G79/G104))),"n/m",IF(OR((G79/G104)&lt;=0,(G105)&lt;0),"n/m",(G105)/(G79/G104)))</f>
        <v>9.5909070156236584</v>
      </c>
      <c r="H138" s="74">
        <f>IF(OR(NOT(ISNUMBER(H105)),NOT(ISNUMBER(H79/H104))),"n/m",IF(OR((H79/H104)&lt;=0,(H105)&lt;0),"n/m",(H105)/(H79/H104)))</f>
        <v>15.726582022655393</v>
      </c>
    </row>
    <row r="139" spans="1:8" ht="27" customHeight="1" x14ac:dyDescent="0.3">
      <c r="A139" s="73" t="s">
        <v>194</v>
      </c>
      <c r="B139" s="30" t="s">
        <v>195</v>
      </c>
      <c r="C139" s="80" t="s">
        <v>285</v>
      </c>
      <c r="D139" s="74">
        <f>IF(OR(NOT(ISNUMBER(D105)),NOT(ISNUMBER(D29/D103))),"n/m",IF(OR((D29/D103)&lt;=0,(D105)&lt;0),"n/m",(D105)/(D29/D103)))</f>
        <v>2.4665571875286716</v>
      </c>
      <c r="E139" s="74">
        <f>IF(OR(NOT(ISNUMBER(E105)),NOT(ISNUMBER(E29/E103))),"n/m",IF(OR((E29/E103)&lt;=0,(E105)&lt;0),"n/m",(E105)/(E29/E103)))</f>
        <v>1.1548287368561481</v>
      </c>
      <c r="F139" s="74">
        <f>IF(OR(NOT(ISNUMBER(F105)),NOT(ISNUMBER(F29/F103))),"n/m",IF(OR((F29/F103)&lt;=0,(F105)&lt;0),"n/m",(F105)/(F29/F103)))</f>
        <v>1.1852090640758639</v>
      </c>
      <c r="G139" s="74">
        <f>IF(OR(NOT(ISNUMBER(G105)),NOT(ISNUMBER(G29/G103))),"n/m",IF(OR((G29/G103)&lt;=0,(G105)&lt;0),"n/m",(G105)/(G29/G103)))</f>
        <v>1.7979804681845026</v>
      </c>
      <c r="H139" s="74">
        <f>IF(OR(NOT(ISNUMBER(H105)),NOT(ISNUMBER(H29/H103))),"n/m",IF(OR((H29/H103)&lt;=0,(H105)&lt;0),"n/m",(H105)/(H29/H103)))</f>
        <v>2.9584754511387614</v>
      </c>
    </row>
    <row r="140" spans="1:8" ht="36" customHeight="1" x14ac:dyDescent="0.3">
      <c r="A140" s="73" t="s">
        <v>196</v>
      </c>
      <c r="B140" s="30" t="s">
        <v>197</v>
      </c>
      <c r="C140" s="30" t="s">
        <v>213</v>
      </c>
      <c r="D140" s="79">
        <f>IF(OR(NOT(ISNUMBER(D106)),NOT(ISNUMBER(D105))),"n/m",IF(OR((D105)&lt;=0,(D106)&lt;0),"n/m",(D106)/(D105)))</f>
        <v>0</v>
      </c>
      <c r="E140" s="79">
        <f>IF(OR(NOT(ISNUMBER(E106)),NOT(ISNUMBER(E105))),"n/m",IF(OR((E105)&lt;=0,(E106)&lt;0),"n/m",(E106)/(E105)))</f>
        <v>0</v>
      </c>
      <c r="F140" s="77">
        <f>IF(OR(NOT(ISNUMBER(F106)),NOT(ISNUMBER(F105))),"n/m",IF(OR((F105)&lt;=0,(F106)&lt;0),"n/m",(F106)/(F105)))</f>
        <v>3.4476814342354764E-2</v>
      </c>
      <c r="G140" s="77">
        <f>IF(OR(NOT(ISNUMBER(G106)),NOT(ISNUMBER(G105))),"n/m",IF(OR((G105)&lt;=0,(G106)&lt;0),"n/m",(G106)/(G105)))</f>
        <v>1.6542962072502287E-2</v>
      </c>
      <c r="H140" s="77">
        <f>IF(OR(NOT(ISNUMBER(H106)),NOT(ISNUMBER(H105))),"n/m",IF(OR((H105)&lt;=0,(H106)&lt;0),"n/m",(H106)/(H105)))</f>
        <v>1.1259993244004052E-2</v>
      </c>
    </row>
    <row r="141" spans="1:8" ht="27" customHeight="1" x14ac:dyDescent="0.3">
      <c r="A141" s="73" t="s">
        <v>199</v>
      </c>
      <c r="B141" s="30" t="s">
        <v>200</v>
      </c>
      <c r="C141" s="80" t="s">
        <v>286</v>
      </c>
      <c r="D141" s="74">
        <f>IF(OR(NOT(ISNUMBER(D160)),NOT(ISNUMBER(D83))),"n/m",IF(OR((D83)&lt;=0,(D160)&lt;0),"n/m",(D160)/(D83)))</f>
        <v>12.530231924140164</v>
      </c>
      <c r="E141" s="74">
        <f>IF(OR(NOT(ISNUMBER(E160)),NOT(ISNUMBER(E83))),"n/m",IF(OR((E83)&lt;=0,(E160)&lt;0),"n/m",(E160)/(E83)))</f>
        <v>5.6439003003016683</v>
      </c>
      <c r="F141" s="74">
        <f>IF(OR(NOT(ISNUMBER(F160)),NOT(ISNUMBER(F83))),"n/m",IF(OR((F83)&lt;=0,(F160)&lt;0),"n/m",(F160)/(F83)))</f>
        <v>5.6924500846825419</v>
      </c>
      <c r="G141" s="74">
        <f>IF(OR(NOT(ISNUMBER(G160)),NOT(ISNUMBER(G83))),"n/m",IF(OR((G83)&lt;=0,(G160)&lt;0),"n/m",(G160)/(G83)))</f>
        <v>5.178403100254557</v>
      </c>
      <c r="H141" s="74">
        <f>IF(OR(NOT(ISNUMBER(H160)),NOT(ISNUMBER(H83))),"n/m",IF(OR((H83)&lt;=0,(H160)&lt;0),"n/m",(H160)/(H83)))</f>
        <v>8.5282679327793396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1" t="s">
        <v>201</v>
      </c>
      <c r="B147" s="91"/>
      <c r="C147" s="90"/>
      <c r="D147" s="90"/>
      <c r="E147" s="90"/>
      <c r="F147" s="90"/>
      <c r="G147" s="90"/>
      <c r="H147" s="90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60"/>
      <c r="C152" s="61"/>
      <c r="D152" s="61"/>
      <c r="E152" s="61"/>
      <c r="F152" s="61"/>
      <c r="G152" s="61"/>
      <c r="H152" s="61"/>
    </row>
    <row r="153" spans="1:9" ht="4.05" customHeight="1" x14ac:dyDescent="0.3">
      <c r="A153" s="60"/>
      <c r="B153" s="60"/>
      <c r="C153" s="61"/>
      <c r="D153" s="61"/>
      <c r="E153" s="61"/>
      <c r="F153" s="61"/>
      <c r="G153" s="61"/>
      <c r="H153" s="61"/>
    </row>
    <row r="154" spans="1:9" ht="4.05" customHeight="1" x14ac:dyDescent="0.3"/>
    <row r="155" spans="1:9" ht="22.95" customHeight="1" x14ac:dyDescent="0.3">
      <c r="A155" s="90" t="s">
        <v>205</v>
      </c>
      <c r="B155" s="90"/>
      <c r="C155" s="90"/>
      <c r="D155" s="90"/>
      <c r="E155" s="90"/>
      <c r="F155" s="90"/>
      <c r="G155" s="90"/>
      <c r="H155" s="90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3">
        <f>D22+D161-D162</f>
        <v>18691.039000000001</v>
      </c>
      <c r="E157" s="33">
        <f>E22+E161-E162</f>
        <v>15493.016</v>
      </c>
      <c r="F157" s="33">
        <f>F22+F161-F162</f>
        <v>26001.579000000002</v>
      </c>
      <c r="G157" s="33">
        <f>G22+G161-G162</f>
        <v>32382.131000000001</v>
      </c>
      <c r="H157" s="33">
        <f>H22+H161-H162</f>
        <v>64088.375</v>
      </c>
    </row>
    <row r="158" spans="1:9" ht="15" customHeight="1" x14ac:dyDescent="0.3">
      <c r="A158" t="s">
        <v>207</v>
      </c>
      <c r="D158" s="33">
        <f>D40+D148+D149</f>
        <v>70.867999999999995</v>
      </c>
      <c r="E158" s="33">
        <f>E40+E148+E149</f>
        <v>135.452</v>
      </c>
      <c r="F158" s="33">
        <f>F40+F148+F149</f>
        <v>497.745</v>
      </c>
      <c r="G158" s="33">
        <f>G40+G148+G149</f>
        <v>342.935</v>
      </c>
      <c r="H158" s="33">
        <f>H40+H148+H149</f>
        <v>185.61600000000001</v>
      </c>
    </row>
    <row r="159" spans="1:9" ht="15" customHeight="1" x14ac:dyDescent="0.3">
      <c r="A159" t="s">
        <v>208</v>
      </c>
      <c r="D159" s="33">
        <f>D105*D103</f>
        <v>279214.91000000003</v>
      </c>
      <c r="E159" s="33">
        <f>E105*E103</f>
        <v>148442.06</v>
      </c>
      <c r="F159" s="33">
        <f>F105*F103</f>
        <v>162807.81467399999</v>
      </c>
      <c r="G159" s="33">
        <f>G105*G103</f>
        <v>265671.89</v>
      </c>
      <c r="H159" s="33">
        <f>H105*H103</f>
        <v>520426.60000000003</v>
      </c>
    </row>
    <row r="160" spans="1:9" ht="15" customHeight="1" x14ac:dyDescent="0.3">
      <c r="A160" t="s">
        <v>209</v>
      </c>
      <c r="D160" s="33">
        <f>D159+D55+D158-D157</f>
        <v>271085.69100000005</v>
      </c>
      <c r="E160" s="33">
        <f>E159+E55+E158-E157</f>
        <v>148680.14399999997</v>
      </c>
      <c r="F160" s="33">
        <f>F159+F55+F158-F157</f>
        <v>158345.92767400001</v>
      </c>
      <c r="G160" s="33">
        <f>G159+G55+G158-G157</f>
        <v>253977.478</v>
      </c>
      <c r="H160" s="33">
        <f>H159+H55+H158-H157</f>
        <v>474059.44800000009</v>
      </c>
    </row>
    <row r="161" spans="1:8" ht="15" customHeight="1" x14ac:dyDescent="0.3">
      <c r="A161" t="s">
        <v>210</v>
      </c>
      <c r="D161" s="33">
        <v>16187.615</v>
      </c>
      <c r="E161" s="33">
        <v>12733.049000000001</v>
      </c>
      <c r="F161" s="33">
        <v>21885.398000000001</v>
      </c>
      <c r="G161" s="33">
        <v>29814.955000000002</v>
      </c>
      <c r="H161" s="33">
        <v>61298.052000000003</v>
      </c>
    </row>
    <row r="162" spans="1:8" ht="15" customHeight="1" x14ac:dyDescent="0.3">
      <c r="A162" t="s">
        <v>211</v>
      </c>
      <c r="D162" s="33">
        <v>322</v>
      </c>
      <c r="E162" s="33">
        <v>1111.1110000000001</v>
      </c>
      <c r="F162" s="33">
        <v>0</v>
      </c>
      <c r="G162" s="33">
        <v>0</v>
      </c>
      <c r="H162" s="33">
        <v>0</v>
      </c>
    </row>
    <row r="163" spans="1:8" ht="15" customHeight="1" x14ac:dyDescent="0.3">
      <c r="B163" s="32"/>
      <c r="C163" s="32"/>
      <c r="D163" s="32"/>
      <c r="E163" s="32"/>
      <c r="F163" s="32"/>
      <c r="G163" s="32"/>
      <c r="H163" s="32"/>
    </row>
    <row r="164" spans="1:8" ht="15" customHeight="1" x14ac:dyDescent="0.3">
      <c r="B164" s="32"/>
      <c r="C164" s="32"/>
      <c r="D164" s="32"/>
      <c r="E164" s="32"/>
      <c r="F164" s="32"/>
      <c r="G164" s="32"/>
      <c r="H164" s="32"/>
    </row>
  </sheetData>
  <mergeCells count="7">
    <mergeCell ref="A155:H155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FA98A"/>
    <pageSetUpPr fitToPage="1"/>
  </sheetPr>
  <dimension ref="A1:I164"/>
  <sheetViews>
    <sheetView showGridLines="0" workbookViewId="0">
      <pane xSplit="3" ySplit="7" topLeftCell="D110" activePane="bottomRight" state="frozen"/>
      <selection pane="topRight"/>
      <selection pane="bottomLeft"/>
      <selection pane="bottomRight" activeCell="B5" sqref="B5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214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85020.108999999997</v>
      </c>
      <c r="E9" s="10">
        <v>82803.86</v>
      </c>
      <c r="F9" s="10">
        <v>82245.649999999994</v>
      </c>
      <c r="G9" s="10">
        <v>79877.839000000007</v>
      </c>
      <c r="H9" s="10">
        <v>77252.558999999994</v>
      </c>
      <c r="I9" s="10">
        <v>83537.294999999998</v>
      </c>
    </row>
    <row r="10" spans="1:9" x14ac:dyDescent="0.3">
      <c r="A10" s="24" t="s">
        <v>47</v>
      </c>
      <c r="B10" s="25"/>
      <c r="C10" s="10"/>
      <c r="D10" s="10">
        <v>7726.72</v>
      </c>
      <c r="E10" s="10">
        <v>724.16800000000001</v>
      </c>
      <c r="F10" s="10">
        <v>2006.864</v>
      </c>
      <c r="G10" s="10">
        <v>1341.029</v>
      </c>
      <c r="H10" s="10">
        <v>798.31200000000001</v>
      </c>
      <c r="I10" s="10">
        <v>6358.259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0</v>
      </c>
      <c r="E12" s="10">
        <v>17.318999999999999</v>
      </c>
      <c r="F12" s="10">
        <v>10.151999999999999</v>
      </c>
      <c r="G12" s="10">
        <v>42.762</v>
      </c>
      <c r="H12" s="10">
        <v>13.076000000000001</v>
      </c>
      <c r="I12" s="10">
        <v>0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15965.811</v>
      </c>
      <c r="E14" s="10">
        <v>12866.145</v>
      </c>
      <c r="F14" s="10">
        <v>13366.36</v>
      </c>
      <c r="G14" s="10">
        <v>16633.063999999998</v>
      </c>
      <c r="H14" s="10">
        <v>20689.544999999998</v>
      </c>
      <c r="I14" s="10">
        <v>11849.828</v>
      </c>
    </row>
    <row r="15" spans="1:9" x14ac:dyDescent="0.3">
      <c r="A15" s="24" t="s">
        <v>52</v>
      </c>
      <c r="B15" s="25"/>
      <c r="C15" s="10"/>
      <c r="D15" s="10">
        <v>57.512999999999998</v>
      </c>
      <c r="E15" s="10">
        <v>61.526000000000003</v>
      </c>
      <c r="F15" s="10">
        <v>64.426000000000002</v>
      </c>
      <c r="G15" s="10">
        <v>61.567999999999998</v>
      </c>
      <c r="H15" s="10">
        <v>61.012999999999998</v>
      </c>
      <c r="I15" s="10">
        <v>57.984000000000002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101043.433</v>
      </c>
      <c r="E16" s="11">
        <f t="shared" si="0"/>
        <v>95748.85</v>
      </c>
      <c r="F16" s="11">
        <f t="shared" si="0"/>
        <v>95686.588000000003</v>
      </c>
      <c r="G16" s="11">
        <f t="shared" si="0"/>
        <v>96615.233000000007</v>
      </c>
      <c r="H16" s="11">
        <f t="shared" si="0"/>
        <v>98016.192999999999</v>
      </c>
      <c r="I16" s="11">
        <f t="shared" si="0"/>
        <v>95445.106999999989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12879.348</v>
      </c>
      <c r="E18" s="10">
        <v>16813.883000000002</v>
      </c>
      <c r="F18" s="10">
        <v>13852.004999999999</v>
      </c>
      <c r="G18" s="10">
        <v>12559.773999999999</v>
      </c>
      <c r="H18" s="10">
        <v>12306.679</v>
      </c>
      <c r="I18" s="10">
        <v>8237.99</v>
      </c>
    </row>
    <row r="19" spans="1:9" x14ac:dyDescent="0.3">
      <c r="A19" s="24" t="s">
        <v>56</v>
      </c>
      <c r="B19" s="25"/>
      <c r="C19" s="10"/>
      <c r="D19" s="10">
        <v>2728.5889999999999</v>
      </c>
      <c r="E19" s="10">
        <v>5981.5150000000003</v>
      </c>
      <c r="F19" s="10">
        <v>8873.17</v>
      </c>
      <c r="G19" s="10">
        <v>7693.067</v>
      </c>
      <c r="H19" s="10">
        <v>8188.6779999999999</v>
      </c>
      <c r="I19" s="10">
        <v>4352.9949999999999</v>
      </c>
    </row>
    <row r="20" spans="1:9" x14ac:dyDescent="0.3">
      <c r="A20" s="24" t="s">
        <v>57</v>
      </c>
      <c r="B20" s="25"/>
      <c r="C20" s="10"/>
      <c r="D20" s="10">
        <v>1676.2449999999999</v>
      </c>
      <c r="E20" s="10">
        <v>1467.8620000000001</v>
      </c>
      <c r="F20" s="10">
        <v>1193.44</v>
      </c>
      <c r="G20" s="10">
        <v>855.74199999999996</v>
      </c>
      <c r="H20" s="10">
        <v>1493.08</v>
      </c>
      <c r="I20" s="10">
        <v>2286.0839999999998</v>
      </c>
    </row>
    <row r="21" spans="1:9" x14ac:dyDescent="0.3">
      <c r="A21" s="24" t="s">
        <v>58</v>
      </c>
      <c r="B21" s="25"/>
      <c r="C21" s="10"/>
      <c r="D21" s="10">
        <v>12946.786</v>
      </c>
      <c r="E21" s="10">
        <v>9962.4210000000003</v>
      </c>
      <c r="F21" s="10">
        <v>9270.8979999999992</v>
      </c>
      <c r="G21" s="10">
        <v>18384.882000000001</v>
      </c>
      <c r="H21" s="10">
        <v>24005.1</v>
      </c>
      <c r="I21" s="10">
        <v>13126.388000000001</v>
      </c>
    </row>
    <row r="22" spans="1:9" x14ac:dyDescent="0.3">
      <c r="A22" s="24" t="s">
        <v>59</v>
      </c>
      <c r="B22" s="25"/>
      <c r="C22" s="10"/>
      <c r="D22" s="10">
        <v>806.37300000000005</v>
      </c>
      <c r="E22" s="10">
        <v>410.803</v>
      </c>
      <c r="F22" s="10">
        <v>674.97199999999998</v>
      </c>
      <c r="G22" s="10">
        <v>732.16800000000001</v>
      </c>
      <c r="H22" s="10">
        <v>568.83199999999999</v>
      </c>
      <c r="I22" s="10">
        <v>347.834</v>
      </c>
    </row>
    <row r="23" spans="1:9" x14ac:dyDescent="0.3">
      <c r="A23" s="24" t="s">
        <v>60</v>
      </c>
      <c r="B23" s="25"/>
      <c r="C23" s="10"/>
      <c r="D23" s="10">
        <v>5813.9229999999998</v>
      </c>
      <c r="E23" s="10">
        <v>6176.6790000000001</v>
      </c>
      <c r="F23" s="10">
        <v>5162.1809999999996</v>
      </c>
      <c r="G23" s="10">
        <v>1544.8879999999999</v>
      </c>
      <c r="H23" s="10">
        <v>1345.673</v>
      </c>
      <c r="I23" s="10">
        <v>5755.1360000000004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36851.264000000003</v>
      </c>
      <c r="E24" s="11">
        <f t="shared" si="1"/>
        <v>40813.163</v>
      </c>
      <c r="F24" s="11">
        <f t="shared" si="1"/>
        <v>39026.665999999997</v>
      </c>
      <c r="G24" s="11">
        <f t="shared" si="1"/>
        <v>41770.520999999993</v>
      </c>
      <c r="H24" s="11">
        <f t="shared" si="1"/>
        <v>47908.042000000001</v>
      </c>
      <c r="I24" s="11">
        <f t="shared" si="1"/>
        <v>34106.427000000003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137894.69700000001</v>
      </c>
      <c r="E25" s="11">
        <f t="shared" si="2"/>
        <v>136562.01300000001</v>
      </c>
      <c r="F25" s="11">
        <f t="shared" si="2"/>
        <v>134713.25400000002</v>
      </c>
      <c r="G25" s="11">
        <f t="shared" si="2"/>
        <v>138385.75400000002</v>
      </c>
      <c r="H25" s="11">
        <f t="shared" si="2"/>
        <v>145924.23499999999</v>
      </c>
      <c r="I25" s="11">
        <f t="shared" si="2"/>
        <v>129551.53399999999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4381.1909999999998</v>
      </c>
      <c r="E27" s="10">
        <v>4381.1909999999998</v>
      </c>
      <c r="F27" s="10">
        <v>4381.1909999999998</v>
      </c>
      <c r="G27" s="10">
        <v>4381.1909999999998</v>
      </c>
      <c r="H27" s="10">
        <v>4381.1909999999998</v>
      </c>
      <c r="I27" s="10">
        <v>4381.1909999999998</v>
      </c>
    </row>
    <row r="28" spans="1:9" x14ac:dyDescent="0.3">
      <c r="A28" s="24" t="s">
        <v>65</v>
      </c>
      <c r="B28" s="25"/>
      <c r="C28" s="10"/>
      <c r="D28" s="10">
        <v>69096.682000000001</v>
      </c>
      <c r="E28" s="10">
        <v>65536.910999999993</v>
      </c>
      <c r="F28" s="10">
        <v>59811.086000000003</v>
      </c>
      <c r="G28" s="10">
        <v>71466.346999999994</v>
      </c>
      <c r="H28" s="10">
        <v>90286.286999999997</v>
      </c>
      <c r="I28" s="10">
        <v>62262.966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73477.873000000007</v>
      </c>
      <c r="E29" s="11">
        <f t="shared" si="3"/>
        <v>69918.101999999999</v>
      </c>
      <c r="F29" s="11">
        <f t="shared" si="3"/>
        <v>64192.277000000002</v>
      </c>
      <c r="G29" s="11">
        <f t="shared" si="3"/>
        <v>75847.538</v>
      </c>
      <c r="H29" s="11">
        <f t="shared" si="3"/>
        <v>94667.478000000003</v>
      </c>
      <c r="I29" s="11">
        <f t="shared" si="3"/>
        <v>66644.157000000007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19300.063999999998</v>
      </c>
      <c r="E31" s="10">
        <v>14168.228999999999</v>
      </c>
      <c r="F31" s="10">
        <v>9663.6190000000006</v>
      </c>
      <c r="G31" s="10">
        <v>15965.116</v>
      </c>
      <c r="H31" s="10">
        <v>10093.829</v>
      </c>
      <c r="I31" s="10">
        <v>21972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664.50400000000002</v>
      </c>
      <c r="E33" s="10">
        <v>450.68400000000003</v>
      </c>
      <c r="F33" s="10">
        <v>278.75299999999999</v>
      </c>
      <c r="G33" s="10">
        <v>154.614</v>
      </c>
      <c r="H33" s="10">
        <v>70.135000000000005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3378.9409999999998</v>
      </c>
      <c r="E34" s="10">
        <v>4942.1499999999996</v>
      </c>
      <c r="F34" s="10">
        <v>10613.602999999999</v>
      </c>
      <c r="G34" s="10">
        <v>12675.472</v>
      </c>
      <c r="H34" s="10">
        <v>13286.941999999999</v>
      </c>
      <c r="I34" s="10">
        <v>2535.3490000000002</v>
      </c>
    </row>
    <row r="35" spans="1:9" x14ac:dyDescent="0.3">
      <c r="A35" s="24" t="s">
        <v>72</v>
      </c>
      <c r="B35" s="25"/>
      <c r="C35" s="10"/>
      <c r="D35" s="10">
        <v>777.79499999999996</v>
      </c>
      <c r="E35" s="10">
        <v>993.81700000000001</v>
      </c>
      <c r="F35" s="10">
        <v>1289.212</v>
      </c>
      <c r="G35" s="10">
        <v>1517.297</v>
      </c>
      <c r="H35" s="10">
        <v>1894.931</v>
      </c>
      <c r="I35" s="10">
        <v>775.77099999999996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24121.303999999996</v>
      </c>
      <c r="E36" s="11">
        <f t="shared" si="4"/>
        <v>20554.879999999997</v>
      </c>
      <c r="F36" s="11">
        <f t="shared" si="4"/>
        <v>21845.186999999998</v>
      </c>
      <c r="G36" s="11">
        <f t="shared" si="4"/>
        <v>30312.498999999996</v>
      </c>
      <c r="H36" s="11">
        <f t="shared" si="4"/>
        <v>25345.837</v>
      </c>
      <c r="I36" s="11">
        <f t="shared" si="4"/>
        <v>25283.120000000003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14923.151</v>
      </c>
      <c r="E38" s="10">
        <v>12591.709000000001</v>
      </c>
      <c r="F38" s="10">
        <v>13783.299000000001</v>
      </c>
      <c r="G38" s="10">
        <v>12394.455</v>
      </c>
      <c r="H38" s="10">
        <v>13333.448</v>
      </c>
      <c r="I38" s="10">
        <v>11298.187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507.76900000000001</v>
      </c>
      <c r="E40" s="10">
        <v>883.22900000000004</v>
      </c>
      <c r="F40" s="10">
        <v>1739.547</v>
      </c>
      <c r="G40" s="10">
        <v>1280.4459999999999</v>
      </c>
      <c r="H40" s="10">
        <v>229.65199999999999</v>
      </c>
      <c r="I40" s="10">
        <v>712.27499999999998</v>
      </c>
    </row>
    <row r="41" spans="1:9" x14ac:dyDescent="0.3">
      <c r="A41" s="24" t="s">
        <v>78</v>
      </c>
      <c r="B41" s="25"/>
      <c r="C41" s="10"/>
      <c r="D41" s="10">
        <v>18362.05</v>
      </c>
      <c r="E41" s="10">
        <v>25210.506000000001</v>
      </c>
      <c r="F41" s="10">
        <v>25494.293000000001</v>
      </c>
      <c r="G41" s="10">
        <v>13064.718000000001</v>
      </c>
      <c r="H41" s="10">
        <v>9878.4989999999998</v>
      </c>
      <c r="I41" s="10">
        <v>23495.967000000001</v>
      </c>
    </row>
    <row r="42" spans="1:9" x14ac:dyDescent="0.3">
      <c r="A42" s="24" t="s">
        <v>79</v>
      </c>
      <c r="B42" s="25"/>
      <c r="C42" s="10"/>
      <c r="D42" s="10">
        <v>6130.7030000000004</v>
      </c>
      <c r="E42" s="10">
        <v>7097.1660000000002</v>
      </c>
      <c r="F42" s="10">
        <v>7370.3639999999996</v>
      </c>
      <c r="G42" s="10">
        <v>5291.9719999999998</v>
      </c>
      <c r="H42" s="10">
        <v>1934.7719999999999</v>
      </c>
      <c r="I42" s="10">
        <v>2010.6210000000001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262.52300000000002</v>
      </c>
      <c r="E44" s="10">
        <v>213.88300000000001</v>
      </c>
      <c r="F44" s="10">
        <v>171.58099999999999</v>
      </c>
      <c r="G44" s="10">
        <v>124.13800000000001</v>
      </c>
      <c r="H44" s="10">
        <v>79.465000000000003</v>
      </c>
      <c r="I44" s="10">
        <v>0</v>
      </c>
    </row>
    <row r="45" spans="1:9" x14ac:dyDescent="0.3">
      <c r="A45" s="24" t="s">
        <v>82</v>
      </c>
      <c r="B45" s="25"/>
      <c r="C45" s="10"/>
      <c r="D45" s="10">
        <v>33.517000000000003</v>
      </c>
      <c r="E45" s="10">
        <v>34.512</v>
      </c>
      <c r="F45" s="10">
        <v>34.704000000000001</v>
      </c>
      <c r="G45" s="10">
        <v>34.201000000000001</v>
      </c>
      <c r="H45" s="10">
        <v>34.154000000000003</v>
      </c>
      <c r="I45" s="10">
        <v>33.837000000000003</v>
      </c>
    </row>
    <row r="46" spans="1:9" x14ac:dyDescent="0.3">
      <c r="A46" s="24" t="s">
        <v>83</v>
      </c>
      <c r="B46" s="25"/>
      <c r="C46" s="10"/>
      <c r="D46" s="10">
        <v>35.090000000000003</v>
      </c>
      <c r="E46" s="10">
        <v>35.090000000000003</v>
      </c>
      <c r="F46" s="10">
        <v>35.090000000000003</v>
      </c>
      <c r="G46" s="10">
        <v>35.090000000000003</v>
      </c>
      <c r="H46" s="10">
        <v>365.92399999999998</v>
      </c>
      <c r="I46" s="10">
        <v>35.090000000000003</v>
      </c>
    </row>
    <row r="47" spans="1:9" x14ac:dyDescent="0.3">
      <c r="A47" s="24" t="s">
        <v>84</v>
      </c>
      <c r="B47" s="25"/>
      <c r="C47" s="10"/>
      <c r="D47" s="10">
        <v>40.716999999999999</v>
      </c>
      <c r="E47" s="10">
        <v>22.936</v>
      </c>
      <c r="F47" s="10">
        <v>46.911999999999999</v>
      </c>
      <c r="G47" s="10">
        <v>0.69699999999999995</v>
      </c>
      <c r="H47" s="10">
        <v>55.006</v>
      </c>
      <c r="I47" s="10">
        <v>38.28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40295.519999999997</v>
      </c>
      <c r="E48" s="11">
        <f t="shared" si="5"/>
        <v>46089.031000000003</v>
      </c>
      <c r="F48" s="11">
        <f t="shared" si="5"/>
        <v>48675.789999999994</v>
      </c>
      <c r="G48" s="11">
        <f t="shared" si="5"/>
        <v>32225.717000000001</v>
      </c>
      <c r="H48" s="11">
        <f t="shared" si="5"/>
        <v>25910.920000000002</v>
      </c>
      <c r="I48" s="11">
        <f t="shared" si="5"/>
        <v>37624.256999999998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64416.823999999993</v>
      </c>
      <c r="E49" s="11">
        <f t="shared" si="6"/>
        <v>66643.910999999993</v>
      </c>
      <c r="F49" s="11">
        <f t="shared" si="6"/>
        <v>70520.976999999984</v>
      </c>
      <c r="G49" s="11">
        <f t="shared" si="6"/>
        <v>62538.216</v>
      </c>
      <c r="H49" s="11">
        <f t="shared" si="6"/>
        <v>51256.756999999998</v>
      </c>
      <c r="I49" s="11">
        <f t="shared" si="6"/>
        <v>62907.377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137894.69699999999</v>
      </c>
      <c r="E50" s="11">
        <f t="shared" si="7"/>
        <v>136562.01299999998</v>
      </c>
      <c r="F50" s="11">
        <f t="shared" si="7"/>
        <v>134713.25399999999</v>
      </c>
      <c r="G50" s="11">
        <f t="shared" si="7"/>
        <v>138385.75400000002</v>
      </c>
      <c r="H50" s="11">
        <f t="shared" si="7"/>
        <v>145924.23499999999</v>
      </c>
      <c r="I50" s="11">
        <f t="shared" si="7"/>
        <v>129551.53400000001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7375.63</v>
      </c>
      <c r="E52" s="10">
        <v>3871.2069999999999</v>
      </c>
      <c r="F52" s="10">
        <v>6530.049</v>
      </c>
      <c r="G52" s="10">
        <v>5046.7439999999997</v>
      </c>
      <c r="H52" s="10">
        <v>3900.1419999999998</v>
      </c>
      <c r="I52" s="10">
        <v>4325.32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77293.388999999996</v>
      </c>
      <c r="E53" s="10">
        <f t="shared" si="8"/>
        <v>82079.691999999995</v>
      </c>
      <c r="F53" s="10">
        <f t="shared" si="8"/>
        <v>80238.785999999993</v>
      </c>
      <c r="G53" s="10">
        <f t="shared" si="8"/>
        <v>78536.810000000012</v>
      </c>
      <c r="H53" s="10">
        <f t="shared" si="8"/>
        <v>76454.246999999988</v>
      </c>
      <c r="I53" s="10">
        <f t="shared" si="8"/>
        <v>77179.035999999993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15607.937</v>
      </c>
      <c r="E54" s="10">
        <f t="shared" si="9"/>
        <v>22795.398000000001</v>
      </c>
      <c r="F54" s="10">
        <f t="shared" si="9"/>
        <v>22725.174999999999</v>
      </c>
      <c r="G54" s="10">
        <f t="shared" si="9"/>
        <v>20252.841</v>
      </c>
      <c r="H54" s="10">
        <f t="shared" si="9"/>
        <v>20495.357</v>
      </c>
      <c r="I54" s="10">
        <f t="shared" si="9"/>
        <v>12590.985000000001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43792.817000000003</v>
      </c>
      <c r="E55" s="10">
        <f t="shared" si="10"/>
        <v>46475.900999999998</v>
      </c>
      <c r="F55" s="10">
        <f t="shared" si="10"/>
        <v>42528.276000000005</v>
      </c>
      <c r="G55" s="10">
        <f t="shared" si="10"/>
        <v>34321.806000000004</v>
      </c>
      <c r="H55" s="10">
        <f t="shared" si="10"/>
        <v>21907.100000000002</v>
      </c>
      <c r="I55" s="10">
        <f t="shared" si="10"/>
        <v>47478.588000000003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19300.063999999998</v>
      </c>
      <c r="E56" s="10">
        <f t="shared" si="11"/>
        <v>14168.228999999999</v>
      </c>
      <c r="F56" s="10">
        <f t="shared" si="11"/>
        <v>9663.6190000000006</v>
      </c>
      <c r="G56" s="10">
        <f t="shared" si="11"/>
        <v>15965.116</v>
      </c>
      <c r="H56" s="10">
        <f t="shared" si="11"/>
        <v>10093.829</v>
      </c>
      <c r="I56" s="10">
        <f t="shared" si="11"/>
        <v>21972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117270.69</v>
      </c>
      <c r="E58" s="10">
        <f t="shared" si="12"/>
        <v>116394.003</v>
      </c>
      <c r="F58" s="10">
        <f t="shared" si="12"/>
        <v>106720.55300000001</v>
      </c>
      <c r="G58" s="10">
        <f t="shared" si="12"/>
        <v>110169.34400000001</v>
      </c>
      <c r="H58" s="10">
        <f t="shared" si="12"/>
        <v>116574.57800000001</v>
      </c>
      <c r="I58" s="10">
        <f t="shared" si="12"/>
        <v>114122.74500000001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23098.105000000003</v>
      </c>
      <c r="E59" s="10">
        <f t="shared" si="13"/>
        <v>30439.938999999998</v>
      </c>
      <c r="F59" s="10">
        <f t="shared" si="13"/>
        <v>29080.795999999995</v>
      </c>
      <c r="G59" s="10">
        <f t="shared" si="13"/>
        <v>22653.470999999994</v>
      </c>
      <c r="H59" s="10">
        <f t="shared" si="13"/>
        <v>23334.11</v>
      </c>
      <c r="I59" s="10">
        <f t="shared" si="13"/>
        <v>20632.205000000002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14998.957999999997</v>
      </c>
      <c r="E60" s="10">
        <f t="shared" si="14"/>
        <v>12649.735000000001</v>
      </c>
      <c r="F60" s="10">
        <f t="shared" si="14"/>
        <v>13865.300999999992</v>
      </c>
      <c r="G60" s="10">
        <f t="shared" si="14"/>
        <v>12430.242</v>
      </c>
      <c r="H60" s="10">
        <f t="shared" si="14"/>
        <v>13754.378000000001</v>
      </c>
      <c r="I60" s="10">
        <f t="shared" si="14"/>
        <v>11371.556999999999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45107.69</v>
      </c>
      <c r="E64" s="10">
        <v>58043.862999999998</v>
      </c>
      <c r="F64" s="10">
        <v>64983.821000000004</v>
      </c>
      <c r="G64" s="10">
        <v>66038.688999999998</v>
      </c>
      <c r="H64" s="10">
        <v>71892.837</v>
      </c>
      <c r="I64" s="10">
        <v>38033.124000000003</v>
      </c>
    </row>
    <row r="65" spans="1:9" x14ac:dyDescent="0.3">
      <c r="A65" s="24" t="s">
        <v>99</v>
      </c>
      <c r="B65" s="25"/>
      <c r="C65" s="10"/>
      <c r="D65" s="10">
        <v>-37035.798000000003</v>
      </c>
      <c r="E65" s="10">
        <v>-47615.550999999999</v>
      </c>
      <c r="F65" s="10">
        <v>-55428.046000000002</v>
      </c>
      <c r="G65" s="10">
        <v>-55510.428999999996</v>
      </c>
      <c r="H65" s="10">
        <v>-53387.165999999997</v>
      </c>
      <c r="I65" s="10">
        <v>-36447.218000000001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8071.8919999999998</v>
      </c>
      <c r="E66" s="11">
        <f t="shared" si="15"/>
        <v>10428.311999999998</v>
      </c>
      <c r="F66" s="11">
        <f t="shared" si="15"/>
        <v>9555.7750000000015</v>
      </c>
      <c r="G66" s="11">
        <f t="shared" si="15"/>
        <v>10528.260000000002</v>
      </c>
      <c r="H66" s="11">
        <f t="shared" si="15"/>
        <v>18505.671000000002</v>
      </c>
      <c r="I66" s="11">
        <f t="shared" si="15"/>
        <v>1585.9060000000027</v>
      </c>
    </row>
    <row r="67" spans="1:9" x14ac:dyDescent="0.3">
      <c r="A67" s="24" t="s">
        <v>101</v>
      </c>
      <c r="B67" s="25"/>
      <c r="C67" s="10"/>
      <c r="D67" s="10">
        <v>-1950.056</v>
      </c>
      <c r="E67" s="10">
        <v>-1748.8589999999999</v>
      </c>
      <c r="F67" s="10">
        <v>-1818.028</v>
      </c>
      <c r="G67" s="10">
        <v>-2608.5369999999998</v>
      </c>
      <c r="H67" s="10">
        <v>-3874.6880000000001</v>
      </c>
      <c r="I67" s="10">
        <v>-1783.422</v>
      </c>
    </row>
    <row r="68" spans="1:9" x14ac:dyDescent="0.3">
      <c r="A68" s="24" t="s">
        <v>102</v>
      </c>
      <c r="B68" s="25"/>
      <c r="C68" s="10"/>
      <c r="D68" s="10">
        <v>-646.76199999999994</v>
      </c>
      <c r="E68" s="10">
        <v>-751.05200000000002</v>
      </c>
      <c r="F68" s="10">
        <v>-879.35599999999999</v>
      </c>
      <c r="G68" s="10">
        <v>-1206.105</v>
      </c>
      <c r="H68" s="10">
        <v>-1294.9739999999999</v>
      </c>
      <c r="I68" s="10">
        <v>-658.87400000000002</v>
      </c>
    </row>
    <row r="69" spans="1:9" x14ac:dyDescent="0.3">
      <c r="A69" s="24" t="s">
        <v>103</v>
      </c>
      <c r="B69" s="25"/>
      <c r="C69" s="10"/>
      <c r="D69" s="10">
        <v>104.703</v>
      </c>
      <c r="E69" s="10">
        <v>-8.99</v>
      </c>
      <c r="F69" s="10">
        <v>-104.09399999999999</v>
      </c>
      <c r="G69" s="10">
        <v>-103.367</v>
      </c>
      <c r="H69" s="10">
        <v>-6.899</v>
      </c>
      <c r="I69" s="10">
        <v>-146.447</v>
      </c>
    </row>
    <row r="70" spans="1:9" x14ac:dyDescent="0.3">
      <c r="A70" s="24" t="s">
        <v>104</v>
      </c>
      <c r="B70" s="25"/>
      <c r="C70" s="10"/>
      <c r="D70" s="10">
        <v>-414.315</v>
      </c>
      <c r="E70" s="10">
        <v>-1042.8030000000001</v>
      </c>
      <c r="F70" s="10">
        <v>-96.460999999999999</v>
      </c>
      <c r="G70" s="10">
        <v>-5.0330000000000004</v>
      </c>
      <c r="H70" s="10">
        <v>-725.66300000000001</v>
      </c>
      <c r="I70" s="10">
        <v>-529.64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5165.4620000000004</v>
      </c>
      <c r="E71" s="11">
        <f t="shared" si="16"/>
        <v>6876.6079999999984</v>
      </c>
      <c r="F71" s="11">
        <f t="shared" si="16"/>
        <v>6657.8360000000011</v>
      </c>
      <c r="G71" s="11">
        <f t="shared" si="16"/>
        <v>6605.2180000000017</v>
      </c>
      <c r="H71" s="11">
        <f t="shared" si="16"/>
        <v>12603.447000000002</v>
      </c>
      <c r="I71" s="11">
        <f t="shared" si="16"/>
        <v>-1532.4769999999974</v>
      </c>
    </row>
    <row r="72" spans="1:9" x14ac:dyDescent="0.3">
      <c r="A72" s="24" t="s">
        <v>106</v>
      </c>
      <c r="B72" s="25"/>
      <c r="C72" s="10"/>
      <c r="D72" s="10">
        <v>2526.8180000000002</v>
      </c>
      <c r="E72" s="10">
        <v>2714.34</v>
      </c>
      <c r="F72" s="10">
        <v>3246.9989999999998</v>
      </c>
      <c r="G72" s="10">
        <v>4234.7969999999996</v>
      </c>
      <c r="H72" s="10">
        <v>4271.57</v>
      </c>
      <c r="I72" s="10">
        <v>2429.5749999999998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-2920.875</v>
      </c>
      <c r="E75" s="10">
        <v>-3571.1869999999999</v>
      </c>
      <c r="F75" s="10">
        <v>-6742.2920000000004</v>
      </c>
      <c r="G75" s="10">
        <v>-8001.1049999999996</v>
      </c>
      <c r="H75" s="10">
        <v>-3870.4050000000002</v>
      </c>
      <c r="I75" s="10">
        <v>-4653.2860000000001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4771.4050000000007</v>
      </c>
      <c r="E76" s="11">
        <f t="shared" si="17"/>
        <v>6019.7609999999986</v>
      </c>
      <c r="F76" s="11">
        <f t="shared" si="17"/>
        <v>3162.5430000000006</v>
      </c>
      <c r="G76" s="11">
        <f t="shared" si="17"/>
        <v>2838.9100000000017</v>
      </c>
      <c r="H76" s="11">
        <f t="shared" si="17"/>
        <v>13004.611999999999</v>
      </c>
      <c r="I76" s="11">
        <f t="shared" si="17"/>
        <v>-3756.1879999999974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-364.05399999999997</v>
      </c>
      <c r="G77" s="10">
        <v>-520.84799999999996</v>
      </c>
      <c r="H77" s="10">
        <v>-577.125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-1050.1320000000001</v>
      </c>
      <c r="E78" s="10">
        <v>-3047.6289999999999</v>
      </c>
      <c r="F78" s="10">
        <v>-6434.4650000000001</v>
      </c>
      <c r="G78" s="10">
        <v>-1775.6659999999999</v>
      </c>
      <c r="H78" s="10">
        <v>-3752.4279999999999</v>
      </c>
      <c r="I78" s="10">
        <v>1597.527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3721.2730000000006</v>
      </c>
      <c r="E79" s="11">
        <f t="shared" si="18"/>
        <v>2972.1319999999987</v>
      </c>
      <c r="F79" s="11">
        <f t="shared" si="18"/>
        <v>-3635.9759999999997</v>
      </c>
      <c r="G79" s="11">
        <f t="shared" si="18"/>
        <v>542.39600000000178</v>
      </c>
      <c r="H79" s="11">
        <f t="shared" si="18"/>
        <v>8675.0589999999993</v>
      </c>
      <c r="I79" s="11">
        <f t="shared" si="18"/>
        <v>-2158.6609999999973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3580.8069999999998</v>
      </c>
      <c r="E81" s="10">
        <v>3913.288</v>
      </c>
      <c r="F81" s="10">
        <v>3944.1279999999997</v>
      </c>
      <c r="G81" s="10">
        <v>3853.4520000000002</v>
      </c>
      <c r="H81" s="10">
        <v>3832.6020000000003</v>
      </c>
      <c r="I81" s="10"/>
    </row>
    <row r="82" spans="1:9" x14ac:dyDescent="0.3">
      <c r="A82" s="24" t="s">
        <v>116</v>
      </c>
      <c r="B82" s="25"/>
      <c r="C82" s="10"/>
      <c r="D82" s="10">
        <f>D76+D85</f>
        <v>7657.514000000001</v>
      </c>
      <c r="E82" s="10">
        <f>E76+E85</f>
        <v>9564.4179999999978</v>
      </c>
      <c r="F82" s="10">
        <f>F76+F85</f>
        <v>9866.3420000000006</v>
      </c>
      <c r="G82" s="10">
        <f>G76+G85</f>
        <v>10763.888000000001</v>
      </c>
      <c r="H82" s="10">
        <f>H76+H85</f>
        <v>16821.347999999998</v>
      </c>
      <c r="I82" s="10">
        <f>I76-I75</f>
        <v>897.09800000000268</v>
      </c>
    </row>
    <row r="83" spans="1:9" x14ac:dyDescent="0.3">
      <c r="A83" s="24" t="s">
        <v>117</v>
      </c>
      <c r="B83" s="25"/>
      <c r="C83" s="10"/>
      <c r="D83" s="10">
        <f>D82+D81</f>
        <v>11238.321</v>
      </c>
      <c r="E83" s="10">
        <f>E82+E81</f>
        <v>13477.705999999998</v>
      </c>
      <c r="F83" s="10">
        <f>F82+F81</f>
        <v>13810.470000000001</v>
      </c>
      <c r="G83" s="10">
        <f>G82+G81</f>
        <v>14617.34</v>
      </c>
      <c r="H83" s="10">
        <f>H82+H81</f>
        <v>20653.949999999997</v>
      </c>
      <c r="I83" s="10"/>
    </row>
    <row r="84" spans="1:9" x14ac:dyDescent="0.3">
      <c r="A84" s="24" t="s">
        <v>118</v>
      </c>
      <c r="B84" s="25"/>
      <c r="C84" s="10"/>
      <c r="D84" s="10">
        <v>34.765999999999998</v>
      </c>
      <c r="E84" s="10">
        <v>26.53</v>
      </c>
      <c r="F84" s="10">
        <v>38.493000000000002</v>
      </c>
      <c r="G84" s="10">
        <v>76.126999999999995</v>
      </c>
      <c r="H84" s="10">
        <v>53.668999999999997</v>
      </c>
      <c r="I84" s="12"/>
    </row>
    <row r="85" spans="1:9" x14ac:dyDescent="0.3">
      <c r="A85" s="24" t="s">
        <v>119</v>
      </c>
      <c r="B85" s="25"/>
      <c r="C85" s="10"/>
      <c r="D85" s="10">
        <f>-D75-D84</f>
        <v>2886.1089999999999</v>
      </c>
      <c r="E85" s="10">
        <f>-E75-E84</f>
        <v>3544.6569999999997</v>
      </c>
      <c r="F85" s="10">
        <f>-F75-F84</f>
        <v>6703.799</v>
      </c>
      <c r="G85" s="10">
        <f>-G75-G84</f>
        <v>7924.9779999999992</v>
      </c>
      <c r="H85" s="10">
        <f>-H75-H84</f>
        <v>3816.7360000000003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0.22008863217438049</v>
      </c>
      <c r="E86" s="13">
        <f>IF(E76&lt;=0,"n/m",-(E77+E78)/E76)</f>
        <v>0.50627076390574322</v>
      </c>
      <c r="F86" s="13">
        <f>IF(F76&lt;=0,"n/m",-(F77+F78)/F76)</f>
        <v>2.1497000989393658</v>
      </c>
      <c r="G86" s="13">
        <f>IF(G76&lt;=0,"n/m",-(G77+G78)/G76)</f>
        <v>0.80894216442226019</v>
      </c>
      <c r="H86" s="13">
        <f>IF(H76&lt;=0,"n/m",-(H77+H78)/H76)</f>
        <v>0.3329244271186253</v>
      </c>
      <c r="I86" s="12"/>
    </row>
    <row r="87" spans="1:9" x14ac:dyDescent="0.3">
      <c r="A87" s="24" t="s">
        <v>121</v>
      </c>
      <c r="B87" s="25"/>
      <c r="C87" s="13"/>
      <c r="D87" s="13">
        <f>D86</f>
        <v>0.22008863217438049</v>
      </c>
      <c r="E87" s="13">
        <f>E86</f>
        <v>0.50627076390574322</v>
      </c>
      <c r="F87" s="13">
        <f>F86</f>
        <v>2.1497000989393658</v>
      </c>
      <c r="G87" s="13">
        <f>G86</f>
        <v>0.80894216442226019</v>
      </c>
      <c r="H87" s="13">
        <f>H86</f>
        <v>0.3329244271186253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5972.182217883832</v>
      </c>
      <c r="E88" s="10">
        <f>IF(ISNUMBER(E87),E82*(1-E87),"n/m")</f>
        <v>4722.2327928261584</v>
      </c>
      <c r="F88" s="10">
        <f>IF(ISNUMBER(F87),F82*(1-F87),"n/m")</f>
        <v>-11343.33437356962</v>
      </c>
      <c r="G88" s="10">
        <f>IF(ISNUMBER(G87),G82*(1-G87),"n/m")</f>
        <v>2056.5251436812068</v>
      </c>
      <c r="H88" s="10">
        <f>IF(ISNUMBER(H87),H82*(1-H87),"n/m")</f>
        <v>11221.110353736964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10472.429</v>
      </c>
      <c r="E92" s="10">
        <v>941.86599999999999</v>
      </c>
      <c r="F92" s="10">
        <v>13397.298000000001</v>
      </c>
      <c r="G92" s="10">
        <v>13222.674999999999</v>
      </c>
      <c r="H92" s="10">
        <v>15811.428</v>
      </c>
      <c r="I92" s="10">
        <v>6062.299</v>
      </c>
    </row>
    <row r="93" spans="1:9" x14ac:dyDescent="0.3">
      <c r="A93" s="24" t="s">
        <v>125</v>
      </c>
      <c r="B93" s="25"/>
      <c r="C93" s="10"/>
      <c r="D93" s="10">
        <v>6161.19</v>
      </c>
      <c r="E93" s="10">
        <v>-3932.4789999999998</v>
      </c>
      <c r="F93" s="10">
        <v>6504.2340000000004</v>
      </c>
      <c r="G93" s="10">
        <v>6029.5450000000001</v>
      </c>
      <c r="H93" s="10">
        <v>10034.132</v>
      </c>
      <c r="I93" s="10">
        <v>-343.13099999999997</v>
      </c>
    </row>
    <row r="94" spans="1:9" x14ac:dyDescent="0.3">
      <c r="A94" s="24" t="s">
        <v>126</v>
      </c>
      <c r="B94" s="25"/>
      <c r="C94" s="10"/>
      <c r="D94" s="10">
        <v>-2962.16</v>
      </c>
      <c r="E94" s="10">
        <v>1461.646</v>
      </c>
      <c r="F94" s="10">
        <v>-1747.152</v>
      </c>
      <c r="G94" s="10">
        <v>2277.223</v>
      </c>
      <c r="H94" s="10">
        <v>3000.5349999999999</v>
      </c>
      <c r="I94" s="10">
        <v>-5082.7960000000003</v>
      </c>
    </row>
    <row r="95" spans="1:9" x14ac:dyDescent="0.3">
      <c r="A95" s="24" t="s">
        <v>127</v>
      </c>
      <c r="B95" s="25"/>
      <c r="C95" s="10"/>
      <c r="D95" s="10">
        <v>2374.8530000000001</v>
      </c>
      <c r="E95" s="10">
        <v>-4864.9560000000001</v>
      </c>
      <c r="F95" s="10">
        <v>-4883.5690000000004</v>
      </c>
      <c r="G95" s="10">
        <v>4051.0210000000002</v>
      </c>
      <c r="H95" s="10">
        <v>-9357.6869999999999</v>
      </c>
      <c r="I95" s="10">
        <v>2519.5770000000002</v>
      </c>
    </row>
    <row r="96" spans="1:9" x14ac:dyDescent="0.3">
      <c r="A96" s="24" t="s">
        <v>128</v>
      </c>
      <c r="B96" s="25"/>
      <c r="C96" s="10"/>
      <c r="D96" s="10">
        <v>-5087.1040000000003</v>
      </c>
      <c r="E96" s="10">
        <v>-1739.5509999999999</v>
      </c>
      <c r="F96" s="10">
        <v>-3418.069</v>
      </c>
      <c r="G96" s="10">
        <v>-1620.798</v>
      </c>
      <c r="H96" s="10">
        <v>-1211.491</v>
      </c>
      <c r="I96" s="10">
        <v>-7374.4279999999999</v>
      </c>
    </row>
    <row r="97" spans="1:9" x14ac:dyDescent="0.3">
      <c r="A97" s="24" t="s">
        <v>129</v>
      </c>
      <c r="B97" s="25"/>
      <c r="C97" s="10"/>
      <c r="D97" s="10">
        <v>-3125.3809999999999</v>
      </c>
      <c r="E97" s="10">
        <v>-3195.7269999999999</v>
      </c>
      <c r="F97" s="10">
        <v>-5998.5990000000002</v>
      </c>
      <c r="G97" s="10">
        <v>-8460.2060000000001</v>
      </c>
      <c r="H97" s="10">
        <v>-4921.1989999999996</v>
      </c>
      <c r="I97" s="10">
        <v>-4750.58</v>
      </c>
    </row>
    <row r="98" spans="1:9" x14ac:dyDescent="0.3">
      <c r="A98" s="24" t="s">
        <v>130</v>
      </c>
      <c r="B98" s="25"/>
      <c r="C98" s="10"/>
      <c r="D98" s="10">
        <v>-0.32</v>
      </c>
      <c r="E98" s="10">
        <v>-437.12400000000002</v>
      </c>
      <c r="F98" s="10">
        <v>-437.92700000000002</v>
      </c>
      <c r="G98" s="10">
        <v>-0.502</v>
      </c>
      <c r="H98" s="10">
        <v>-4.8000000000000001E-2</v>
      </c>
      <c r="I98" s="10">
        <v>-437.72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438.1191</v>
      </c>
      <c r="E103" s="15">
        <f>E27/E102-E107</f>
        <v>438.1191</v>
      </c>
      <c r="F103" s="15">
        <f>F27/F102-F107</f>
        <v>438.1191</v>
      </c>
      <c r="G103" s="15">
        <f>G27/G102-G107</f>
        <v>438.1191</v>
      </c>
      <c r="H103" s="15">
        <f>H27/H102-H107</f>
        <v>438.1191</v>
      </c>
    </row>
    <row r="104" spans="1:9" x14ac:dyDescent="0.3">
      <c r="A104" s="24" t="s">
        <v>134</v>
      </c>
      <c r="B104" s="25"/>
      <c r="C104" s="15"/>
      <c r="D104" s="15">
        <v>438.11911800000001</v>
      </c>
      <c r="E104" s="15">
        <v>438.11911800000001</v>
      </c>
      <c r="F104" s="15">
        <v>438.11911800000001</v>
      </c>
      <c r="G104" s="15">
        <v>438.11911800000001</v>
      </c>
      <c r="H104" s="15">
        <v>438.11911800000001</v>
      </c>
    </row>
    <row r="105" spans="1:9" x14ac:dyDescent="0.3">
      <c r="A105" s="24" t="s">
        <v>135</v>
      </c>
      <c r="B105" s="25"/>
      <c r="C105" s="14"/>
      <c r="D105" s="14">
        <v>117.92</v>
      </c>
      <c r="E105" s="14">
        <v>62.5</v>
      </c>
      <c r="F105" s="14">
        <v>51.3</v>
      </c>
      <c r="G105" s="14">
        <v>90.27</v>
      </c>
      <c r="H105" s="14">
        <v>165.56</v>
      </c>
    </row>
    <row r="106" spans="1:9" x14ac:dyDescent="0.3">
      <c r="A106" s="24" t="s">
        <v>136</v>
      </c>
      <c r="B106" s="25"/>
      <c r="C106" s="14"/>
      <c r="D106" s="14">
        <v>1</v>
      </c>
      <c r="E106" s="14">
        <v>1</v>
      </c>
      <c r="F106" s="52">
        <v>0</v>
      </c>
      <c r="G106" s="52">
        <v>0</v>
      </c>
      <c r="H106" s="14">
        <v>2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260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2" t="s">
        <v>141</v>
      </c>
      <c r="B110" s="92"/>
      <c r="C110" s="92"/>
      <c r="D110" s="92"/>
      <c r="E110" s="92"/>
      <c r="F110" s="92"/>
      <c r="G110" s="92"/>
      <c r="H110" s="92"/>
    </row>
    <row r="111" spans="1:9" ht="27" customHeight="1" x14ac:dyDescent="0.3">
      <c r="A111" s="73" t="s">
        <v>142</v>
      </c>
      <c r="B111" s="30" t="s">
        <v>143</v>
      </c>
      <c r="C111" s="80" t="s">
        <v>261</v>
      </c>
      <c r="D111" s="74">
        <f>IF(OR(NOT(ISNUMBER(D24)),NOT(ISNUMBER(D48))),"n/m",IF(OR((D48)&lt;=0,(D24)&lt;0),"n/m",(D24)/(D48)))</f>
        <v>0.91452508864509019</v>
      </c>
      <c r="E111" s="74">
        <f>IF(OR(NOT(ISNUMBER(E24)),NOT(ISNUMBER(E48))),"n/m",IF(OR((E48)&lt;=0,(E24)&lt;0),"n/m",(E24)/(E48)))</f>
        <v>0.88552877147710041</v>
      </c>
      <c r="F111" s="74">
        <f>IF(OR(NOT(ISNUMBER(F24)),NOT(ISNUMBER(F48))),"n/m",IF(OR((F48)&lt;=0,(F24)&lt;0),"n/m",(F24)/(F48)))</f>
        <v>0.80176749057385621</v>
      </c>
      <c r="G111" s="74">
        <f>IF(OR(NOT(ISNUMBER(G24)),NOT(ISNUMBER(G48))),"n/m",IF(OR((G48)&lt;=0,(G24)&lt;0),"n/m",(G24)/(G48)))</f>
        <v>1.296185931254842</v>
      </c>
      <c r="H111" s="74">
        <f>IF(OR(NOT(ISNUMBER(H24)),NOT(ISNUMBER(H48))),"n/m",IF(OR((H48)&lt;=0,(H24)&lt;0),"n/m",(H24)/(H48)))</f>
        <v>1.8489517932979607</v>
      </c>
    </row>
    <row r="112" spans="1:9" ht="27" customHeight="1" x14ac:dyDescent="0.3">
      <c r="A112" s="73" t="s">
        <v>144</v>
      </c>
      <c r="B112" s="30" t="s">
        <v>145</v>
      </c>
      <c r="C112" s="80" t="s">
        <v>262</v>
      </c>
      <c r="D112" s="74">
        <f>IF(OR(NOT(ISNUMBER(D24-D54)),NOT(ISNUMBER(D48))),"n/m",IF(OR((D48)&lt;=0,(D24-D54)&lt;0),"n/m",(D24-D54)/(D48)))</f>
        <v>0.52718830778210601</v>
      </c>
      <c r="E112" s="74">
        <f>IF(OR(NOT(ISNUMBER(E24-E54)),NOT(ISNUMBER(E48))),"n/m",IF(OR((E48)&lt;=0,(E24-E54)&lt;0),"n/m",(E24-E54)/(E48)))</f>
        <v>0.39093390789665328</v>
      </c>
      <c r="F112" s="74">
        <f>IF(OR(NOT(ISNUMBER(F24-F54)),NOT(ISNUMBER(F48))),"n/m",IF(OR((F48)&lt;=0,(F24-F54)&lt;0),"n/m",(F24-F54)/(F48)))</f>
        <v>0.33489936167445872</v>
      </c>
      <c r="G112" s="74">
        <f>IF(OR(NOT(ISNUMBER(G24-G54)),NOT(ISNUMBER(G48))),"n/m",IF(OR((G48)&lt;=0,(G24-G54)&lt;0),"n/m",(G24-G54)/(G48)))</f>
        <v>0.66771764923027133</v>
      </c>
      <c r="H112" s="74">
        <f>IF(OR(NOT(ISNUMBER(H24-H54)),NOT(ISNUMBER(H48))),"n/m",IF(OR((H48)&lt;=0,(H24-H54)&lt;0),"n/m",(H24-H54)/(H48)))</f>
        <v>1.0579587679634685</v>
      </c>
    </row>
    <row r="113" spans="1:8" ht="27" customHeight="1" x14ac:dyDescent="0.3">
      <c r="A113" s="73" t="s">
        <v>146</v>
      </c>
      <c r="B113" s="30" t="s">
        <v>147</v>
      </c>
      <c r="C113" s="80" t="s">
        <v>263</v>
      </c>
      <c r="D113" s="74">
        <f>IF(OR(NOT(ISNUMBER(D157)),NOT(ISNUMBER(D48))),"n/m",IF(OR((D48)&lt;=0,(D157)&lt;0),"n/m",(D157)/(D48)))</f>
        <v>2.0011480184397672E-2</v>
      </c>
      <c r="E113" s="74">
        <f>IF(OR(NOT(ISNUMBER(E157)),NOT(ISNUMBER(E48))),"n/m",IF(OR((E48)&lt;=0,(E157)&lt;0),"n/m",(E157)/(E48)))</f>
        <v>8.913248794490819E-3</v>
      </c>
      <c r="F113" s="74">
        <f>IF(OR(NOT(ISNUMBER(F157)),NOT(ISNUMBER(F48))),"n/m",IF(OR((F48)&lt;=0,(F157)&lt;0),"n/m",(F157)/(F48)))</f>
        <v>1.3866688142092815E-2</v>
      </c>
      <c r="G113" s="74">
        <f>IF(OR(NOT(ISNUMBER(G157)),NOT(ISNUMBER(G48))),"n/m",IF(OR((G48)&lt;=0,(G157)&lt;0),"n/m",(G157)/(G48)))</f>
        <v>2.2719990993528554E-2</v>
      </c>
      <c r="H113" s="74">
        <f>IF(OR(NOT(ISNUMBER(H157)),NOT(ISNUMBER(H48))),"n/m",IF(OR((H48)&lt;=0,(H157)&lt;0),"n/m",(H157)/(H48)))</f>
        <v>4.7175167844291127E-2</v>
      </c>
    </row>
    <row r="114" spans="1:8" ht="27" customHeight="1" x14ac:dyDescent="0.3">
      <c r="A114" s="73" t="s">
        <v>148</v>
      </c>
      <c r="B114" s="30" t="s">
        <v>149</v>
      </c>
      <c r="C114" s="80" t="s">
        <v>264</v>
      </c>
      <c r="D114" s="75" t="str">
        <f>IF(OR(NOT(ISNUMBER(D24-D48)),NOT(ISNUMBER(1))),"n/m",IF(OR((1)&lt;=0,(D24-D48)&lt;0),"n/m",(D24-D48)/(1)))</f>
        <v>n/m</v>
      </c>
      <c r="E114" s="75" t="str">
        <f>IF(OR(NOT(ISNUMBER(E24-E48)),NOT(ISNUMBER(1))),"n/m",IF(OR((1)&lt;=0,(E24-E48)&lt;0),"n/m",(E24-E48)/(1)))</f>
        <v>n/m</v>
      </c>
      <c r="F114" s="75" t="str">
        <f>IF(OR(NOT(ISNUMBER(F24-F48)),NOT(ISNUMBER(1))),"n/m",IF(OR((1)&lt;=0,(F24-F48)&lt;0),"n/m",(F24-F48)/(1)))</f>
        <v>n/m</v>
      </c>
      <c r="G114" s="75">
        <f>IF(OR(NOT(ISNUMBER(G24-G48)),NOT(ISNUMBER(1))),"n/m",IF(OR((1)&lt;=0,(G24-G48)&lt;0),"n/m",(G24-G48)/(1)))</f>
        <v>9544.8039999999928</v>
      </c>
      <c r="H114" s="75">
        <f>IF(OR(NOT(ISNUMBER(H24-H48)),NOT(ISNUMBER(1))),"n/m",IF(OR((1)&lt;=0,(H24-H48)&lt;0),"n/m",(H24-H48)/(1)))</f>
        <v>21997.121999999999</v>
      </c>
    </row>
    <row r="115" spans="1:8" ht="21" customHeight="1" x14ac:dyDescent="0.3">
      <c r="A115" s="92" t="s">
        <v>150</v>
      </c>
      <c r="B115" s="92"/>
      <c r="C115" s="92"/>
      <c r="D115" s="93"/>
      <c r="E115" s="93"/>
      <c r="F115" s="93"/>
      <c r="G115" s="93"/>
      <c r="H115" s="93"/>
    </row>
    <row r="116" spans="1:8" ht="27" customHeight="1" x14ac:dyDescent="0.3">
      <c r="A116" s="73" t="s">
        <v>151</v>
      </c>
      <c r="B116" s="30" t="s">
        <v>152</v>
      </c>
      <c r="C116" s="80" t="s">
        <v>265</v>
      </c>
      <c r="D116" s="74">
        <f>IF(OR(NOT(ISNUMBER(-D65)),NOT(ISNUMBER(AVERAGE(I54,D54)))),"n/m",IF(OR((AVERAGE(I54,D54))&lt;=0,(-D65)&lt;0),"n/m",(-D65)/(AVERAGE(I54,D54))))</f>
        <v>2.6267527531726218</v>
      </c>
      <c r="E116" s="74">
        <f>IF(OR(NOT(ISNUMBER(-E65)),NOT(ISNUMBER(AVERAGE(D54,E54)))),"n/m",IF(OR((AVERAGE(D54,E54))&lt;=0,(-E65)&lt;0),"n/m",(-E65)/(AVERAGE(D54,E54))))</f>
        <v>2.479761249901864</v>
      </c>
      <c r="F116" s="74">
        <f>IF(OR(NOT(ISNUMBER(-F65)),NOT(ISNUMBER(AVERAGE(E54,F54)))),"n/m",IF(OR((AVERAGE(E54,F54))&lt;=0,(-F65)&lt;0),"n/m",(-F65)/(AVERAGE(E54,F54))))</f>
        <v>2.4352964976956684</v>
      </c>
      <c r="G116" s="74">
        <f>IF(OR(NOT(ISNUMBER(-G65)),NOT(ISNUMBER(AVERAGE(F54,G54)))),"n/m",IF(OR((AVERAGE(F54,G54))&lt;=0,(-G65)&lt;0),"n/m",(-G65)/(AVERAGE(F54,G54))))</f>
        <v>2.5832010951831741</v>
      </c>
      <c r="H116" s="74">
        <f>IF(OR(NOT(ISNUMBER(-H65)),NOT(ISNUMBER(AVERAGE(G54,H54)))),"n/m",IF(OR((AVERAGE(G54,H54))&lt;=0,(-H65)&lt;0),"n/m",(-H65)/(AVERAGE(G54,H54))))</f>
        <v>2.6203448800361673</v>
      </c>
    </row>
    <row r="117" spans="1:8" ht="27" customHeight="1" x14ac:dyDescent="0.3">
      <c r="A117" s="73" t="s">
        <v>153</v>
      </c>
      <c r="B117" s="30" t="s">
        <v>154</v>
      </c>
      <c r="C117" s="80" t="s">
        <v>266</v>
      </c>
      <c r="D117" s="74">
        <f>IF(OR(NOT(ISNUMBER(D64)),NOT(ISNUMBER(AVERAGE(I20,D20)))),"n/m",IF(OR((AVERAGE(I20,D20))&lt;=0,(D64)&lt;0),"n/m",(D64)/(AVERAGE(I20,D20))))</f>
        <v>22.768270883109405</v>
      </c>
      <c r="E117" s="74">
        <f>IF(OR(NOT(ISNUMBER(E64)),NOT(ISNUMBER(AVERAGE(D20,E20)))),"n/m",IF(OR((AVERAGE(D20,E20))&lt;=0,(E64)&lt;0),"n/m",(E64)/(AVERAGE(D20,E20))))</f>
        <v>36.922320391767833</v>
      </c>
      <c r="F117" s="74">
        <f>IF(OR(NOT(ISNUMBER(F64)),NOT(ISNUMBER(AVERAGE(E20,F20)))),"n/m",IF(OR((AVERAGE(E20,F20))&lt;=0,(F64)&lt;0),"n/m",(F64)/(AVERAGE(E20,F20))))</f>
        <v>48.836111797909446</v>
      </c>
      <c r="G117" s="74">
        <f>IF(OR(NOT(ISNUMBER(G64)),NOT(ISNUMBER(AVERAGE(F20,G20)))),"n/m",IF(OR((AVERAGE(F20,G20))&lt;=0,(G64)&lt;0),"n/m",(G64)/(AVERAGE(F20,G20))))</f>
        <v>64.453707869774377</v>
      </c>
      <c r="H117" s="74">
        <f>IF(OR(NOT(ISNUMBER(H64)),NOT(ISNUMBER(AVERAGE(G20,H20)))),"n/m",IF(OR((AVERAGE(G20,H20))&lt;=0,(H64)&lt;0),"n/m",(H64)/(AVERAGE(G20,H20))))</f>
        <v>61.216079379365482</v>
      </c>
    </row>
    <row r="118" spans="1:8" ht="27" customHeight="1" x14ac:dyDescent="0.3">
      <c r="A118" s="73" t="s">
        <v>155</v>
      </c>
      <c r="B118" s="30" t="s">
        <v>156</v>
      </c>
      <c r="C118" s="80" t="s">
        <v>267</v>
      </c>
      <c r="D118" s="76">
        <f>IF(OR(NOT(ISNUMBER(365*AVERAGE(I54,D54))),NOT(ISNUMBER(-D65))),"n/m",IF(OR((-D65)&lt;=0,(365*AVERAGE(I54,D54))&lt;0),"n/m",(365*AVERAGE(I54,D54))/(-D65)))</f>
        <v>138.95483675010863</v>
      </c>
      <c r="E118" s="76">
        <f>IF(OR(NOT(ISNUMBER(365*AVERAGE(D54,E54))),NOT(ISNUMBER(-E65))),"n/m",IF(OR((-E65)&lt;=0,(365*AVERAGE(D54,E54))&lt;0),"n/m",(365*AVERAGE(D54,E54))/(-E65)))</f>
        <v>147.19158951872677</v>
      </c>
      <c r="F118" s="76">
        <f>IF(OR(NOT(ISNUMBER(365*AVERAGE(E54,F54))),NOT(ISNUMBER(-F65))),"n/m",IF(OR((-F65)&lt;=0,(365*AVERAGE(E54,F54))&lt;0),"n/m",(365*AVERAGE(E54,F54))/(-F65)))</f>
        <v>149.87908057411946</v>
      </c>
      <c r="G118" s="76">
        <f>IF(OR(NOT(ISNUMBER(365*AVERAGE(F54,G54))),NOT(ISNUMBER(-G65))),"n/m",IF(OR((-G65)&lt;=0,(365*AVERAGE(F54,G54))&lt;0),"n/m",(365*AVERAGE(F54,G54))/(-G65)))</f>
        <v>141.29755545575051</v>
      </c>
      <c r="H118" s="76">
        <f>IF(OR(NOT(ISNUMBER(365*AVERAGE(G54,H54))),NOT(ISNUMBER(-H65))),"n/m",IF(OR((-H65)&lt;=0,(365*AVERAGE(G54,H54))&lt;0),"n/m",(365*AVERAGE(G54,H54))/(-H65)))</f>
        <v>139.29464124392746</v>
      </c>
    </row>
    <row r="119" spans="1:8" ht="27" customHeight="1" x14ac:dyDescent="0.3">
      <c r="A119" s="73" t="s">
        <v>157</v>
      </c>
      <c r="B119" s="30" t="s">
        <v>158</v>
      </c>
      <c r="C119" s="80" t="s">
        <v>268</v>
      </c>
      <c r="D119" s="76">
        <f>IF(OR(NOT(ISNUMBER(365*AVERAGE(I20,D20))),NOT(ISNUMBER(D64))),"n/m",IF(OR((D64)&lt;=0,(365*AVERAGE(I20,D20))&lt;0),"n/m",(365*AVERAGE(I20,D20))/(D64)))</f>
        <v>16.031081230273596</v>
      </c>
      <c r="E119" s="76">
        <f>IF(OR(NOT(ISNUMBER(365*AVERAGE(D20,E20))),NOT(ISNUMBER(E64))),"n/m",IF(OR((E64)&lt;=0,(365*AVERAGE(D20,E20))&lt;0),"n/m",(365*AVERAGE(D20,E20))/(E64)))</f>
        <v>9.8856192169704489</v>
      </c>
      <c r="F119" s="76">
        <f>IF(OR(NOT(ISNUMBER(365*AVERAGE(E20,F20))),NOT(ISNUMBER(F64))),"n/m",IF(OR((F64)&lt;=0,(365*AVERAGE(E20,F20))&lt;0),"n/m",(365*AVERAGE(E20,F20))/(F64)))</f>
        <v>7.4739774843341396</v>
      </c>
      <c r="G119" s="76">
        <f>IF(OR(NOT(ISNUMBER(365*AVERAGE(F20,G20))),NOT(ISNUMBER(G64))),"n/m",IF(OR((G64)&lt;=0,(365*AVERAGE(F20,G20))&lt;0),"n/m",(365*AVERAGE(F20,G20))/(G64)))</f>
        <v>5.6629790909386459</v>
      </c>
      <c r="H119" s="76">
        <f>IF(OR(NOT(ISNUMBER(365*AVERAGE(G20,H20))),NOT(ISNUMBER(H64))),"n/m",IF(OR((H64)&lt;=0,(365*AVERAGE(G20,H20))&lt;0),"n/m",(365*AVERAGE(G20,H20))/(H64)))</f>
        <v>5.9624857341490083</v>
      </c>
    </row>
    <row r="120" spans="1:8" ht="27" customHeight="1" x14ac:dyDescent="0.3">
      <c r="A120" s="73" t="s">
        <v>159</v>
      </c>
      <c r="B120" s="30" t="s">
        <v>160</v>
      </c>
      <c r="C120" s="80" t="s">
        <v>269</v>
      </c>
      <c r="D120" s="74">
        <f>IF(OR(NOT(ISNUMBER(D64)),NOT(ISNUMBER(D9))),"n/m",IF(OR((D9)&lt;=0,(D64)&lt;0),"n/m",(D64)/(D9)))</f>
        <v>0.53055318948132613</v>
      </c>
      <c r="E120" s="74">
        <f>IF(OR(NOT(ISNUMBER(E64)),NOT(ISNUMBER(E9))),"n/m",IF(OR((E9)&lt;=0,(E64)&lt;0),"n/m",(E64)/(E9)))</f>
        <v>0.70098015962057802</v>
      </c>
      <c r="F120" s="74">
        <f>IF(OR(NOT(ISNUMBER(F64)),NOT(ISNUMBER(F9))),"n/m",IF(OR((F9)&lt;=0,(F64)&lt;0),"n/m",(F64)/(F9)))</f>
        <v>0.79011863849334296</v>
      </c>
      <c r="G120" s="74">
        <f>IF(OR(NOT(ISNUMBER(G64)),NOT(ISNUMBER(G9))),"n/m",IF(OR((G9)&lt;=0,(G64)&lt;0),"n/m",(G64)/(G9)))</f>
        <v>0.82674606407416695</v>
      </c>
      <c r="H120" s="74">
        <f>IF(OR(NOT(ISNUMBER(H64)),NOT(ISNUMBER(H9))),"n/m",IF(OR((H9)&lt;=0,(H64)&lt;0),"n/m",(H64)/(H9)))</f>
        <v>0.93062078370763102</v>
      </c>
    </row>
    <row r="121" spans="1:8" ht="27" customHeight="1" x14ac:dyDescent="0.3">
      <c r="A121" s="73" t="s">
        <v>161</v>
      </c>
      <c r="B121" s="30" t="s">
        <v>162</v>
      </c>
      <c r="C121" s="80" t="s">
        <v>270</v>
      </c>
      <c r="D121" s="74">
        <f>IF(OR(NOT(ISNUMBER(D64)),NOT(ISNUMBER(D25))),"n/m",IF(OR((D25)&lt;=0,(D64)&lt;0),"n/m",(D64)/(D25)))</f>
        <v>0.32711693039218176</v>
      </c>
      <c r="E121" s="74">
        <f>IF(OR(NOT(ISNUMBER(E64)),NOT(ISNUMBER(E25))),"n/m",IF(OR((E25)&lt;=0,(E64)&lt;0),"n/m",(E64)/(E25)))</f>
        <v>0.42503666813991675</v>
      </c>
      <c r="F121" s="74">
        <f>IF(OR(NOT(ISNUMBER(F64)),NOT(ISNUMBER(F25))),"n/m",IF(OR((F25)&lt;=0,(F64)&lt;0),"n/m",(F64)/(F25)))</f>
        <v>0.4823862468647665</v>
      </c>
      <c r="G121" s="74">
        <f>IF(OR(NOT(ISNUMBER(G64)),NOT(ISNUMBER(G25))),"n/m",IF(OR((G25)&lt;=0,(G64)&lt;0),"n/m",(G64)/(G25)))</f>
        <v>0.47720727814222835</v>
      </c>
      <c r="H121" s="74">
        <f>IF(OR(NOT(ISNUMBER(H64)),NOT(ISNUMBER(H25))),"n/m",IF(OR((H25)&lt;=0,(H64)&lt;0),"n/m",(H64)/(H25)))</f>
        <v>0.49267235836459933</v>
      </c>
    </row>
    <row r="122" spans="1:8" ht="21" customHeight="1" x14ac:dyDescent="0.3">
      <c r="A122" s="92" t="s">
        <v>163</v>
      </c>
      <c r="B122" s="92"/>
      <c r="C122" s="92"/>
      <c r="D122" s="93"/>
      <c r="E122" s="93"/>
      <c r="F122" s="93"/>
      <c r="G122" s="93"/>
      <c r="H122" s="93"/>
    </row>
    <row r="123" spans="1:8" ht="27" customHeight="1" x14ac:dyDescent="0.3">
      <c r="A123" s="73" t="s">
        <v>164</v>
      </c>
      <c r="B123" s="30" t="s">
        <v>165</v>
      </c>
      <c r="C123" s="80" t="s">
        <v>271</v>
      </c>
      <c r="D123" s="77">
        <f>IF(OR(NOT(ISNUMBER(D49)),NOT(ISNUMBER(D25))),"n/m",IF(OR((D25)&lt;=0,(D49)&lt;0),"n/m",(D49)/(D25)))</f>
        <v>0.46714504184305206</v>
      </c>
      <c r="E123" s="77">
        <f>IF(OR(NOT(ISNUMBER(E49)),NOT(ISNUMBER(E25))),"n/m",IF(OR((E25)&lt;=0,(E49)&lt;0),"n/m",(E49)/(E25)))</f>
        <v>0.48801207258126744</v>
      </c>
      <c r="F123" s="77">
        <f>IF(OR(NOT(ISNUMBER(F49)),NOT(ISNUMBER(F25))),"n/m",IF(OR((F25)&lt;=0,(F49)&lt;0),"n/m",(F49)/(F25)))</f>
        <v>0.52348952241922664</v>
      </c>
      <c r="G123" s="77">
        <f>IF(OR(NOT(ISNUMBER(G49)),NOT(ISNUMBER(G25))),"n/m",IF(OR((G25)&lt;=0,(G49)&lt;0),"n/m",(G49)/(G25)))</f>
        <v>0.45191223946360831</v>
      </c>
      <c r="H123" s="77">
        <f>IF(OR(NOT(ISNUMBER(H49)),NOT(ISNUMBER(H25))),"n/m",IF(OR((H25)&lt;=0,(H49)&lt;0),"n/m",(H49)/(H25)))</f>
        <v>0.35125595827177031</v>
      </c>
    </row>
    <row r="124" spans="1:8" ht="27" customHeight="1" x14ac:dyDescent="0.3">
      <c r="A124" s="73" t="s">
        <v>166</v>
      </c>
      <c r="B124" s="30" t="s">
        <v>167</v>
      </c>
      <c r="C124" s="80" t="s">
        <v>272</v>
      </c>
      <c r="D124" s="74">
        <f>IF(OR(NOT(ISNUMBER(D55)),NOT(ISNUMBER(D29))),"n/m",IF(OR((D29)&lt;=0,(D55)&lt;0),"n/m",(D55)/(D29)))</f>
        <v>0.59600006385595838</v>
      </c>
      <c r="E124" s="74">
        <f>IF(OR(NOT(ISNUMBER(E55)),NOT(ISNUMBER(E29))),"n/m",IF(OR((E29)&lt;=0,(E55)&lt;0),"n/m",(E55)/(E29)))</f>
        <v>0.66471914526512743</v>
      </c>
      <c r="F124" s="74">
        <f>IF(OR(NOT(ISNUMBER(F55)),NOT(ISNUMBER(F29))),"n/m",IF(OR((F29)&lt;=0,(F55)&lt;0),"n/m",(F55)/(F29)))</f>
        <v>0.66251390334697124</v>
      </c>
      <c r="G124" s="74">
        <f>IF(OR(NOT(ISNUMBER(G55)),NOT(ISNUMBER(G29))),"n/m",IF(OR((G29)&lt;=0,(G55)&lt;0),"n/m",(G55)/(G29)))</f>
        <v>0.45251048227827784</v>
      </c>
      <c r="H124" s="74">
        <f>IF(OR(NOT(ISNUMBER(H55)),NOT(ISNUMBER(H29))),"n/m",IF(OR((H29)&lt;=0,(H55)&lt;0),"n/m",(H55)/(H29)))</f>
        <v>0.23141104487858016</v>
      </c>
    </row>
    <row r="125" spans="1:8" ht="27" customHeight="1" x14ac:dyDescent="0.3">
      <c r="A125" s="73" t="s">
        <v>168</v>
      </c>
      <c r="B125" s="30" t="s">
        <v>169</v>
      </c>
      <c r="C125" s="80" t="s">
        <v>273</v>
      </c>
      <c r="D125" s="77">
        <f>IF(OR(NOT(ISNUMBER(D55)),NOT(ISNUMBER(D55+D29))),"n/m",IF(OR((D55+D29)&lt;=0,(D55)&lt;0),"n/m",(D55)/(D55+D29)))</f>
        <v>0.37343360902882045</v>
      </c>
      <c r="E125" s="77">
        <f>IF(OR(NOT(ISNUMBER(E55)),NOT(ISNUMBER(E55+E29))),"n/m",IF(OR((E55+E29)&lt;=0,(E55)&lt;0),"n/m",(E55)/(E55+E29)))</f>
        <v>0.39929807208366225</v>
      </c>
      <c r="F125" s="77">
        <f>IF(OR(NOT(ISNUMBER(F55)),NOT(ISNUMBER(F55+F29))),"n/m",IF(OR((F55+F29)&lt;=0,(F55)&lt;0),"n/m",(F55)/(F55+F29)))</f>
        <v>0.39850127088453147</v>
      </c>
      <c r="G125" s="77">
        <f>IF(OR(NOT(ISNUMBER(G55)),NOT(ISNUMBER(G55+G29))),"n/m",IF(OR((G55+G29)&lt;=0,(G55)&lt;0),"n/m",(G55)/(G55+G29)))</f>
        <v>0.31153681009483003</v>
      </c>
      <c r="H125" s="77">
        <f>IF(OR(NOT(ISNUMBER(H55)),NOT(ISNUMBER(H55+H29))),"n/m",IF(OR((H55+H29)&lt;=0,(H55)&lt;0),"n/m",(H55)/(H55+H29)))</f>
        <v>0.18792347676351873</v>
      </c>
    </row>
    <row r="126" spans="1:8" ht="27" customHeight="1" x14ac:dyDescent="0.3">
      <c r="A126" s="73" t="s">
        <v>170</v>
      </c>
      <c r="B126" s="30" t="s">
        <v>171</v>
      </c>
      <c r="C126" s="80" t="s">
        <v>274</v>
      </c>
      <c r="D126" s="74">
        <f>IF(OR(NOT(ISNUMBER(D82)),NOT(ISNUMBER(D85))),"n/m",IF(OR((D85)&lt;=0,(D82)&lt;0),"n/m",(D82)/(D85)))</f>
        <v>2.6532310456742976</v>
      </c>
      <c r="E126" s="74">
        <f>IF(OR(NOT(ISNUMBER(E82)),NOT(ISNUMBER(E85))),"n/m",IF(OR((E85)&lt;=0,(E82)&lt;0),"n/m",(E82)/(E85)))</f>
        <v>2.6982633298510965</v>
      </c>
      <c r="F126" s="74">
        <f>IF(OR(NOT(ISNUMBER(F82)),NOT(ISNUMBER(F85))),"n/m",IF(OR((F85)&lt;=0,(F82)&lt;0),"n/m",(F82)/(F85)))</f>
        <v>1.4717538518085045</v>
      </c>
      <c r="G126" s="74">
        <f>IF(OR(NOT(ISNUMBER(G82)),NOT(ISNUMBER(G85))),"n/m",IF(OR((G85)&lt;=0,(G82)&lt;0),"n/m",(G82)/(G85)))</f>
        <v>1.3582230764552283</v>
      </c>
      <c r="H126" s="74">
        <f>IF(OR(NOT(ISNUMBER(H82)),NOT(ISNUMBER(H85))),"n/m",IF(OR((H85)&lt;=0,(H82)&lt;0),"n/m",(H82)/(H85)))</f>
        <v>4.4072600253200633</v>
      </c>
    </row>
    <row r="127" spans="1:8" ht="21" customHeight="1" x14ac:dyDescent="0.3">
      <c r="A127" s="92" t="s">
        <v>172</v>
      </c>
      <c r="B127" s="92"/>
      <c r="C127" s="92"/>
      <c r="D127" s="93"/>
      <c r="E127" s="93"/>
      <c r="F127" s="93"/>
      <c r="G127" s="93"/>
      <c r="H127" s="93"/>
    </row>
    <row r="128" spans="1:8" ht="27" customHeight="1" x14ac:dyDescent="0.3">
      <c r="A128" s="73" t="s">
        <v>173</v>
      </c>
      <c r="B128" s="30" t="s">
        <v>174</v>
      </c>
      <c r="C128" s="80" t="s">
        <v>275</v>
      </c>
      <c r="D128" s="77">
        <f>IF(OR(NOT(ISNUMBER(D66)),NOT(ISNUMBER(D64))),"n/m",IF(OR((D64)&lt;=0,(D66)&lt;0),"n/m",(D66)/(D64)))</f>
        <v>0.17894713739497631</v>
      </c>
      <c r="E128" s="77">
        <f>IF(OR(NOT(ISNUMBER(E66)),NOT(ISNUMBER(E64))),"n/m",IF(OR((E64)&lt;=0,(E66)&lt;0),"n/m",(E66)/(E64)))</f>
        <v>0.17966261135996409</v>
      </c>
      <c r="F128" s="77">
        <f>IF(OR(NOT(ISNUMBER(F66)),NOT(ISNUMBER(F64))),"n/m",IF(OR((F64)&lt;=0,(F66)&lt;0),"n/m",(F66)/(F64)))</f>
        <v>0.14704852458583501</v>
      </c>
      <c r="G128" s="77">
        <f>IF(OR(NOT(ISNUMBER(G66)),NOT(ISNUMBER(G64))),"n/m",IF(OR((G64)&lt;=0,(G66)&lt;0),"n/m",(G66)/(G64)))</f>
        <v>0.15942563608432631</v>
      </c>
      <c r="H128" s="77">
        <f>IF(OR(NOT(ISNUMBER(H66)),NOT(ISNUMBER(H64))),"n/m",IF(OR((H64)&lt;=0,(H66)&lt;0),"n/m",(H66)/(H64)))</f>
        <v>0.25740632547300923</v>
      </c>
    </row>
    <row r="129" spans="1:8" ht="27" customHeight="1" x14ac:dyDescent="0.3">
      <c r="A129" s="73" t="s">
        <v>175</v>
      </c>
      <c r="B129" s="30" t="s">
        <v>176</v>
      </c>
      <c r="C129" s="80" t="s">
        <v>276</v>
      </c>
      <c r="D129" s="77">
        <f>IF(OR(NOT(ISNUMBER(D82)),NOT(ISNUMBER(D64))),"n/m",IF(OR((D64)&lt;=0,(D82)&lt;0),"n/m",(D82)/(D64)))</f>
        <v>0.16976072150890459</v>
      </c>
      <c r="E129" s="77">
        <f>IF(OR(NOT(ISNUMBER(E82)),NOT(ISNUMBER(E64))),"n/m",IF(OR((E64)&lt;=0,(E82)&lt;0),"n/m",(E82)/(E64)))</f>
        <v>0.1647791429733062</v>
      </c>
      <c r="F129" s="77">
        <f>IF(OR(NOT(ISNUMBER(F82)),NOT(ISNUMBER(F64))),"n/m",IF(OR((F64)&lt;=0,(F82)&lt;0),"n/m",(F82)/(F64)))</f>
        <v>0.15182766799754666</v>
      </c>
      <c r="G129" s="77">
        <f>IF(OR(NOT(ISNUMBER(G82)),NOT(ISNUMBER(G64))),"n/m",IF(OR((G64)&lt;=0,(G82)&lt;0),"n/m",(G82)/(G64)))</f>
        <v>0.16299366572828242</v>
      </c>
      <c r="H129" s="77">
        <f>IF(OR(NOT(ISNUMBER(H82)),NOT(ISNUMBER(H64))),"n/m",IF(OR((H64)&lt;=0,(H82)&lt;0),"n/m",(H82)/(H64)))</f>
        <v>0.23397808045883622</v>
      </c>
    </row>
    <row r="130" spans="1:8" ht="27" customHeight="1" x14ac:dyDescent="0.3">
      <c r="A130" s="73" t="s">
        <v>177</v>
      </c>
      <c r="B130" s="30" t="s">
        <v>178</v>
      </c>
      <c r="C130" s="80" t="s">
        <v>277</v>
      </c>
      <c r="D130" s="77">
        <f>IF(OR(NOT(ISNUMBER(D79)),NOT(ISNUMBER(D64))),"n/m",IF(OR((D64)&lt;=0,(D79)&lt;0),"n/m",(D79)/(D64)))</f>
        <v>8.2497529800351119E-2</v>
      </c>
      <c r="E130" s="77">
        <f>IF(OR(NOT(ISNUMBER(E79)),NOT(ISNUMBER(E64))),"n/m",IF(OR((E64)&lt;=0,(E79)&lt;0),"n/m",(E79)/(E64)))</f>
        <v>5.120493100192175E-2</v>
      </c>
      <c r="F130" s="77" t="str">
        <f>IF(OR(NOT(ISNUMBER(F79)),NOT(ISNUMBER(F64))),"n/m",IF(OR((F64)&lt;=0,(F79)&lt;0),"n/m",(F79)/(F64)))</f>
        <v>n/m</v>
      </c>
      <c r="G130" s="77">
        <f>IF(OR(NOT(ISNUMBER(G79)),NOT(ISNUMBER(G64))),"n/m",IF(OR((G64)&lt;=0,(G79)&lt;0),"n/m",(G79)/(G64)))</f>
        <v>8.2133065966830711E-3</v>
      </c>
      <c r="H130" s="77">
        <f>IF(OR(NOT(ISNUMBER(H79)),NOT(ISNUMBER(H64))),"n/m",IF(OR((H64)&lt;=0,(H79)&lt;0),"n/m",(H79)/(H64)))</f>
        <v>0.12066652759857006</v>
      </c>
    </row>
    <row r="131" spans="1:8" ht="27" customHeight="1" x14ac:dyDescent="0.3">
      <c r="A131" s="73" t="s">
        <v>179</v>
      </c>
      <c r="B131" s="30" t="s">
        <v>180</v>
      </c>
      <c r="C131" s="80" t="s">
        <v>278</v>
      </c>
      <c r="D131" s="77">
        <f>IF(OR(NOT(ISNUMBER(D79)),NOT(ISNUMBER(D25))),"n/m",IF(OR((D25)&lt;=0,(D79)&lt;0),"n/m",(D79)/(D25)))</f>
        <v>2.6986338713228402E-2</v>
      </c>
      <c r="E131" s="77">
        <f>IF(OR(NOT(ISNUMBER(E79)),NOT(ISNUMBER(E25))),"n/m",IF(OR((E25)&lt;=0,(E79)&lt;0),"n/m",(E79)/(E25)))</f>
        <v>2.1763973265391149E-2</v>
      </c>
      <c r="F131" s="77" t="str">
        <f>IF(OR(NOT(ISNUMBER(F79)),NOT(ISNUMBER(F25))),"n/m",IF(OR((F25)&lt;=0,(F79)&lt;0),"n/m",(F79)/(F25)))</f>
        <v>n/m</v>
      </c>
      <c r="G131" s="77">
        <f>IF(OR(NOT(ISNUMBER(G79)),NOT(ISNUMBER(G25))),"n/m",IF(OR((G25)&lt;=0,(G79)&lt;0),"n/m",(G79)/(G25)))</f>
        <v>3.9194496855507379E-3</v>
      </c>
      <c r="H131" s="77">
        <f>IF(OR(NOT(ISNUMBER(H79)),NOT(ISNUMBER(H25))),"n/m",IF(OR((H25)&lt;=0,(H79)&lt;0),"n/m",(H79)/(H25)))</f>
        <v>5.9449062727654524E-2</v>
      </c>
    </row>
    <row r="132" spans="1:8" ht="27" customHeight="1" x14ac:dyDescent="0.3">
      <c r="A132" s="73" t="s">
        <v>181</v>
      </c>
      <c r="B132" s="30" t="s">
        <v>182</v>
      </c>
      <c r="C132" s="80" t="s">
        <v>279</v>
      </c>
      <c r="D132" s="77">
        <f>IF(OR(NOT(ISNUMBER(D79)),NOT(ISNUMBER(D29))),"n/m",IF(OR((D29)&lt;=0,(D79)&lt;0),"n/m",(D79)/(D29)))</f>
        <v>5.0644811125656837E-2</v>
      </c>
      <c r="E132" s="77">
        <f>IF(OR(NOT(ISNUMBER(E79)),NOT(ISNUMBER(E29))),"n/m",IF(OR((E29)&lt;=0,(E79)&lt;0),"n/m",(E79)/(E29)))</f>
        <v>4.2508762609145177E-2</v>
      </c>
      <c r="F132" s="77" t="str">
        <f>IF(OR(NOT(ISNUMBER(F79)),NOT(ISNUMBER(F29))),"n/m",IF(OR((F29)&lt;=0,(F79)&lt;0),"n/m",(F79)/(F29)))</f>
        <v>n/m</v>
      </c>
      <c r="G132" s="77">
        <f>IF(OR(NOT(ISNUMBER(G79)),NOT(ISNUMBER(G29))),"n/m",IF(OR((G29)&lt;=0,(G79)&lt;0),"n/m",(G79)/(G29)))</f>
        <v>7.1511352154898129E-3</v>
      </c>
      <c r="H132" s="77">
        <f>IF(OR(NOT(ISNUMBER(H79)),NOT(ISNUMBER(H29))),"n/m",IF(OR((H29)&lt;=0,(H79)&lt;0),"n/m",(H79)/(H29)))</f>
        <v>9.1637161813901913E-2</v>
      </c>
    </row>
    <row r="133" spans="1:8" ht="27" customHeight="1" x14ac:dyDescent="0.3">
      <c r="A133" s="73" t="s">
        <v>183</v>
      </c>
      <c r="B133" s="30" t="s">
        <v>184</v>
      </c>
      <c r="C133" s="80" t="s">
        <v>280</v>
      </c>
      <c r="D133" s="77">
        <f>IF(OR(NOT(ISNUMBER(D88)),NOT(ISNUMBER(D58))),"n/m",IF(OR((D58)&lt;=0,(D88)&lt;0),"n/m",(D88)/(D58)))</f>
        <v>5.0926469503026137E-2</v>
      </c>
      <c r="E133" s="77">
        <f>IF(OR(NOT(ISNUMBER(E88)),NOT(ISNUMBER(E58))),"n/m",IF(OR((E58)&lt;=0,(E88)&lt;0),"n/m",(E88)/(E58)))</f>
        <v>4.0571100495840479E-2</v>
      </c>
      <c r="F133" s="77" t="str">
        <f>IF(OR(NOT(ISNUMBER(F88)),NOT(ISNUMBER(F58))),"n/m",IF(OR((F58)&lt;=0,(F88)&lt;0),"n/m",(F88)/(F58)))</f>
        <v>n/m</v>
      </c>
      <c r="G133" s="77">
        <f>IF(OR(NOT(ISNUMBER(G88)),NOT(ISNUMBER(G58))),"n/m",IF(OR((G58)&lt;=0,(G88)&lt;0),"n/m",(G88)/(G58)))</f>
        <v>1.8666945531428475E-2</v>
      </c>
      <c r="H133" s="77">
        <f>IF(OR(NOT(ISNUMBER(H88)),NOT(ISNUMBER(H58))),"n/m",IF(OR((H58)&lt;=0,(H88)&lt;0),"n/m",(H88)/(H58)))</f>
        <v>9.6256924504903307E-2</v>
      </c>
    </row>
    <row r="134" spans="1:8" ht="27" customHeight="1" x14ac:dyDescent="0.3">
      <c r="A134" s="73" t="s">
        <v>185</v>
      </c>
      <c r="B134" s="30" t="s">
        <v>186</v>
      </c>
      <c r="C134" s="80" t="s">
        <v>281</v>
      </c>
      <c r="D134" s="77">
        <f>IF(OR(NOT(ISNUMBER(D82)),NOT(ISNUMBER(D25))),"n/m",IF(OR((D25)&lt;=0,(D82)&lt;0),"n/m",(D82)/(D25)))</f>
        <v>5.5531606121154903E-2</v>
      </c>
      <c r="E134" s="77">
        <f>IF(OR(NOT(ISNUMBER(E82)),NOT(ISNUMBER(E25))),"n/m",IF(OR((E25)&lt;=0,(E82)&lt;0),"n/m",(E82)/(E25)))</f>
        <v>7.0037177908325046E-2</v>
      </c>
      <c r="F134" s="77">
        <f>IF(OR(NOT(ISNUMBER(F82)),NOT(ISNUMBER(F25))),"n/m",IF(OR((F25)&lt;=0,(F82)&lt;0),"n/m",(F82)/(F25)))</f>
        <v>7.3239578935566346E-2</v>
      </c>
      <c r="G134" s="77">
        <f>IF(OR(NOT(ISNUMBER(G82)),NOT(ISNUMBER(G25))),"n/m",IF(OR((G25)&lt;=0,(G82)&lt;0),"n/m",(G82)/(G25)))</f>
        <v>7.7781763576617868E-2</v>
      </c>
      <c r="H134" s="77">
        <f>IF(OR(NOT(ISNUMBER(H82)),NOT(ISNUMBER(H25))),"n/m",IF(OR((H25)&lt;=0,(H82)&lt;0),"n/m",(H82)/(H25)))</f>
        <v>0.11527453270527682</v>
      </c>
    </row>
    <row r="135" spans="1:8" ht="21" customHeight="1" x14ac:dyDescent="0.3">
      <c r="A135" s="92" t="s">
        <v>187</v>
      </c>
      <c r="B135" s="92"/>
      <c r="C135" s="92"/>
      <c r="D135" s="93"/>
      <c r="E135" s="93"/>
      <c r="F135" s="93"/>
      <c r="G135" s="93"/>
      <c r="H135" s="93"/>
    </row>
    <row r="136" spans="1:8" ht="27" customHeight="1" x14ac:dyDescent="0.3">
      <c r="A136" s="73" t="s">
        <v>188</v>
      </c>
      <c r="B136" s="30" t="s">
        <v>189</v>
      </c>
      <c r="C136" s="80" t="s">
        <v>282</v>
      </c>
      <c r="D136" s="78">
        <f>IF(OR(NOT(ISNUMBER(D79)),NOT(ISNUMBER(D104))),"n/m",IF(OR((D104)&lt;=0,(D79)&lt;0),"n/m",(D79)/(D104)))</f>
        <v>8.4937471274650029</v>
      </c>
      <c r="E136" s="78">
        <f>IF(OR(NOT(ISNUMBER(E79)),NOT(ISNUMBER(E104))),"n/m",IF(OR((E104)&lt;=0,(E79)&lt;0),"n/m",(E79)/(E104)))</f>
        <v>6.7838445707817723</v>
      </c>
      <c r="F136" s="78" t="str">
        <f>IF(OR(NOT(ISNUMBER(F79)),NOT(ISNUMBER(F104))),"n/m",IF(OR((F104)&lt;=0,(F79)&lt;0),"n/m",(F79)/(F104)))</f>
        <v>n/m</v>
      </c>
      <c r="G136" s="78">
        <f>IF(OR(NOT(ISNUMBER(G79)),NOT(ISNUMBER(G104))),"n/m",IF(OR((G104)&lt;=0,(G79)&lt;0),"n/m",(G79)/(G104)))</f>
        <v>1.2380103440270365</v>
      </c>
      <c r="H136" s="78">
        <f>IF(OR(NOT(ISNUMBER(H79)),NOT(ISNUMBER(H104))),"n/m",IF(OR((H104)&lt;=0,(H79)&lt;0),"n/m",(H79)/(H104)))</f>
        <v>19.800685803443983</v>
      </c>
    </row>
    <row r="137" spans="1:8" ht="27" customHeight="1" x14ac:dyDescent="0.3">
      <c r="A137" s="73" t="s">
        <v>190</v>
      </c>
      <c r="B137" s="30" t="s">
        <v>191</v>
      </c>
      <c r="C137" s="80" t="s">
        <v>283</v>
      </c>
      <c r="D137" s="78">
        <f>IF(OR(NOT(ISNUMBER(D29)),NOT(ISNUMBER(D103))),"n/m",IF(OR((D103)&lt;=0,(D29)&lt;0),"n/m",(D29)/(D103)))</f>
        <v>167.71209700741193</v>
      </c>
      <c r="E137" s="78">
        <f>IF(OR(NOT(ISNUMBER(E29)),NOT(ISNUMBER(E103))),"n/m",IF(OR((E103)&lt;=0,(E29)&lt;0),"n/m",(E29)/(E103)))</f>
        <v>159.58697532246367</v>
      </c>
      <c r="F137" s="78">
        <f>IF(OR(NOT(ISNUMBER(F29)),NOT(ISNUMBER(F103))),"n/m",IF(OR((F103)&lt;=0,(F29)&lt;0),"n/m",(F29)/(F103)))</f>
        <v>146.51786922779672</v>
      </c>
      <c r="G137" s="78">
        <f>IF(OR(NOT(ISNUMBER(G29)),NOT(ISNUMBER(G103))),"n/m",IF(OR((G103)&lt;=0,(G29)&lt;0),"n/m",(G29)/(G103)))</f>
        <v>173.12082034314415</v>
      </c>
      <c r="H137" s="78">
        <f>IF(OR(NOT(ISNUMBER(H29)),NOT(ISNUMBER(H103))),"n/m",IF(OR((H103)&lt;=0,(H29)&lt;0),"n/m",(H29)/(H103)))</f>
        <v>216.07703932560804</v>
      </c>
    </row>
    <row r="138" spans="1:8" ht="27" customHeight="1" x14ac:dyDescent="0.3">
      <c r="A138" s="73" t="s">
        <v>192</v>
      </c>
      <c r="B138" s="30" t="s">
        <v>193</v>
      </c>
      <c r="C138" s="80" t="s">
        <v>284</v>
      </c>
      <c r="D138" s="74">
        <f>IF(OR(NOT(ISNUMBER(D105)),NOT(ISNUMBER(D79/D104))),"n/m",IF(OR((D79/D104)&lt;=0,(D105)&lt;0),"n/m",(D105)/(D79/D104)))</f>
        <v>13.883154069739035</v>
      </c>
      <c r="E138" s="74">
        <f>IF(OR(NOT(ISNUMBER(E105)),NOT(ISNUMBER(E79/E104))),"n/m",IF(OR((E79/E104)&lt;=0,(E105)&lt;0),"n/m",(E105)/(E79/E104)))</f>
        <v>9.2130648554640278</v>
      </c>
      <c r="F138" s="74" t="str">
        <f>IF(OR(NOT(ISNUMBER(F105)),NOT(ISNUMBER(F79/F104))),"n/m",IF(OR((F79/F104)&lt;=0,(F105)&lt;0),"n/m",(F105)/(F79/F104)))</f>
        <v>n/m</v>
      </c>
      <c r="G138" s="74">
        <f>IF(OR(NOT(ISNUMBER(G105)),NOT(ISNUMBER(G79/G104))),"n/m",IF(OR((G79/G104)&lt;=0,(G105)&lt;0),"n/m",(G105)/(G79/G104)))</f>
        <v>72.91538429829842</v>
      </c>
      <c r="H138" s="74">
        <f>IF(OR(NOT(ISNUMBER(H105)),NOT(ISNUMBER(H79/H104))),"n/m",IF(OR((H79/H104)&lt;=0,(H105)&lt;0),"n/m",(H105)/(H79/H104)))</f>
        <v>8.3613265542147914</v>
      </c>
    </row>
    <row r="139" spans="1:8" ht="27" customHeight="1" x14ac:dyDescent="0.3">
      <c r="A139" s="73" t="s">
        <v>194</v>
      </c>
      <c r="B139" s="30" t="s">
        <v>195</v>
      </c>
      <c r="C139" s="80" t="s">
        <v>285</v>
      </c>
      <c r="D139" s="74">
        <f>IF(OR(NOT(ISNUMBER(D105)),NOT(ISNUMBER(D29/D103))),"n/m",IF(OR((D29/D103)&lt;=0,(D105)&lt;0),"n/m",(D105)/(D29/D103)))</f>
        <v>0.7031096868032638</v>
      </c>
      <c r="E139" s="74">
        <f>IF(OR(NOT(ISNUMBER(E105)),NOT(ISNUMBER(E29/E103))),"n/m",IF(OR((E29/E103)&lt;=0,(E105)&lt;0),"n/m",(E105)/(E29/E103)))</f>
        <v>0.39163597075332512</v>
      </c>
      <c r="F139" s="74">
        <f>IF(OR(NOT(ISNUMBER(F105)),NOT(ISNUMBER(F29/F103))),"n/m",IF(OR((F29/F103)&lt;=0,(F105)&lt;0),"n/m",(F105)/(F29/F103)))</f>
        <v>0.35012794187063967</v>
      </c>
      <c r="G139" s="74">
        <f>IF(OR(NOT(ISNUMBER(G105)),NOT(ISNUMBER(G29/G103))),"n/m",IF(OR((G29/G103)&lt;=0,(G105)&lt;0),"n/m",(G105)/(G29/G103)))</f>
        <v>0.52142775098382221</v>
      </c>
      <c r="H139" s="74">
        <f>IF(OR(NOT(ISNUMBER(H105)),NOT(ISNUMBER(H29/H103))),"n/m",IF(OR((H29/H103)&lt;=0,(H105)&lt;0),"n/m",(H105)/(H29/H103)))</f>
        <v>0.76620820294800718</v>
      </c>
    </row>
    <row r="140" spans="1:8" ht="36" customHeight="1" x14ac:dyDescent="0.3">
      <c r="A140" s="73" t="s">
        <v>196</v>
      </c>
      <c r="B140" s="30" t="s">
        <v>197</v>
      </c>
      <c r="C140" s="30" t="s">
        <v>215</v>
      </c>
      <c r="D140" s="77">
        <f>IF(OR(NOT(ISNUMBER(D106)),NOT(ISNUMBER(D105))),"n/m",IF(OR((D105)&lt;=0,(D106)&lt;0),"n/m",(D106)/(D105)))</f>
        <v>8.4803256445047485E-3</v>
      </c>
      <c r="E140" s="77">
        <f>IF(OR(NOT(ISNUMBER(E106)),NOT(ISNUMBER(E105))),"n/m",IF(OR((E105)&lt;=0,(E106)&lt;0),"n/m",(E106)/(E105)))</f>
        <v>1.6E-2</v>
      </c>
      <c r="F140" s="79">
        <f>IF(OR(NOT(ISNUMBER(F106)),NOT(ISNUMBER(F105))),"n/m",IF(OR((F105)&lt;=0,(F106)&lt;0),"n/m",(F106)/(F105)))</f>
        <v>0</v>
      </c>
      <c r="G140" s="79">
        <f>IF(OR(NOT(ISNUMBER(G106)),NOT(ISNUMBER(G105))),"n/m",IF(OR((G105)&lt;=0,(G106)&lt;0),"n/m",(G106)/(G105)))</f>
        <v>0</v>
      </c>
      <c r="H140" s="77">
        <f>IF(OR(NOT(ISNUMBER(H106)),NOT(ISNUMBER(H105))),"n/m",IF(OR((H105)&lt;=0,(H106)&lt;0),"n/m",(H106)/(H105)))</f>
        <v>1.2080212611741966E-2</v>
      </c>
    </row>
    <row r="141" spans="1:8" ht="27" customHeight="1" x14ac:dyDescent="0.3">
      <c r="A141" s="73" t="s">
        <v>199</v>
      </c>
      <c r="B141" s="30" t="s">
        <v>200</v>
      </c>
      <c r="C141" s="80" t="s">
        <v>286</v>
      </c>
      <c r="D141" s="74">
        <f>IF(OR(NOT(ISNUMBER(D160)),NOT(ISNUMBER(D83))),"n/m",IF(OR((D83)&lt;=0,(D160)&lt;0),"n/m",(D160)/(D83)))</f>
        <v>8.4672094053907152</v>
      </c>
      <c r="E141" s="74">
        <f>IF(OR(NOT(ISNUMBER(E160)),NOT(ISNUMBER(E83))),"n/m",IF(OR((E83)&lt;=0,(E160)&lt;0),"n/m",(E160)/(E83)))</f>
        <v>5.5150906801201929</v>
      </c>
      <c r="F141" s="74">
        <f>IF(OR(NOT(ISNUMBER(F160)),NOT(ISNUMBER(F83))),"n/m",IF(OR((F83)&lt;=0,(F160)&lt;0),"n/m",(F160)/(F83)))</f>
        <v>4.7839328299471351</v>
      </c>
      <c r="G141" s="74">
        <f>IF(OR(NOT(ISNUMBER(G160)),NOT(ISNUMBER(G83))),"n/m",IF(OR((G83)&lt;=0,(G160)&lt;0),"n/m",(G160)/(G83)))</f>
        <v>5.0911516840273263</v>
      </c>
      <c r="H141" s="74">
        <f>IF(OR(NOT(ISNUMBER(H160)),NOT(ISNUMBER(H83))),"n/m",IF(OR((H83)&lt;=0,(H160)&lt;0),"n/m",(H160)/(H83)))</f>
        <v>4.5245291189336676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1" t="s">
        <v>201</v>
      </c>
      <c r="B147" s="91"/>
      <c r="C147" s="90"/>
      <c r="D147" s="90"/>
      <c r="E147" s="90"/>
      <c r="F147" s="90"/>
      <c r="G147" s="90"/>
      <c r="H147" s="90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60"/>
      <c r="C152" s="61"/>
      <c r="D152" s="61"/>
      <c r="E152" s="61"/>
      <c r="F152" s="61"/>
      <c r="G152" s="61"/>
      <c r="H152" s="61"/>
    </row>
    <row r="153" spans="1:9" ht="4.05" customHeight="1" x14ac:dyDescent="0.3">
      <c r="A153" s="60"/>
      <c r="B153" s="60"/>
      <c r="C153" s="61"/>
      <c r="D153" s="61"/>
      <c r="E153" s="61"/>
      <c r="F153" s="61"/>
      <c r="G153" s="61"/>
      <c r="H153" s="61"/>
    </row>
    <row r="154" spans="1:9" ht="4.05" customHeight="1" x14ac:dyDescent="0.3"/>
    <row r="155" spans="1:9" ht="22.95" customHeight="1" x14ac:dyDescent="0.3">
      <c r="A155" s="90" t="s">
        <v>205</v>
      </c>
      <c r="B155" s="90"/>
      <c r="C155" s="90"/>
      <c r="D155" s="90"/>
      <c r="E155" s="90"/>
      <c r="F155" s="90"/>
      <c r="G155" s="90"/>
      <c r="H155" s="90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3">
        <f>D22+D161-D162</f>
        <v>806.37300000000005</v>
      </c>
      <c r="E157" s="33">
        <f>E22+E161-E162</f>
        <v>410.803</v>
      </c>
      <c r="F157" s="33">
        <f>F22+F161-F162</f>
        <v>674.97199999999998</v>
      </c>
      <c r="G157" s="33">
        <f>G22+G161-G162</f>
        <v>732.16800000000001</v>
      </c>
      <c r="H157" s="33">
        <f>H22+H161-H162</f>
        <v>1222.3519999999999</v>
      </c>
    </row>
    <row r="158" spans="1:9" ht="15" customHeight="1" x14ac:dyDescent="0.3">
      <c r="A158" t="s">
        <v>207</v>
      </c>
      <c r="D158" s="33">
        <f>D40+D148+D149</f>
        <v>507.76900000000001</v>
      </c>
      <c r="E158" s="33">
        <f>E40+E148+E149</f>
        <v>883.22900000000004</v>
      </c>
      <c r="F158" s="33">
        <f>F40+F148+F149</f>
        <v>1739.547</v>
      </c>
      <c r="G158" s="33">
        <f>G40+G148+G149</f>
        <v>1280.4459999999999</v>
      </c>
      <c r="H158" s="33">
        <f>H40+H148+H149</f>
        <v>229.65199999999999</v>
      </c>
    </row>
    <row r="159" spans="1:9" ht="15" customHeight="1" x14ac:dyDescent="0.3">
      <c r="A159" t="s">
        <v>208</v>
      </c>
      <c r="D159" s="33">
        <f>D105*D103</f>
        <v>51663.004271999998</v>
      </c>
      <c r="E159" s="33">
        <f>E105*E103</f>
        <v>27382.443749999999</v>
      </c>
      <c r="F159" s="33">
        <f>F105*F103</f>
        <v>22475.509829999999</v>
      </c>
      <c r="G159" s="33">
        <f>G105*G103</f>
        <v>39549.011157000001</v>
      </c>
      <c r="H159" s="33">
        <f>H105*H103</f>
        <v>72534.998196</v>
      </c>
    </row>
    <row r="160" spans="1:9" ht="15" customHeight="1" x14ac:dyDescent="0.3">
      <c r="A160" t="s">
        <v>209</v>
      </c>
      <c r="D160" s="33">
        <f>D159+D55+D158-D157</f>
        <v>95157.217271999994</v>
      </c>
      <c r="E160" s="33">
        <f>E159+E55+E158-E157</f>
        <v>74330.770749999996</v>
      </c>
      <c r="F160" s="33">
        <f>F159+F55+F158-F157</f>
        <v>66068.36083000002</v>
      </c>
      <c r="G160" s="33">
        <f>G159+G55+G158-G157</f>
        <v>74419.095157000003</v>
      </c>
      <c r="H160" s="33">
        <f>H159+H55+H158-H157</f>
        <v>93449.398196000009</v>
      </c>
    </row>
    <row r="161" spans="1:8" ht="15" customHeight="1" x14ac:dyDescent="0.3">
      <c r="A161" t="s">
        <v>210</v>
      </c>
      <c r="D161" s="33">
        <v>0</v>
      </c>
      <c r="E161" s="33">
        <v>0</v>
      </c>
      <c r="F161" s="33">
        <v>0</v>
      </c>
      <c r="G161" s="33">
        <v>0</v>
      </c>
      <c r="H161" s="33">
        <v>653.52</v>
      </c>
    </row>
    <row r="162" spans="1:8" ht="15" customHeight="1" x14ac:dyDescent="0.3">
      <c r="A162" t="s">
        <v>211</v>
      </c>
      <c r="D162" s="33">
        <v>0</v>
      </c>
      <c r="E162" s="33">
        <v>0</v>
      </c>
      <c r="F162" s="33">
        <v>0</v>
      </c>
      <c r="G162" s="33">
        <v>0</v>
      </c>
      <c r="H162" s="33">
        <v>0</v>
      </c>
    </row>
    <row r="163" spans="1:8" ht="15" customHeight="1" x14ac:dyDescent="0.3">
      <c r="B163" s="32"/>
      <c r="C163" s="32"/>
      <c r="D163" s="32"/>
      <c r="E163" s="32"/>
      <c r="F163" s="32"/>
      <c r="G163" s="32"/>
      <c r="H163" s="32"/>
    </row>
    <row r="164" spans="1:8" ht="15" customHeight="1" x14ac:dyDescent="0.3">
      <c r="B164" s="32"/>
      <c r="C164" s="32"/>
      <c r="D164" s="32"/>
      <c r="E164" s="32"/>
      <c r="F164" s="32"/>
      <c r="G164" s="32"/>
      <c r="H164" s="32"/>
    </row>
  </sheetData>
  <mergeCells count="7">
    <mergeCell ref="A155:H155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FA98A"/>
    <pageSetUpPr fitToPage="1"/>
  </sheetPr>
  <dimension ref="A1:I16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4" sqref="A4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216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44215.538999999997</v>
      </c>
      <c r="E9" s="10">
        <v>56784.84</v>
      </c>
      <c r="F9" s="10">
        <v>62354.608</v>
      </c>
      <c r="G9" s="10">
        <v>65995.597999999998</v>
      </c>
      <c r="H9" s="10">
        <v>62836.212</v>
      </c>
      <c r="I9" s="10">
        <v>44297.940999999999</v>
      </c>
    </row>
    <row r="10" spans="1:9" x14ac:dyDescent="0.3">
      <c r="A10" s="24" t="s">
        <v>47</v>
      </c>
      <c r="B10" s="25"/>
      <c r="C10" s="10"/>
      <c r="D10" s="10">
        <v>2854.2930000000001</v>
      </c>
      <c r="E10" s="10">
        <v>15352.8</v>
      </c>
      <c r="F10" s="10">
        <v>1676.796</v>
      </c>
      <c r="G10" s="10">
        <v>471.17399999999998</v>
      </c>
      <c r="H10" s="10">
        <v>125.70399999999999</v>
      </c>
      <c r="I10" s="10">
        <v>871.38599999999997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6.0170000000000003</v>
      </c>
      <c r="E12" s="10">
        <v>10.414999999999999</v>
      </c>
      <c r="F12" s="10">
        <v>6.9459999999999997</v>
      </c>
      <c r="G12" s="10">
        <v>84.81</v>
      </c>
      <c r="H12" s="10">
        <v>62.426000000000002</v>
      </c>
      <c r="I12" s="10">
        <v>9.0229999999999997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5020</v>
      </c>
      <c r="E14" s="10">
        <v>5020</v>
      </c>
      <c r="F14" s="10">
        <v>5030</v>
      </c>
      <c r="G14" s="10">
        <v>6322</v>
      </c>
      <c r="H14" s="10">
        <v>20371.11</v>
      </c>
      <c r="I14" s="10">
        <v>5020</v>
      </c>
    </row>
    <row r="15" spans="1:9" x14ac:dyDescent="0.3">
      <c r="A15" s="24" t="s">
        <v>52</v>
      </c>
      <c r="B15" s="25"/>
      <c r="C15" s="10"/>
      <c r="D15" s="10">
        <v>74.305999999999997</v>
      </c>
      <c r="E15" s="10">
        <v>76.965999999999994</v>
      </c>
      <c r="F15" s="10">
        <v>76.489999999999995</v>
      </c>
      <c r="G15" s="10">
        <v>95.436999999999998</v>
      </c>
      <c r="H15" s="10">
        <v>83.918999999999997</v>
      </c>
      <c r="I15" s="10">
        <v>75.616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49315.861999999994</v>
      </c>
      <c r="E16" s="11">
        <f t="shared" si="0"/>
        <v>61892.220999999998</v>
      </c>
      <c r="F16" s="11">
        <f t="shared" si="0"/>
        <v>67468.044000000009</v>
      </c>
      <c r="G16" s="11">
        <f t="shared" si="0"/>
        <v>72497.845000000001</v>
      </c>
      <c r="H16" s="11">
        <f t="shared" si="0"/>
        <v>83353.666999999987</v>
      </c>
      <c r="I16" s="11">
        <f t="shared" si="0"/>
        <v>49402.58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9738.7170000000006</v>
      </c>
      <c r="E18" s="10">
        <v>12853.605</v>
      </c>
      <c r="F18" s="10">
        <v>9925.8549999999996</v>
      </c>
      <c r="G18" s="10">
        <v>12277.288</v>
      </c>
      <c r="H18" s="10">
        <v>12461.312</v>
      </c>
      <c r="I18" s="10">
        <v>8395.61</v>
      </c>
    </row>
    <row r="19" spans="1:9" x14ac:dyDescent="0.3">
      <c r="A19" s="24" t="s">
        <v>56</v>
      </c>
      <c r="B19" s="25"/>
      <c r="C19" s="10"/>
      <c r="D19" s="10">
        <v>2150.183</v>
      </c>
      <c r="E19" s="10">
        <v>2695.6210000000001</v>
      </c>
      <c r="F19" s="10">
        <v>3874.605</v>
      </c>
      <c r="G19" s="10">
        <v>3256.5529999999999</v>
      </c>
      <c r="H19" s="10">
        <v>4442.9889999999996</v>
      </c>
      <c r="I19" s="10">
        <v>1779.404</v>
      </c>
    </row>
    <row r="20" spans="1:9" x14ac:dyDescent="0.3">
      <c r="A20" s="24" t="s">
        <v>57</v>
      </c>
      <c r="B20" s="25"/>
      <c r="C20" s="10"/>
      <c r="D20" s="10">
        <v>1679.704</v>
      </c>
      <c r="E20" s="10">
        <v>2066.212</v>
      </c>
      <c r="F20" s="10">
        <v>2600.9850000000001</v>
      </c>
      <c r="G20" s="10">
        <v>4188.7449999999999</v>
      </c>
      <c r="H20" s="10">
        <v>4610.1819999999998</v>
      </c>
      <c r="I20" s="10">
        <v>3052.13</v>
      </c>
    </row>
    <row r="21" spans="1:9" x14ac:dyDescent="0.3">
      <c r="A21" s="24" t="s">
        <v>58</v>
      </c>
      <c r="B21" s="25"/>
      <c r="C21" s="10"/>
      <c r="D21" s="10">
        <v>149.148</v>
      </c>
      <c r="E21" s="10">
        <v>198.346</v>
      </c>
      <c r="F21" s="10">
        <v>3689.556</v>
      </c>
      <c r="G21" s="10">
        <v>4220.2619999999997</v>
      </c>
      <c r="H21" s="10">
        <v>11102.413</v>
      </c>
      <c r="I21" s="10">
        <v>75.245000000000005</v>
      </c>
    </row>
    <row r="22" spans="1:9" x14ac:dyDescent="0.3">
      <c r="A22" s="24" t="s">
        <v>59</v>
      </c>
      <c r="B22" s="25"/>
      <c r="C22" s="10"/>
      <c r="D22" s="10">
        <v>490.32900000000001</v>
      </c>
      <c r="E22" s="10">
        <v>793.57600000000002</v>
      </c>
      <c r="F22" s="10">
        <v>740.70699999999999</v>
      </c>
      <c r="G22" s="10">
        <v>1133.412</v>
      </c>
      <c r="H22" s="10">
        <v>1615.481</v>
      </c>
      <c r="I22" s="10">
        <v>1046.2670000000001</v>
      </c>
    </row>
    <row r="23" spans="1:9" x14ac:dyDescent="0.3">
      <c r="A23" s="24" t="s">
        <v>60</v>
      </c>
      <c r="B23" s="25"/>
      <c r="C23" s="10"/>
      <c r="D23" s="10">
        <v>2715.335</v>
      </c>
      <c r="E23" s="10">
        <v>1714.6289999999999</v>
      </c>
      <c r="F23" s="10">
        <v>1407.9590000000001</v>
      </c>
      <c r="G23" s="10">
        <v>1791.577</v>
      </c>
      <c r="H23" s="10">
        <v>1520.2270000000001</v>
      </c>
      <c r="I23" s="10">
        <v>2258.5349999999999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16923.416000000001</v>
      </c>
      <c r="E24" s="11">
        <f t="shared" si="1"/>
        <v>20321.989000000001</v>
      </c>
      <c r="F24" s="11">
        <f t="shared" si="1"/>
        <v>22239.666999999998</v>
      </c>
      <c r="G24" s="11">
        <f t="shared" si="1"/>
        <v>26867.837</v>
      </c>
      <c r="H24" s="11">
        <f t="shared" si="1"/>
        <v>35752.603999999999</v>
      </c>
      <c r="I24" s="11">
        <f t="shared" si="1"/>
        <v>16607.190999999999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66239.277999999991</v>
      </c>
      <c r="E25" s="11">
        <f t="shared" si="2"/>
        <v>82214.209999999992</v>
      </c>
      <c r="F25" s="11">
        <f t="shared" si="2"/>
        <v>89707.71100000001</v>
      </c>
      <c r="G25" s="11">
        <f t="shared" si="2"/>
        <v>99365.682000000001</v>
      </c>
      <c r="H25" s="11">
        <f t="shared" si="2"/>
        <v>119106.27099999998</v>
      </c>
      <c r="I25" s="11">
        <f t="shared" si="2"/>
        <v>66009.771000000008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10983.462</v>
      </c>
      <c r="E27" s="10">
        <v>10983.462</v>
      </c>
      <c r="F27" s="10">
        <v>10733.462</v>
      </c>
      <c r="G27" s="10">
        <v>10475.626</v>
      </c>
      <c r="H27" s="10">
        <v>10475.626</v>
      </c>
      <c r="I27" s="10">
        <v>10983.462</v>
      </c>
    </row>
    <row r="28" spans="1:9" x14ac:dyDescent="0.3">
      <c r="A28" s="24" t="s">
        <v>65</v>
      </c>
      <c r="B28" s="25"/>
      <c r="C28" s="10"/>
      <c r="D28" s="10">
        <v>26559.079000000002</v>
      </c>
      <c r="E28" s="10">
        <v>29575.553</v>
      </c>
      <c r="F28" s="10">
        <v>34179.652000000002</v>
      </c>
      <c r="G28" s="10">
        <v>42140.281999999999</v>
      </c>
      <c r="H28" s="10">
        <v>60985.966</v>
      </c>
      <c r="I28" s="10">
        <v>20337.368999999999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37542.540999999997</v>
      </c>
      <c r="E29" s="11">
        <f t="shared" si="3"/>
        <v>40559.014999999999</v>
      </c>
      <c r="F29" s="11">
        <f t="shared" si="3"/>
        <v>44913.114000000001</v>
      </c>
      <c r="G29" s="11">
        <f t="shared" si="3"/>
        <v>52615.907999999996</v>
      </c>
      <c r="H29" s="11">
        <f t="shared" si="3"/>
        <v>71461.592000000004</v>
      </c>
      <c r="I29" s="11">
        <f t="shared" si="3"/>
        <v>31320.830999999998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12636.749</v>
      </c>
      <c r="E31" s="10">
        <v>18747.867999999999</v>
      </c>
      <c r="F31" s="10">
        <v>17233.337</v>
      </c>
      <c r="G31" s="10">
        <v>14285.786</v>
      </c>
      <c r="H31" s="10">
        <v>9781.6389999999992</v>
      </c>
      <c r="I31" s="10">
        <v>15173.102000000001</v>
      </c>
    </row>
    <row r="32" spans="1:9" x14ac:dyDescent="0.3">
      <c r="A32" s="24" t="s">
        <v>69</v>
      </c>
      <c r="B32" s="25"/>
      <c r="C32" s="10"/>
      <c r="D32" s="10">
        <v>0</v>
      </c>
      <c r="E32" s="10">
        <v>27.135999999999999</v>
      </c>
      <c r="F32" s="10">
        <v>31.408000000000001</v>
      </c>
      <c r="G32" s="10">
        <v>34.67</v>
      </c>
      <c r="H32" s="10">
        <v>28.495000000000001</v>
      </c>
      <c r="I32" s="10">
        <v>0</v>
      </c>
    </row>
    <row r="33" spans="1:9" x14ac:dyDescent="0.3">
      <c r="A33" s="24" t="s">
        <v>70</v>
      </c>
      <c r="B33" s="25"/>
      <c r="C33" s="10"/>
      <c r="D33" s="10">
        <v>49.569000000000003</v>
      </c>
      <c r="E33" s="10">
        <v>786.75800000000004</v>
      </c>
      <c r="F33" s="10">
        <v>605.92600000000004</v>
      </c>
      <c r="G33" s="10">
        <v>450.48700000000002</v>
      </c>
      <c r="H33" s="10">
        <v>322.30399999999997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3889.9070000000002</v>
      </c>
      <c r="E34" s="10">
        <v>5656.4989999999998</v>
      </c>
      <c r="F34" s="10">
        <v>8669.2109999999993</v>
      </c>
      <c r="G34" s="10">
        <v>13044.29</v>
      </c>
      <c r="H34" s="10">
        <v>13822.897999999999</v>
      </c>
      <c r="I34" s="10">
        <v>3379.44</v>
      </c>
    </row>
    <row r="35" spans="1:9" x14ac:dyDescent="0.3">
      <c r="A35" s="24" t="s">
        <v>72</v>
      </c>
      <c r="B35" s="25"/>
      <c r="C35" s="10"/>
      <c r="D35" s="10">
        <v>671.06399999999996</v>
      </c>
      <c r="E35" s="10">
        <v>243.54300000000001</v>
      </c>
      <c r="F35" s="10">
        <v>2039.694</v>
      </c>
      <c r="G35" s="10">
        <v>336.74099999999999</v>
      </c>
      <c r="H35" s="10">
        <v>358.85199999999998</v>
      </c>
      <c r="I35" s="10">
        <v>822.62300000000005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17247.288999999997</v>
      </c>
      <c r="E36" s="11">
        <f t="shared" si="4"/>
        <v>25461.804</v>
      </c>
      <c r="F36" s="11">
        <f t="shared" si="4"/>
        <v>28579.575999999997</v>
      </c>
      <c r="G36" s="11">
        <f t="shared" si="4"/>
        <v>28151.974000000002</v>
      </c>
      <c r="H36" s="11">
        <f t="shared" si="4"/>
        <v>24314.187999999998</v>
      </c>
      <c r="I36" s="11">
        <f t="shared" si="4"/>
        <v>19375.165000000001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7511.6369999999997</v>
      </c>
      <c r="E38" s="10">
        <v>9117.4140000000007</v>
      </c>
      <c r="F38" s="10">
        <v>12518.18</v>
      </c>
      <c r="G38" s="10">
        <v>12482.233</v>
      </c>
      <c r="H38" s="10">
        <v>17926.267</v>
      </c>
      <c r="I38" s="10">
        <v>7951.2209999999995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260.95299999999997</v>
      </c>
      <c r="E40" s="10">
        <v>665.12199999999996</v>
      </c>
      <c r="F40" s="10">
        <v>880.03899999999999</v>
      </c>
      <c r="G40" s="10">
        <v>865.94500000000005</v>
      </c>
      <c r="H40" s="10">
        <v>320.43400000000003</v>
      </c>
      <c r="I40" s="10">
        <v>547.18899999999996</v>
      </c>
    </row>
    <row r="41" spans="1:9" x14ac:dyDescent="0.3">
      <c r="A41" s="24" t="s">
        <v>78</v>
      </c>
      <c r="B41" s="25"/>
      <c r="C41" s="10"/>
      <c r="D41" s="10">
        <v>1894.115</v>
      </c>
      <c r="E41" s="10">
        <v>3572.0729999999999</v>
      </c>
      <c r="F41" s="10">
        <v>0</v>
      </c>
      <c r="G41" s="10">
        <v>1645.316</v>
      </c>
      <c r="H41" s="10">
        <v>822.28499999999997</v>
      </c>
      <c r="I41" s="10">
        <v>6642.3119999999999</v>
      </c>
    </row>
    <row r="42" spans="1:9" x14ac:dyDescent="0.3">
      <c r="A42" s="24" t="s">
        <v>79</v>
      </c>
      <c r="B42" s="25"/>
      <c r="C42" s="10"/>
      <c r="D42" s="10">
        <v>1704.6120000000001</v>
      </c>
      <c r="E42" s="10">
        <v>2619.8000000000002</v>
      </c>
      <c r="F42" s="10">
        <v>2599.4009999999998</v>
      </c>
      <c r="G42" s="10">
        <v>3407.7020000000002</v>
      </c>
      <c r="H42" s="10">
        <v>3933.328</v>
      </c>
      <c r="I42" s="10">
        <v>125</v>
      </c>
    </row>
    <row r="43" spans="1:9" x14ac:dyDescent="0.3">
      <c r="A43" s="24" t="s">
        <v>80</v>
      </c>
      <c r="B43" s="25"/>
      <c r="C43" s="10"/>
      <c r="D43" s="10">
        <v>0</v>
      </c>
      <c r="E43" s="10">
        <v>6.8369999999999997</v>
      </c>
      <c r="F43" s="10">
        <v>10.257</v>
      </c>
      <c r="G43" s="10">
        <v>13.909000000000001</v>
      </c>
      <c r="H43" s="10">
        <v>14.323</v>
      </c>
      <c r="I43" s="10">
        <v>0</v>
      </c>
    </row>
    <row r="44" spans="1:9" x14ac:dyDescent="0.3">
      <c r="A44" s="24" t="s">
        <v>81</v>
      </c>
      <c r="B44" s="25"/>
      <c r="C44" s="10"/>
      <c r="D44" s="10">
        <v>49.997</v>
      </c>
      <c r="E44" s="10">
        <v>184.57599999999999</v>
      </c>
      <c r="F44" s="10">
        <v>179.76599999999999</v>
      </c>
      <c r="G44" s="10">
        <v>155.43899999999999</v>
      </c>
      <c r="H44" s="10">
        <v>128.18299999999999</v>
      </c>
      <c r="I44" s="10">
        <v>0</v>
      </c>
    </row>
    <row r="45" spans="1:9" x14ac:dyDescent="0.3">
      <c r="A45" s="24" t="s">
        <v>82</v>
      </c>
      <c r="B45" s="25"/>
      <c r="C45" s="10"/>
      <c r="D45" s="10">
        <v>28.134</v>
      </c>
      <c r="E45" s="10">
        <v>27.568999999999999</v>
      </c>
      <c r="F45" s="10">
        <v>27.378</v>
      </c>
      <c r="G45" s="10">
        <v>27.256</v>
      </c>
      <c r="H45" s="10">
        <v>26.876999999999999</v>
      </c>
      <c r="I45" s="10">
        <v>48.052999999999997</v>
      </c>
    </row>
    <row r="46" spans="1:9" x14ac:dyDescent="0.3">
      <c r="A46" s="24" t="s">
        <v>83</v>
      </c>
      <c r="B46" s="25"/>
      <c r="C46" s="10"/>
      <c r="D46" s="10">
        <v>0</v>
      </c>
      <c r="E46" s="10">
        <v>0</v>
      </c>
      <c r="F46" s="10">
        <v>0</v>
      </c>
      <c r="G46" s="10">
        <v>0</v>
      </c>
      <c r="H46" s="10">
        <v>158.79400000000001</v>
      </c>
      <c r="I46" s="10">
        <v>0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11449.447999999999</v>
      </c>
      <c r="E48" s="11">
        <f t="shared" si="5"/>
        <v>16193.390999999998</v>
      </c>
      <c r="F48" s="11">
        <f t="shared" si="5"/>
        <v>16215.021000000001</v>
      </c>
      <c r="G48" s="11">
        <f t="shared" si="5"/>
        <v>18597.8</v>
      </c>
      <c r="H48" s="11">
        <f t="shared" si="5"/>
        <v>23330.491000000005</v>
      </c>
      <c r="I48" s="11">
        <f t="shared" si="5"/>
        <v>15313.775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28696.736999999994</v>
      </c>
      <c r="E49" s="11">
        <f t="shared" si="6"/>
        <v>41655.195</v>
      </c>
      <c r="F49" s="11">
        <f t="shared" si="6"/>
        <v>44794.596999999994</v>
      </c>
      <c r="G49" s="11">
        <f t="shared" si="6"/>
        <v>46749.774000000005</v>
      </c>
      <c r="H49" s="11">
        <f t="shared" si="6"/>
        <v>47644.679000000004</v>
      </c>
      <c r="I49" s="11">
        <f t="shared" si="6"/>
        <v>34688.94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66239.277999999991</v>
      </c>
      <c r="E50" s="11">
        <f t="shared" si="7"/>
        <v>82214.209999999992</v>
      </c>
      <c r="F50" s="11">
        <f t="shared" si="7"/>
        <v>89707.710999999996</v>
      </c>
      <c r="G50" s="11">
        <f t="shared" si="7"/>
        <v>99365.682000000001</v>
      </c>
      <c r="H50" s="11">
        <f t="shared" si="7"/>
        <v>119106.27100000001</v>
      </c>
      <c r="I50" s="11">
        <f t="shared" si="7"/>
        <v>66009.771000000008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f>3515.408+D150</f>
        <v>3576.6320000000001</v>
      </c>
      <c r="E52" s="10">
        <f>3975.712+E150</f>
        <v>4108.3069999999998</v>
      </c>
      <c r="F52" s="10">
        <f>4804.356+F150</f>
        <v>6676.2209999999995</v>
      </c>
      <c r="G52" s="10">
        <f>4575.18+G150</f>
        <v>5396.6050000000005</v>
      </c>
      <c r="H52" s="10">
        <f>5869.802+H150</f>
        <v>7322.7829999999994</v>
      </c>
      <c r="I52" s="10">
        <f>3886.684+I150</f>
        <v>4173.9430000000002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41361.245999999999</v>
      </c>
      <c r="E53" s="10">
        <f t="shared" si="8"/>
        <v>41432.039999999994</v>
      </c>
      <c r="F53" s="10">
        <f t="shared" si="8"/>
        <v>60677.811999999998</v>
      </c>
      <c r="G53" s="10">
        <f t="shared" si="8"/>
        <v>65524.423999999999</v>
      </c>
      <c r="H53" s="10">
        <f t="shared" si="8"/>
        <v>62710.508000000002</v>
      </c>
      <c r="I53" s="10">
        <f t="shared" si="8"/>
        <v>43426.555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11888.900000000001</v>
      </c>
      <c r="E54" s="10">
        <f t="shared" si="9"/>
        <v>15549.225999999999</v>
      </c>
      <c r="F54" s="10">
        <f t="shared" si="9"/>
        <v>13800.46</v>
      </c>
      <c r="G54" s="10">
        <f t="shared" si="9"/>
        <v>15533.841</v>
      </c>
      <c r="H54" s="10">
        <f t="shared" si="9"/>
        <v>16904.300999999999</v>
      </c>
      <c r="I54" s="10">
        <f t="shared" si="9"/>
        <v>10175.014000000001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16235.475999999999</v>
      </c>
      <c r="E55" s="10">
        <f t="shared" si="10"/>
        <v>24973.713999999996</v>
      </c>
      <c r="F55" s="10">
        <f t="shared" si="10"/>
        <v>19874.403000000002</v>
      </c>
      <c r="G55" s="10">
        <f t="shared" si="10"/>
        <v>19387.383000000002</v>
      </c>
      <c r="H55" s="10">
        <f t="shared" si="10"/>
        <v>14580.07</v>
      </c>
      <c r="I55" s="10">
        <f t="shared" si="10"/>
        <v>21940.414000000001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12636.749</v>
      </c>
      <c r="E56" s="10">
        <f t="shared" si="11"/>
        <v>18775.003999999997</v>
      </c>
      <c r="F56" s="10">
        <f t="shared" si="11"/>
        <v>17264.744999999999</v>
      </c>
      <c r="G56" s="10">
        <f t="shared" si="11"/>
        <v>14320.456</v>
      </c>
      <c r="H56" s="10">
        <f t="shared" si="11"/>
        <v>9810.134</v>
      </c>
      <c r="I56" s="10">
        <f t="shared" si="11"/>
        <v>15173.102000000001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53778.016999999993</v>
      </c>
      <c r="E58" s="10">
        <f t="shared" si="12"/>
        <v>65532.728999999992</v>
      </c>
      <c r="F58" s="10">
        <f t="shared" si="12"/>
        <v>64787.517000000007</v>
      </c>
      <c r="G58" s="10">
        <f t="shared" si="12"/>
        <v>72003.290999999997</v>
      </c>
      <c r="H58" s="10">
        <f t="shared" si="12"/>
        <v>86041.662000000011</v>
      </c>
      <c r="I58" s="10">
        <f t="shared" si="12"/>
        <v>53261.244999999995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16283.939</v>
      </c>
      <c r="E59" s="10">
        <f t="shared" si="13"/>
        <v>19330.066999999999</v>
      </c>
      <c r="F59" s="10">
        <f t="shared" si="13"/>
        <v>17809.403999999999</v>
      </c>
      <c r="G59" s="10">
        <f t="shared" si="13"/>
        <v>21514.163</v>
      </c>
      <c r="H59" s="10">
        <f t="shared" si="13"/>
        <v>23034.71</v>
      </c>
      <c r="I59" s="10">
        <f t="shared" si="13"/>
        <v>15485.678999999998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7511.6369999999988</v>
      </c>
      <c r="E60" s="10">
        <f t="shared" si="14"/>
        <v>9117.4139999999989</v>
      </c>
      <c r="F60" s="10">
        <f t="shared" si="14"/>
        <v>12518.18</v>
      </c>
      <c r="G60" s="10">
        <f t="shared" si="14"/>
        <v>12482.233</v>
      </c>
      <c r="H60" s="10">
        <f t="shared" si="14"/>
        <v>18085.061000000002</v>
      </c>
      <c r="I60" s="10">
        <f t="shared" si="14"/>
        <v>7951.2209999999995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35538.300999999999</v>
      </c>
      <c r="E64" s="10">
        <v>48519.622000000003</v>
      </c>
      <c r="F64" s="10">
        <v>62075.258999999998</v>
      </c>
      <c r="G64" s="10">
        <v>66452.347999999998</v>
      </c>
      <c r="H64" s="10">
        <v>68942.445999999996</v>
      </c>
      <c r="I64" s="10">
        <v>29117.734</v>
      </c>
    </row>
    <row r="65" spans="1:9" x14ac:dyDescent="0.3">
      <c r="A65" s="24" t="s">
        <v>99</v>
      </c>
      <c r="B65" s="25"/>
      <c r="C65" s="10"/>
      <c r="D65" s="10">
        <v>-28135.419000000002</v>
      </c>
      <c r="E65" s="10">
        <v>-36244.156000000003</v>
      </c>
      <c r="F65" s="10">
        <v>-43901.906000000003</v>
      </c>
      <c r="G65" s="10">
        <v>-45488.063999999998</v>
      </c>
      <c r="H65" s="10">
        <v>-45195.63</v>
      </c>
      <c r="I65" s="10">
        <v>-29816.947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7402.8819999999978</v>
      </c>
      <c r="E66" s="11">
        <f t="shared" si="15"/>
        <v>12275.466</v>
      </c>
      <c r="F66" s="11">
        <f t="shared" si="15"/>
        <v>18173.352999999996</v>
      </c>
      <c r="G66" s="11">
        <f t="shared" si="15"/>
        <v>20964.284</v>
      </c>
      <c r="H66" s="11">
        <f t="shared" si="15"/>
        <v>23746.815999999999</v>
      </c>
      <c r="I66" s="11">
        <f t="shared" si="15"/>
        <v>-699.21299999999974</v>
      </c>
    </row>
    <row r="67" spans="1:9" x14ac:dyDescent="0.3">
      <c r="A67" s="24" t="s">
        <v>101</v>
      </c>
      <c r="B67" s="25"/>
      <c r="C67" s="10"/>
      <c r="D67" s="10">
        <v>-1013.852</v>
      </c>
      <c r="E67" s="10">
        <v>-1483.876</v>
      </c>
      <c r="F67" s="10">
        <v>-3751.096</v>
      </c>
      <c r="G67" s="10">
        <v>-5471.808</v>
      </c>
      <c r="H67" s="10">
        <v>-4123.7539999999999</v>
      </c>
      <c r="I67" s="10">
        <v>-845.37900000000002</v>
      </c>
    </row>
    <row r="68" spans="1:9" x14ac:dyDescent="0.3">
      <c r="A68" s="24" t="s">
        <v>102</v>
      </c>
      <c r="B68" s="25"/>
      <c r="C68" s="10"/>
      <c r="D68" s="10">
        <v>-813.48900000000003</v>
      </c>
      <c r="E68" s="10">
        <v>-971.45299999999997</v>
      </c>
      <c r="F68" s="10">
        <v>-1380.607</v>
      </c>
      <c r="G68" s="10">
        <v>-1852.1479999999999</v>
      </c>
      <c r="H68" s="10">
        <v>-2176.3200000000002</v>
      </c>
      <c r="I68" s="10">
        <v>-784.70600000000002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-209.92</v>
      </c>
      <c r="F69" s="10">
        <v>-191.42099999999999</v>
      </c>
      <c r="G69" s="10">
        <v>-357.19099999999997</v>
      </c>
      <c r="H69" s="10">
        <v>-514.42999999999995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-524.14200000000005</v>
      </c>
      <c r="E70" s="10">
        <v>-742.28</v>
      </c>
      <c r="F70" s="10">
        <v>-995.46</v>
      </c>
      <c r="G70" s="10">
        <v>-569.54499999999996</v>
      </c>
      <c r="H70" s="10">
        <v>-1207.018</v>
      </c>
      <c r="I70" s="10">
        <v>-89.998999999999995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5051.3989999999976</v>
      </c>
      <c r="E71" s="11">
        <f t="shared" si="16"/>
        <v>8867.9369999999999</v>
      </c>
      <c r="F71" s="11">
        <f t="shared" si="16"/>
        <v>11854.768999999997</v>
      </c>
      <c r="G71" s="11">
        <f t="shared" si="16"/>
        <v>12713.591999999999</v>
      </c>
      <c r="H71" s="11">
        <f t="shared" si="16"/>
        <v>15725.293999999998</v>
      </c>
      <c r="I71" s="11">
        <f t="shared" si="16"/>
        <v>-2419.2969999999996</v>
      </c>
    </row>
    <row r="72" spans="1:9" x14ac:dyDescent="0.3">
      <c r="A72" s="24" t="s">
        <v>106</v>
      </c>
      <c r="B72" s="25"/>
      <c r="C72" s="10"/>
      <c r="D72" s="10">
        <v>3732.1320000000001</v>
      </c>
      <c r="E72" s="10">
        <v>56.600999999999999</v>
      </c>
      <c r="F72" s="10">
        <v>146.64599999999999</v>
      </c>
      <c r="G72" s="10">
        <v>238.45099999999999</v>
      </c>
      <c r="H72" s="10">
        <v>8462.6560000000009</v>
      </c>
      <c r="I72" s="10">
        <v>131.97800000000001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117.691</v>
      </c>
      <c r="H73" s="10">
        <v>1031.075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-1493.93</v>
      </c>
      <c r="E75" s="10">
        <v>-1741.0260000000001</v>
      </c>
      <c r="F75" s="10">
        <v>-2750.748</v>
      </c>
      <c r="G75" s="10">
        <v>-4138.2860000000001</v>
      </c>
      <c r="H75" s="10">
        <v>-3554.788</v>
      </c>
      <c r="I75" s="10">
        <v>-2981.7220000000002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7289.6009999999969</v>
      </c>
      <c r="E76" s="11">
        <f t="shared" si="17"/>
        <v>7183.5120000000006</v>
      </c>
      <c r="F76" s="11">
        <f t="shared" si="17"/>
        <v>9250.6669999999976</v>
      </c>
      <c r="G76" s="11">
        <f t="shared" si="17"/>
        <v>8931.4479999999985</v>
      </c>
      <c r="H76" s="11">
        <f t="shared" si="17"/>
        <v>21664.236999999997</v>
      </c>
      <c r="I76" s="11">
        <f t="shared" si="17"/>
        <v>-5269.0409999999993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-12.192</v>
      </c>
      <c r="G77" s="10">
        <v>-45.804000000000002</v>
      </c>
      <c r="H77" s="10">
        <v>-38.972000000000001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-1035.492</v>
      </c>
      <c r="E78" s="10">
        <v>-3557.172</v>
      </c>
      <c r="F78" s="10">
        <v>-4746.8059999999996</v>
      </c>
      <c r="G78" s="10">
        <v>-3613.1170000000002</v>
      </c>
      <c r="H78" s="10">
        <v>-4588.8909999999996</v>
      </c>
      <c r="I78" s="10">
        <v>425.77600000000001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6254.1089999999967</v>
      </c>
      <c r="E79" s="11">
        <f t="shared" si="18"/>
        <v>3626.3400000000006</v>
      </c>
      <c r="F79" s="11">
        <f t="shared" si="18"/>
        <v>4491.668999999999</v>
      </c>
      <c r="G79" s="11">
        <f t="shared" si="18"/>
        <v>5272.5269999999982</v>
      </c>
      <c r="H79" s="11">
        <f t="shared" si="18"/>
        <v>17036.373999999996</v>
      </c>
      <c r="I79" s="11">
        <f t="shared" si="18"/>
        <v>-4843.2649999999994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3287.7019999999998</v>
      </c>
      <c r="E81" s="10">
        <v>3233.9769999999999</v>
      </c>
      <c r="F81" s="10">
        <v>3475.3490000000002</v>
      </c>
      <c r="G81" s="10">
        <v>4520.3469999999998</v>
      </c>
      <c r="H81" s="10">
        <v>4413.3</v>
      </c>
      <c r="I81" s="10"/>
    </row>
    <row r="82" spans="1:9" x14ac:dyDescent="0.3">
      <c r="A82" s="24" t="s">
        <v>116</v>
      </c>
      <c r="B82" s="25"/>
      <c r="C82" s="10"/>
      <c r="D82" s="10">
        <f>D76+D85</f>
        <v>8736.8789999999972</v>
      </c>
      <c r="E82" s="10">
        <f>E76+E85</f>
        <v>8873.5370000000003</v>
      </c>
      <c r="F82" s="10">
        <f>F76+F85</f>
        <v>11933.841999999997</v>
      </c>
      <c r="G82" s="10">
        <f>G76+G85</f>
        <v>12986.867999999999</v>
      </c>
      <c r="H82" s="10">
        <f>H76+H85</f>
        <v>25078.190999999999</v>
      </c>
      <c r="I82" s="10">
        <f>I76-I75</f>
        <v>-2287.3189999999991</v>
      </c>
    </row>
    <row r="83" spans="1:9" x14ac:dyDescent="0.3">
      <c r="A83" s="24" t="s">
        <v>117</v>
      </c>
      <c r="B83" s="25"/>
      <c r="C83" s="10"/>
      <c r="D83" s="10">
        <f>D82+D81</f>
        <v>12024.580999999996</v>
      </c>
      <c r="E83" s="10">
        <f>E82+E81</f>
        <v>12107.513999999999</v>
      </c>
      <c r="F83" s="10">
        <f>F82+F81</f>
        <v>15409.190999999997</v>
      </c>
      <c r="G83" s="10">
        <f>G82+G81</f>
        <v>17507.214999999997</v>
      </c>
      <c r="H83" s="10">
        <f>H82+H81</f>
        <v>29491.490999999998</v>
      </c>
      <c r="I83" s="10"/>
    </row>
    <row r="84" spans="1:9" x14ac:dyDescent="0.3">
      <c r="A84" s="24" t="s">
        <v>118</v>
      </c>
      <c r="B84" s="25"/>
      <c r="C84" s="10"/>
      <c r="D84" s="10">
        <v>46.652000000000001</v>
      </c>
      <c r="E84" s="10">
        <v>51.000999999999998</v>
      </c>
      <c r="F84" s="10">
        <v>67.572999999999993</v>
      </c>
      <c r="G84" s="10">
        <v>82.866</v>
      </c>
      <c r="H84" s="10">
        <v>140.834</v>
      </c>
      <c r="I84" s="12"/>
    </row>
    <row r="85" spans="1:9" x14ac:dyDescent="0.3">
      <c r="A85" s="24" t="s">
        <v>119</v>
      </c>
      <c r="B85" s="25"/>
      <c r="C85" s="10"/>
      <c r="D85" s="10">
        <f>-D75-D84</f>
        <v>1447.278</v>
      </c>
      <c r="E85" s="10">
        <f>-E75-E84</f>
        <v>1690.0250000000001</v>
      </c>
      <c r="F85" s="10">
        <f>-F75-F84</f>
        <v>2683.1750000000002</v>
      </c>
      <c r="G85" s="10">
        <f>-G75-G84</f>
        <v>4055.42</v>
      </c>
      <c r="H85" s="10">
        <f>-H75-H84</f>
        <v>3413.9540000000002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0.14205057313836525</v>
      </c>
      <c r="E86" s="13">
        <f>IF(E76&lt;=0,"n/m",-(E77+E78)/E76)</f>
        <v>0.49518564178635738</v>
      </c>
      <c r="F86" s="13">
        <f>IF(F76&lt;=0,"n/m",-(F77+F78)/F76)</f>
        <v>0.51444917431359283</v>
      </c>
      <c r="G86" s="13">
        <f>IF(G76&lt;=0,"n/m",-(G77+G78)/G76)</f>
        <v>0.40966716707078188</v>
      </c>
      <c r="H86" s="13">
        <f>IF(H76&lt;=0,"n/m",-(H77+H78)/H76)</f>
        <v>0.21361763167565051</v>
      </c>
      <c r="I86" s="12"/>
    </row>
    <row r="87" spans="1:9" x14ac:dyDescent="0.3">
      <c r="A87" s="24" t="s">
        <v>121</v>
      </c>
      <c r="B87" s="25"/>
      <c r="C87" s="13"/>
      <c r="D87" s="13">
        <f>D86</f>
        <v>0.14205057313836525</v>
      </c>
      <c r="E87" s="13">
        <f>E86</f>
        <v>0.49518564178635738</v>
      </c>
      <c r="F87" s="13">
        <f>F86</f>
        <v>0.51444917431359283</v>
      </c>
      <c r="G87" s="13">
        <f>G86</f>
        <v>0.40966716707078188</v>
      </c>
      <c r="H87" s="13">
        <f>H86</f>
        <v>0.21361763167565051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7495.8003306094506</v>
      </c>
      <c r="E88" s="10">
        <f>IF(ISNUMBER(E87),E82*(1-E87),"n/m")</f>
        <v>4479.4888857400119</v>
      </c>
      <c r="F88" s="10">
        <f>IF(ISNUMBER(F87),F82*(1-F87),"n/m")</f>
        <v>5794.486836711123</v>
      </c>
      <c r="G88" s="10">
        <f>IF(ISNUMBER(G87),G82*(1-G87),"n/m")</f>
        <v>7666.5745773178087</v>
      </c>
      <c r="H88" s="10">
        <f>IF(ISNUMBER(H87),H82*(1-H87),"n/m")</f>
        <v>19721.047231870387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9013.1689999999999</v>
      </c>
      <c r="E92" s="10">
        <v>12905.198</v>
      </c>
      <c r="F92" s="10">
        <v>19906.827000000001</v>
      </c>
      <c r="G92" s="10">
        <v>12810.291999999999</v>
      </c>
      <c r="H92" s="10">
        <v>23320.309000000001</v>
      </c>
      <c r="I92" s="10">
        <v>1047.1959999999999</v>
      </c>
    </row>
    <row r="93" spans="1:9" x14ac:dyDescent="0.3">
      <c r="A93" s="24" t="s">
        <v>125</v>
      </c>
      <c r="B93" s="25"/>
      <c r="C93" s="10"/>
      <c r="D93" s="10">
        <v>6551.9669999999996</v>
      </c>
      <c r="E93" s="10">
        <v>8330.107</v>
      </c>
      <c r="F93" s="10">
        <v>20143.665000000001</v>
      </c>
      <c r="G93" s="10">
        <v>9496.2430000000004</v>
      </c>
      <c r="H93" s="10">
        <v>19316.636999999999</v>
      </c>
      <c r="I93" s="10">
        <v>-937.72400000000005</v>
      </c>
    </row>
    <row r="94" spans="1:9" x14ac:dyDescent="0.3">
      <c r="A94" s="24" t="s">
        <v>126</v>
      </c>
      <c r="B94" s="25"/>
      <c r="C94" s="10"/>
      <c r="D94" s="10">
        <v>251.00700000000001</v>
      </c>
      <c r="E94" s="10">
        <v>-15819.32</v>
      </c>
      <c r="F94" s="10">
        <v>-12174.483</v>
      </c>
      <c r="G94" s="10">
        <v>-3030.8850000000002</v>
      </c>
      <c r="H94" s="10">
        <v>-9999.0400000000009</v>
      </c>
      <c r="I94" s="10">
        <v>-823.58699999999999</v>
      </c>
    </row>
    <row r="95" spans="1:9" x14ac:dyDescent="0.3">
      <c r="A95" s="24" t="s">
        <v>127</v>
      </c>
      <c r="B95" s="25"/>
      <c r="C95" s="10"/>
      <c r="D95" s="10">
        <v>-6732.6880000000001</v>
      </c>
      <c r="E95" s="10">
        <v>6601.5159999999996</v>
      </c>
      <c r="F95" s="10">
        <v>-6632.4030000000002</v>
      </c>
      <c r="G95" s="10">
        <v>-7482.3620000000001</v>
      </c>
      <c r="H95" s="10">
        <v>-7569.1610000000001</v>
      </c>
      <c r="I95" s="10">
        <v>2786.3919999999998</v>
      </c>
    </row>
    <row r="96" spans="1:9" x14ac:dyDescent="0.3">
      <c r="A96" s="24" t="s">
        <v>128</v>
      </c>
      <c r="B96" s="25"/>
      <c r="C96" s="10"/>
      <c r="D96" s="10">
        <v>-3285.3</v>
      </c>
      <c r="E96" s="10">
        <v>-15790.494000000001</v>
      </c>
      <c r="F96" s="10">
        <v>-9071.1260000000002</v>
      </c>
      <c r="G96" s="10">
        <v>-3099.319</v>
      </c>
      <c r="H96" s="10">
        <v>-423.78100000000001</v>
      </c>
      <c r="I96" s="10">
        <v>-855.476</v>
      </c>
    </row>
    <row r="97" spans="1:9" x14ac:dyDescent="0.3">
      <c r="A97" s="24" t="s">
        <v>129</v>
      </c>
      <c r="B97" s="25"/>
      <c r="C97" s="10"/>
      <c r="D97" s="10">
        <v>-1733.6210000000001</v>
      </c>
      <c r="E97" s="10">
        <v>-1296.7809999999999</v>
      </c>
      <c r="F97" s="10">
        <v>-2527.7860000000001</v>
      </c>
      <c r="G97" s="10">
        <v>-4145.5379999999996</v>
      </c>
      <c r="H97" s="10">
        <v>-4093.0120000000002</v>
      </c>
      <c r="I97" s="10">
        <v>-3011.9920000000002</v>
      </c>
    </row>
    <row r="98" spans="1:9" x14ac:dyDescent="0.3">
      <c r="A98" s="24" t="s">
        <v>130</v>
      </c>
      <c r="B98" s="25"/>
      <c r="C98" s="10"/>
      <c r="D98" s="10">
        <v>-19.919</v>
      </c>
      <c r="E98" s="10">
        <v>-0.56499999999999995</v>
      </c>
      <c r="F98" s="10">
        <v>-0.191</v>
      </c>
      <c r="G98" s="10">
        <v>-0.122</v>
      </c>
      <c r="H98" s="10">
        <v>-0.379</v>
      </c>
      <c r="I98" s="10">
        <v>-289.36099999999999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1098.3462</v>
      </c>
      <c r="E103" s="15">
        <f>E27/E102-E107</f>
        <v>1079.8011999999999</v>
      </c>
      <c r="F103" s="15">
        <f>F27/F102-F107</f>
        <v>1073.3462</v>
      </c>
      <c r="G103" s="15">
        <f>G27/G102-G107</f>
        <v>1047.5626</v>
      </c>
      <c r="H103" s="15">
        <f>H27/H102-H107</f>
        <v>1047.5626</v>
      </c>
    </row>
    <row r="104" spans="1:9" x14ac:dyDescent="0.3">
      <c r="A104" s="24" t="s">
        <v>134</v>
      </c>
      <c r="B104" s="25"/>
      <c r="C104" s="15"/>
      <c r="D104" s="15">
        <v>1098.346</v>
      </c>
      <c r="E104" s="15">
        <v>1097.5239999999999</v>
      </c>
      <c r="F104" s="15">
        <v>1073.405</v>
      </c>
      <c r="G104" s="15">
        <v>1058.9110000000001</v>
      </c>
      <c r="H104" s="15">
        <v>1047.5630000000001</v>
      </c>
    </row>
    <row r="105" spans="1:9" x14ac:dyDescent="0.3">
      <c r="A105" s="24" t="s">
        <v>135</v>
      </c>
      <c r="B105" s="25"/>
      <c r="C105" s="14"/>
      <c r="D105" s="14">
        <v>46.98</v>
      </c>
      <c r="E105" s="14">
        <v>27.35</v>
      </c>
      <c r="F105" s="14">
        <v>28.33</v>
      </c>
      <c r="G105" s="14">
        <v>38</v>
      </c>
      <c r="H105" s="14">
        <v>84.28</v>
      </c>
    </row>
    <row r="106" spans="1:9" x14ac:dyDescent="0.3">
      <c r="A106" s="24" t="s">
        <v>136</v>
      </c>
      <c r="B106" s="25"/>
      <c r="C106" s="14"/>
      <c r="D106" s="52">
        <v>0</v>
      </c>
      <c r="E106" s="52">
        <v>0</v>
      </c>
      <c r="F106" s="52">
        <v>0</v>
      </c>
      <c r="G106" s="52">
        <v>0</v>
      </c>
      <c r="H106" s="52">
        <v>0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18.545000000000002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260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2" t="s">
        <v>141</v>
      </c>
      <c r="B110" s="92"/>
      <c r="C110" s="92"/>
      <c r="D110" s="92"/>
      <c r="E110" s="92"/>
      <c r="F110" s="92"/>
      <c r="G110" s="92"/>
      <c r="H110" s="92"/>
    </row>
    <row r="111" spans="1:9" ht="27" customHeight="1" x14ac:dyDescent="0.3">
      <c r="A111" s="73" t="s">
        <v>142</v>
      </c>
      <c r="B111" s="30" t="s">
        <v>143</v>
      </c>
      <c r="C111" s="80" t="s">
        <v>261</v>
      </c>
      <c r="D111" s="74">
        <f>IF(OR(NOT(ISNUMBER(D24)),NOT(ISNUMBER(D48))),"n/m",IF(OR((D48)&lt;=0,(D24)&lt;0),"n/m",(D24)/(D48)))</f>
        <v>1.4780988568182505</v>
      </c>
      <c r="E111" s="74">
        <f>IF(OR(NOT(ISNUMBER(E24)),NOT(ISNUMBER(E48))),"n/m",IF(OR((E48)&lt;=0,(E24)&lt;0),"n/m",(E24)/(E48)))</f>
        <v>1.2549557408945418</v>
      </c>
      <c r="F111" s="74">
        <f>IF(OR(NOT(ISNUMBER(F24)),NOT(ISNUMBER(F48))),"n/m",IF(OR((F48)&lt;=0,(F24)&lt;0),"n/m",(F24)/(F48)))</f>
        <v>1.3715472215546312</v>
      </c>
      <c r="G111" s="74">
        <f>IF(OR(NOT(ISNUMBER(G24)),NOT(ISNUMBER(G48))),"n/m",IF(OR((G48)&lt;=0,(G24)&lt;0),"n/m",(G24)/(G48)))</f>
        <v>1.4446782415124371</v>
      </c>
      <c r="H111" s="74">
        <f>IF(OR(NOT(ISNUMBER(H24)),NOT(ISNUMBER(H48))),"n/m",IF(OR((H48)&lt;=0,(H24)&lt;0),"n/m",(H24)/(H48)))</f>
        <v>1.5324411303645513</v>
      </c>
    </row>
    <row r="112" spans="1:9" ht="27" customHeight="1" x14ac:dyDescent="0.3">
      <c r="A112" s="73" t="s">
        <v>144</v>
      </c>
      <c r="B112" s="30" t="s">
        <v>145</v>
      </c>
      <c r="C112" s="80" t="s">
        <v>262</v>
      </c>
      <c r="D112" s="74">
        <f>IF(OR(NOT(ISNUMBER(D24-D54)),NOT(ISNUMBER(D48))),"n/m",IF(OR((D48)&lt;=0,(D24-D54)&lt;0),"n/m",(D24-D54)/(D48)))</f>
        <v>0.43971691910387301</v>
      </c>
      <c r="E112" s="74">
        <f>IF(OR(NOT(ISNUMBER(E24-E54)),NOT(ISNUMBER(E48))),"n/m",IF(OR((E48)&lt;=0,(E24-E54)&lt;0),"n/m",(E24-E54)/(E48)))</f>
        <v>0.29473524106223353</v>
      </c>
      <c r="F112" s="74">
        <f>IF(OR(NOT(ISNUMBER(F24-F54)),NOT(ISNUMBER(F48))),"n/m",IF(OR((F48)&lt;=0,(F24-F54)&lt;0),"n/m",(F24-F54)/(F48)))</f>
        <v>0.5204561252187091</v>
      </c>
      <c r="G112" s="74">
        <f>IF(OR(NOT(ISNUMBER(G24-G54)),NOT(ISNUMBER(G48))),"n/m",IF(OR((G48)&lt;=0,(G24-G54)&lt;0),"n/m",(G24-G54)/(G48)))</f>
        <v>0.60942670638462615</v>
      </c>
      <c r="H112" s="74">
        <f>IF(OR(NOT(ISNUMBER(H24-H54)),NOT(ISNUMBER(H48))),"n/m",IF(OR((H48)&lt;=0,(H24-H54)&lt;0),"n/m",(H24-H54)/(H48)))</f>
        <v>0.80788282595509864</v>
      </c>
    </row>
    <row r="113" spans="1:8" ht="27" customHeight="1" x14ac:dyDescent="0.3">
      <c r="A113" s="73" t="s">
        <v>146</v>
      </c>
      <c r="B113" s="30" t="s">
        <v>147</v>
      </c>
      <c r="C113" s="80" t="s">
        <v>263</v>
      </c>
      <c r="D113" s="74">
        <f>IF(OR(NOT(ISNUMBER(D154)),NOT(ISNUMBER(D48))),"n/m",IF(OR((D48)&lt;=0,(D154)&lt;0),"n/m",(D154)/(D48)))</f>
        <v>4.2825558053104403E-2</v>
      </c>
      <c r="E113" s="74">
        <f>IF(OR(NOT(ISNUMBER(E154)),NOT(ISNUMBER(E48))),"n/m",IF(OR((E48)&lt;=0,(E154)&lt;0),"n/m",(E154)/(E48)))</f>
        <v>4.9006165540003331E-2</v>
      </c>
      <c r="F113" s="74">
        <f>IF(OR(NOT(ISNUMBER(F154)),NOT(ISNUMBER(F48))),"n/m",IF(OR((F48)&lt;=0,(F154)&lt;0),"n/m",(F154)/(F48)))</f>
        <v>4.5680298533070048E-2</v>
      </c>
      <c r="G113" s="74">
        <f>IF(OR(NOT(ISNUMBER(G154)),NOT(ISNUMBER(G48))),"n/m",IF(OR((G48)&lt;=0,(G154)&lt;0),"n/m",(G154)/(G48)))</f>
        <v>7.3767434857886421E-2</v>
      </c>
      <c r="H113" s="74">
        <f>IF(OR(NOT(ISNUMBER(H154)),NOT(ISNUMBER(H48))),"n/m",IF(OR((H48)&lt;=0,(H154)&lt;0),"n/m",(H154)/(H48)))</f>
        <v>6.9243334827372452E-2</v>
      </c>
    </row>
    <row r="114" spans="1:8" ht="27" customHeight="1" x14ac:dyDescent="0.3">
      <c r="A114" s="73" t="s">
        <v>148</v>
      </c>
      <c r="B114" s="30" t="s">
        <v>149</v>
      </c>
      <c r="C114" s="80" t="s">
        <v>264</v>
      </c>
      <c r="D114" s="75">
        <f>IF(OR(NOT(ISNUMBER(D24-D48)),NOT(ISNUMBER(1))),"n/m",IF(OR((1)&lt;=0,(D24-D48)&lt;0),"n/m",(D24-D48)/(1)))</f>
        <v>5473.9680000000026</v>
      </c>
      <c r="E114" s="75">
        <f>IF(OR(NOT(ISNUMBER(E24-E48)),NOT(ISNUMBER(1))),"n/m",IF(OR((1)&lt;=0,(E24-E48)&lt;0),"n/m",(E24-E48)/(1)))</f>
        <v>4128.5980000000036</v>
      </c>
      <c r="F114" s="75">
        <f>IF(OR(NOT(ISNUMBER(F24-F48)),NOT(ISNUMBER(1))),"n/m",IF(OR((1)&lt;=0,(F24-F48)&lt;0),"n/m",(F24-F48)/(1)))</f>
        <v>6024.645999999997</v>
      </c>
      <c r="G114" s="75">
        <f>IF(OR(NOT(ISNUMBER(G24-G48)),NOT(ISNUMBER(1))),"n/m",IF(OR((1)&lt;=0,(G24-G48)&lt;0),"n/m",(G24-G48)/(1)))</f>
        <v>8270.0370000000003</v>
      </c>
      <c r="H114" s="75">
        <f>IF(OR(NOT(ISNUMBER(H24-H48)),NOT(ISNUMBER(1))),"n/m",IF(OR((1)&lt;=0,(H24-H48)&lt;0),"n/m",(H24-H48)/(1)))</f>
        <v>12422.112999999994</v>
      </c>
    </row>
    <row r="115" spans="1:8" ht="21" customHeight="1" x14ac:dyDescent="0.3">
      <c r="A115" s="92" t="s">
        <v>150</v>
      </c>
      <c r="B115" s="92"/>
      <c r="C115" s="92"/>
      <c r="D115" s="93"/>
      <c r="E115" s="93"/>
      <c r="F115" s="93"/>
      <c r="G115" s="93"/>
      <c r="H115" s="93"/>
    </row>
    <row r="116" spans="1:8" ht="27" customHeight="1" x14ac:dyDescent="0.3">
      <c r="A116" s="73" t="s">
        <v>151</v>
      </c>
      <c r="B116" s="30" t="s">
        <v>152</v>
      </c>
      <c r="C116" s="80" t="s">
        <v>265</v>
      </c>
      <c r="D116" s="74">
        <f>IF(OR(NOT(ISNUMBER(-D65)),NOT(ISNUMBER(AVERAGE(I54,D54)))),"n/m",IF(OR((AVERAGE(I54,D54))&lt;=0,(-D65)&lt;0),"n/m",(-D65)/(AVERAGE(I54,D54))))</f>
        <v>2.5503561154199565</v>
      </c>
      <c r="E116" s="74">
        <f>IF(OR(NOT(ISNUMBER(-E65)),NOT(ISNUMBER(AVERAGE(D54,E54)))),"n/m",IF(OR((AVERAGE(D54,E54))&lt;=0,(-E65)&lt;0),"n/m",(-E65)/(AVERAGE(D54,E54))))</f>
        <v>2.6418827583195736</v>
      </c>
      <c r="F116" s="74">
        <f>IF(OR(NOT(ISNUMBER(-F65)),NOT(ISNUMBER(AVERAGE(E54,F54)))),"n/m",IF(OR((AVERAGE(E54,F54))&lt;=0,(-F65)&lt;0),"n/m",(-F65)/(AVERAGE(E54,F54))))</f>
        <v>2.991643999189634</v>
      </c>
      <c r="G116" s="74">
        <f>IF(OR(NOT(ISNUMBER(-G65)),NOT(ISNUMBER(AVERAGE(F54,G54)))),"n/m",IF(OR((AVERAGE(F54,G54))&lt;=0,(-G65)&lt;0),"n/m",(-G65)/(AVERAGE(F54,G54))))</f>
        <v>3.1013565995658121</v>
      </c>
      <c r="H116" s="74">
        <f>IF(OR(NOT(ISNUMBER(-H65)),NOT(ISNUMBER(AVERAGE(G54,H54)))),"n/m",IF(OR((AVERAGE(G54,H54))&lt;=0,(-H65)&lt;0),"n/m",(-H65)/(AVERAGE(G54,H54))))</f>
        <v>2.7865732877055658</v>
      </c>
    </row>
    <row r="117" spans="1:8" ht="27" customHeight="1" x14ac:dyDescent="0.3">
      <c r="A117" s="73" t="s">
        <v>153</v>
      </c>
      <c r="B117" s="30" t="s">
        <v>154</v>
      </c>
      <c r="C117" s="80" t="s">
        <v>266</v>
      </c>
      <c r="D117" s="74">
        <f>IF(OR(NOT(ISNUMBER(D64)),NOT(ISNUMBER(AVERAGE(I20,D20)))),"n/m",IF(OR((AVERAGE(I20,D20))&lt;=0,(D64)&lt;0),"n/m",(D64)/(AVERAGE(I20,D20))))</f>
        <v>15.020941563038772</v>
      </c>
      <c r="E117" s="74">
        <f>IF(OR(NOT(ISNUMBER(E64)),NOT(ISNUMBER(AVERAGE(D20,E20)))),"n/m",IF(OR((AVERAGE(D20,E20))&lt;=0,(E64)&lt;0),"n/m",(E64)/(AVERAGE(D20,E20))))</f>
        <v>25.905344380386534</v>
      </c>
      <c r="F117" s="74">
        <f>IF(OR(NOT(ISNUMBER(F64)),NOT(ISNUMBER(AVERAGE(E20,F20)))),"n/m",IF(OR((AVERAGE(E20,F20))&lt;=0,(F64)&lt;0),"n/m",(F64)/(AVERAGE(E20,F20))))</f>
        <v>26.600659453629234</v>
      </c>
      <c r="G117" s="74">
        <f>IF(OR(NOT(ISNUMBER(G64)),NOT(ISNUMBER(AVERAGE(F20,G20)))),"n/m",IF(OR((AVERAGE(F20,G20))&lt;=0,(G64)&lt;0),"n/m",(G64)/(AVERAGE(F20,G20))))</f>
        <v>19.574371293114748</v>
      </c>
      <c r="H117" s="74">
        <f>IF(OR(NOT(ISNUMBER(H64)),NOT(ISNUMBER(AVERAGE(G20,H20)))),"n/m",IF(OR((AVERAGE(G20,H20))&lt;=0,(H64)&lt;0),"n/m",(H64)/(AVERAGE(G20,H20))))</f>
        <v>15.67064847793373</v>
      </c>
    </row>
    <row r="118" spans="1:8" ht="27" customHeight="1" x14ac:dyDescent="0.3">
      <c r="A118" s="73" t="s">
        <v>155</v>
      </c>
      <c r="B118" s="30" t="s">
        <v>156</v>
      </c>
      <c r="C118" s="80" t="s">
        <v>267</v>
      </c>
      <c r="D118" s="76">
        <f>IF(OR(NOT(ISNUMBER(365*AVERAGE(I54,D54))),NOT(ISNUMBER(-D65))),"n/m",IF(OR((-D65)&lt;=0,(365*AVERAGE(I54,D54))&lt;0),"n/m",(365*AVERAGE(I54,D54))/(-D65)))</f>
        <v>143.11726813096334</v>
      </c>
      <c r="E118" s="76">
        <f>IF(OR(NOT(ISNUMBER(365*AVERAGE(D54,E54))),NOT(ISNUMBER(-E65))),"n/m",IF(OR((-E65)&lt;=0,(365*AVERAGE(D54,E54))&lt;0),"n/m",(365*AVERAGE(D54,E54))/(-E65)))</f>
        <v>138.1590454196257</v>
      </c>
      <c r="F118" s="76">
        <f>IF(OR(NOT(ISNUMBER(365*AVERAGE(E54,F54))),NOT(ISNUMBER(-F65))),"n/m",IF(OR((-F65)&lt;=0,(365*AVERAGE(E54,F54))&lt;0),"n/m",(365*AVERAGE(E54,F54))/(-F65)))</f>
        <v>122.0064954583065</v>
      </c>
      <c r="G118" s="76">
        <f>IF(OR(NOT(ISNUMBER(365*AVERAGE(F54,G54))),NOT(ISNUMBER(-G65))),"n/m",IF(OR((-G65)&lt;=0,(365*AVERAGE(F54,G54))&lt;0),"n/m",(365*AVERAGE(F54,G54))/(-G65)))</f>
        <v>117.69043264844159</v>
      </c>
      <c r="H118" s="76">
        <f>IF(OR(NOT(ISNUMBER(365*AVERAGE(G54,H54))),NOT(ISNUMBER(-H65))),"n/m",IF(OR((-H65)&lt;=0,(365*AVERAGE(G54,H54))&lt;0),"n/m",(365*AVERAGE(G54,H54))/(-H65)))</f>
        <v>130.98525045452405</v>
      </c>
    </row>
    <row r="119" spans="1:8" ht="27" customHeight="1" x14ac:dyDescent="0.3">
      <c r="A119" s="73" t="s">
        <v>157</v>
      </c>
      <c r="B119" s="30" t="s">
        <v>158</v>
      </c>
      <c r="C119" s="80" t="s">
        <v>268</v>
      </c>
      <c r="D119" s="76">
        <f>IF(OR(NOT(ISNUMBER(365*AVERAGE(I20,D20))),NOT(ISNUMBER(D64))),"n/m",IF(OR((D64)&lt;=0,(365*AVERAGE(I20,D20))&lt;0),"n/m",(365*AVERAGE(I20,D20))/(D64)))</f>
        <v>24.299408826550263</v>
      </c>
      <c r="E119" s="76">
        <f>IF(OR(NOT(ISNUMBER(365*AVERAGE(D20,E20))),NOT(ISNUMBER(E64))),"n/m",IF(OR((E64)&lt;=0,(365*AVERAGE(D20,E20))&lt;0),"n/m",(365*AVERAGE(D20,E20))/(E64)))</f>
        <v>14.089756717395696</v>
      </c>
      <c r="F119" s="76">
        <f>IF(OR(NOT(ISNUMBER(365*AVERAGE(E20,F20))),NOT(ISNUMBER(F64))),"n/m",IF(OR((F64)&lt;=0,(365*AVERAGE(E20,F20))&lt;0),"n/m",(365*AVERAGE(E20,F20))/(F64)))</f>
        <v>13.72146433573479</v>
      </c>
      <c r="G119" s="76">
        <f>IF(OR(NOT(ISNUMBER(365*AVERAGE(F20,G20))),NOT(ISNUMBER(G64))),"n/m",IF(OR((G64)&lt;=0,(365*AVERAGE(F20,G20))&lt;0),"n/m",(365*AVERAGE(F20,G20))/(G64)))</f>
        <v>18.646831335440545</v>
      </c>
      <c r="H119" s="76">
        <f>IF(OR(NOT(ISNUMBER(365*AVERAGE(G20,H20))),NOT(ISNUMBER(H64))),"n/m",IF(OR((H64)&lt;=0,(365*AVERAGE(G20,H20))&lt;0),"n/m",(365*AVERAGE(G20,H20))/(H64)))</f>
        <v>23.291952500495849</v>
      </c>
    </row>
    <row r="120" spans="1:8" ht="27" customHeight="1" x14ac:dyDescent="0.3">
      <c r="A120" s="73" t="s">
        <v>159</v>
      </c>
      <c r="B120" s="30" t="s">
        <v>160</v>
      </c>
      <c r="C120" s="80" t="s">
        <v>269</v>
      </c>
      <c r="D120" s="74">
        <f>IF(OR(NOT(ISNUMBER(D64)),NOT(ISNUMBER(D9))),"n/m",IF(OR((D9)&lt;=0,(D64)&lt;0),"n/m",(D64)/(D9)))</f>
        <v>0.8037513915639477</v>
      </c>
      <c r="E120" s="74">
        <f>IF(OR(NOT(ISNUMBER(E64)),NOT(ISNUMBER(E9))),"n/m",IF(OR((E9)&lt;=0,(E64)&lt;0),"n/m",(E64)/(E9)))</f>
        <v>0.85444675022417971</v>
      </c>
      <c r="F120" s="74">
        <f>IF(OR(NOT(ISNUMBER(F64)),NOT(ISNUMBER(F9))),"n/m",IF(OR((F9)&lt;=0,(F64)&lt;0),"n/m",(F64)/(F9)))</f>
        <v>0.99551999428815263</v>
      </c>
      <c r="G120" s="74">
        <f>IF(OR(NOT(ISNUMBER(G64)),NOT(ISNUMBER(G9))),"n/m",IF(OR((G9)&lt;=0,(G64)&lt;0),"n/m",(G64)/(G9)))</f>
        <v>1.0069209161495893</v>
      </c>
      <c r="H120" s="74">
        <f>IF(OR(NOT(ISNUMBER(H64)),NOT(ISNUMBER(H9))),"n/m",IF(OR((H9)&lt;=0,(H64)&lt;0),"n/m",(H64)/(H9)))</f>
        <v>1.0971769908727151</v>
      </c>
    </row>
    <row r="121" spans="1:8" ht="27" customHeight="1" x14ac:dyDescent="0.3">
      <c r="A121" s="73" t="s">
        <v>161</v>
      </c>
      <c r="B121" s="30" t="s">
        <v>162</v>
      </c>
      <c r="C121" s="80" t="s">
        <v>270</v>
      </c>
      <c r="D121" s="74">
        <f>IF(OR(NOT(ISNUMBER(D64)),NOT(ISNUMBER(D25))),"n/m",IF(OR((D25)&lt;=0,(D64)&lt;0),"n/m",(D64)/(D25)))</f>
        <v>0.53651401514370378</v>
      </c>
      <c r="E121" s="74">
        <f>IF(OR(NOT(ISNUMBER(E64)),NOT(ISNUMBER(E25))),"n/m",IF(OR((E25)&lt;=0,(E64)&lt;0),"n/m",(E64)/(E25)))</f>
        <v>0.59016101960962719</v>
      </c>
      <c r="F121" s="74">
        <f>IF(OR(NOT(ISNUMBER(F64)),NOT(ISNUMBER(F25))),"n/m",IF(OR((F25)&lt;=0,(F64)&lt;0),"n/m",(F64)/(F25)))</f>
        <v>0.69197238797008198</v>
      </c>
      <c r="G121" s="74">
        <f>IF(OR(NOT(ISNUMBER(G64)),NOT(ISNUMBER(G25))),"n/m",IF(OR((G25)&lt;=0,(G64)&lt;0),"n/m",(G64)/(G25)))</f>
        <v>0.66876558045462819</v>
      </c>
      <c r="H121" s="74">
        <f>IF(OR(NOT(ISNUMBER(H64)),NOT(ISNUMBER(H25))),"n/m",IF(OR((H25)&lt;=0,(H64)&lt;0),"n/m",(H64)/(H25)))</f>
        <v>0.57883136984449801</v>
      </c>
    </row>
    <row r="122" spans="1:8" ht="21" customHeight="1" x14ac:dyDescent="0.3">
      <c r="A122" s="92" t="s">
        <v>163</v>
      </c>
      <c r="B122" s="92"/>
      <c r="C122" s="92"/>
      <c r="D122" s="93"/>
      <c r="E122" s="93"/>
      <c r="F122" s="93"/>
      <c r="G122" s="93"/>
      <c r="H122" s="93"/>
    </row>
    <row r="123" spans="1:8" ht="27" customHeight="1" x14ac:dyDescent="0.3">
      <c r="A123" s="73" t="s">
        <v>164</v>
      </c>
      <c r="B123" s="30" t="s">
        <v>165</v>
      </c>
      <c r="C123" s="80" t="s">
        <v>271</v>
      </c>
      <c r="D123" s="77">
        <f>IF(OR(NOT(ISNUMBER(D49)),NOT(ISNUMBER(D25))),"n/m",IF(OR((D25)&lt;=0,(D49)&lt;0),"n/m",(D49)/(D25)))</f>
        <v>0.43322840867921292</v>
      </c>
      <c r="E123" s="77">
        <f>IF(OR(NOT(ISNUMBER(E49)),NOT(ISNUMBER(E25))),"n/m",IF(OR((E25)&lt;=0,(E49)&lt;0),"n/m",(E49)/(E25)))</f>
        <v>0.50666660909348882</v>
      </c>
      <c r="F123" s="77">
        <f>IF(OR(NOT(ISNUMBER(F49)),NOT(ISNUMBER(F25))),"n/m",IF(OR((F25)&lt;=0,(F49)&lt;0),"n/m",(F49)/(F25)))</f>
        <v>0.49933942690835115</v>
      </c>
      <c r="G123" s="77">
        <f>IF(OR(NOT(ISNUMBER(G49)),NOT(ISNUMBER(G25))),"n/m",IF(OR((G25)&lt;=0,(G49)&lt;0),"n/m",(G49)/(G25)))</f>
        <v>0.4704820926001394</v>
      </c>
      <c r="H123" s="77">
        <f>IF(OR(NOT(ISNUMBER(H49)),NOT(ISNUMBER(H25))),"n/m",IF(OR((H25)&lt;=0,(H49)&lt;0),"n/m",(H49)/(H25)))</f>
        <v>0.40001822406143511</v>
      </c>
    </row>
    <row r="124" spans="1:8" ht="27" customHeight="1" x14ac:dyDescent="0.3">
      <c r="A124" s="73" t="s">
        <v>166</v>
      </c>
      <c r="B124" s="30" t="s">
        <v>167</v>
      </c>
      <c r="C124" s="80" t="s">
        <v>272</v>
      </c>
      <c r="D124" s="74">
        <f>IF(OR(NOT(ISNUMBER(D55)),NOT(ISNUMBER(D29))),"n/m",IF(OR((D29)&lt;=0,(D55)&lt;0),"n/m",(D55)/(D29)))</f>
        <v>0.43245543768601064</v>
      </c>
      <c r="E124" s="74">
        <f>IF(OR(NOT(ISNUMBER(E55)),NOT(ISNUMBER(E29))),"n/m",IF(OR((E29)&lt;=0,(E55)&lt;0),"n/m",(E55)/(E29)))</f>
        <v>0.61573768495117542</v>
      </c>
      <c r="F124" s="74">
        <f>IF(OR(NOT(ISNUMBER(F55)),NOT(ISNUMBER(F29))),"n/m",IF(OR((F29)&lt;=0,(F55)&lt;0),"n/m",(F55)/(F29)))</f>
        <v>0.44250779404874935</v>
      </c>
      <c r="G124" s="74">
        <f>IF(OR(NOT(ISNUMBER(G55)),NOT(ISNUMBER(G29))),"n/m",IF(OR((G29)&lt;=0,(G55)&lt;0),"n/m",(G55)/(G29)))</f>
        <v>0.36846998820204724</v>
      </c>
      <c r="H124" s="74">
        <f>IF(OR(NOT(ISNUMBER(H55)),NOT(ISNUMBER(H29))),"n/m",IF(OR((H29)&lt;=0,(H55)&lt;0),"n/m",(H55)/(H29)))</f>
        <v>0.20402666092297522</v>
      </c>
    </row>
    <row r="125" spans="1:8" ht="27" customHeight="1" x14ac:dyDescent="0.3">
      <c r="A125" s="73" t="s">
        <v>168</v>
      </c>
      <c r="B125" s="30" t="s">
        <v>169</v>
      </c>
      <c r="C125" s="80" t="s">
        <v>273</v>
      </c>
      <c r="D125" s="77">
        <f>IF(OR(NOT(ISNUMBER(D55)),NOT(ISNUMBER(D55+D29))),"n/m",IF(OR((D55+D29)&lt;=0,(D55)&lt;0),"n/m",(D55)/(D55+D29)))</f>
        <v>0.30189800416032447</v>
      </c>
      <c r="E125" s="77">
        <f>IF(OR(NOT(ISNUMBER(E55)),NOT(ISNUMBER(E55+E29))),"n/m",IF(OR((E55+E29)&lt;=0,(E55)&lt;0),"n/m",(E55)/(E55+E29)))</f>
        <v>0.381087654689308</v>
      </c>
      <c r="F125" s="77">
        <f>IF(OR(NOT(ISNUMBER(F55)),NOT(ISNUMBER(F55+F29))),"n/m",IF(OR((F55+F29)&lt;=0,(F55)&lt;0),"n/m",(F55)/(F55+F29)))</f>
        <v>0.30676284445350793</v>
      </c>
      <c r="G125" s="77">
        <f>IF(OR(NOT(ISNUMBER(G55)),NOT(ISNUMBER(G55+G29))),"n/m",IF(OR((G55+G29)&lt;=0,(G55)&lt;0),"n/m",(G55)/(G55+G29)))</f>
        <v>0.2692569010491479</v>
      </c>
      <c r="H125" s="77">
        <f>IF(OR(NOT(ISNUMBER(H55)),NOT(ISNUMBER(H55+H29))),"n/m",IF(OR((H55+H29)&lt;=0,(H55)&lt;0),"n/m",(H55)/(H55+H29)))</f>
        <v>0.1694536072536581</v>
      </c>
    </row>
    <row r="126" spans="1:8" ht="27" customHeight="1" x14ac:dyDescent="0.3">
      <c r="A126" s="73" t="s">
        <v>170</v>
      </c>
      <c r="B126" s="30" t="s">
        <v>171</v>
      </c>
      <c r="C126" s="80" t="s">
        <v>274</v>
      </c>
      <c r="D126" s="74">
        <f>IF(OR(NOT(ISNUMBER(D82)),NOT(ISNUMBER(D85))),"n/m",IF(OR((D85)&lt;=0,(D82)&lt;0),"n/m",(D82)/(D85)))</f>
        <v>6.0367662605249279</v>
      </c>
      <c r="E126" s="74">
        <f>IF(OR(NOT(ISNUMBER(E82)),NOT(ISNUMBER(E85))),"n/m",IF(OR((E85)&lt;=0,(E82)&lt;0),"n/m",(E82)/(E85)))</f>
        <v>5.2505359388174728</v>
      </c>
      <c r="F126" s="74">
        <f>IF(OR(NOT(ISNUMBER(F82)),NOT(ISNUMBER(F85))),"n/m",IF(OR((F85)&lt;=0,(F82)&lt;0),"n/m",(F82)/(F85)))</f>
        <v>4.4476569735481268</v>
      </c>
      <c r="G126" s="74">
        <f>IF(OR(NOT(ISNUMBER(G82)),NOT(ISNUMBER(G85))),"n/m",IF(OR((G85)&lt;=0,(G82)&lt;0),"n/m",(G82)/(G85)))</f>
        <v>3.2023484620581835</v>
      </c>
      <c r="H126" s="74">
        <f>IF(OR(NOT(ISNUMBER(H82)),NOT(ISNUMBER(H85))),"n/m",IF(OR((H85)&lt;=0,(H82)&lt;0),"n/m",(H82)/(H85)))</f>
        <v>7.3457905408215804</v>
      </c>
    </row>
    <row r="127" spans="1:8" ht="21" customHeight="1" x14ac:dyDescent="0.3">
      <c r="A127" s="92" t="s">
        <v>172</v>
      </c>
      <c r="B127" s="92"/>
      <c r="C127" s="92"/>
      <c r="D127" s="93"/>
      <c r="E127" s="93"/>
      <c r="F127" s="93"/>
      <c r="G127" s="93"/>
      <c r="H127" s="93"/>
    </row>
    <row r="128" spans="1:8" ht="27" customHeight="1" x14ac:dyDescent="0.3">
      <c r="A128" s="73" t="s">
        <v>173</v>
      </c>
      <c r="B128" s="30" t="s">
        <v>174</v>
      </c>
      <c r="C128" s="80" t="s">
        <v>275</v>
      </c>
      <c r="D128" s="77">
        <f>IF(OR(NOT(ISNUMBER(D66)),NOT(ISNUMBER(D64))),"n/m",IF(OR((D64)&lt;=0,(D66)&lt;0),"n/m",(D66)/(D64)))</f>
        <v>0.20830714445240356</v>
      </c>
      <c r="E128" s="77">
        <f>IF(OR(NOT(ISNUMBER(E66)),NOT(ISNUMBER(E64))),"n/m",IF(OR((E64)&lt;=0,(E66)&lt;0),"n/m",(E66)/(E64)))</f>
        <v>0.25300003367709667</v>
      </c>
      <c r="F128" s="77">
        <f>IF(OR(NOT(ISNUMBER(F66)),NOT(ISNUMBER(F64))),"n/m",IF(OR((F64)&lt;=0,(F66)&lt;0),"n/m",(F66)/(F64)))</f>
        <v>0.29276322471727417</v>
      </c>
      <c r="G128" s="77">
        <f>IF(OR(NOT(ISNUMBER(G66)),NOT(ISNUMBER(G64))),"n/m",IF(OR((G64)&lt;=0,(G66)&lt;0),"n/m",(G66)/(G64)))</f>
        <v>0.31547845382378364</v>
      </c>
      <c r="H128" s="77">
        <f>IF(OR(NOT(ISNUMBER(H66)),NOT(ISNUMBER(H64))),"n/m",IF(OR((H64)&lt;=0,(H66)&lt;0),"n/m",(H66)/(H64)))</f>
        <v>0.34444405990469212</v>
      </c>
    </row>
    <row r="129" spans="1:8" ht="27" customHeight="1" x14ac:dyDescent="0.3">
      <c r="A129" s="73" t="s">
        <v>175</v>
      </c>
      <c r="B129" s="30" t="s">
        <v>176</v>
      </c>
      <c r="C129" s="80" t="s">
        <v>276</v>
      </c>
      <c r="D129" s="77">
        <f>IF(OR(NOT(ISNUMBER(D82)),NOT(ISNUMBER(D64))),"n/m",IF(OR((D64)&lt;=0,(D82)&lt;0),"n/m",(D82)/(D64)))</f>
        <v>0.24584402613957254</v>
      </c>
      <c r="E129" s="77">
        <f>IF(OR(NOT(ISNUMBER(E82)),NOT(ISNUMBER(E64))),"n/m",IF(OR((E64)&lt;=0,(E82)&lt;0),"n/m",(E82)/(E64)))</f>
        <v>0.18288553443388325</v>
      </c>
      <c r="F129" s="77">
        <f>IF(OR(NOT(ISNUMBER(F82)),NOT(ISNUMBER(F64))),"n/m",IF(OR((F64)&lt;=0,(F82)&lt;0),"n/m",(F82)/(F64)))</f>
        <v>0.19224796146239193</v>
      </c>
      <c r="G129" s="77">
        <f>IF(OR(NOT(ISNUMBER(G82)),NOT(ISNUMBER(G64))),"n/m",IF(OR((G64)&lt;=0,(G82)&lt;0),"n/m",(G82)/(G64)))</f>
        <v>0.19543128859795894</v>
      </c>
      <c r="H129" s="77">
        <f>IF(OR(NOT(ISNUMBER(H82)),NOT(ISNUMBER(H64))),"n/m",IF(OR((H64)&lt;=0,(H82)&lt;0),"n/m",(H82)/(H64)))</f>
        <v>0.36375545770453227</v>
      </c>
    </row>
    <row r="130" spans="1:8" ht="27" customHeight="1" x14ac:dyDescent="0.3">
      <c r="A130" s="73" t="s">
        <v>177</v>
      </c>
      <c r="B130" s="30" t="s">
        <v>178</v>
      </c>
      <c r="C130" s="80" t="s">
        <v>277</v>
      </c>
      <c r="D130" s="77">
        <f>IF(OR(NOT(ISNUMBER(D79)),NOT(ISNUMBER(D64))),"n/m",IF(OR((D64)&lt;=0,(D79)&lt;0),"n/m",(D79)/(D64)))</f>
        <v>0.1759822170452098</v>
      </c>
      <c r="E130" s="77">
        <f>IF(OR(NOT(ISNUMBER(E79)),NOT(ISNUMBER(E64))),"n/m",IF(OR((E64)&lt;=0,(E79)&lt;0),"n/m",(E79)/(E64)))</f>
        <v>7.4739658936337147E-2</v>
      </c>
      <c r="F130" s="77">
        <f>IF(OR(NOT(ISNUMBER(F79)),NOT(ISNUMBER(F64))),"n/m",IF(OR((F64)&lt;=0,(F79)&lt;0),"n/m",(F79)/(F64)))</f>
        <v>7.2358441549152441E-2</v>
      </c>
      <c r="G130" s="77">
        <f>IF(OR(NOT(ISNUMBER(G79)),NOT(ISNUMBER(G64))),"n/m",IF(OR((G64)&lt;=0,(G79)&lt;0),"n/m",(G79)/(G64)))</f>
        <v>7.9342975209845082E-2</v>
      </c>
      <c r="H130" s="77">
        <f>IF(OR(NOT(ISNUMBER(H79)),NOT(ISNUMBER(H64))),"n/m",IF(OR((H64)&lt;=0,(H79)&lt;0),"n/m",(H79)/(H64)))</f>
        <v>0.24711008947956384</v>
      </c>
    </row>
    <row r="131" spans="1:8" ht="27" customHeight="1" x14ac:dyDescent="0.3">
      <c r="A131" s="73" t="s">
        <v>179</v>
      </c>
      <c r="B131" s="30" t="s">
        <v>180</v>
      </c>
      <c r="C131" s="80" t="s">
        <v>278</v>
      </c>
      <c r="D131" s="77">
        <f>IF(OR(NOT(ISNUMBER(D79)),NOT(ISNUMBER(D25))),"n/m",IF(OR((D25)&lt;=0,(D79)&lt;0),"n/m",(D79)/(D25)))</f>
        <v>9.4416925860816264E-2</v>
      </c>
      <c r="E131" s="77">
        <f>IF(OR(NOT(ISNUMBER(E79)),NOT(ISNUMBER(E25))),"n/m",IF(OR((E25)&lt;=0,(E79)&lt;0),"n/m",(E79)/(E25)))</f>
        <v>4.4108433323144514E-2</v>
      </c>
      <c r="F131" s="77">
        <f>IF(OR(NOT(ISNUMBER(F79)),NOT(ISNUMBER(F25))),"n/m",IF(OR((F25)&lt;=0,(F79)&lt;0),"n/m",(F79)/(F25)))</f>
        <v>5.0070043588560612E-2</v>
      </c>
      <c r="G131" s="77">
        <f>IF(OR(NOT(ISNUMBER(G79)),NOT(ISNUMBER(G25))),"n/m",IF(OR((G25)&lt;=0,(G79)&lt;0),"n/m",(G79)/(G25)))</f>
        <v>5.3061850871209217E-2</v>
      </c>
      <c r="H131" s="77">
        <f>IF(OR(NOT(ISNUMBER(H79)),NOT(ISNUMBER(H25))),"n/m",IF(OR((H25)&lt;=0,(H79)&lt;0),"n/m",(H79)/(H25)))</f>
        <v>0.14303507159585241</v>
      </c>
    </row>
    <row r="132" spans="1:8" ht="27" customHeight="1" x14ac:dyDescent="0.3">
      <c r="A132" s="73" t="s">
        <v>181</v>
      </c>
      <c r="B132" s="30" t="s">
        <v>182</v>
      </c>
      <c r="C132" s="80" t="s">
        <v>279</v>
      </c>
      <c r="D132" s="77">
        <f>IF(OR(NOT(ISNUMBER(D79)),NOT(ISNUMBER(D29))),"n/m",IF(OR((D29)&lt;=0,(D79)&lt;0),"n/m",(D79)/(D29)))</f>
        <v>0.16658725897109622</v>
      </c>
      <c r="E132" s="77">
        <f>IF(OR(NOT(ISNUMBER(E79)),NOT(ISNUMBER(E29))),"n/m",IF(OR((E29)&lt;=0,(E79)&lt;0),"n/m",(E79)/(E29)))</f>
        <v>8.9408976031592494E-2</v>
      </c>
      <c r="F132" s="77">
        <f>IF(OR(NOT(ISNUMBER(F79)),NOT(ISNUMBER(F29))),"n/m",IF(OR((F29)&lt;=0,(F79)&lt;0),"n/m",(F79)/(F29)))</f>
        <v>0.10000796203977304</v>
      </c>
      <c r="G132" s="77">
        <f>IF(OR(NOT(ISNUMBER(G79)),NOT(ISNUMBER(G29))),"n/m",IF(OR((G29)&lt;=0,(G79)&lt;0),"n/m",(G79)/(G29)))</f>
        <v>0.10020784968682853</v>
      </c>
      <c r="H132" s="77">
        <f>IF(OR(NOT(ISNUMBER(H79)),NOT(ISNUMBER(H29))),"n/m",IF(OR((H29)&lt;=0,(H79)&lt;0),"n/m",(H79)/(H29)))</f>
        <v>0.2383990269906105</v>
      </c>
    </row>
    <row r="133" spans="1:8" ht="27" customHeight="1" x14ac:dyDescent="0.3">
      <c r="A133" s="73" t="s">
        <v>183</v>
      </c>
      <c r="B133" s="30" t="s">
        <v>184</v>
      </c>
      <c r="C133" s="80" t="s">
        <v>280</v>
      </c>
      <c r="D133" s="77">
        <f>IF(OR(NOT(ISNUMBER(D88)),NOT(ISNUMBER(D58))),"n/m",IF(OR((D58)&lt;=0,(D88)&lt;0),"n/m",(D88)/(D58)))</f>
        <v>0.13938409686265396</v>
      </c>
      <c r="E133" s="77">
        <f>IF(OR(NOT(ISNUMBER(E88)),NOT(ISNUMBER(E58))),"n/m",IF(OR((E58)&lt;=0,(E88)&lt;0),"n/m",(E88)/(E58)))</f>
        <v>6.8354987715222609E-2</v>
      </c>
      <c r="F133" s="77">
        <f>IF(OR(NOT(ISNUMBER(F88)),NOT(ISNUMBER(F58))),"n/m",IF(OR((F58)&lt;=0,(F88)&lt;0),"n/m",(F88)/(F58)))</f>
        <v>8.9438322458184685E-2</v>
      </c>
      <c r="G133" s="77">
        <f>IF(OR(NOT(ISNUMBER(G88)),NOT(ISNUMBER(G58))),"n/m",IF(OR((G58)&lt;=0,(G88)&lt;0),"n/m",(G88)/(G58)))</f>
        <v>0.10647533565261356</v>
      </c>
      <c r="H133" s="77">
        <f>IF(OR(NOT(ISNUMBER(H88)),NOT(ISNUMBER(H58))),"n/m",IF(OR((H58)&lt;=0,(H88)&lt;0),"n/m",(H88)/(H58)))</f>
        <v>0.22920346694221672</v>
      </c>
    </row>
    <row r="134" spans="1:8" ht="27" customHeight="1" x14ac:dyDescent="0.3">
      <c r="A134" s="73" t="s">
        <v>185</v>
      </c>
      <c r="B134" s="30" t="s">
        <v>186</v>
      </c>
      <c r="C134" s="80" t="s">
        <v>281</v>
      </c>
      <c r="D134" s="77">
        <f>IF(OR(NOT(ISNUMBER(D82)),NOT(ISNUMBER(D25))),"n/m",IF(OR((D25)&lt;=0,(D82)&lt;0),"n/m",(D82)/(D25)))</f>
        <v>0.13189876556323574</v>
      </c>
      <c r="E134" s="77">
        <f>IF(OR(NOT(ISNUMBER(E82)),NOT(ISNUMBER(E25))),"n/m",IF(OR((E25)&lt;=0,(E82)&lt;0),"n/m",(E82)/(E25)))</f>
        <v>0.10793191347335213</v>
      </c>
      <c r="F134" s="77">
        <f>IF(OR(NOT(ISNUMBER(F82)),NOT(ISNUMBER(F25))),"n/m",IF(OR((F25)&lt;=0,(F82)&lt;0),"n/m",(F82)/(F25)))</f>
        <v>0.13303028097551164</v>
      </c>
      <c r="G134" s="77">
        <f>IF(OR(NOT(ISNUMBER(G82)),NOT(ISNUMBER(G25))),"n/m",IF(OR((G25)&lt;=0,(G82)&lt;0),"n/m",(G82)/(G25)))</f>
        <v>0.13069771915820996</v>
      </c>
      <c r="H134" s="77">
        <f>IF(OR(NOT(ISNUMBER(H82)),NOT(ISNUMBER(H25))),"n/m",IF(OR((H25)&lt;=0,(H82)&lt;0),"n/m",(H82)/(H25)))</f>
        <v>0.21055306987152678</v>
      </c>
    </row>
    <row r="135" spans="1:8" ht="21" customHeight="1" x14ac:dyDescent="0.3">
      <c r="A135" s="92" t="s">
        <v>187</v>
      </c>
      <c r="B135" s="92"/>
      <c r="C135" s="92"/>
      <c r="D135" s="93"/>
      <c r="E135" s="93"/>
      <c r="F135" s="93"/>
      <c r="G135" s="93"/>
      <c r="H135" s="93"/>
    </row>
    <row r="136" spans="1:8" ht="27" customHeight="1" x14ac:dyDescent="0.3">
      <c r="A136" s="73" t="s">
        <v>188</v>
      </c>
      <c r="B136" s="30" t="s">
        <v>189</v>
      </c>
      <c r="C136" s="80" t="s">
        <v>282</v>
      </c>
      <c r="D136" s="78">
        <f>IF(OR(NOT(ISNUMBER(D79)),NOT(ISNUMBER(D104))),"n/m",IF(OR((D104)&lt;=0,(D79)&lt;0),"n/m",(D79)/(D104)))</f>
        <v>5.6941155155115029</v>
      </c>
      <c r="E136" s="78">
        <f>IF(OR(NOT(ISNUMBER(E79)),NOT(ISNUMBER(E104))),"n/m",IF(OR((E104)&lt;=0,(E79)&lt;0),"n/m",(E79)/(E104)))</f>
        <v>3.3041099784606085</v>
      </c>
      <c r="F136" s="78">
        <f>IF(OR(NOT(ISNUMBER(F79)),NOT(ISNUMBER(F104))),"n/m",IF(OR((F104)&lt;=0,(F79)&lt;0),"n/m",(F79)/(F104)))</f>
        <v>4.1845053824045904</v>
      </c>
      <c r="G136" s="78">
        <f>IF(OR(NOT(ISNUMBER(G79)),NOT(ISNUMBER(G104))),"n/m",IF(OR((G104)&lt;=0,(G79)&lt;0),"n/m",(G79)/(G104)))</f>
        <v>4.9791974962957211</v>
      </c>
      <c r="H136" s="78">
        <f>IF(OR(NOT(ISNUMBER(H79)),NOT(ISNUMBER(H104))),"n/m",IF(OR((H104)&lt;=0,(H79)&lt;0),"n/m",(H79)/(H104)))</f>
        <v>16.262863426829693</v>
      </c>
    </row>
    <row r="137" spans="1:8" ht="27" customHeight="1" x14ac:dyDescent="0.3">
      <c r="A137" s="73" t="s">
        <v>190</v>
      </c>
      <c r="B137" s="30" t="s">
        <v>191</v>
      </c>
      <c r="C137" s="80" t="s">
        <v>283</v>
      </c>
      <c r="D137" s="78">
        <f>IF(OR(NOT(ISNUMBER(D29)),NOT(ISNUMBER(D103))),"n/m",IF(OR((D103)&lt;=0,(D29)&lt;0),"n/m",(D29)/(D103)))</f>
        <v>34.180972265393187</v>
      </c>
      <c r="E137" s="78">
        <f>IF(OR(NOT(ISNUMBER(E29)),NOT(ISNUMBER(E103))),"n/m",IF(OR((E103)&lt;=0,(E29)&lt;0),"n/m",(E29)/(E103)))</f>
        <v>37.561557627459578</v>
      </c>
      <c r="F137" s="78">
        <f>IF(OR(NOT(ISNUMBER(F29)),NOT(ISNUMBER(F103))),"n/m",IF(OR((F103)&lt;=0,(F29)&lt;0),"n/m",(F29)/(F103)))</f>
        <v>41.844014540695262</v>
      </c>
      <c r="G137" s="78">
        <f>IF(OR(NOT(ISNUMBER(G29)),NOT(ISNUMBER(G103))),"n/m",IF(OR((G103)&lt;=0,(G29)&lt;0),"n/m",(G29)/(G103)))</f>
        <v>50.226982139301263</v>
      </c>
      <c r="H137" s="78">
        <f>IF(OR(NOT(ISNUMBER(H29)),NOT(ISNUMBER(H103))),"n/m",IF(OR((H103)&lt;=0,(H29)&lt;0),"n/m",(H29)/(H103)))</f>
        <v>68.217013474898792</v>
      </c>
    </row>
    <row r="138" spans="1:8" ht="27" customHeight="1" x14ac:dyDescent="0.3">
      <c r="A138" s="73" t="s">
        <v>192</v>
      </c>
      <c r="B138" s="30" t="s">
        <v>193</v>
      </c>
      <c r="C138" s="80" t="s">
        <v>284</v>
      </c>
      <c r="D138" s="74">
        <f>IF(OR(NOT(ISNUMBER(D105)),NOT(ISNUMBER(D79/D104))),"n/m",IF(OR((D79/D104)&lt;=0,(D105)&lt;0),"n/m",(D105)/(D79/D104)))</f>
        <v>8.2506229232653325</v>
      </c>
      <c r="E138" s="74">
        <f>IF(OR(NOT(ISNUMBER(E105)),NOT(ISNUMBER(E79/E104))),"n/m",IF(OR((E79/E104)&lt;=0,(E105)&lt;0),"n/m",(E105)/(E79/E104)))</f>
        <v>8.2775695053414715</v>
      </c>
      <c r="F138" s="74">
        <f>IF(OR(NOT(ISNUMBER(F105)),NOT(ISNUMBER(F79/F104))),"n/m",IF(OR((F79/F104)&lt;=0,(F105)&lt;0),"n/m",(F105)/(F79/F104)))</f>
        <v>6.7702147353244424</v>
      </c>
      <c r="G138" s="74">
        <f>IF(OR(NOT(ISNUMBER(G105)),NOT(ISNUMBER(G79/G104))),"n/m",IF(OR((G79/G104)&lt;=0,(G105)&lt;0),"n/m",(G105)/(G79/G104)))</f>
        <v>7.6317519094733912</v>
      </c>
      <c r="H138" s="74">
        <f>IF(OR(NOT(ISNUMBER(H105)),NOT(ISNUMBER(H79/H104))),"n/m",IF(OR((H79/H104)&lt;=0,(H105)&lt;0),"n/m",(H105)/(H79/H104)))</f>
        <v>5.1823592062489379</v>
      </c>
    </row>
    <row r="139" spans="1:8" ht="27" customHeight="1" x14ac:dyDescent="0.3">
      <c r="A139" s="73" t="s">
        <v>194</v>
      </c>
      <c r="B139" s="30" t="s">
        <v>195</v>
      </c>
      <c r="C139" s="80" t="s">
        <v>285</v>
      </c>
      <c r="D139" s="74">
        <f>IF(OR(NOT(ISNUMBER(D105)),NOT(ISNUMBER(D29/D103))),"n/m",IF(OR((D29/D103)&lt;=0,(D105)&lt;0),"n/m",(D105)/(D29/D103)))</f>
        <v>1.3744489078669448</v>
      </c>
      <c r="E139" s="74">
        <f>IF(OR(NOT(ISNUMBER(E105)),NOT(ISNUMBER(E29/E103))),"n/m",IF(OR((E29/E103)&lt;=0,(E105)&lt;0),"n/m",(E105)/(E29/E103)))</f>
        <v>0.72813806794864222</v>
      </c>
      <c r="F139" s="74">
        <f>IF(OR(NOT(ISNUMBER(F105)),NOT(ISNUMBER(F29/F103))),"n/m",IF(OR((F29/F103)&lt;=0,(F105)&lt;0),"n/m",(F105)/(F29/F103)))</f>
        <v>0.67703828877240613</v>
      </c>
      <c r="G139" s="74">
        <f>IF(OR(NOT(ISNUMBER(G105)),NOT(ISNUMBER(G29/G103))),"n/m",IF(OR((G29/G103)&lt;=0,(G105)&lt;0),"n/m",(G105)/(G29/G103)))</f>
        <v>0.75656546305349337</v>
      </c>
      <c r="H139" s="74">
        <f>IF(OR(NOT(ISNUMBER(H105)),NOT(ISNUMBER(H29/H103))),"n/m",IF(OR((H29/H103)&lt;=0,(H105)&lt;0),"n/m",(H105)/(H29/H103)))</f>
        <v>1.2354689205356633</v>
      </c>
    </row>
    <row r="140" spans="1:8" ht="36" customHeight="1" x14ac:dyDescent="0.3">
      <c r="A140" s="73" t="s">
        <v>196</v>
      </c>
      <c r="B140" s="30" t="s">
        <v>197</v>
      </c>
      <c r="C140" s="30" t="s">
        <v>198</v>
      </c>
      <c r="D140" s="79">
        <f>IF(OR(NOT(ISNUMBER(D106)),NOT(ISNUMBER(D105))),"n/m",IF(OR((D105)&lt;=0,(D106)&lt;0),"n/m",(D106)/(D105)))</f>
        <v>0</v>
      </c>
      <c r="E140" s="79">
        <f>IF(OR(NOT(ISNUMBER(E106)),NOT(ISNUMBER(E105))),"n/m",IF(OR((E105)&lt;=0,(E106)&lt;0),"n/m",(E106)/(E105)))</f>
        <v>0</v>
      </c>
      <c r="F140" s="79">
        <f>IF(OR(NOT(ISNUMBER(F106)),NOT(ISNUMBER(F105))),"n/m",IF(OR((F105)&lt;=0,(F106)&lt;0),"n/m",(F106)/(F105)))</f>
        <v>0</v>
      </c>
      <c r="G140" s="79">
        <f>IF(OR(NOT(ISNUMBER(G106)),NOT(ISNUMBER(G105))),"n/m",IF(OR((G105)&lt;=0,(G106)&lt;0),"n/m",(G106)/(G105)))</f>
        <v>0</v>
      </c>
      <c r="H140" s="79">
        <f>IF(OR(NOT(ISNUMBER(H106)),NOT(ISNUMBER(H105))),"n/m",IF(OR((H105)&lt;=0,(H106)&lt;0),"n/m",(H106)/(H105)))</f>
        <v>0</v>
      </c>
    </row>
    <row r="141" spans="1:8" ht="27" customHeight="1" x14ac:dyDescent="0.3">
      <c r="A141" s="73" t="s">
        <v>199</v>
      </c>
      <c r="B141" s="30" t="s">
        <v>200</v>
      </c>
      <c r="C141" s="80" t="s">
        <v>286</v>
      </c>
      <c r="D141" s="74">
        <f>IF(OR(NOT(ISNUMBER(D157)),NOT(ISNUMBER(D83))),"n/m",IF(OR((D83)&lt;=0,(D157)&lt;0),"n/m",(D157)/(D83)))</f>
        <v>5.6223501239668989</v>
      </c>
      <c r="E141" s="74">
        <f>IF(OR(NOT(ISNUMBER(E157)),NOT(ISNUMBER(E83))),"n/m",IF(OR((E83)&lt;=0,(E157)&lt;0),"n/m",(E157)/(E83)))</f>
        <v>4.4912459172048038</v>
      </c>
      <c r="F141" s="74">
        <f>IF(OR(NOT(ISNUMBER(F157)),NOT(ISNUMBER(F83))),"n/m",IF(OR((F83)&lt;=0,(F157)&lt;0),"n/m",(F157)/(F83)))</f>
        <v>3.2721791070017887</v>
      </c>
      <c r="G141" s="74">
        <f>IF(OR(NOT(ISNUMBER(G157)),NOT(ISNUMBER(G83))),"n/m",IF(OR((G83)&lt;=0,(G157)&lt;0),"n/m",(G157)/(G83)))</f>
        <v>3.3522633268626687</v>
      </c>
      <c r="H141" s="74">
        <f>IF(OR(NOT(ISNUMBER(H157)),NOT(ISNUMBER(H83))),"n/m",IF(OR((H83)&lt;=0,(H157)&lt;0),"n/m",(H157)/(H83)))</f>
        <v>3.4441662826745523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1" t="s">
        <v>201</v>
      </c>
      <c r="B147" s="91"/>
      <c r="C147" s="90"/>
      <c r="D147" s="90"/>
      <c r="E147" s="90"/>
      <c r="F147" s="90"/>
      <c r="G147" s="90"/>
      <c r="H147" s="90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61.223999999999997</v>
      </c>
      <c r="E150" s="16">
        <v>132.595</v>
      </c>
      <c r="F150" s="16">
        <v>1871.865</v>
      </c>
      <c r="G150" s="16">
        <v>821.42499999999995</v>
      </c>
      <c r="H150" s="16">
        <v>1452.981</v>
      </c>
      <c r="I150" s="16">
        <v>287.25900000000001</v>
      </c>
    </row>
    <row r="151" spans="1:9" ht="15" customHeight="1" x14ac:dyDescent="0.3"/>
    <row r="152" spans="1:9" ht="22.95" customHeight="1" x14ac:dyDescent="0.3">
      <c r="A152" s="90" t="s">
        <v>205</v>
      </c>
      <c r="B152" s="90"/>
      <c r="C152" s="90"/>
      <c r="D152" s="90"/>
      <c r="E152" s="90"/>
      <c r="F152" s="90"/>
      <c r="G152" s="90"/>
      <c r="H152" s="90"/>
    </row>
    <row r="153" spans="1:9" ht="15" customHeight="1" x14ac:dyDescent="0.3">
      <c r="D153" t="s">
        <v>39</v>
      </c>
      <c r="E153" t="s">
        <v>40</v>
      </c>
      <c r="F153" t="s">
        <v>41</v>
      </c>
      <c r="G153" t="s">
        <v>42</v>
      </c>
      <c r="H153" t="s">
        <v>43</v>
      </c>
    </row>
    <row r="154" spans="1:9" ht="15" customHeight="1" x14ac:dyDescent="0.3">
      <c r="A154" t="s">
        <v>206</v>
      </c>
      <c r="D154" s="33">
        <f>D22+D158-D159</f>
        <v>490.32900000000001</v>
      </c>
      <c r="E154" s="33">
        <f>E22+E158-E159</f>
        <v>793.57600000000002</v>
      </c>
      <c r="F154" s="33">
        <f>F22+F158-F159</f>
        <v>740.70699999999999</v>
      </c>
      <c r="G154" s="33">
        <f>G22+G158-G159</f>
        <v>1371.912</v>
      </c>
      <c r="H154" s="33">
        <f>H22+H158-H159</f>
        <v>1615.481</v>
      </c>
    </row>
    <row r="155" spans="1:9" ht="15" customHeight="1" x14ac:dyDescent="0.3">
      <c r="A155" t="s">
        <v>207</v>
      </c>
      <c r="D155" s="33">
        <f>D40+D148+D149</f>
        <v>260.95299999999997</v>
      </c>
      <c r="E155" s="33">
        <f>E40+E148+E149</f>
        <v>665.12199999999996</v>
      </c>
      <c r="F155" s="33">
        <f>F40+F148+F149</f>
        <v>880.03899999999999</v>
      </c>
      <c r="G155" s="33">
        <f>G40+G148+G149</f>
        <v>865.94500000000005</v>
      </c>
      <c r="H155" s="33">
        <f>H40+H148+H149</f>
        <v>320.43400000000003</v>
      </c>
    </row>
    <row r="156" spans="1:9" ht="15" customHeight="1" x14ac:dyDescent="0.3">
      <c r="A156" t="s">
        <v>208</v>
      </c>
      <c r="D156" s="33">
        <f>D105*D103</f>
        <v>51600.304475999998</v>
      </c>
      <c r="E156" s="33">
        <f>E105*E103</f>
        <v>29532.562819999999</v>
      </c>
      <c r="F156" s="33">
        <f>F105*F103</f>
        <v>30407.897845999996</v>
      </c>
      <c r="G156" s="33">
        <f>G105*G103</f>
        <v>39807.378799999999</v>
      </c>
      <c r="H156" s="33">
        <f>H105*H103</f>
        <v>88288.575928000006</v>
      </c>
    </row>
    <row r="157" spans="1:9" ht="15" customHeight="1" x14ac:dyDescent="0.3">
      <c r="A157" t="s">
        <v>209</v>
      </c>
      <c r="D157" s="33">
        <f>D156+D55+D155-D154</f>
        <v>67606.404475999996</v>
      </c>
      <c r="E157" s="33">
        <f>E156+E55+E155-E154</f>
        <v>54377.822820000001</v>
      </c>
      <c r="F157" s="33">
        <f>F156+F55+F155-F154</f>
        <v>50421.632845999993</v>
      </c>
      <c r="G157" s="33">
        <f>G156+G55+G155-G154</f>
        <v>58688.794800000003</v>
      </c>
      <c r="H157" s="33">
        <f>H156+H55+H155-H154</f>
        <v>101573.59892800001</v>
      </c>
    </row>
    <row r="158" spans="1:9" ht="15" customHeight="1" x14ac:dyDescent="0.3">
      <c r="A158" t="s">
        <v>210</v>
      </c>
      <c r="D158" s="33">
        <v>0</v>
      </c>
      <c r="E158" s="33">
        <v>0</v>
      </c>
      <c r="F158" s="33">
        <v>0</v>
      </c>
      <c r="G158" s="33">
        <v>238.5</v>
      </c>
      <c r="H158" s="33">
        <v>0</v>
      </c>
    </row>
    <row r="159" spans="1:9" ht="15" customHeight="1" x14ac:dyDescent="0.3">
      <c r="A159" t="s">
        <v>211</v>
      </c>
      <c r="D159" s="33">
        <v>0</v>
      </c>
      <c r="E159" s="33">
        <v>0</v>
      </c>
      <c r="F159" s="33">
        <v>0</v>
      </c>
      <c r="G159" s="33">
        <v>0</v>
      </c>
      <c r="H159" s="33">
        <v>0</v>
      </c>
    </row>
    <row r="160" spans="1:9" ht="15" customHeight="1" x14ac:dyDescent="0.3">
      <c r="B160" s="32"/>
      <c r="C160" s="32"/>
      <c r="D160" s="32"/>
      <c r="E160" s="32"/>
      <c r="F160" s="32"/>
      <c r="G160" s="32"/>
      <c r="H160" s="32"/>
    </row>
    <row r="161" spans="2:8" ht="15" customHeight="1" x14ac:dyDescent="0.3">
      <c r="B161" s="32"/>
      <c r="C161" s="32"/>
      <c r="D161" s="32"/>
      <c r="E161" s="32"/>
      <c r="F161" s="32"/>
      <c r="G161" s="32"/>
      <c r="H161" s="32"/>
    </row>
  </sheetData>
  <mergeCells count="7">
    <mergeCell ref="A152:H152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FA98A"/>
    <pageSetUpPr fitToPage="1"/>
  </sheetPr>
  <dimension ref="A1:I16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2" sqref="A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217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21422.215</v>
      </c>
      <c r="E9" s="10">
        <v>74126.315000000002</v>
      </c>
      <c r="F9" s="10">
        <v>104425.181</v>
      </c>
      <c r="G9" s="10">
        <v>110845.663</v>
      </c>
      <c r="H9" s="10">
        <v>109579.08900000001</v>
      </c>
      <c r="I9" s="10">
        <v>22065.171999999999</v>
      </c>
    </row>
    <row r="10" spans="1:9" x14ac:dyDescent="0.3">
      <c r="A10" s="24" t="s">
        <v>47</v>
      </c>
      <c r="B10" s="25"/>
      <c r="C10" s="10"/>
      <c r="D10" s="10">
        <v>202.08699999999999</v>
      </c>
      <c r="E10" s="10">
        <v>29802.17</v>
      </c>
      <c r="F10" s="10">
        <v>34531.171999999999</v>
      </c>
      <c r="G10" s="10">
        <v>700.15300000000002</v>
      </c>
      <c r="H10" s="10">
        <v>296.57400000000001</v>
      </c>
      <c r="I10" s="10">
        <v>2.8079999999999998</v>
      </c>
    </row>
    <row r="11" spans="1:9" x14ac:dyDescent="0.3">
      <c r="A11" s="24" t="s">
        <v>48</v>
      </c>
      <c r="B11" s="25"/>
      <c r="C11" s="10"/>
      <c r="D11" s="10">
        <v>89.334000000000003</v>
      </c>
      <c r="E11" s="10">
        <v>132.26300000000001</v>
      </c>
      <c r="F11" s="10">
        <v>181.38</v>
      </c>
      <c r="G11" s="10">
        <v>131.16499999999999</v>
      </c>
      <c r="H11" s="10">
        <v>126.44499999999999</v>
      </c>
      <c r="I11" s="10">
        <v>60.322000000000003</v>
      </c>
    </row>
    <row r="12" spans="1:9" x14ac:dyDescent="0.3">
      <c r="A12" s="24" t="s">
        <v>49</v>
      </c>
      <c r="B12" s="25"/>
      <c r="C12" s="10"/>
      <c r="D12" s="10">
        <v>0</v>
      </c>
      <c r="E12" s="10">
        <v>11029.755999999999</v>
      </c>
      <c r="F12" s="10">
        <v>10957.736999999999</v>
      </c>
      <c r="G12" s="10">
        <v>10745.7</v>
      </c>
      <c r="H12" s="10">
        <v>10533.666999999999</v>
      </c>
      <c r="I12" s="10">
        <v>0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15.349</v>
      </c>
      <c r="E14" s="10">
        <v>66.656999999999996</v>
      </c>
      <c r="F14" s="10">
        <v>0</v>
      </c>
      <c r="G14" s="10">
        <v>0</v>
      </c>
      <c r="H14" s="10">
        <v>0</v>
      </c>
      <c r="I14" s="10">
        <v>0</v>
      </c>
    </row>
    <row r="15" spans="1:9" x14ac:dyDescent="0.3">
      <c r="A15" s="24" t="s">
        <v>52</v>
      </c>
      <c r="B15" s="25"/>
      <c r="C15" s="10"/>
      <c r="D15" s="10">
        <v>86.600999999999999</v>
      </c>
      <c r="E15" s="10">
        <v>126.274</v>
      </c>
      <c r="F15" s="10">
        <v>129.69999999999999</v>
      </c>
      <c r="G15" s="10">
        <v>129.69999999999999</v>
      </c>
      <c r="H15" s="10">
        <v>133.42500000000001</v>
      </c>
      <c r="I15" s="10">
        <v>99.100999999999999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21613.498999999996</v>
      </c>
      <c r="E16" s="11">
        <f t="shared" si="0"/>
        <v>85481.265000000014</v>
      </c>
      <c r="F16" s="11">
        <f t="shared" si="0"/>
        <v>115693.99799999999</v>
      </c>
      <c r="G16" s="11">
        <f t="shared" si="0"/>
        <v>121852.22799999999</v>
      </c>
      <c r="H16" s="11">
        <f t="shared" si="0"/>
        <v>120372.62600000002</v>
      </c>
      <c r="I16" s="11">
        <f t="shared" si="0"/>
        <v>22224.594999999998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4250.7539999999999</v>
      </c>
      <c r="E18" s="10">
        <v>11939.147000000001</v>
      </c>
      <c r="F18" s="10">
        <v>8011.1809999999996</v>
      </c>
      <c r="G18" s="10">
        <v>9099.1299999999992</v>
      </c>
      <c r="H18" s="10">
        <v>10377.008</v>
      </c>
      <c r="I18" s="10">
        <v>3505.8090000000002</v>
      </c>
    </row>
    <row r="19" spans="1:9" x14ac:dyDescent="0.3">
      <c r="A19" s="24" t="s">
        <v>56</v>
      </c>
      <c r="B19" s="25"/>
      <c r="C19" s="10"/>
      <c r="D19" s="10">
        <v>1189.1980000000001</v>
      </c>
      <c r="E19" s="10">
        <v>3697.721</v>
      </c>
      <c r="F19" s="10">
        <v>7112.3270000000002</v>
      </c>
      <c r="G19" s="10">
        <v>7495.7049999999999</v>
      </c>
      <c r="H19" s="10">
        <v>9337.6170000000002</v>
      </c>
      <c r="I19" s="10">
        <v>1187.752</v>
      </c>
    </row>
    <row r="20" spans="1:9" x14ac:dyDescent="0.3">
      <c r="A20" s="24" t="s">
        <v>57</v>
      </c>
      <c r="B20" s="25"/>
      <c r="C20" s="10"/>
      <c r="D20" s="10">
        <v>1449.6</v>
      </c>
      <c r="E20" s="10">
        <v>2412.7579999999998</v>
      </c>
      <c r="F20" s="10">
        <v>3572.4450000000002</v>
      </c>
      <c r="G20" s="10">
        <v>5545.241</v>
      </c>
      <c r="H20" s="10">
        <v>6911.3220000000001</v>
      </c>
      <c r="I20" s="10">
        <v>1050.6400000000001</v>
      </c>
    </row>
    <row r="21" spans="1:9" x14ac:dyDescent="0.3">
      <c r="A21" s="24" t="s">
        <v>58</v>
      </c>
      <c r="B21" s="25"/>
      <c r="C21" s="10"/>
      <c r="D21" s="10">
        <v>4397.6989999999996</v>
      </c>
      <c r="E21" s="10">
        <v>3843.01</v>
      </c>
      <c r="F21" s="10">
        <v>250</v>
      </c>
      <c r="G21" s="10">
        <v>250</v>
      </c>
      <c r="H21" s="10">
        <v>9210.1</v>
      </c>
      <c r="I21" s="10">
        <v>0</v>
      </c>
    </row>
    <row r="22" spans="1:9" x14ac:dyDescent="0.3">
      <c r="A22" s="24" t="s">
        <v>59</v>
      </c>
      <c r="B22" s="25"/>
      <c r="C22" s="10"/>
      <c r="D22" s="10">
        <v>900.77800000000002</v>
      </c>
      <c r="E22" s="10">
        <v>2306.6329999999998</v>
      </c>
      <c r="F22" s="10">
        <v>970.45699999999999</v>
      </c>
      <c r="G22" s="10">
        <v>2932.9839999999999</v>
      </c>
      <c r="H22" s="10">
        <v>2665.3380000000002</v>
      </c>
      <c r="I22" s="10">
        <v>561.17399999999998</v>
      </c>
    </row>
    <row r="23" spans="1:9" x14ac:dyDescent="0.3">
      <c r="A23" s="24" t="s">
        <v>60</v>
      </c>
      <c r="B23" s="25"/>
      <c r="C23" s="10"/>
      <c r="D23" s="10">
        <v>250.703</v>
      </c>
      <c r="E23" s="10">
        <v>4017.5430000000001</v>
      </c>
      <c r="F23" s="10">
        <v>3218.0889999999999</v>
      </c>
      <c r="G23" s="10">
        <v>461.01100000000002</v>
      </c>
      <c r="H23" s="10">
        <v>1971.18</v>
      </c>
      <c r="I23" s="10">
        <v>677.94600000000003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12438.732</v>
      </c>
      <c r="E24" s="11">
        <f t="shared" si="1"/>
        <v>28216.812000000002</v>
      </c>
      <c r="F24" s="11">
        <f t="shared" si="1"/>
        <v>23134.499</v>
      </c>
      <c r="G24" s="11">
        <f t="shared" si="1"/>
        <v>25784.071</v>
      </c>
      <c r="H24" s="11">
        <f t="shared" si="1"/>
        <v>40472.565000000002</v>
      </c>
      <c r="I24" s="11">
        <f t="shared" si="1"/>
        <v>6983.3209999999999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34052.231</v>
      </c>
      <c r="E25" s="11">
        <f t="shared" si="2"/>
        <v>113698.07700000002</v>
      </c>
      <c r="F25" s="11">
        <f t="shared" si="2"/>
        <v>138828.497</v>
      </c>
      <c r="G25" s="11">
        <f t="shared" si="2"/>
        <v>147636.299</v>
      </c>
      <c r="H25" s="11">
        <f t="shared" si="2"/>
        <v>160845.19100000002</v>
      </c>
      <c r="I25" s="11">
        <f t="shared" si="2"/>
        <v>29207.915999999997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13798.15</v>
      </c>
      <c r="E27" s="10">
        <v>21803.09</v>
      </c>
      <c r="F27" s="10">
        <v>24528.475999999999</v>
      </c>
      <c r="G27" s="10">
        <v>24528.475999999999</v>
      </c>
      <c r="H27" s="10">
        <v>24528.475999999999</v>
      </c>
      <c r="I27" s="10">
        <v>13798.15</v>
      </c>
    </row>
    <row r="28" spans="1:9" x14ac:dyDescent="0.3">
      <c r="A28" s="24" t="s">
        <v>65</v>
      </c>
      <c r="B28" s="25"/>
      <c r="C28" s="10"/>
      <c r="D28" s="10">
        <v>9477.5210000000006</v>
      </c>
      <c r="E28" s="10">
        <v>35932.966</v>
      </c>
      <c r="F28" s="10">
        <v>40647.260999999999</v>
      </c>
      <c r="G28" s="10">
        <v>48870.377</v>
      </c>
      <c r="H28" s="10">
        <v>59743.732000000004</v>
      </c>
      <c r="I28" s="10">
        <v>6006.17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23275.671000000002</v>
      </c>
      <c r="E29" s="11">
        <f t="shared" si="3"/>
        <v>57736.055999999997</v>
      </c>
      <c r="F29" s="11">
        <f t="shared" si="3"/>
        <v>65175.736999999994</v>
      </c>
      <c r="G29" s="11">
        <f t="shared" si="3"/>
        <v>73398.853000000003</v>
      </c>
      <c r="H29" s="11">
        <f t="shared" si="3"/>
        <v>84272.207999999999</v>
      </c>
      <c r="I29" s="11">
        <f t="shared" si="3"/>
        <v>19804.32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491.50200000000001</v>
      </c>
      <c r="E31" s="10">
        <v>19555.996999999999</v>
      </c>
      <c r="F31" s="10">
        <v>31777.087</v>
      </c>
      <c r="G31" s="10">
        <v>29908.287</v>
      </c>
      <c r="H31" s="10">
        <v>24208.633000000002</v>
      </c>
      <c r="I31" s="10">
        <v>447.327</v>
      </c>
    </row>
    <row r="32" spans="1:9" x14ac:dyDescent="0.3">
      <c r="A32" s="24" t="s">
        <v>69</v>
      </c>
      <c r="B32" s="25"/>
      <c r="C32" s="10"/>
      <c r="D32" s="10">
        <v>73.593000000000004</v>
      </c>
      <c r="E32" s="10">
        <v>89.965000000000003</v>
      </c>
      <c r="F32" s="10">
        <v>118.97199999999999</v>
      </c>
      <c r="G32" s="10">
        <v>117.45399999999999</v>
      </c>
      <c r="H32" s="10">
        <v>101.211</v>
      </c>
      <c r="I32" s="10">
        <v>57.655999999999999</v>
      </c>
    </row>
    <row r="33" spans="1:9" x14ac:dyDescent="0.3">
      <c r="A33" s="24" t="s">
        <v>70</v>
      </c>
      <c r="B33" s="25"/>
      <c r="C33" s="10"/>
      <c r="D33" s="10">
        <v>6.6070000000000002</v>
      </c>
      <c r="E33" s="10">
        <v>1982.3009999999999</v>
      </c>
      <c r="F33" s="10">
        <v>2745.8490000000002</v>
      </c>
      <c r="G33" s="10">
        <v>2164.9589999999998</v>
      </c>
      <c r="H33" s="10">
        <v>1647.63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3960.489</v>
      </c>
      <c r="E34" s="10">
        <v>7433.2139999999999</v>
      </c>
      <c r="F34" s="10">
        <v>10312.402</v>
      </c>
      <c r="G34" s="10">
        <v>14931.049000000001</v>
      </c>
      <c r="H34" s="10">
        <v>19694.421999999999</v>
      </c>
      <c r="I34" s="10">
        <v>3643.6080000000002</v>
      </c>
    </row>
    <row r="35" spans="1:9" x14ac:dyDescent="0.3">
      <c r="A35" s="24" t="s">
        <v>72</v>
      </c>
      <c r="B35" s="25"/>
      <c r="C35" s="10"/>
      <c r="D35" s="10">
        <v>82.38</v>
      </c>
      <c r="E35" s="10">
        <v>179.291</v>
      </c>
      <c r="F35" s="10">
        <v>211.595</v>
      </c>
      <c r="G35" s="10">
        <v>250.23</v>
      </c>
      <c r="H35" s="10">
        <v>283.58999999999997</v>
      </c>
      <c r="I35" s="10">
        <v>72.546999999999997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4614.5709999999999</v>
      </c>
      <c r="E36" s="11">
        <f t="shared" si="4"/>
        <v>29240.768</v>
      </c>
      <c r="F36" s="11">
        <f t="shared" si="4"/>
        <v>45165.905000000006</v>
      </c>
      <c r="G36" s="11">
        <f t="shared" si="4"/>
        <v>47371.979000000007</v>
      </c>
      <c r="H36" s="11">
        <f t="shared" si="4"/>
        <v>45935.485999999997</v>
      </c>
      <c r="I36" s="11">
        <f t="shared" si="4"/>
        <v>4221.1379999999999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1822.6420000000001</v>
      </c>
      <c r="E38" s="10">
        <v>6917.1490000000003</v>
      </c>
      <c r="F38" s="10">
        <v>6516.4620000000004</v>
      </c>
      <c r="G38" s="10">
        <v>6108.79</v>
      </c>
      <c r="H38" s="10">
        <v>3934.5079999999998</v>
      </c>
      <c r="I38" s="10">
        <v>1163.2460000000001</v>
      </c>
    </row>
    <row r="39" spans="1:9" x14ac:dyDescent="0.3">
      <c r="A39" s="24" t="s">
        <v>76</v>
      </c>
      <c r="B39" s="25"/>
      <c r="C39" s="10"/>
      <c r="D39" s="10">
        <v>435.09699999999998</v>
      </c>
      <c r="E39" s="10">
        <v>862.30899999999997</v>
      </c>
      <c r="F39" s="10">
        <v>584.80899999999997</v>
      </c>
      <c r="G39" s="10">
        <v>432.70400000000001</v>
      </c>
      <c r="H39" s="10">
        <v>588.07600000000002</v>
      </c>
      <c r="I39" s="10">
        <v>367.952</v>
      </c>
    </row>
    <row r="40" spans="1:9" x14ac:dyDescent="0.3">
      <c r="A40" s="24" t="s">
        <v>77</v>
      </c>
      <c r="B40" s="25"/>
      <c r="C40" s="10"/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</row>
    <row r="41" spans="1:9" x14ac:dyDescent="0.3">
      <c r="A41" s="24" t="s">
        <v>78</v>
      </c>
      <c r="B41" s="25"/>
      <c r="C41" s="10"/>
      <c r="D41" s="10">
        <v>1616.787</v>
      </c>
      <c r="E41" s="10">
        <v>10605.249</v>
      </c>
      <c r="F41" s="10">
        <v>11917.981</v>
      </c>
      <c r="G41" s="10">
        <v>8837.9339999999993</v>
      </c>
      <c r="H41" s="10">
        <v>9764.6479999999992</v>
      </c>
      <c r="I41" s="10">
        <v>1869.1669999999999</v>
      </c>
    </row>
    <row r="42" spans="1:9" x14ac:dyDescent="0.3">
      <c r="A42" s="24" t="s">
        <v>79</v>
      </c>
      <c r="B42" s="25"/>
      <c r="C42" s="10"/>
      <c r="D42" s="10">
        <v>361.52100000000002</v>
      </c>
      <c r="E42" s="10">
        <v>2985.087</v>
      </c>
      <c r="F42" s="10">
        <v>4176.4930000000004</v>
      </c>
      <c r="G42" s="10">
        <v>5066.8680000000004</v>
      </c>
      <c r="H42" s="10">
        <v>6104.0649999999996</v>
      </c>
      <c r="I42" s="10">
        <v>303.91199999999998</v>
      </c>
    </row>
    <row r="43" spans="1:9" x14ac:dyDescent="0.3">
      <c r="A43" s="24" t="s">
        <v>80</v>
      </c>
      <c r="B43" s="25"/>
      <c r="C43" s="10"/>
      <c r="D43" s="10">
        <v>24.686</v>
      </c>
      <c r="E43" s="10">
        <v>68.331999999999994</v>
      </c>
      <c r="F43" s="10">
        <v>50.463000000000001</v>
      </c>
      <c r="G43" s="10">
        <v>46.206000000000003</v>
      </c>
      <c r="H43" s="10">
        <v>43.098999999999997</v>
      </c>
      <c r="I43" s="10">
        <v>23.736999999999998</v>
      </c>
    </row>
    <row r="44" spans="1:9" x14ac:dyDescent="0.3">
      <c r="A44" s="24" t="s">
        <v>81</v>
      </c>
      <c r="B44" s="25"/>
      <c r="C44" s="10"/>
      <c r="D44" s="10">
        <v>15.654</v>
      </c>
      <c r="E44" s="10">
        <v>366.464</v>
      </c>
      <c r="F44" s="10">
        <v>604.29200000000003</v>
      </c>
      <c r="G44" s="10">
        <v>580.89099999999996</v>
      </c>
      <c r="H44" s="10">
        <v>515.17499999999995</v>
      </c>
      <c r="I44" s="10">
        <v>0</v>
      </c>
    </row>
    <row r="45" spans="1:9" x14ac:dyDescent="0.3">
      <c r="A45" s="24" t="s">
        <v>82</v>
      </c>
      <c r="B45" s="25"/>
      <c r="C45" s="10"/>
      <c r="D45" s="10">
        <v>38.478999999999999</v>
      </c>
      <c r="E45" s="10">
        <v>37.156999999999996</v>
      </c>
      <c r="F45" s="10">
        <v>36.000999999999998</v>
      </c>
      <c r="G45" s="10">
        <v>35.646000000000001</v>
      </c>
      <c r="H45" s="10">
        <v>41.182000000000002</v>
      </c>
      <c r="I45" s="10">
        <v>40.051000000000002</v>
      </c>
    </row>
    <row r="46" spans="1:9" x14ac:dyDescent="0.3">
      <c r="A46" s="24" t="s">
        <v>83</v>
      </c>
      <c r="B46" s="25"/>
      <c r="C46" s="10"/>
      <c r="D46" s="10">
        <v>0</v>
      </c>
      <c r="E46" s="10">
        <v>0</v>
      </c>
      <c r="F46" s="10">
        <v>0</v>
      </c>
      <c r="G46" s="10">
        <v>56.81</v>
      </c>
      <c r="H46" s="10">
        <v>0</v>
      </c>
      <c r="I46" s="10">
        <v>0</v>
      </c>
    </row>
    <row r="47" spans="1:9" x14ac:dyDescent="0.3">
      <c r="A47" s="24" t="s">
        <v>84</v>
      </c>
      <c r="B47" s="25"/>
      <c r="C47" s="10"/>
      <c r="D47" s="10">
        <v>1847.123</v>
      </c>
      <c r="E47" s="10">
        <v>4879.5060000000003</v>
      </c>
      <c r="F47" s="10">
        <v>4600.3540000000003</v>
      </c>
      <c r="G47" s="10">
        <v>5699.6180000000004</v>
      </c>
      <c r="H47" s="10">
        <v>9646.7440000000006</v>
      </c>
      <c r="I47" s="10">
        <v>1414.393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6161.9889999999996</v>
      </c>
      <c r="E48" s="11">
        <f t="shared" si="5"/>
        <v>26721.253000000001</v>
      </c>
      <c r="F48" s="11">
        <f t="shared" si="5"/>
        <v>28486.855000000003</v>
      </c>
      <c r="G48" s="11">
        <f t="shared" si="5"/>
        <v>26865.467000000004</v>
      </c>
      <c r="H48" s="11">
        <f t="shared" si="5"/>
        <v>30637.496999999996</v>
      </c>
      <c r="I48" s="11">
        <f t="shared" si="5"/>
        <v>5182.4579999999996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10776.56</v>
      </c>
      <c r="E49" s="11">
        <f t="shared" si="6"/>
        <v>55962.021000000001</v>
      </c>
      <c r="F49" s="11">
        <f t="shared" si="6"/>
        <v>73652.760000000009</v>
      </c>
      <c r="G49" s="11">
        <f t="shared" si="6"/>
        <v>74237.446000000011</v>
      </c>
      <c r="H49" s="11">
        <f t="shared" si="6"/>
        <v>76572.982999999993</v>
      </c>
      <c r="I49" s="11">
        <f t="shared" si="6"/>
        <v>9403.5959999999995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34052.231</v>
      </c>
      <c r="E50" s="11">
        <f t="shared" si="7"/>
        <v>113698.07699999999</v>
      </c>
      <c r="F50" s="11">
        <f t="shared" si="7"/>
        <v>138828.497</v>
      </c>
      <c r="G50" s="11">
        <f t="shared" si="7"/>
        <v>147636.299</v>
      </c>
      <c r="H50" s="11">
        <f t="shared" si="7"/>
        <v>160845.19099999999</v>
      </c>
      <c r="I50" s="11">
        <f t="shared" si="7"/>
        <v>29207.915999999997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863.03800000000001</v>
      </c>
      <c r="E52" s="10">
        <v>2683.21</v>
      </c>
      <c r="F52" s="10">
        <v>2623.3420000000001</v>
      </c>
      <c r="G52" s="10">
        <v>2726.6640000000002</v>
      </c>
      <c r="H52" s="10">
        <v>2034.1410000000001</v>
      </c>
      <c r="I52" s="10">
        <v>354.58600000000001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21220.128000000001</v>
      </c>
      <c r="E53" s="10">
        <f t="shared" si="8"/>
        <v>44324.145000000004</v>
      </c>
      <c r="F53" s="10">
        <f t="shared" si="8"/>
        <v>69894.008999999991</v>
      </c>
      <c r="G53" s="10">
        <f t="shared" si="8"/>
        <v>110145.51</v>
      </c>
      <c r="H53" s="10">
        <f t="shared" si="8"/>
        <v>109282.51500000001</v>
      </c>
      <c r="I53" s="10">
        <f t="shared" si="8"/>
        <v>22062.363999999998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5439.9520000000002</v>
      </c>
      <c r="E54" s="10">
        <f t="shared" si="9"/>
        <v>15636.868</v>
      </c>
      <c r="F54" s="10">
        <f t="shared" si="9"/>
        <v>15123.508</v>
      </c>
      <c r="G54" s="10">
        <f t="shared" si="9"/>
        <v>16594.834999999999</v>
      </c>
      <c r="H54" s="10">
        <f t="shared" si="9"/>
        <v>19714.625</v>
      </c>
      <c r="I54" s="10">
        <f t="shared" si="9"/>
        <v>4693.5609999999997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2568.0890000000004</v>
      </c>
      <c r="E55" s="10">
        <f t="shared" si="10"/>
        <v>25917.630000000005</v>
      </c>
      <c r="F55" s="10">
        <f t="shared" si="10"/>
        <v>40653.996000000006</v>
      </c>
      <c r="G55" s="10">
        <f t="shared" si="10"/>
        <v>36589.749000000003</v>
      </c>
      <c r="H55" s="10">
        <f t="shared" si="10"/>
        <v>40036.47</v>
      </c>
      <c r="I55" s="10">
        <f t="shared" si="10"/>
        <v>2701.799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565.09500000000003</v>
      </c>
      <c r="E56" s="10">
        <f t="shared" si="11"/>
        <v>19645.962</v>
      </c>
      <c r="F56" s="10">
        <f t="shared" si="11"/>
        <v>31896.059000000001</v>
      </c>
      <c r="G56" s="10">
        <f t="shared" si="11"/>
        <v>30025.741000000002</v>
      </c>
      <c r="H56" s="10">
        <f t="shared" si="11"/>
        <v>24309.844000000001</v>
      </c>
      <c r="I56" s="10">
        <f t="shared" si="11"/>
        <v>504.983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25843.760000000002</v>
      </c>
      <c r="E58" s="10">
        <f t="shared" si="12"/>
        <v>83653.686000000002</v>
      </c>
      <c r="F58" s="10">
        <f t="shared" si="12"/>
        <v>105829.73300000001</v>
      </c>
      <c r="G58" s="10">
        <f t="shared" si="12"/>
        <v>109988.60200000001</v>
      </c>
      <c r="H58" s="10">
        <f t="shared" si="12"/>
        <v>124308.678</v>
      </c>
      <c r="I58" s="10">
        <f t="shared" si="12"/>
        <v>22506.118999999999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7140.2550000000001</v>
      </c>
      <c r="E59" s="10">
        <f t="shared" si="13"/>
        <v>22067.169000000002</v>
      </c>
      <c r="F59" s="10">
        <f t="shared" si="13"/>
        <v>21914.042000000001</v>
      </c>
      <c r="G59" s="10">
        <f t="shared" si="13"/>
        <v>22601.087</v>
      </c>
      <c r="H59" s="10">
        <f t="shared" si="13"/>
        <v>28597.127</v>
      </c>
      <c r="I59" s="10">
        <f t="shared" si="13"/>
        <v>6422.1469999999999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4104.8619999999992</v>
      </c>
      <c r="E60" s="10">
        <f t="shared" si="14"/>
        <v>12658.964000000002</v>
      </c>
      <c r="F60" s="10">
        <f t="shared" si="14"/>
        <v>11701.625000000004</v>
      </c>
      <c r="G60" s="10">
        <f t="shared" si="14"/>
        <v>12297.922000000002</v>
      </c>
      <c r="H60" s="10">
        <f t="shared" si="14"/>
        <v>14169.327999999996</v>
      </c>
      <c r="I60" s="10">
        <f t="shared" si="14"/>
        <v>2945.5909999999999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24271.285</v>
      </c>
      <c r="E64" s="10">
        <v>54243.118000000002</v>
      </c>
      <c r="F64" s="10">
        <v>68069.282000000007</v>
      </c>
      <c r="G64" s="10">
        <v>80026.225999999995</v>
      </c>
      <c r="H64" s="10">
        <v>88956.327999999994</v>
      </c>
      <c r="I64" s="10">
        <v>17231.708999999999</v>
      </c>
    </row>
    <row r="65" spans="1:9" x14ac:dyDescent="0.3">
      <c r="A65" s="24" t="s">
        <v>99</v>
      </c>
      <c r="B65" s="25"/>
      <c r="C65" s="10"/>
      <c r="D65" s="10">
        <v>-18206.88</v>
      </c>
      <c r="E65" s="10">
        <v>-38779.542000000001</v>
      </c>
      <c r="F65" s="10">
        <v>-47650.809000000001</v>
      </c>
      <c r="G65" s="10">
        <v>-54345.821000000004</v>
      </c>
      <c r="H65" s="10">
        <v>-57384.978000000003</v>
      </c>
      <c r="I65" s="10">
        <v>-16582.605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6064.4049999999988</v>
      </c>
      <c r="E66" s="11">
        <f t="shared" si="15"/>
        <v>15463.576000000001</v>
      </c>
      <c r="F66" s="11">
        <f t="shared" si="15"/>
        <v>20418.473000000005</v>
      </c>
      <c r="G66" s="11">
        <f t="shared" si="15"/>
        <v>25680.404999999992</v>
      </c>
      <c r="H66" s="11">
        <f t="shared" si="15"/>
        <v>31571.349999999991</v>
      </c>
      <c r="I66" s="11">
        <f t="shared" si="15"/>
        <v>649.10399999999936</v>
      </c>
    </row>
    <row r="67" spans="1:9" x14ac:dyDescent="0.3">
      <c r="A67" s="24" t="s">
        <v>101</v>
      </c>
      <c r="B67" s="25"/>
      <c r="C67" s="10"/>
      <c r="D67" s="10">
        <v>-189.53700000000001</v>
      </c>
      <c r="E67" s="10">
        <v>-1603.3230000000001</v>
      </c>
      <c r="F67" s="10">
        <v>-2705.2629999999999</v>
      </c>
      <c r="G67" s="10">
        <v>-3285.9229999999998</v>
      </c>
      <c r="H67" s="10">
        <v>-2935.1390000000001</v>
      </c>
      <c r="I67" s="10">
        <v>-204.34399999999999</v>
      </c>
    </row>
    <row r="68" spans="1:9" x14ac:dyDescent="0.3">
      <c r="A68" s="24" t="s">
        <v>102</v>
      </c>
      <c r="B68" s="25"/>
      <c r="C68" s="10"/>
      <c r="D68" s="10">
        <v>-524.70899999999995</v>
      </c>
      <c r="E68" s="10">
        <v>-1299.4390000000001</v>
      </c>
      <c r="F68" s="10">
        <v>-1381.633</v>
      </c>
      <c r="G68" s="10">
        <v>-1516.046</v>
      </c>
      <c r="H68" s="10">
        <v>-1688.886</v>
      </c>
      <c r="I68" s="10">
        <v>-468.65100000000001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-377.94600000000003</v>
      </c>
      <c r="E70" s="10">
        <v>-808.96400000000006</v>
      </c>
      <c r="F70" s="10">
        <v>-750.07799999999997</v>
      </c>
      <c r="G70" s="10">
        <v>-826.875</v>
      </c>
      <c r="H70" s="10">
        <v>-1479.2760000000001</v>
      </c>
      <c r="I70" s="10">
        <v>-0.56699999999999995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4972.2129999999988</v>
      </c>
      <c r="E71" s="11">
        <f t="shared" si="16"/>
        <v>11751.85</v>
      </c>
      <c r="F71" s="11">
        <f t="shared" si="16"/>
        <v>15581.499000000007</v>
      </c>
      <c r="G71" s="11">
        <f t="shared" si="16"/>
        <v>20051.560999999994</v>
      </c>
      <c r="H71" s="11">
        <f t="shared" si="16"/>
        <v>25468.048999999992</v>
      </c>
      <c r="I71" s="11">
        <f t="shared" si="16"/>
        <v>-24.458000000000645</v>
      </c>
    </row>
    <row r="72" spans="1:9" x14ac:dyDescent="0.3">
      <c r="A72" s="24" t="s">
        <v>106</v>
      </c>
      <c r="B72" s="25"/>
      <c r="C72" s="10"/>
      <c r="D72" s="10">
        <v>81.709999999999994</v>
      </c>
      <c r="E72" s="10">
        <v>230.69499999999999</v>
      </c>
      <c r="F72" s="10">
        <v>436.173</v>
      </c>
      <c r="G72" s="10">
        <v>540.37300000000005</v>
      </c>
      <c r="H72" s="10">
        <v>760.77200000000005</v>
      </c>
      <c r="I72" s="10">
        <v>36.134</v>
      </c>
    </row>
    <row r="73" spans="1:9" x14ac:dyDescent="0.3">
      <c r="A73" s="24" t="s">
        <v>107</v>
      </c>
      <c r="B73" s="25"/>
      <c r="C73" s="10"/>
      <c r="D73" s="10">
        <v>160.54300000000001</v>
      </c>
      <c r="E73" s="10">
        <v>745.85199999999998</v>
      </c>
      <c r="F73" s="10">
        <v>527.702</v>
      </c>
      <c r="G73" s="10">
        <v>299.31799999999998</v>
      </c>
      <c r="H73" s="10">
        <v>1068.8309999999999</v>
      </c>
      <c r="I73" s="10">
        <v>48.856999999999999</v>
      </c>
    </row>
    <row r="74" spans="1:9" x14ac:dyDescent="0.3">
      <c r="A74" s="24" t="s">
        <v>108</v>
      </c>
      <c r="B74" s="25"/>
      <c r="C74" s="10"/>
      <c r="D74" s="10">
        <v>2.8490000000000002</v>
      </c>
      <c r="E74" s="10">
        <v>1.3080000000000001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-109.623</v>
      </c>
      <c r="E75" s="10">
        <v>-1201.6120000000001</v>
      </c>
      <c r="F75" s="10">
        <v>-3645.2649999999999</v>
      </c>
      <c r="G75" s="10">
        <v>-5536.2979999999998</v>
      </c>
      <c r="H75" s="10">
        <v>-5772.1319999999996</v>
      </c>
      <c r="I75" s="10">
        <v>-233.8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5107.6919999999991</v>
      </c>
      <c r="E76" s="11">
        <f t="shared" si="17"/>
        <v>11528.093000000001</v>
      </c>
      <c r="F76" s="11">
        <f t="shared" si="17"/>
        <v>12900.109000000008</v>
      </c>
      <c r="G76" s="11">
        <f t="shared" si="17"/>
        <v>15354.953999999994</v>
      </c>
      <c r="H76" s="11">
        <f t="shared" si="17"/>
        <v>21525.51999999999</v>
      </c>
      <c r="I76" s="11">
        <f t="shared" si="17"/>
        <v>-173.26700000000065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-45.66</v>
      </c>
      <c r="G77" s="10">
        <v>-55.222999999999999</v>
      </c>
      <c r="H77" s="10">
        <v>0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-1636.3409999999999</v>
      </c>
      <c r="E78" s="10">
        <v>-4415.5529999999999</v>
      </c>
      <c r="F78" s="10">
        <v>-5414.768</v>
      </c>
      <c r="G78" s="10">
        <v>-7076.6149999999998</v>
      </c>
      <c r="H78" s="10">
        <v>-8199.3179999999993</v>
      </c>
      <c r="I78" s="10">
        <v>113.886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3471.3509999999992</v>
      </c>
      <c r="E79" s="11">
        <f t="shared" si="18"/>
        <v>7112.5400000000009</v>
      </c>
      <c r="F79" s="11">
        <f t="shared" si="18"/>
        <v>7439.6810000000078</v>
      </c>
      <c r="G79" s="11">
        <f t="shared" si="18"/>
        <v>8223.1159999999945</v>
      </c>
      <c r="H79" s="11">
        <f t="shared" si="18"/>
        <v>13326.20199999999</v>
      </c>
      <c r="I79" s="11">
        <f t="shared" si="18"/>
        <v>-59.381000000000654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1599.5509999999999</v>
      </c>
      <c r="E81" s="10">
        <v>2950.143</v>
      </c>
      <c r="F81" s="10">
        <v>3649.886</v>
      </c>
      <c r="G81" s="10">
        <v>4058.0509999999999</v>
      </c>
      <c r="H81" s="10">
        <v>4969.7390000000005</v>
      </c>
      <c r="I81" s="10"/>
    </row>
    <row r="82" spans="1:9" x14ac:dyDescent="0.3">
      <c r="A82" s="24" t="s">
        <v>116</v>
      </c>
      <c r="B82" s="25"/>
      <c r="C82" s="10"/>
      <c r="D82" s="10">
        <f>D76+D85</f>
        <v>5199.8039999999992</v>
      </c>
      <c r="E82" s="10">
        <f>E76+E85</f>
        <v>12523.317000000001</v>
      </c>
      <c r="F82" s="10">
        <f>F76+F85</f>
        <v>15524.919000000007</v>
      </c>
      <c r="G82" s="10">
        <f>G76+G85</f>
        <v>20878.690999999995</v>
      </c>
      <c r="H82" s="10">
        <f>H76+H85</f>
        <v>27199.797999999988</v>
      </c>
      <c r="I82" s="10">
        <f>I76-I75</f>
        <v>60.532999999999362</v>
      </c>
    </row>
    <row r="83" spans="1:9" x14ac:dyDescent="0.3">
      <c r="A83" s="24" t="s">
        <v>117</v>
      </c>
      <c r="B83" s="25"/>
      <c r="C83" s="10"/>
      <c r="D83" s="10">
        <f>D82+D81</f>
        <v>6799.3549999999996</v>
      </c>
      <c r="E83" s="10">
        <f>E82+E81</f>
        <v>15473.460000000001</v>
      </c>
      <c r="F83" s="10">
        <f>F82+F81</f>
        <v>19174.805000000008</v>
      </c>
      <c r="G83" s="10">
        <f>G82+G81</f>
        <v>24936.741999999995</v>
      </c>
      <c r="H83" s="10">
        <f>H82+H81</f>
        <v>32169.536999999989</v>
      </c>
      <c r="I83" s="10"/>
    </row>
    <row r="84" spans="1:9" x14ac:dyDescent="0.3">
      <c r="A84" s="24" t="s">
        <v>118</v>
      </c>
      <c r="B84" s="25"/>
      <c r="C84" s="10"/>
      <c r="D84" s="10">
        <v>17.510999999999999</v>
      </c>
      <c r="E84" s="10">
        <v>206.38800000000001</v>
      </c>
      <c r="F84" s="10">
        <v>1020.455</v>
      </c>
      <c r="G84" s="10">
        <v>12.561</v>
      </c>
      <c r="H84" s="10">
        <v>97.853999999999999</v>
      </c>
      <c r="I84" s="12"/>
    </row>
    <row r="85" spans="1:9" x14ac:dyDescent="0.3">
      <c r="A85" s="24" t="s">
        <v>119</v>
      </c>
      <c r="B85" s="25"/>
      <c r="C85" s="10"/>
      <c r="D85" s="10">
        <f>-D75-D84</f>
        <v>92.112000000000009</v>
      </c>
      <c r="E85" s="10">
        <f>-E75-E84</f>
        <v>995.22400000000005</v>
      </c>
      <c r="F85" s="10">
        <f>-F75-F84</f>
        <v>2624.81</v>
      </c>
      <c r="G85" s="10">
        <f>-G75-G84</f>
        <v>5523.7370000000001</v>
      </c>
      <c r="H85" s="10">
        <f>-H75-H84</f>
        <v>5674.2779999999993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0.32036798616674617</v>
      </c>
      <c r="E86" s="13">
        <f>IF(E76&lt;=0,"n/m",-(E77+E78)/E76)</f>
        <v>0.38302544922217402</v>
      </c>
      <c r="F86" s="13">
        <f>IF(F76&lt;=0,"n/m",-(F77+F78)/F76)</f>
        <v>0.42328541565036365</v>
      </c>
      <c r="G86" s="13">
        <f>IF(G76&lt;=0,"n/m",-(G77+G78)/G76)</f>
        <v>0.46446495378625052</v>
      </c>
      <c r="H86" s="13">
        <f>IF(H76&lt;=0,"n/m",-(H77+H78)/H76)</f>
        <v>0.3809114948210312</v>
      </c>
      <c r="I86" s="12"/>
    </row>
    <row r="87" spans="1:9" x14ac:dyDescent="0.3">
      <c r="A87" s="24" t="s">
        <v>121</v>
      </c>
      <c r="B87" s="25"/>
      <c r="C87" s="13"/>
      <c r="D87" s="13">
        <f>D86</f>
        <v>0.32036798616674617</v>
      </c>
      <c r="E87" s="13">
        <f>E86</f>
        <v>0.38302544922217402</v>
      </c>
      <c r="F87" s="13">
        <f>F86</f>
        <v>0.42328541565036365</v>
      </c>
      <c r="G87" s="13">
        <f>G86</f>
        <v>0.46446495378625052</v>
      </c>
      <c r="H87" s="13">
        <f>H86</f>
        <v>0.3809114948210312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3533.9532640582083</v>
      </c>
      <c r="E88" s="10">
        <f>IF(ISNUMBER(E87),E82*(1-E87),"n/m")</f>
        <v>7726.5678803233113</v>
      </c>
      <c r="F88" s="10">
        <f>IF(ISNUMBER(F87),F82*(1-F87),"n/m")</f>
        <v>8953.4472081467775</v>
      </c>
      <c r="G88" s="10">
        <f>IF(ISNUMBER(G87),G82*(1-G87),"n/m")</f>
        <v>11181.270749567593</v>
      </c>
      <c r="H88" s="10">
        <f>IF(ISNUMBER(H87),H82*(1-H87),"n/m")</f>
        <v>16839.082284989898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</row>
    <row r="93" spans="1:9" x14ac:dyDescent="0.3">
      <c r="A93" s="24" t="s">
        <v>125</v>
      </c>
      <c r="B93" s="25"/>
      <c r="C93" s="10"/>
      <c r="D93" s="10">
        <v>5739.0969999999998</v>
      </c>
      <c r="E93" s="10">
        <v>7567.5640000000003</v>
      </c>
      <c r="F93" s="10">
        <v>16030.998</v>
      </c>
      <c r="G93" s="10">
        <v>22284.607</v>
      </c>
      <c r="H93" s="10">
        <v>24313.207999999999</v>
      </c>
      <c r="I93" s="10">
        <v>1013.426</v>
      </c>
    </row>
    <row r="94" spans="1:9" x14ac:dyDescent="0.3">
      <c r="A94" s="24" t="s">
        <v>126</v>
      </c>
      <c r="B94" s="25"/>
      <c r="C94" s="10"/>
      <c r="D94" s="10">
        <v>-5141.6580000000004</v>
      </c>
      <c r="E94" s="10">
        <v>-26064.704000000002</v>
      </c>
      <c r="F94" s="10">
        <v>-29667.172999999999</v>
      </c>
      <c r="G94" s="10">
        <v>-8158.0360000000001</v>
      </c>
      <c r="H94" s="10">
        <v>-11259.19</v>
      </c>
      <c r="I94" s="10">
        <v>-545.10900000000004</v>
      </c>
    </row>
    <row r="95" spans="1:9" x14ac:dyDescent="0.3">
      <c r="A95" s="24" t="s">
        <v>127</v>
      </c>
      <c r="B95" s="25"/>
      <c r="C95" s="10"/>
      <c r="D95" s="10">
        <v>-5.4550000000000001</v>
      </c>
      <c r="E95" s="10">
        <v>19345.922999999999</v>
      </c>
      <c r="F95" s="10">
        <v>10897.767</v>
      </c>
      <c r="G95" s="10">
        <v>-8479.9959999999992</v>
      </c>
      <c r="H95" s="10">
        <v>-12739.191999999999</v>
      </c>
      <c r="I95" s="10">
        <v>-1181.854</v>
      </c>
    </row>
    <row r="96" spans="1:9" x14ac:dyDescent="0.3">
      <c r="A96" s="24" t="s">
        <v>128</v>
      </c>
      <c r="B96" s="25"/>
      <c r="C96" s="10"/>
      <c r="D96" s="10">
        <v>-1007.205</v>
      </c>
      <c r="E96" s="10">
        <v>-28425.596000000001</v>
      </c>
      <c r="F96" s="10">
        <v>-33903.442000000003</v>
      </c>
      <c r="G96" s="10">
        <v>-8478.8760000000002</v>
      </c>
      <c r="H96" s="10">
        <v>-3477.6469999999999</v>
      </c>
      <c r="I96" s="10">
        <v>-586.40899999999999</v>
      </c>
    </row>
    <row r="97" spans="1:9" x14ac:dyDescent="0.3">
      <c r="A97" s="24" t="s">
        <v>129</v>
      </c>
      <c r="B97" s="25"/>
      <c r="C97" s="10"/>
      <c r="D97" s="10">
        <v>-94.843000000000004</v>
      </c>
      <c r="E97" s="10">
        <v>-985.17200000000003</v>
      </c>
      <c r="F97" s="10">
        <v>-2483.1010000000001</v>
      </c>
      <c r="G97" s="10">
        <v>-6993.06</v>
      </c>
      <c r="H97" s="10">
        <v>-5559.451</v>
      </c>
      <c r="I97" s="10">
        <v>-232.70599999999999</v>
      </c>
    </row>
    <row r="98" spans="1:9" x14ac:dyDescent="0.3">
      <c r="A98" s="24" t="s">
        <v>130</v>
      </c>
      <c r="B98" s="25"/>
      <c r="C98" s="10"/>
      <c r="D98" s="10">
        <v>-1.5720000000000001</v>
      </c>
      <c r="E98" s="10">
        <v>-1.3220000000000001</v>
      </c>
      <c r="F98" s="10">
        <v>-1.1559999999999999</v>
      </c>
      <c r="G98" s="10">
        <v>-0.35499999999999998</v>
      </c>
      <c r="H98" s="10">
        <v>-2447.3110000000001</v>
      </c>
      <c r="I98" s="10">
        <v>-1038.557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1379.8150000000001</v>
      </c>
      <c r="E103" s="15">
        <f>E27/E102-E107</f>
        <v>2180.3090000000002</v>
      </c>
      <c r="F103" s="15">
        <f>F27/F102-F107</f>
        <v>2452.8476000000001</v>
      </c>
      <c r="G103" s="15">
        <f>G27/G102-G107</f>
        <v>2452.8476000000001</v>
      </c>
      <c r="H103" s="15">
        <f>H27/H102-H107</f>
        <v>2452.8476000000001</v>
      </c>
    </row>
    <row r="104" spans="1:9" x14ac:dyDescent="0.3">
      <c r="A104" s="24" t="s">
        <v>134</v>
      </c>
      <c r="B104" s="25"/>
      <c r="C104" s="15"/>
      <c r="D104" s="15">
        <v>1379.8150000000001</v>
      </c>
      <c r="E104" s="15">
        <v>2180.3090000000002</v>
      </c>
      <c r="F104" s="15">
        <f>F103</f>
        <v>2452.8476000000001</v>
      </c>
      <c r="G104" s="15">
        <v>2452.8470000000002</v>
      </c>
      <c r="H104" s="15">
        <v>2452.8470000000002</v>
      </c>
    </row>
    <row r="105" spans="1:9" x14ac:dyDescent="0.3">
      <c r="A105" s="24" t="s">
        <v>135</v>
      </c>
      <c r="B105" s="25"/>
      <c r="C105" s="14"/>
      <c r="D105" s="14">
        <v>23</v>
      </c>
      <c r="E105" s="14">
        <v>14.17</v>
      </c>
      <c r="F105" s="14">
        <v>11.76</v>
      </c>
      <c r="G105" s="14">
        <v>22.91</v>
      </c>
      <c r="H105" s="14">
        <v>44.67</v>
      </c>
    </row>
    <row r="106" spans="1:9" x14ac:dyDescent="0.3">
      <c r="A106" s="24" t="s">
        <v>136</v>
      </c>
      <c r="B106" s="25"/>
      <c r="C106" s="14"/>
      <c r="D106" s="52">
        <v>0</v>
      </c>
      <c r="E106" s="52">
        <v>0</v>
      </c>
      <c r="F106" s="52">
        <v>0</v>
      </c>
      <c r="G106" s="14">
        <v>1</v>
      </c>
      <c r="H106" s="14">
        <v>1.25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260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2" t="s">
        <v>141</v>
      </c>
      <c r="B110" s="92"/>
      <c r="C110" s="92"/>
      <c r="D110" s="92"/>
      <c r="E110" s="92"/>
      <c r="F110" s="92"/>
      <c r="G110" s="92"/>
      <c r="H110" s="92"/>
    </row>
    <row r="111" spans="1:9" ht="27" customHeight="1" x14ac:dyDescent="0.3">
      <c r="A111" s="73" t="s">
        <v>142</v>
      </c>
      <c r="B111" s="30" t="s">
        <v>143</v>
      </c>
      <c r="C111" s="80" t="s">
        <v>261</v>
      </c>
      <c r="D111" s="74">
        <f>IF(OR(NOT(ISNUMBER(D24)),NOT(ISNUMBER(D48))),"n/m",IF(OR((D48)&lt;=0,(D24)&lt;0),"n/m",(D24)/(D48)))</f>
        <v>2.01862288296847</v>
      </c>
      <c r="E111" s="74">
        <f>IF(OR(NOT(ISNUMBER(E24)),NOT(ISNUMBER(E48))),"n/m",IF(OR((E48)&lt;=0,(E24)&lt;0),"n/m",(E24)/(E48)))</f>
        <v>1.0559688948718087</v>
      </c>
      <c r="F111" s="74">
        <f>IF(OR(NOT(ISNUMBER(F24)),NOT(ISNUMBER(F48))),"n/m",IF(OR((F48)&lt;=0,(F24)&lt;0),"n/m",(F24)/(F48)))</f>
        <v>0.81211137558007007</v>
      </c>
      <c r="G111" s="74">
        <f>IF(OR(NOT(ISNUMBER(G24)),NOT(ISNUMBER(G48))),"n/m",IF(OR((G48)&lt;=0,(G24)&lt;0),"n/m",(G24)/(G48)))</f>
        <v>0.95974773116730094</v>
      </c>
      <c r="H111" s="74">
        <f>IF(OR(NOT(ISNUMBER(H24)),NOT(ISNUMBER(H48))),"n/m",IF(OR((H48)&lt;=0,(H24)&lt;0),"n/m",(H24)/(H48)))</f>
        <v>1.3210140828410366</v>
      </c>
    </row>
    <row r="112" spans="1:9" ht="27" customHeight="1" x14ac:dyDescent="0.3">
      <c r="A112" s="73" t="s">
        <v>144</v>
      </c>
      <c r="B112" s="30" t="s">
        <v>145</v>
      </c>
      <c r="C112" s="80" t="s">
        <v>262</v>
      </c>
      <c r="D112" s="74">
        <f>IF(OR(NOT(ISNUMBER(D24-D54)),NOT(ISNUMBER(D48))),"n/m",IF(OR((D48)&lt;=0,(D24-D54)&lt;0),"n/m",(D24-D54)/(D48)))</f>
        <v>1.1357988467684703</v>
      </c>
      <c r="E112" s="74">
        <f>IF(OR(NOT(ISNUMBER(E24-E54)),NOT(ISNUMBER(E48))),"n/m",IF(OR((E48)&lt;=0,(E24-E54)&lt;0),"n/m",(E24-E54)/(E48)))</f>
        <v>0.47078421060569281</v>
      </c>
      <c r="F112" s="74">
        <f>IF(OR(NOT(ISNUMBER(F24-F54)),NOT(ISNUMBER(F48))),"n/m",IF(OR((F48)&lt;=0,(F24-F54)&lt;0),"n/m",(F24-F54)/(F48)))</f>
        <v>0.28121710873313321</v>
      </c>
      <c r="G112" s="74">
        <f>IF(OR(NOT(ISNUMBER(G24-G54)),NOT(ISNUMBER(G48))),"n/m",IF(OR((G48)&lt;=0,(G24-G54)&lt;0),"n/m",(G24-G54)/(G48)))</f>
        <v>0.3420463898878065</v>
      </c>
      <c r="H112" s="74">
        <f>IF(OR(NOT(ISNUMBER(H24-H54)),NOT(ISNUMBER(H48))),"n/m",IF(OR((H48)&lt;=0,(H24-H54)&lt;0),"n/m",(H24-H54)/(H48)))</f>
        <v>0.67753380767364924</v>
      </c>
    </row>
    <row r="113" spans="1:8" ht="27" customHeight="1" x14ac:dyDescent="0.3">
      <c r="A113" s="73" t="s">
        <v>146</v>
      </c>
      <c r="B113" s="30" t="s">
        <v>147</v>
      </c>
      <c r="C113" s="80" t="s">
        <v>263</v>
      </c>
      <c r="D113" s="74">
        <f>IF(OR(NOT(ISNUMBER(D157)),NOT(ISNUMBER(D48))),"n/m",IF(OR((D48)&lt;=0,(D157)&lt;0),"n/m",(D157)/(D48)))</f>
        <v>0.14618299383526975</v>
      </c>
      <c r="E113" s="74">
        <f>IF(OR(NOT(ISNUMBER(E157)),NOT(ISNUMBER(E48))),"n/m",IF(OR((E48)&lt;=0,(E157)&lt;0),"n/m",(E157)/(E48)))</f>
        <v>8.632203736853207E-2</v>
      </c>
      <c r="F113" s="74">
        <f>IF(OR(NOT(ISNUMBER(F157)),NOT(ISNUMBER(F48))),"n/m",IF(OR((F48)&lt;=0,(F157)&lt;0),"n/m",(F157)/(F48)))</f>
        <v>3.0925035424233385E-2</v>
      </c>
      <c r="G113" s="74">
        <f>IF(OR(NOT(ISNUMBER(G157)),NOT(ISNUMBER(G48))),"n/m",IF(OR((G48)&lt;=0,(G157)&lt;0),"n/m",(G157)/(G48)))</f>
        <v>0.10599048957533475</v>
      </c>
      <c r="H113" s="74">
        <f>IF(OR(NOT(ISNUMBER(H157)),NOT(ISNUMBER(H48))),"n/m",IF(OR((H48)&lt;=0,(H157)&lt;0),"n/m",(H157)/(H48)))</f>
        <v>8.4205246923402408E-2</v>
      </c>
    </row>
    <row r="114" spans="1:8" ht="27" customHeight="1" x14ac:dyDescent="0.3">
      <c r="A114" s="73" t="s">
        <v>148</v>
      </c>
      <c r="B114" s="30" t="s">
        <v>149</v>
      </c>
      <c r="C114" s="80" t="s">
        <v>264</v>
      </c>
      <c r="D114" s="75">
        <f>IF(OR(NOT(ISNUMBER(D24-D48)),NOT(ISNUMBER(1))),"n/m",IF(OR((1)&lt;=0,(D24-D48)&lt;0),"n/m",(D24-D48)/(1)))</f>
        <v>6276.7430000000004</v>
      </c>
      <c r="E114" s="75">
        <f>IF(OR(NOT(ISNUMBER(E24-E48)),NOT(ISNUMBER(1))),"n/m",IF(OR((1)&lt;=0,(E24-E48)&lt;0),"n/m",(E24-E48)/(1)))</f>
        <v>1495.5590000000011</v>
      </c>
      <c r="F114" s="75" t="str">
        <f>IF(OR(NOT(ISNUMBER(F24-F48)),NOT(ISNUMBER(1))),"n/m",IF(OR((1)&lt;=0,(F24-F48)&lt;0),"n/m",(F24-F48)/(1)))</f>
        <v>n/m</v>
      </c>
      <c r="G114" s="75" t="str">
        <f>IF(OR(NOT(ISNUMBER(G24-G48)),NOT(ISNUMBER(1))),"n/m",IF(OR((1)&lt;=0,(G24-G48)&lt;0),"n/m",(G24-G48)/(1)))</f>
        <v>n/m</v>
      </c>
      <c r="H114" s="75">
        <f>IF(OR(NOT(ISNUMBER(H24-H48)),NOT(ISNUMBER(1))),"n/m",IF(OR((1)&lt;=0,(H24-H48)&lt;0),"n/m",(H24-H48)/(1)))</f>
        <v>9835.0680000000066</v>
      </c>
    </row>
    <row r="115" spans="1:8" ht="21" customHeight="1" x14ac:dyDescent="0.3">
      <c r="A115" s="92" t="s">
        <v>150</v>
      </c>
      <c r="B115" s="92"/>
      <c r="C115" s="92"/>
      <c r="D115" s="93"/>
      <c r="E115" s="93"/>
      <c r="F115" s="93"/>
      <c r="G115" s="93"/>
      <c r="H115" s="93"/>
    </row>
    <row r="116" spans="1:8" ht="27" customHeight="1" x14ac:dyDescent="0.3">
      <c r="A116" s="73" t="s">
        <v>151</v>
      </c>
      <c r="B116" s="30" t="s">
        <v>152</v>
      </c>
      <c r="C116" s="80" t="s">
        <v>265</v>
      </c>
      <c r="D116" s="74">
        <f>IF(OR(NOT(ISNUMBER(-D65)),NOT(ISNUMBER(AVERAGE(I54,D54)))),"n/m",IF(OR((AVERAGE(I54,D54))&lt;=0,(-D65)&lt;0),"n/m",(-D65)/(AVERAGE(I54,D54))))</f>
        <v>3.593399445976929</v>
      </c>
      <c r="E116" s="74">
        <f>IF(OR(NOT(ISNUMBER(-E65)),NOT(ISNUMBER(AVERAGE(D54,E54)))),"n/m",IF(OR((AVERAGE(D54,E54))&lt;=0,(-E65)&lt;0),"n/m",(-E65)/(AVERAGE(D54,E54))))</f>
        <v>3.6798285509863442</v>
      </c>
      <c r="F116" s="74">
        <f>IF(OR(NOT(ISNUMBER(-F65)),NOT(ISNUMBER(AVERAGE(E54,F54)))),"n/m",IF(OR((AVERAGE(E54,F54))&lt;=0,(-F65)&lt;0),"n/m",(-F65)/(AVERAGE(E54,F54))))</f>
        <v>3.0981941833220765</v>
      </c>
      <c r="G116" s="74">
        <f>IF(OR(NOT(ISNUMBER(-G65)),NOT(ISNUMBER(AVERAGE(F54,G54)))),"n/m",IF(OR((AVERAGE(F54,G54))&lt;=0,(-G65)&lt;0),"n/m",(-G65)/(AVERAGE(F54,G54))))</f>
        <v>3.4267755412065504</v>
      </c>
      <c r="H116" s="74">
        <f>IF(OR(NOT(ISNUMBER(-H65)),NOT(ISNUMBER(AVERAGE(G54,H54)))),"n/m",IF(OR((AVERAGE(G54,H54))&lt;=0,(-H65)&lt;0),"n/m",(-H65)/(AVERAGE(G54,H54))))</f>
        <v>3.1608830315846066</v>
      </c>
    </row>
    <row r="117" spans="1:8" ht="27" customHeight="1" x14ac:dyDescent="0.3">
      <c r="A117" s="73" t="s">
        <v>153</v>
      </c>
      <c r="B117" s="30" t="s">
        <v>154</v>
      </c>
      <c r="C117" s="80" t="s">
        <v>266</v>
      </c>
      <c r="D117" s="74">
        <f>IF(OR(NOT(ISNUMBER(D64)),NOT(ISNUMBER(AVERAGE(I20,D20)))),"n/m",IF(OR((AVERAGE(I20,D20))&lt;=0,(D64)&lt;0),"n/m",(D64)/(AVERAGE(I20,D20))))</f>
        <v>19.415164144242155</v>
      </c>
      <c r="E117" s="74">
        <f>IF(OR(NOT(ISNUMBER(E64)),NOT(ISNUMBER(AVERAGE(D20,E20)))),"n/m",IF(OR((AVERAGE(D20,E20))&lt;=0,(E64)&lt;0),"n/m",(E64)/(AVERAGE(D20,E20))))</f>
        <v>28.088084014998095</v>
      </c>
      <c r="F117" s="74">
        <f>IF(OR(NOT(ISNUMBER(F64)),NOT(ISNUMBER(AVERAGE(E20,F20)))),"n/m",IF(OR((AVERAGE(E20,F20))&lt;=0,(F64)&lt;0),"n/m",(F64)/(AVERAGE(E20,F20))))</f>
        <v>22.745855737892271</v>
      </c>
      <c r="G117" s="74">
        <f>IF(OR(NOT(ISNUMBER(G64)),NOT(ISNUMBER(AVERAGE(F20,G20)))),"n/m",IF(OR((AVERAGE(F20,G20))&lt;=0,(G64)&lt;0),"n/m",(G64)/(AVERAGE(F20,G20))))</f>
        <v>17.554064923929165</v>
      </c>
      <c r="H117" s="74">
        <f>IF(OR(NOT(ISNUMBER(H64)),NOT(ISNUMBER(AVERAGE(G20,H20)))),"n/m",IF(OR((AVERAGE(G20,H20))&lt;=0,(H64)&lt;0),"n/m",(H64)/(AVERAGE(G20,H20))))</f>
        <v>14.282644096931071</v>
      </c>
    </row>
    <row r="118" spans="1:8" ht="27" customHeight="1" x14ac:dyDescent="0.3">
      <c r="A118" s="73" t="s">
        <v>155</v>
      </c>
      <c r="B118" s="30" t="s">
        <v>156</v>
      </c>
      <c r="C118" s="80" t="s">
        <v>267</v>
      </c>
      <c r="D118" s="76">
        <f>IF(OR(NOT(ISNUMBER(365*AVERAGE(I54,D54))),NOT(ISNUMBER(-D65))),"n/m",IF(OR((-D65)&lt;=0,(365*AVERAGE(I54,D54))&lt;0),"n/m",(365*AVERAGE(I54,D54))/(-D65)))</f>
        <v>101.57512558439446</v>
      </c>
      <c r="E118" s="76">
        <f>IF(OR(NOT(ISNUMBER(365*AVERAGE(D54,E54))),NOT(ISNUMBER(-E65))),"n/m",IF(OR((-E65)&lt;=0,(365*AVERAGE(D54,E54))&lt;0),"n/m",(365*AVERAGE(D54,E54))/(-E65)))</f>
        <v>99.189403784088</v>
      </c>
      <c r="F118" s="76">
        <f>IF(OR(NOT(ISNUMBER(365*AVERAGE(E54,F54))),NOT(ISNUMBER(-F65))),"n/m",IF(OR((-F65)&lt;=0,(365*AVERAGE(E54,F54))&lt;0),"n/m",(365*AVERAGE(E54,F54))/(-F65)))</f>
        <v>117.81056267061489</v>
      </c>
      <c r="G118" s="76">
        <f>IF(OR(NOT(ISNUMBER(365*AVERAGE(F54,G54))),NOT(ISNUMBER(-G65))),"n/m",IF(OR((-G65)&lt;=0,(365*AVERAGE(F54,G54))&lt;0),"n/m",(365*AVERAGE(F54,G54))/(-G65)))</f>
        <v>106.51412548353994</v>
      </c>
      <c r="H118" s="76">
        <f>IF(OR(NOT(ISNUMBER(365*AVERAGE(G54,H54))),NOT(ISNUMBER(-H65))),"n/m",IF(OR((-H65)&lt;=0,(365*AVERAGE(G54,H54))&lt;0),"n/m",(365*AVERAGE(G54,H54))/(-H65)))</f>
        <v>115.47406099903009</v>
      </c>
    </row>
    <row r="119" spans="1:8" ht="27" customHeight="1" x14ac:dyDescent="0.3">
      <c r="A119" s="73" t="s">
        <v>157</v>
      </c>
      <c r="B119" s="30" t="s">
        <v>158</v>
      </c>
      <c r="C119" s="80" t="s">
        <v>268</v>
      </c>
      <c r="D119" s="76">
        <f>IF(OR(NOT(ISNUMBER(365*AVERAGE(I20,D20))),NOT(ISNUMBER(D64))),"n/m",IF(OR((D64)&lt;=0,(365*AVERAGE(I20,D20))&lt;0),"n/m",(365*AVERAGE(I20,D20))/(D64)))</f>
        <v>18.799738044359827</v>
      </c>
      <c r="E119" s="76">
        <f>IF(OR(NOT(ISNUMBER(365*AVERAGE(D20,E20))),NOT(ISNUMBER(E64))),"n/m",IF(OR((E64)&lt;=0,(365*AVERAGE(D20,E20))&lt;0),"n/m",(365*AVERAGE(D20,E20))/(E64)))</f>
        <v>12.994834386179642</v>
      </c>
      <c r="F119" s="76">
        <f>IF(OR(NOT(ISNUMBER(365*AVERAGE(E20,F20))),NOT(ISNUMBER(F64))),"n/m",IF(OR((F64)&lt;=0,(365*AVERAGE(E20,F20))&lt;0),"n/m",(365*AVERAGE(E20,F20))/(F64)))</f>
        <v>16.046879229606091</v>
      </c>
      <c r="G119" s="76">
        <f>IF(OR(NOT(ISNUMBER(365*AVERAGE(F20,G20))),NOT(ISNUMBER(G64))),"n/m",IF(OR((G64)&lt;=0,(365*AVERAGE(F20,G20))&lt;0),"n/m",(365*AVERAGE(F20,G20))/(G64)))</f>
        <v>20.792904753499183</v>
      </c>
      <c r="H119" s="76">
        <f>IF(OR(NOT(ISNUMBER(365*AVERAGE(G20,H20))),NOT(ISNUMBER(H64))),"n/m",IF(OR((H64)&lt;=0,(365*AVERAGE(G20,H20))&lt;0),"n/m",(365*AVERAGE(G20,H20))/(H64)))</f>
        <v>25.555492212987932</v>
      </c>
    </row>
    <row r="120" spans="1:8" ht="27" customHeight="1" x14ac:dyDescent="0.3">
      <c r="A120" s="73" t="s">
        <v>159</v>
      </c>
      <c r="B120" s="30" t="s">
        <v>160</v>
      </c>
      <c r="C120" s="80" t="s">
        <v>269</v>
      </c>
      <c r="D120" s="74">
        <f>IF(OR(NOT(ISNUMBER(D64)),NOT(ISNUMBER(D9))),"n/m",IF(OR((D9)&lt;=0,(D64)&lt;0),"n/m",(D64)/(D9)))</f>
        <v>1.1329960510619466</v>
      </c>
      <c r="E120" s="74">
        <f>IF(OR(NOT(ISNUMBER(E64)),NOT(ISNUMBER(E9))),"n/m",IF(OR((E9)&lt;=0,(E64)&lt;0),"n/m",(E64)/(E9)))</f>
        <v>0.73176601318978285</v>
      </c>
      <c r="F120" s="74">
        <f>IF(OR(NOT(ISNUMBER(F64)),NOT(ISNUMBER(F9))),"n/m",IF(OR((F9)&lt;=0,(F64)&lt;0),"n/m",(F64)/(F9)))</f>
        <v>0.65184739301529204</v>
      </c>
      <c r="G120" s="74">
        <f>IF(OR(NOT(ISNUMBER(G64)),NOT(ISNUMBER(G9))),"n/m",IF(OR((G9)&lt;=0,(G64)&lt;0),"n/m",(G64)/(G9)))</f>
        <v>0.72196082222901214</v>
      </c>
      <c r="H120" s="74">
        <f>IF(OR(NOT(ISNUMBER(H64)),NOT(ISNUMBER(H9))),"n/m",IF(OR((H9)&lt;=0,(H64)&lt;0),"n/m",(H64)/(H9)))</f>
        <v>0.81180021491144161</v>
      </c>
    </row>
    <row r="121" spans="1:8" ht="27" customHeight="1" x14ac:dyDescent="0.3">
      <c r="A121" s="73" t="s">
        <v>161</v>
      </c>
      <c r="B121" s="30" t="s">
        <v>162</v>
      </c>
      <c r="C121" s="80" t="s">
        <v>270</v>
      </c>
      <c r="D121" s="74">
        <f>IF(OR(NOT(ISNUMBER(D64)),NOT(ISNUMBER(D25))),"n/m",IF(OR((D25)&lt;=0,(D64)&lt;0),"n/m",(D64)/(D25)))</f>
        <v>0.71276636764269574</v>
      </c>
      <c r="E121" s="74">
        <f>IF(OR(NOT(ISNUMBER(E64)),NOT(ISNUMBER(E25))),"n/m",IF(OR((E25)&lt;=0,(E64)&lt;0),"n/m",(E64)/(E25)))</f>
        <v>0.4770803467502796</v>
      </c>
      <c r="F121" s="74">
        <f>IF(OR(NOT(ISNUMBER(F64)),NOT(ISNUMBER(F25))),"n/m",IF(OR((F25)&lt;=0,(F64)&lt;0),"n/m",(F64)/(F25)))</f>
        <v>0.49031202866080159</v>
      </c>
      <c r="G121" s="74">
        <f>IF(OR(NOT(ISNUMBER(G64)),NOT(ISNUMBER(G25))),"n/m",IF(OR((G25)&lt;=0,(G64)&lt;0),"n/m",(G64)/(G25)))</f>
        <v>0.54204979765850125</v>
      </c>
      <c r="H121" s="74">
        <f>IF(OR(NOT(ISNUMBER(H64)),NOT(ISNUMBER(H25))),"n/m",IF(OR((H25)&lt;=0,(H64)&lt;0),"n/m",(H64)/(H25)))</f>
        <v>0.55305556508680442</v>
      </c>
    </row>
    <row r="122" spans="1:8" ht="21" customHeight="1" x14ac:dyDescent="0.3">
      <c r="A122" s="92" t="s">
        <v>163</v>
      </c>
      <c r="B122" s="92"/>
      <c r="C122" s="92"/>
      <c r="D122" s="93"/>
      <c r="E122" s="93"/>
      <c r="F122" s="93"/>
      <c r="G122" s="93"/>
      <c r="H122" s="93"/>
    </row>
    <row r="123" spans="1:8" ht="27" customHeight="1" x14ac:dyDescent="0.3">
      <c r="A123" s="73" t="s">
        <v>164</v>
      </c>
      <c r="B123" s="30" t="s">
        <v>165</v>
      </c>
      <c r="C123" s="80" t="s">
        <v>271</v>
      </c>
      <c r="D123" s="77">
        <f>IF(OR(NOT(ISNUMBER(D49)),NOT(ISNUMBER(D25))),"n/m",IF(OR((D25)&lt;=0,(D49)&lt;0),"n/m",(D49)/(D25)))</f>
        <v>0.31647148170702821</v>
      </c>
      <c r="E123" s="77">
        <f>IF(OR(NOT(ISNUMBER(E49)),NOT(ISNUMBER(E25))),"n/m",IF(OR((E25)&lt;=0,(E49)&lt;0),"n/m",(E49)/(E25)))</f>
        <v>0.49219848282922141</v>
      </c>
      <c r="F123" s="77">
        <f>IF(OR(NOT(ISNUMBER(F49)),NOT(ISNUMBER(F25))),"n/m",IF(OR((F25)&lt;=0,(F49)&lt;0),"n/m",(F49)/(F25)))</f>
        <v>0.53053055814614203</v>
      </c>
      <c r="G123" s="77">
        <f>IF(OR(NOT(ISNUMBER(G49)),NOT(ISNUMBER(G25))),"n/m",IF(OR((G25)&lt;=0,(G49)&lt;0),"n/m",(G49)/(G25)))</f>
        <v>0.5028400637434024</v>
      </c>
      <c r="H123" s="77">
        <f>IF(OR(NOT(ISNUMBER(H49)),NOT(ISNUMBER(H25))),"n/m",IF(OR((H25)&lt;=0,(H49)&lt;0),"n/m",(H49)/(H25)))</f>
        <v>0.4760663500346739</v>
      </c>
    </row>
    <row r="124" spans="1:8" ht="27" customHeight="1" x14ac:dyDescent="0.3">
      <c r="A124" s="73" t="s">
        <v>166</v>
      </c>
      <c r="B124" s="30" t="s">
        <v>167</v>
      </c>
      <c r="C124" s="80" t="s">
        <v>272</v>
      </c>
      <c r="D124" s="74">
        <f>IF(OR(NOT(ISNUMBER(D55)),NOT(ISNUMBER(D29))),"n/m",IF(OR((D29)&lt;=0,(D55)&lt;0),"n/m",(D55)/(D29)))</f>
        <v>0.11033361830900601</v>
      </c>
      <c r="E124" s="74">
        <f>IF(OR(NOT(ISNUMBER(E55)),NOT(ISNUMBER(E29))),"n/m",IF(OR((E29)&lt;=0,(E55)&lt;0),"n/m",(E55)/(E29)))</f>
        <v>0.44889851845785944</v>
      </c>
      <c r="F124" s="74">
        <f>IF(OR(NOT(ISNUMBER(F55)),NOT(ISNUMBER(F29))),"n/m",IF(OR((F29)&lt;=0,(F55)&lt;0),"n/m",(F55)/(F29)))</f>
        <v>0.62375966688339879</v>
      </c>
      <c r="G124" s="74">
        <f>IF(OR(NOT(ISNUMBER(G55)),NOT(ISNUMBER(G29))),"n/m",IF(OR((G29)&lt;=0,(G55)&lt;0),"n/m",(G55)/(G29)))</f>
        <v>0.49850573278032018</v>
      </c>
      <c r="H124" s="74">
        <f>IF(OR(NOT(ISNUMBER(H55)),NOT(ISNUMBER(H29))),"n/m",IF(OR((H29)&lt;=0,(H55)&lt;0),"n/m",(H55)/(H29)))</f>
        <v>0.47508509566997464</v>
      </c>
    </row>
    <row r="125" spans="1:8" ht="27" customHeight="1" x14ac:dyDescent="0.3">
      <c r="A125" s="73" t="s">
        <v>168</v>
      </c>
      <c r="B125" s="30" t="s">
        <v>169</v>
      </c>
      <c r="C125" s="80" t="s">
        <v>273</v>
      </c>
      <c r="D125" s="77">
        <f>IF(OR(NOT(ISNUMBER(D55)),NOT(ISNUMBER(D55+D29))),"n/m",IF(OR((D55+D29)&lt;=0,(D55)&lt;0),"n/m",(D55)/(D55+D29)))</f>
        <v>9.9369789844821352E-2</v>
      </c>
      <c r="E125" s="77">
        <f>IF(OR(NOT(ISNUMBER(E55)),NOT(ISNUMBER(E55+E29))),"n/m",IF(OR((E55+E29)&lt;=0,(E55)&lt;0),"n/m",(E55)/(E55+E29)))</f>
        <v>0.30982053797366449</v>
      </c>
      <c r="F125" s="77">
        <f>IF(OR(NOT(ISNUMBER(F55)),NOT(ISNUMBER(F55+F29))),"n/m",IF(OR((F55+F29)&lt;=0,(F55)&lt;0),"n/m",(F55)/(F55+F29)))</f>
        <v>0.38414531386940193</v>
      </c>
      <c r="G125" s="77">
        <f>IF(OR(NOT(ISNUMBER(G55)),NOT(ISNUMBER(G55+G29))),"n/m",IF(OR((G55+G29)&lt;=0,(G55)&lt;0),"n/m",(G55)/(G55+G29)))</f>
        <v>0.33266855232872222</v>
      </c>
      <c r="H125" s="77">
        <f>IF(OR(NOT(ISNUMBER(H55)),NOT(ISNUMBER(H55+H29))),"n/m",IF(OR((H55+H29)&lt;=0,(H55)&lt;0),"n/m",(H55)/(H55+H29)))</f>
        <v>0.3220730092552348</v>
      </c>
    </row>
    <row r="126" spans="1:8" ht="27" customHeight="1" x14ac:dyDescent="0.3">
      <c r="A126" s="73" t="s">
        <v>170</v>
      </c>
      <c r="B126" s="30" t="s">
        <v>171</v>
      </c>
      <c r="C126" s="80" t="s">
        <v>274</v>
      </c>
      <c r="D126" s="74">
        <f>IF(OR(NOT(ISNUMBER(D82)),NOT(ISNUMBER(D85))),"n/m",IF(OR((D85)&lt;=0,(D82)&lt;0),"n/m",(D82)/(D85)))</f>
        <v>56.450885878061477</v>
      </c>
      <c r="E126" s="74">
        <f>IF(OR(NOT(ISNUMBER(E82)),NOT(ISNUMBER(E85))),"n/m",IF(OR((E85)&lt;=0,(E82)&lt;0),"n/m",(E82)/(E85)))</f>
        <v>12.583415391911771</v>
      </c>
      <c r="F126" s="74">
        <f>IF(OR(NOT(ISNUMBER(F82)),NOT(ISNUMBER(F85))),"n/m",IF(OR((F85)&lt;=0,(F82)&lt;0),"n/m",(F82)/(F85)))</f>
        <v>5.9146829675290808</v>
      </c>
      <c r="G126" s="74">
        <f>IF(OR(NOT(ISNUMBER(G82)),NOT(ISNUMBER(G85))),"n/m",IF(OR((G85)&lt;=0,(G82)&lt;0),"n/m",(G82)/(G85)))</f>
        <v>3.7798126521954241</v>
      </c>
      <c r="H126" s="74">
        <f>IF(OR(NOT(ISNUMBER(H82)),NOT(ISNUMBER(H85))),"n/m",IF(OR((H85)&lt;=0,(H82)&lt;0),"n/m",(H82)/(H85)))</f>
        <v>4.7935258018729412</v>
      </c>
    </row>
    <row r="127" spans="1:8" ht="21" customHeight="1" x14ac:dyDescent="0.3">
      <c r="A127" s="92" t="s">
        <v>172</v>
      </c>
      <c r="B127" s="92"/>
      <c r="C127" s="92"/>
      <c r="D127" s="93"/>
      <c r="E127" s="93"/>
      <c r="F127" s="93"/>
      <c r="G127" s="93"/>
      <c r="H127" s="93"/>
    </row>
    <row r="128" spans="1:8" ht="27" customHeight="1" x14ac:dyDescent="0.3">
      <c r="A128" s="73" t="s">
        <v>173</v>
      </c>
      <c r="B128" s="30" t="s">
        <v>174</v>
      </c>
      <c r="C128" s="80" t="s">
        <v>275</v>
      </c>
      <c r="D128" s="77">
        <f>IF(OR(NOT(ISNUMBER(D66)),NOT(ISNUMBER(D64))),"n/m",IF(OR((D64)&lt;=0,(D66)&lt;0),"n/m",(D66)/(D64)))</f>
        <v>0.24985924725452316</v>
      </c>
      <c r="E128" s="77">
        <f>IF(OR(NOT(ISNUMBER(E66)),NOT(ISNUMBER(E64))),"n/m",IF(OR((E64)&lt;=0,(E66)&lt;0),"n/m",(E66)/(E64)))</f>
        <v>0.28507903988852556</v>
      </c>
      <c r="F128" s="77">
        <f>IF(OR(NOT(ISNUMBER(F66)),NOT(ISNUMBER(F64))),"n/m",IF(OR((F64)&lt;=0,(F66)&lt;0),"n/m",(F66)/(F64)))</f>
        <v>0.29996604048210768</v>
      </c>
      <c r="G128" s="77">
        <f>IF(OR(NOT(ISNUMBER(G66)),NOT(ISNUMBER(G64))),"n/m",IF(OR((G64)&lt;=0,(G66)&lt;0),"n/m",(G66)/(G64)))</f>
        <v>0.32089986350224731</v>
      </c>
      <c r="H128" s="77">
        <f>IF(OR(NOT(ISNUMBER(H66)),NOT(ISNUMBER(H64))),"n/m",IF(OR((H64)&lt;=0,(H66)&lt;0),"n/m",(H66)/(H64)))</f>
        <v>0.35490842202929052</v>
      </c>
    </row>
    <row r="129" spans="1:8" ht="27" customHeight="1" x14ac:dyDescent="0.3">
      <c r="A129" s="73" t="s">
        <v>175</v>
      </c>
      <c r="B129" s="30" t="s">
        <v>176</v>
      </c>
      <c r="C129" s="80" t="s">
        <v>276</v>
      </c>
      <c r="D129" s="77">
        <f>IF(OR(NOT(ISNUMBER(D82)),NOT(ISNUMBER(D64))),"n/m",IF(OR((D64)&lt;=0,(D82)&lt;0),"n/m",(D82)/(D64)))</f>
        <v>0.2142368646736256</v>
      </c>
      <c r="E129" s="77">
        <f>IF(OR(NOT(ISNUMBER(E82)),NOT(ISNUMBER(E64))),"n/m",IF(OR((E64)&lt;=0,(E82)&lt;0),"n/m",(E82)/(E64)))</f>
        <v>0.23087384099122032</v>
      </c>
      <c r="F129" s="77">
        <f>IF(OR(NOT(ISNUMBER(F82)),NOT(ISNUMBER(F64))),"n/m",IF(OR((F64)&lt;=0,(F82)&lt;0),"n/m",(F82)/(F64)))</f>
        <v>0.22807525720632701</v>
      </c>
      <c r="G129" s="77">
        <f>IF(OR(NOT(ISNUMBER(G82)),NOT(ISNUMBER(G64))),"n/m",IF(OR((G64)&lt;=0,(G82)&lt;0),"n/m",(G82)/(G64)))</f>
        <v>0.26089810857755552</v>
      </c>
      <c r="H129" s="77">
        <f>IF(OR(NOT(ISNUMBER(H82)),NOT(ISNUMBER(H64))),"n/m",IF(OR((H64)&lt;=0,(H82)&lt;0),"n/m",(H82)/(H64)))</f>
        <v>0.3057657460861018</v>
      </c>
    </row>
    <row r="130" spans="1:8" ht="27" customHeight="1" x14ac:dyDescent="0.3">
      <c r="A130" s="73" t="s">
        <v>177</v>
      </c>
      <c r="B130" s="30" t="s">
        <v>178</v>
      </c>
      <c r="C130" s="80" t="s">
        <v>277</v>
      </c>
      <c r="D130" s="77">
        <f>IF(OR(NOT(ISNUMBER(D79)),NOT(ISNUMBER(D64))),"n/m",IF(OR((D64)&lt;=0,(D79)&lt;0),"n/m",(D79)/(D64)))</f>
        <v>0.14302295902338913</v>
      </c>
      <c r="E130" s="77">
        <f>IF(OR(NOT(ISNUMBER(E79)),NOT(ISNUMBER(E64))),"n/m",IF(OR((E64)&lt;=0,(E79)&lt;0),"n/m",(E79)/(E64)))</f>
        <v>0.13112336204567002</v>
      </c>
      <c r="F130" s="77">
        <f>IF(OR(NOT(ISNUMBER(F79)),NOT(ISNUMBER(F64))),"n/m",IF(OR((F64)&lt;=0,(F79)&lt;0),"n/m",(F79)/(F64)))</f>
        <v>0.10929571726641699</v>
      </c>
      <c r="G130" s="77">
        <f>IF(OR(NOT(ISNUMBER(G79)),NOT(ISNUMBER(G64))),"n/m",IF(OR((G64)&lt;=0,(G79)&lt;0),"n/m",(G79)/(G64)))</f>
        <v>0.10275526425549537</v>
      </c>
      <c r="H130" s="77">
        <f>IF(OR(NOT(ISNUMBER(H79)),NOT(ISNUMBER(H64))),"n/m",IF(OR((H64)&lt;=0,(H79)&lt;0),"n/m",(H79)/(H64)))</f>
        <v>0.14980611609777766</v>
      </c>
    </row>
    <row r="131" spans="1:8" ht="27" customHeight="1" x14ac:dyDescent="0.3">
      <c r="A131" s="73" t="s">
        <v>179</v>
      </c>
      <c r="B131" s="30" t="s">
        <v>180</v>
      </c>
      <c r="C131" s="80" t="s">
        <v>278</v>
      </c>
      <c r="D131" s="77">
        <f>IF(OR(NOT(ISNUMBER(D79)),NOT(ISNUMBER(D25))),"n/m",IF(OR((D25)&lt;=0,(D79)&lt;0),"n/m",(D79)/(D25)))</f>
        <v>0.10194195499261118</v>
      </c>
      <c r="E131" s="77">
        <f>IF(OR(NOT(ISNUMBER(E79)),NOT(ISNUMBER(E25))),"n/m",IF(OR((E25)&lt;=0,(E79)&lt;0),"n/m",(E79)/(E25)))</f>
        <v>6.2556379031810716E-2</v>
      </c>
      <c r="F131" s="77">
        <f>IF(OR(NOT(ISNUMBER(F79)),NOT(ISNUMBER(F25))),"n/m",IF(OR((F25)&lt;=0,(F79)&lt;0),"n/m",(F79)/(F25)))</f>
        <v>5.3589004856834314E-2</v>
      </c>
      <c r="G131" s="77">
        <f>IF(OR(NOT(ISNUMBER(G79)),NOT(ISNUMBER(G25))),"n/m",IF(OR((G25)&lt;=0,(G79)&lt;0),"n/m",(G79)/(G25)))</f>
        <v>5.5698470198037101E-2</v>
      </c>
      <c r="H131" s="77">
        <f>IF(OR(NOT(ISNUMBER(H79)),NOT(ISNUMBER(H25))),"n/m",IF(OR((H25)&lt;=0,(H79)&lt;0),"n/m",(H79)/(H25)))</f>
        <v>8.2851106191915852E-2</v>
      </c>
    </row>
    <row r="132" spans="1:8" ht="27" customHeight="1" x14ac:dyDescent="0.3">
      <c r="A132" s="73" t="s">
        <v>181</v>
      </c>
      <c r="B132" s="30" t="s">
        <v>182</v>
      </c>
      <c r="C132" s="80" t="s">
        <v>279</v>
      </c>
      <c r="D132" s="77">
        <f>IF(OR(NOT(ISNUMBER(D79)),NOT(ISNUMBER(D29))),"n/m",IF(OR((D29)&lt;=0,(D79)&lt;0),"n/m",(D79)/(D29)))</f>
        <v>0.14914074872427949</v>
      </c>
      <c r="E132" s="77">
        <f>IF(OR(NOT(ISNUMBER(E79)),NOT(ISNUMBER(E29))),"n/m",IF(OR((E29)&lt;=0,(E79)&lt;0),"n/m",(E79)/(E29)))</f>
        <v>0.12319061073378482</v>
      </c>
      <c r="F132" s="77">
        <f>IF(OR(NOT(ISNUMBER(F79)),NOT(ISNUMBER(F29))),"n/m",IF(OR((F29)&lt;=0,(F79)&lt;0),"n/m",(F79)/(F29)))</f>
        <v>0.11414801492770245</v>
      </c>
      <c r="G132" s="77">
        <f>IF(OR(NOT(ISNUMBER(G79)),NOT(ISNUMBER(G29))),"n/m",IF(OR((G29)&lt;=0,(G79)&lt;0),"n/m",(G79)/(G29)))</f>
        <v>0.1120333038446799</v>
      </c>
      <c r="H132" s="77">
        <f>IF(OR(NOT(ISNUMBER(H79)),NOT(ISNUMBER(H29))),"n/m",IF(OR((H29)&lt;=0,(H79)&lt;0),"n/m",(H79)/(H29)))</f>
        <v>0.15813282120245373</v>
      </c>
    </row>
    <row r="133" spans="1:8" ht="27" customHeight="1" x14ac:dyDescent="0.3">
      <c r="A133" s="73" t="s">
        <v>183</v>
      </c>
      <c r="B133" s="30" t="s">
        <v>184</v>
      </c>
      <c r="C133" s="80" t="s">
        <v>280</v>
      </c>
      <c r="D133" s="77">
        <f>IF(OR(NOT(ISNUMBER(D88)),NOT(ISNUMBER(D58))),"n/m",IF(OR((D58)&lt;=0,(D88)&lt;0),"n/m",(D88)/(D58)))</f>
        <v>0.13674299962769382</v>
      </c>
      <c r="E133" s="77">
        <f>IF(OR(NOT(ISNUMBER(E88)),NOT(ISNUMBER(E58))),"n/m",IF(OR((E58)&lt;=0,(E88)&lt;0),"n/m",(E88)/(E58)))</f>
        <v>9.2363746892435927E-2</v>
      </c>
      <c r="F133" s="77">
        <f>IF(OR(NOT(ISNUMBER(F88)),NOT(ISNUMBER(F58))),"n/m",IF(OR((F58)&lt;=0,(F88)&lt;0),"n/m",(F88)/(F58)))</f>
        <v>8.4602379259019547E-2</v>
      </c>
      <c r="G133" s="77">
        <f>IF(OR(NOT(ISNUMBER(G88)),NOT(ISNUMBER(G58))),"n/m",IF(OR((G58)&lt;=0,(G88)&lt;0),"n/m",(G88)/(G58)))</f>
        <v>0.10165844956887071</v>
      </c>
      <c r="H133" s="77">
        <f>IF(OR(NOT(ISNUMBER(H88)),NOT(ISNUMBER(H58))),"n/m",IF(OR((H58)&lt;=0,(H88)&lt;0),"n/m",(H88)/(H58)))</f>
        <v>0.13546184028270253</v>
      </c>
    </row>
    <row r="134" spans="1:8" ht="27" customHeight="1" x14ac:dyDescent="0.3">
      <c r="A134" s="73" t="s">
        <v>185</v>
      </c>
      <c r="B134" s="30" t="s">
        <v>186</v>
      </c>
      <c r="C134" s="80" t="s">
        <v>281</v>
      </c>
      <c r="D134" s="77">
        <f>IF(OR(NOT(ISNUMBER(D82)),NOT(ISNUMBER(D25))),"n/m",IF(OR((D25)&lt;=0,(D82)&lt;0),"n/m",(D82)/(D25)))</f>
        <v>0.15270083184857988</v>
      </c>
      <c r="E134" s="77">
        <f>IF(OR(NOT(ISNUMBER(E82)),NOT(ISNUMBER(E25))),"n/m",IF(OR((E25)&lt;=0,(E82)&lt;0),"n/m",(E82)/(E25)))</f>
        <v>0.11014537211566031</v>
      </c>
      <c r="F134" s="77">
        <f>IF(OR(NOT(ISNUMBER(F82)),NOT(ISNUMBER(F25))),"n/m",IF(OR((F25)&lt;=0,(F82)&lt;0),"n/m",(F82)/(F25)))</f>
        <v>0.11182804204816831</v>
      </c>
      <c r="G134" s="77">
        <f>IF(OR(NOT(ISNUMBER(G82)),NOT(ISNUMBER(G25))),"n/m",IF(OR((G25)&lt;=0,(G82)&lt;0),"n/m",(G82)/(G25)))</f>
        <v>0.14141976696394967</v>
      </c>
      <c r="H134" s="77">
        <f>IF(OR(NOT(ISNUMBER(H82)),NOT(ISNUMBER(H25))),"n/m",IF(OR((H25)&lt;=0,(H82)&lt;0),"n/m",(H82)/(H25)))</f>
        <v>0.16910544748583739</v>
      </c>
    </row>
    <row r="135" spans="1:8" ht="21" customHeight="1" x14ac:dyDescent="0.3">
      <c r="A135" s="92" t="s">
        <v>187</v>
      </c>
      <c r="B135" s="92"/>
      <c r="C135" s="92"/>
      <c r="D135" s="93"/>
      <c r="E135" s="93"/>
      <c r="F135" s="93"/>
      <c r="G135" s="93"/>
      <c r="H135" s="93"/>
    </row>
    <row r="136" spans="1:8" ht="27" customHeight="1" x14ac:dyDescent="0.3">
      <c r="A136" s="73" t="s">
        <v>188</v>
      </c>
      <c r="B136" s="30" t="s">
        <v>189</v>
      </c>
      <c r="C136" s="80" t="s">
        <v>282</v>
      </c>
      <c r="D136" s="78">
        <f>IF(OR(NOT(ISNUMBER(D79)),NOT(ISNUMBER(D104))),"n/m",IF(OR((D104)&lt;=0,(D79)&lt;0),"n/m",(D79)/(D104)))</f>
        <v>2.5158090033808875</v>
      </c>
      <c r="E136" s="78">
        <f>IF(OR(NOT(ISNUMBER(E79)),NOT(ISNUMBER(E104))),"n/m",IF(OR((E104)&lt;=0,(E79)&lt;0),"n/m",(E79)/(E104)))</f>
        <v>3.2621706372812294</v>
      </c>
      <c r="F136" s="78">
        <f>IF(OR(NOT(ISNUMBER(F79)),NOT(ISNUMBER(F104))),"n/m",IF(OR((F104)&lt;=0,(F79)&lt;0),"n/m",(F79)/(F104)))</f>
        <v>3.0330791851886794</v>
      </c>
      <c r="G136" s="78">
        <f>IF(OR(NOT(ISNUMBER(G79)),NOT(ISNUMBER(G104))),"n/m",IF(OR((G104)&lt;=0,(G79)&lt;0),"n/m",(G79)/(G104)))</f>
        <v>3.3524781610919856</v>
      </c>
      <c r="H136" s="78">
        <f>IF(OR(NOT(ISNUMBER(H79)),NOT(ISNUMBER(H104))),"n/m",IF(OR((H104)&lt;=0,(H79)&lt;0),"n/m",(H79)/(H104)))</f>
        <v>5.4329528095311241</v>
      </c>
    </row>
    <row r="137" spans="1:8" ht="27" customHeight="1" x14ac:dyDescent="0.3">
      <c r="A137" s="73" t="s">
        <v>190</v>
      </c>
      <c r="B137" s="30" t="s">
        <v>191</v>
      </c>
      <c r="C137" s="80" t="s">
        <v>283</v>
      </c>
      <c r="D137" s="78">
        <f>IF(OR(NOT(ISNUMBER(D29)),NOT(ISNUMBER(D103))),"n/m",IF(OR((D103)&lt;=0,(D29)&lt;0),"n/m",(D29)/(D103)))</f>
        <v>16.868689643176804</v>
      </c>
      <c r="E137" s="78">
        <f>IF(OR(NOT(ISNUMBER(E29)),NOT(ISNUMBER(E103))),"n/m",IF(OR((E103)&lt;=0,(E29)&lt;0),"n/m",(E29)/(E103)))</f>
        <v>26.480675904195227</v>
      </c>
      <c r="F137" s="78">
        <f>IF(OR(NOT(ISNUMBER(F29)),NOT(ISNUMBER(F103))),"n/m",IF(OR((F103)&lt;=0,(F29)&lt;0),"n/m",(F29)/(F103)))</f>
        <v>26.571458006604239</v>
      </c>
      <c r="G137" s="78">
        <f>IF(OR(NOT(ISNUMBER(G29)),NOT(ISNUMBER(G103))),"n/m",IF(OR((G103)&lt;=0,(G29)&lt;0),"n/m",(G29)/(G103)))</f>
        <v>29.923935347634316</v>
      </c>
      <c r="H137" s="78">
        <f>IF(OR(NOT(ISNUMBER(H29)),NOT(ISNUMBER(H103))),"n/m",IF(OR((H103)&lt;=0,(H29)&lt;0),"n/m",(H29)/(H103)))</f>
        <v>34.356887072804682</v>
      </c>
    </row>
    <row r="138" spans="1:8" ht="27" customHeight="1" x14ac:dyDescent="0.3">
      <c r="A138" s="73" t="s">
        <v>192</v>
      </c>
      <c r="B138" s="30" t="s">
        <v>193</v>
      </c>
      <c r="C138" s="80" t="s">
        <v>284</v>
      </c>
      <c r="D138" s="74">
        <f>IF(OR(NOT(ISNUMBER(D105)),NOT(ISNUMBER(D79/D104))),"n/m",IF(OR((D79/D104)&lt;=0,(D105)&lt;0),"n/m",(D105)/(D79/D104)))</f>
        <v>9.1421884447870596</v>
      </c>
      <c r="E138" s="74">
        <f>IF(OR(NOT(ISNUMBER(E105)),NOT(ISNUMBER(E79/E104))),"n/m",IF(OR((E79/E104)&lt;=0,(E105)&lt;0),"n/m",(E105)/(E79/E104)))</f>
        <v>4.3437335368236942</v>
      </c>
      <c r="F138" s="74">
        <f>IF(OR(NOT(ISNUMBER(F105)),NOT(ISNUMBER(F79/F104))),"n/m",IF(OR((F79/F104)&lt;=0,(F105)&lt;0),"n/m",(F105)/(F79/F104)))</f>
        <v>3.877247932539039</v>
      </c>
      <c r="G138" s="74">
        <f>IF(OR(NOT(ISNUMBER(G105)),NOT(ISNUMBER(G79/G104))),"n/m",IF(OR((G79/G104)&lt;=0,(G105)&lt;0),"n/m",(G105)/(G79/G104)))</f>
        <v>6.8337507059367812</v>
      </c>
      <c r="H138" s="74">
        <f>IF(OR(NOT(ISNUMBER(H105)),NOT(ISNUMBER(H79/H104))),"n/m",IF(OR((H79/H104)&lt;=0,(H105)&lt;0),"n/m",(H105)/(H79/H104)))</f>
        <v>8.2220482242427426</v>
      </c>
    </row>
    <row r="139" spans="1:8" ht="27" customHeight="1" x14ac:dyDescent="0.3">
      <c r="A139" s="73" t="s">
        <v>194</v>
      </c>
      <c r="B139" s="30" t="s">
        <v>195</v>
      </c>
      <c r="C139" s="80" t="s">
        <v>285</v>
      </c>
      <c r="D139" s="74">
        <f>IF(OR(NOT(ISNUMBER(D105)),NOT(ISNUMBER(D29/D103))),"n/m",IF(OR((D29/D103)&lt;=0,(D105)&lt;0),"n/m",(D105)/(D29/D103)))</f>
        <v>1.3634728296339984</v>
      </c>
      <c r="E139" s="74">
        <f>IF(OR(NOT(ISNUMBER(E105)),NOT(ISNUMBER(E29/E103))),"n/m",IF(OR((E29/E103)&lt;=0,(E105)&lt;0),"n/m",(E105)/(E29/E103)))</f>
        <v>0.53510718726613404</v>
      </c>
      <c r="F139" s="74">
        <f>IF(OR(NOT(ISNUMBER(F105)),NOT(ISNUMBER(F29/F103))),"n/m",IF(OR((F29/F103)&lt;=0,(F105)&lt;0),"n/m",(F105)/(F29/F103)))</f>
        <v>0.44258015488186969</v>
      </c>
      <c r="G139" s="74">
        <f>IF(OR(NOT(ISNUMBER(G105)),NOT(ISNUMBER(G29/G103))),"n/m",IF(OR((G29/G103)&lt;=0,(G105)&lt;0),"n/m",(G105)/(G29/G103)))</f>
        <v>0.76560785651514207</v>
      </c>
      <c r="H139" s="74">
        <f>IF(OR(NOT(ISNUMBER(H105)),NOT(ISNUMBER(H29/H103))),"n/m",IF(OR((H29/H103)&lt;=0,(H105)&lt;0),"n/m",(H105)/(H29/H103)))</f>
        <v>1.3001759998029245</v>
      </c>
    </row>
    <row r="140" spans="1:8" ht="36" customHeight="1" x14ac:dyDescent="0.3">
      <c r="A140" s="73" t="s">
        <v>196</v>
      </c>
      <c r="B140" s="30" t="s">
        <v>197</v>
      </c>
      <c r="C140" s="30" t="s">
        <v>218</v>
      </c>
      <c r="D140" s="79">
        <f>IF(OR(NOT(ISNUMBER(D106)),NOT(ISNUMBER(D105))),"n/m",IF(OR((D105)&lt;=0,(D106)&lt;0),"n/m",(D106)/(D105)))</f>
        <v>0</v>
      </c>
      <c r="E140" s="79">
        <f>IF(OR(NOT(ISNUMBER(E106)),NOT(ISNUMBER(E105))),"n/m",IF(OR((E105)&lt;=0,(E106)&lt;0),"n/m",(E106)/(E105)))</f>
        <v>0</v>
      </c>
      <c r="F140" s="79">
        <f>IF(OR(NOT(ISNUMBER(F106)),NOT(ISNUMBER(F105))),"n/m",IF(OR((F105)&lt;=0,(F106)&lt;0),"n/m",(F106)/(F105)))</f>
        <v>0</v>
      </c>
      <c r="G140" s="77">
        <f>IF(OR(NOT(ISNUMBER(G106)),NOT(ISNUMBER(G105))),"n/m",IF(OR((G105)&lt;=0,(G106)&lt;0),"n/m",(G106)/(G105)))</f>
        <v>4.3649061545176782E-2</v>
      </c>
      <c r="H140" s="77">
        <f>IF(OR(NOT(ISNUMBER(H106)),NOT(ISNUMBER(H105))),"n/m",IF(OR((H105)&lt;=0,(H106)&lt;0),"n/m",(H106)/(H105)))</f>
        <v>2.7982986344302664E-2</v>
      </c>
    </row>
    <row r="141" spans="1:8" ht="27" customHeight="1" x14ac:dyDescent="0.3">
      <c r="A141" s="73" t="s">
        <v>199</v>
      </c>
      <c r="B141" s="30" t="s">
        <v>200</v>
      </c>
      <c r="C141" s="80" t="s">
        <v>286</v>
      </c>
      <c r="D141" s="74">
        <f>IF(OR(NOT(ISNUMBER(D160)),NOT(ISNUMBER(D83))),"n/m",IF(OR((D83)&lt;=0,(D160)&lt;0),"n/m",(D160)/(D83)))</f>
        <v>4.9126800998035849</v>
      </c>
      <c r="E141" s="74">
        <f>IF(OR(NOT(ISNUMBER(E160)),NOT(ISNUMBER(E83))),"n/m",IF(OR((E83)&lt;=0,(E160)&lt;0),"n/m",(E160)/(E83)))</f>
        <v>3.9999441320816422</v>
      </c>
      <c r="F141" s="74">
        <f>IF(OR(NOT(ISNUMBER(F160)),NOT(ISNUMBER(F83))),"n/m",IF(OR((F83)&lt;=0,(F160)&lt;0),"n/m",(F160)/(F83)))</f>
        <v>3.9638226712605413</v>
      </c>
      <c r="G141" s="74">
        <f>IF(OR(NOT(ISNUMBER(G160)),NOT(ISNUMBER(G83))),"n/m",IF(OR((G83)&lt;=0,(G160)&lt;0),"n/m",(G160)/(G83)))</f>
        <v>3.9028355635230949</v>
      </c>
      <c r="H141" s="74">
        <f>IF(OR(NOT(ISNUMBER(H160)),NOT(ISNUMBER(H83))),"n/m",IF(OR((H83)&lt;=0,(H160)&lt;0),"n/m",(H160)/(H83)))</f>
        <v>4.5760845203336329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1" t="s">
        <v>201</v>
      </c>
      <c r="B147" s="91"/>
      <c r="C147" s="90"/>
      <c r="D147" s="90"/>
      <c r="E147" s="90"/>
      <c r="F147" s="90"/>
      <c r="G147" s="90"/>
      <c r="H147" s="90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7387</v>
      </c>
      <c r="F148" s="16">
        <v>7387</v>
      </c>
      <c r="G148" s="16">
        <v>7387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185.18600000000001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60"/>
      <c r="C152" s="61"/>
      <c r="D152" s="61"/>
      <c r="E152" s="61"/>
      <c r="F152" s="61"/>
      <c r="G152" s="61"/>
      <c r="H152" s="61"/>
    </row>
    <row r="153" spans="1:9" ht="4.05" customHeight="1" x14ac:dyDescent="0.3">
      <c r="A153" s="60"/>
      <c r="B153" s="60"/>
      <c r="C153" s="61"/>
      <c r="D153" s="61"/>
      <c r="E153" s="61"/>
      <c r="F153" s="61"/>
      <c r="G153" s="61"/>
      <c r="H153" s="61"/>
    </row>
    <row r="154" spans="1:9" ht="4.05" customHeight="1" x14ac:dyDescent="0.3"/>
    <row r="155" spans="1:9" ht="22.95" customHeight="1" x14ac:dyDescent="0.3">
      <c r="A155" s="90" t="s">
        <v>205</v>
      </c>
      <c r="B155" s="90"/>
      <c r="C155" s="90"/>
      <c r="D155" s="90"/>
      <c r="E155" s="90"/>
      <c r="F155" s="90"/>
      <c r="G155" s="90"/>
      <c r="H155" s="90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3">
        <f>D22+D161-D162</f>
        <v>900.77800000000002</v>
      </c>
      <c r="E157" s="33">
        <f>E22+E161-E162</f>
        <v>2306.6329999999998</v>
      </c>
      <c r="F157" s="33">
        <f>F22+F161-F162</f>
        <v>880.95699999999999</v>
      </c>
      <c r="G157" s="33">
        <f>G22+G161-G162</f>
        <v>2847.4839999999999</v>
      </c>
      <c r="H157" s="33">
        <f>H22+H161-H162</f>
        <v>2579.8380000000002</v>
      </c>
    </row>
    <row r="158" spans="1:9" ht="15" customHeight="1" x14ac:dyDescent="0.3">
      <c r="A158" t="s">
        <v>207</v>
      </c>
      <c r="D158" s="33">
        <f>D40+D148+D149</f>
        <v>0</v>
      </c>
      <c r="E158" s="33">
        <f>E40+E148+E149</f>
        <v>7387</v>
      </c>
      <c r="F158" s="33">
        <f>F40+F148+F149</f>
        <v>7387</v>
      </c>
      <c r="G158" s="33">
        <f>G40+G148+G149</f>
        <v>7387</v>
      </c>
      <c r="H158" s="33">
        <f>H40+H148+H149</f>
        <v>185.18600000000001</v>
      </c>
    </row>
    <row r="159" spans="1:9" ht="15" customHeight="1" x14ac:dyDescent="0.3">
      <c r="A159" t="s">
        <v>208</v>
      </c>
      <c r="D159" s="33">
        <f>D105*D103</f>
        <v>31735.745000000003</v>
      </c>
      <c r="E159" s="33">
        <f>E105*E103</f>
        <v>30894.978530000004</v>
      </c>
      <c r="F159" s="33">
        <f>F105*F103</f>
        <v>28845.487776000002</v>
      </c>
      <c r="G159" s="33">
        <f>G105*G103</f>
        <v>56194.738516000005</v>
      </c>
      <c r="H159" s="33">
        <f>H105*H103</f>
        <v>109568.702292</v>
      </c>
    </row>
    <row r="160" spans="1:9" ht="15" customHeight="1" x14ac:dyDescent="0.3">
      <c r="A160" t="s">
        <v>209</v>
      </c>
      <c r="D160" s="33">
        <f>D159+D55+D158-D157</f>
        <v>33403.056000000004</v>
      </c>
      <c r="E160" s="33">
        <f>E159+E55+E158-E157</f>
        <v>61892.975530000011</v>
      </c>
      <c r="F160" s="33">
        <f>F159+F55+F158-F157</f>
        <v>76005.526776000013</v>
      </c>
      <c r="G160" s="33">
        <f>G159+G55+G158-G157</f>
        <v>97324.003516000012</v>
      </c>
      <c r="H160" s="33">
        <f>H159+H55+H158-H157</f>
        <v>147210.520292</v>
      </c>
    </row>
    <row r="161" spans="1:8" ht="15" customHeight="1" x14ac:dyDescent="0.3">
      <c r="A161" t="s">
        <v>210</v>
      </c>
      <c r="D161" s="33">
        <v>0</v>
      </c>
      <c r="E161" s="33">
        <v>0</v>
      </c>
      <c r="F161" s="33">
        <v>0</v>
      </c>
      <c r="G161" s="33">
        <v>0</v>
      </c>
      <c r="H161" s="33">
        <v>0</v>
      </c>
    </row>
    <row r="162" spans="1:8" ht="15" customHeight="1" x14ac:dyDescent="0.3">
      <c r="A162" t="s">
        <v>211</v>
      </c>
      <c r="D162" s="33">
        <v>0</v>
      </c>
      <c r="E162" s="33">
        <v>0</v>
      </c>
      <c r="F162" s="33">
        <v>89.5</v>
      </c>
      <c r="G162" s="33">
        <v>85.5</v>
      </c>
      <c r="H162" s="33">
        <v>85.5</v>
      </c>
    </row>
    <row r="163" spans="1:8" ht="15" customHeight="1" x14ac:dyDescent="0.3">
      <c r="B163" s="32"/>
      <c r="C163" s="32"/>
      <c r="D163" s="32"/>
      <c r="E163" s="32"/>
      <c r="F163" s="32"/>
      <c r="G163" s="32"/>
      <c r="H163" s="32"/>
    </row>
    <row r="164" spans="1:8" ht="15" customHeight="1" x14ac:dyDescent="0.3">
      <c r="B164" s="32"/>
      <c r="C164" s="32"/>
      <c r="D164" s="32"/>
      <c r="E164" s="32"/>
      <c r="F164" s="32"/>
      <c r="G164" s="32"/>
      <c r="H164" s="32"/>
    </row>
  </sheetData>
  <mergeCells count="7">
    <mergeCell ref="A155:H155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F7F99"/>
    <pageSetUpPr fitToPage="1"/>
  </sheetPr>
  <dimension ref="A1:H295"/>
  <sheetViews>
    <sheetView showGridLines="0" workbookViewId="0">
      <pane xSplit="3" ySplit="4" topLeftCell="D202" activePane="bottomRight" state="frozen"/>
      <selection pane="topRight"/>
      <selection pane="bottomLeft"/>
      <selection pane="bottomRight" activeCell="A2" sqref="A2:H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</cols>
  <sheetData>
    <row r="1" spans="1:8" ht="27" customHeight="1" x14ac:dyDescent="0.3">
      <c r="A1" s="82" t="s">
        <v>287</v>
      </c>
      <c r="B1" s="83"/>
      <c r="C1" s="83"/>
      <c r="D1" s="83"/>
      <c r="E1" s="83"/>
      <c r="F1" s="83"/>
      <c r="G1" s="83"/>
      <c r="H1" s="83"/>
    </row>
    <row r="2" spans="1:8" ht="36" customHeight="1" x14ac:dyDescent="0.3">
      <c r="A2" s="96"/>
      <c r="B2" s="96"/>
      <c r="C2" s="96"/>
      <c r="D2" s="96"/>
      <c r="E2" s="96"/>
      <c r="F2" s="96"/>
      <c r="G2" s="96"/>
      <c r="H2" s="96"/>
    </row>
    <row r="3" spans="1:8" ht="7.95" customHeight="1" x14ac:dyDescent="0.3">
      <c r="A3" s="29"/>
      <c r="B3" s="29"/>
      <c r="C3" s="29"/>
      <c r="D3" s="29"/>
      <c r="E3" s="29"/>
      <c r="F3" s="29"/>
      <c r="G3" s="29"/>
      <c r="H3" s="29"/>
    </row>
    <row r="4" spans="1:8" ht="24" customHeight="1" x14ac:dyDescent="0.3">
      <c r="A4" s="34" t="s">
        <v>7</v>
      </c>
      <c r="B4" s="34" t="s">
        <v>140</v>
      </c>
      <c r="C4" s="34" t="s">
        <v>260</v>
      </c>
      <c r="D4" s="34" t="s">
        <v>39</v>
      </c>
      <c r="E4" s="34" t="s">
        <v>40</v>
      </c>
      <c r="F4" s="34" t="s">
        <v>41</v>
      </c>
      <c r="G4" s="34" t="s">
        <v>42</v>
      </c>
      <c r="H4" s="34" t="s">
        <v>43</v>
      </c>
    </row>
    <row r="5" spans="1:8" ht="19.95" customHeight="1" x14ac:dyDescent="0.3">
      <c r="A5" s="94" t="s">
        <v>219</v>
      </c>
      <c r="B5" s="94"/>
      <c r="C5" s="94"/>
      <c r="D5" s="94"/>
      <c r="E5" s="94"/>
      <c r="F5" s="94"/>
      <c r="G5" s="94"/>
      <c r="H5" s="94"/>
    </row>
    <row r="6" spans="1:8" ht="25.95" customHeight="1" x14ac:dyDescent="0.3">
      <c r="A6" s="35" t="s">
        <v>142</v>
      </c>
      <c r="B6" s="36" t="s">
        <v>143</v>
      </c>
      <c r="C6" s="84" t="s">
        <v>261</v>
      </c>
      <c r="D6" s="38"/>
      <c r="E6" s="38"/>
      <c r="F6" s="38"/>
      <c r="G6" s="38"/>
      <c r="H6" s="38"/>
    </row>
    <row r="7" spans="1:8" ht="19.95" customHeight="1" x14ac:dyDescent="0.3">
      <c r="A7" s="29" t="s">
        <v>9</v>
      </c>
      <c r="B7" s="29"/>
      <c r="C7" s="29"/>
      <c r="D7" s="39">
        <f>KOHC!D111</f>
        <v>1.3006446691414961</v>
      </c>
      <c r="E7" s="39">
        <f>KOHC!E111</f>
        <v>1.8735085276109804</v>
      </c>
      <c r="F7" s="39">
        <f>KOHC!F111</f>
        <v>2.311570515459215</v>
      </c>
      <c r="G7" s="39">
        <f>KOHC!G111</f>
        <v>2.9031590530160019</v>
      </c>
      <c r="H7" s="39">
        <f>KOHC!H111</f>
        <v>3.311248687172772</v>
      </c>
    </row>
    <row r="8" spans="1:8" ht="19.95" customHeight="1" x14ac:dyDescent="0.3">
      <c r="A8" s="29" t="s">
        <v>13</v>
      </c>
      <c r="B8" s="29"/>
      <c r="C8" s="29"/>
      <c r="D8" s="39">
        <f>LUCK!D111</f>
        <v>1.3386079458938223</v>
      </c>
      <c r="E8" s="39">
        <f>LUCK!E111</f>
        <v>1.4760766300374313</v>
      </c>
      <c r="F8" s="39">
        <f>LUCK!F111</f>
        <v>1.290071633326858</v>
      </c>
      <c r="G8" s="39">
        <f>LUCK!G111</f>
        <v>1.2632222354743232</v>
      </c>
      <c r="H8" s="39">
        <f>LUCK!H111</f>
        <v>1.7146143875904156</v>
      </c>
    </row>
    <row r="9" spans="1:8" ht="19.95" customHeight="1" x14ac:dyDescent="0.3">
      <c r="A9" s="29" t="s">
        <v>17</v>
      </c>
      <c r="B9" s="29"/>
      <c r="C9" s="29"/>
      <c r="D9" s="39">
        <f>DGKC!D111</f>
        <v>0.91452508864509019</v>
      </c>
      <c r="E9" s="39">
        <f>DGKC!E111</f>
        <v>0.88552877147710041</v>
      </c>
      <c r="F9" s="39">
        <f>DGKC!F111</f>
        <v>0.80176749057385621</v>
      </c>
      <c r="G9" s="39">
        <f>DGKC!G111</f>
        <v>1.296185931254842</v>
      </c>
      <c r="H9" s="39">
        <f>DGKC!H111</f>
        <v>1.8489517932979607</v>
      </c>
    </row>
    <row r="10" spans="1:8" ht="19.95" customHeight="1" x14ac:dyDescent="0.3">
      <c r="A10" s="29" t="s">
        <v>21</v>
      </c>
      <c r="B10" s="29"/>
      <c r="C10" s="29"/>
      <c r="D10" s="39">
        <f>MLCF!D111</f>
        <v>1.4780988568182505</v>
      </c>
      <c r="E10" s="39">
        <f>MLCF!E111</f>
        <v>1.2549557408945418</v>
      </c>
      <c r="F10" s="39">
        <f>MLCF!F111</f>
        <v>1.3715472215546312</v>
      </c>
      <c r="G10" s="39">
        <f>MLCF!G111</f>
        <v>1.4446782415124371</v>
      </c>
      <c r="H10" s="39">
        <f>MLCF!H111</f>
        <v>1.5324411303645513</v>
      </c>
    </row>
    <row r="11" spans="1:8" ht="19.95" customHeight="1" x14ac:dyDescent="0.3">
      <c r="A11" s="29" t="s">
        <v>25</v>
      </c>
      <c r="B11" s="29"/>
      <c r="C11" s="29"/>
      <c r="D11" s="39">
        <f>FCCL!D111</f>
        <v>2.01862288296847</v>
      </c>
      <c r="E11" s="39">
        <f>FCCL!E111</f>
        <v>1.0559688948718087</v>
      </c>
      <c r="F11" s="39">
        <f>FCCL!F111</f>
        <v>0.81211137558007007</v>
      </c>
      <c r="G11" s="39">
        <f>FCCL!G111</f>
        <v>0.95974773116730094</v>
      </c>
      <c r="H11" s="39">
        <f>FCCL!H111</f>
        <v>1.3210140828410366</v>
      </c>
    </row>
    <row r="12" spans="1:8" ht="19.95" customHeight="1" x14ac:dyDescent="0.3">
      <c r="A12" s="37" t="s">
        <v>220</v>
      </c>
      <c r="B12" s="37"/>
      <c r="C12" s="37"/>
      <c r="D12" s="40">
        <f>IF(COUNT(D7:D11)=0,"n/m",AVERAGE(D7:D11))</f>
        <v>1.410099888693426</v>
      </c>
      <c r="E12" s="40">
        <f>IF(COUNT(E7:E11)=0,"n/m",AVERAGE(E7:E11))</f>
        <v>1.3092077129783726</v>
      </c>
      <c r="F12" s="40">
        <f>IF(COUNT(F7:F11)=0,"n/m",AVERAGE(F7:F11))</f>
        <v>1.3174136472989262</v>
      </c>
      <c r="G12" s="40">
        <f>IF(COUNT(G7:G11)=0,"n/m",AVERAGE(G7:G11))</f>
        <v>1.5733986384849812</v>
      </c>
      <c r="H12" s="40">
        <f>IF(COUNT(H7:H11)=0,"n/m",AVERAGE(H7:H11))</f>
        <v>1.9456540162533476</v>
      </c>
    </row>
    <row r="13" spans="1:8" ht="19.95" customHeight="1" x14ac:dyDescent="0.3">
      <c r="A13" s="29"/>
      <c r="B13" s="29"/>
      <c r="C13" s="29"/>
      <c r="D13" s="41"/>
      <c r="E13" s="41"/>
      <c r="F13" s="41"/>
      <c r="G13" s="41"/>
      <c r="H13" s="41"/>
    </row>
    <row r="14" spans="1:8" ht="25.95" customHeight="1" x14ac:dyDescent="0.3">
      <c r="A14" s="35" t="s">
        <v>144</v>
      </c>
      <c r="B14" s="36" t="s">
        <v>145</v>
      </c>
      <c r="C14" s="84" t="s">
        <v>262</v>
      </c>
      <c r="D14" s="38"/>
      <c r="E14" s="38"/>
      <c r="F14" s="38"/>
      <c r="G14" s="38"/>
      <c r="H14" s="38"/>
    </row>
    <row r="15" spans="1:8" ht="19.95" customHeight="1" x14ac:dyDescent="0.3">
      <c r="A15" s="29" t="s">
        <v>9</v>
      </c>
      <c r="B15" s="29"/>
      <c r="C15" s="29"/>
      <c r="D15" s="39">
        <f>KOHC!D112</f>
        <v>0.74816043855554903</v>
      </c>
      <c r="E15" s="39">
        <f>KOHC!E112</f>
        <v>1.2758070110452304</v>
      </c>
      <c r="F15" s="39">
        <f>KOHC!F112</f>
        <v>1.5392110300634694</v>
      </c>
      <c r="G15" s="39">
        <f>KOHC!G112</f>
        <v>2.2200593399212352</v>
      </c>
      <c r="H15" s="39">
        <f>KOHC!H112</f>
        <v>2.6677003784340947</v>
      </c>
    </row>
    <row r="16" spans="1:8" ht="19.95" customHeight="1" x14ac:dyDescent="0.3">
      <c r="A16" s="29" t="s">
        <v>13</v>
      </c>
      <c r="B16" s="29"/>
      <c r="C16" s="29"/>
      <c r="D16" s="39">
        <f>LUCK!D112</f>
        <v>0.89000886100685095</v>
      </c>
      <c r="E16" s="39">
        <f>LUCK!E112</f>
        <v>0.87076091919208631</v>
      </c>
      <c r="F16" s="39">
        <f>LUCK!F112</f>
        <v>0.85412226562426408</v>
      </c>
      <c r="G16" s="39">
        <f>LUCK!G112</f>
        <v>0.83698311631700717</v>
      </c>
      <c r="H16" s="39">
        <f>LUCK!H112</f>
        <v>1.2939267138361998</v>
      </c>
    </row>
    <row r="17" spans="1:8" ht="19.95" customHeight="1" x14ac:dyDescent="0.3">
      <c r="A17" s="29" t="s">
        <v>17</v>
      </c>
      <c r="B17" s="29"/>
      <c r="C17" s="29"/>
      <c r="D17" s="39">
        <f>DGKC!D112</f>
        <v>0.52718830778210601</v>
      </c>
      <c r="E17" s="39">
        <f>DGKC!E112</f>
        <v>0.39093390789665328</v>
      </c>
      <c r="F17" s="39">
        <f>DGKC!F112</f>
        <v>0.33489936167445872</v>
      </c>
      <c r="G17" s="39">
        <f>DGKC!G112</f>
        <v>0.66771764923027133</v>
      </c>
      <c r="H17" s="39">
        <f>DGKC!H112</f>
        <v>1.0579587679634685</v>
      </c>
    </row>
    <row r="18" spans="1:8" ht="19.95" customHeight="1" x14ac:dyDescent="0.3">
      <c r="A18" s="29" t="s">
        <v>21</v>
      </c>
      <c r="B18" s="29"/>
      <c r="C18" s="29"/>
      <c r="D18" s="39">
        <f>MLCF!D112</f>
        <v>0.43971691910387301</v>
      </c>
      <c r="E18" s="39">
        <f>MLCF!E112</f>
        <v>0.29473524106223353</v>
      </c>
      <c r="F18" s="39">
        <f>MLCF!F112</f>
        <v>0.5204561252187091</v>
      </c>
      <c r="G18" s="39">
        <f>MLCF!G112</f>
        <v>0.60942670638462615</v>
      </c>
      <c r="H18" s="39">
        <f>MLCF!H112</f>
        <v>0.80788282595509864</v>
      </c>
    </row>
    <row r="19" spans="1:8" ht="19.95" customHeight="1" x14ac:dyDescent="0.3">
      <c r="A19" s="29" t="s">
        <v>25</v>
      </c>
      <c r="B19" s="29"/>
      <c r="C19" s="29"/>
      <c r="D19" s="39">
        <f>FCCL!D112</f>
        <v>1.1357988467684703</v>
      </c>
      <c r="E19" s="39">
        <f>FCCL!E112</f>
        <v>0.47078421060569281</v>
      </c>
      <c r="F19" s="39">
        <f>FCCL!F112</f>
        <v>0.28121710873313321</v>
      </c>
      <c r="G19" s="39">
        <f>FCCL!G112</f>
        <v>0.3420463898878065</v>
      </c>
      <c r="H19" s="39">
        <f>FCCL!H112</f>
        <v>0.67753380767364924</v>
      </c>
    </row>
    <row r="20" spans="1:8" ht="19.95" customHeight="1" x14ac:dyDescent="0.3">
      <c r="A20" s="37" t="s">
        <v>220</v>
      </c>
      <c r="B20" s="37"/>
      <c r="C20" s="37"/>
      <c r="D20" s="40">
        <f>IF(COUNT(D15:D19)=0,"n/m",AVERAGE(D15:D19))</f>
        <v>0.74817467464336995</v>
      </c>
      <c r="E20" s="40">
        <f>IF(COUNT(E15:E19)=0,"n/m",AVERAGE(E15:E19))</f>
        <v>0.66060425796037925</v>
      </c>
      <c r="F20" s="40">
        <f>IF(COUNT(F15:F19)=0,"n/m",AVERAGE(F15:F19))</f>
        <v>0.70598117826280693</v>
      </c>
      <c r="G20" s="40">
        <f>IF(COUNT(G15:G19)=0,"n/m",AVERAGE(G15:G19))</f>
        <v>0.93524664034818927</v>
      </c>
      <c r="H20" s="40">
        <f>IF(COUNT(H15:H19)=0,"n/m",AVERAGE(H15:H19))</f>
        <v>1.3010004987725021</v>
      </c>
    </row>
    <row r="21" spans="1:8" ht="19.95" customHeight="1" x14ac:dyDescent="0.3">
      <c r="A21" s="29"/>
      <c r="B21" s="29"/>
      <c r="C21" s="29"/>
      <c r="D21" s="41"/>
      <c r="E21" s="41"/>
      <c r="F21" s="41"/>
      <c r="G21" s="41"/>
      <c r="H21" s="41"/>
    </row>
    <row r="22" spans="1:8" ht="25.95" customHeight="1" x14ac:dyDescent="0.3">
      <c r="A22" s="35" t="s">
        <v>146</v>
      </c>
      <c r="B22" s="36" t="s">
        <v>147</v>
      </c>
      <c r="C22" s="84" t="s">
        <v>263</v>
      </c>
      <c r="D22" s="38"/>
      <c r="E22" s="38"/>
      <c r="F22" s="38"/>
      <c r="G22" s="38"/>
      <c r="H22" s="38"/>
    </row>
    <row r="23" spans="1:8" ht="19.95" customHeight="1" x14ac:dyDescent="0.3">
      <c r="A23" s="29" t="s">
        <v>9</v>
      </c>
      <c r="B23" s="29"/>
      <c r="C23" s="29"/>
      <c r="D23" s="39">
        <f>KOHC!D113</f>
        <v>0.15817363525137568</v>
      </c>
      <c r="E23" s="39">
        <f>KOHC!E113</f>
        <v>5.0670963775722312E-2</v>
      </c>
      <c r="F23" s="39">
        <f>KOHC!F113</f>
        <v>9.4178046452072631E-2</v>
      </c>
      <c r="G23" s="39">
        <f>KOHC!G113</f>
        <v>9.9376831489781367E-2</v>
      </c>
      <c r="H23" s="39">
        <f>KOHC!H113</f>
        <v>0.1243988942257843</v>
      </c>
    </row>
    <row r="24" spans="1:8" ht="19.95" customHeight="1" x14ac:dyDescent="0.3">
      <c r="A24" s="29" t="s">
        <v>13</v>
      </c>
      <c r="B24" s="29"/>
      <c r="C24" s="29"/>
      <c r="D24" s="39">
        <f>LUCK!D113</f>
        <v>0.61509850934604882</v>
      </c>
      <c r="E24" s="39">
        <f>LUCK!E113</f>
        <v>0.51028731982278264</v>
      </c>
      <c r="F24" s="39">
        <f>LUCK!F113</f>
        <v>0.56303776721097065</v>
      </c>
      <c r="G24" s="39">
        <f>LUCK!G113</f>
        <v>0.59758338272421885</v>
      </c>
      <c r="H24" s="39">
        <f>LUCK!H113</f>
        <v>1.0928864859820921</v>
      </c>
    </row>
    <row r="25" spans="1:8" ht="19.95" customHeight="1" x14ac:dyDescent="0.3">
      <c r="A25" s="29" t="s">
        <v>17</v>
      </c>
      <c r="B25" s="29"/>
      <c r="C25" s="29"/>
      <c r="D25" s="39">
        <f>DGKC!D113</f>
        <v>2.0011480184397672E-2</v>
      </c>
      <c r="E25" s="39">
        <f>DGKC!E113</f>
        <v>8.913248794490819E-3</v>
      </c>
      <c r="F25" s="39">
        <f>DGKC!F113</f>
        <v>1.3866688142092815E-2</v>
      </c>
      <c r="G25" s="39">
        <f>DGKC!G113</f>
        <v>2.2719990993528554E-2</v>
      </c>
      <c r="H25" s="39">
        <f>DGKC!H113</f>
        <v>4.7175167844291127E-2</v>
      </c>
    </row>
    <row r="26" spans="1:8" ht="19.95" customHeight="1" x14ac:dyDescent="0.3">
      <c r="A26" s="29" t="s">
        <v>21</v>
      </c>
      <c r="B26" s="29"/>
      <c r="C26" s="29"/>
      <c r="D26" s="39">
        <f>MLCF!D113</f>
        <v>4.2825558053104403E-2</v>
      </c>
      <c r="E26" s="39">
        <f>MLCF!E113</f>
        <v>4.9006165540003331E-2</v>
      </c>
      <c r="F26" s="39">
        <f>MLCF!F113</f>
        <v>4.5680298533070048E-2</v>
      </c>
      <c r="G26" s="39">
        <f>MLCF!G113</f>
        <v>7.3767434857886421E-2</v>
      </c>
      <c r="H26" s="39">
        <f>MLCF!H113</f>
        <v>6.9243334827372452E-2</v>
      </c>
    </row>
    <row r="27" spans="1:8" ht="19.95" customHeight="1" x14ac:dyDescent="0.3">
      <c r="A27" s="29" t="s">
        <v>25</v>
      </c>
      <c r="B27" s="29"/>
      <c r="C27" s="29"/>
      <c r="D27" s="39">
        <f>FCCL!D113</f>
        <v>0.14618299383526975</v>
      </c>
      <c r="E27" s="39">
        <f>FCCL!E113</f>
        <v>8.632203736853207E-2</v>
      </c>
      <c r="F27" s="39">
        <f>FCCL!F113</f>
        <v>3.0925035424233385E-2</v>
      </c>
      <c r="G27" s="39">
        <f>FCCL!G113</f>
        <v>0.10599048957533475</v>
      </c>
      <c r="H27" s="39">
        <f>FCCL!H113</f>
        <v>8.4205246923402408E-2</v>
      </c>
    </row>
    <row r="28" spans="1:8" ht="19.95" customHeight="1" x14ac:dyDescent="0.3">
      <c r="A28" s="37" t="s">
        <v>220</v>
      </c>
      <c r="B28" s="37"/>
      <c r="C28" s="37"/>
      <c r="D28" s="40">
        <f>IF(COUNT(D23:D27)=0,"n/m",AVERAGE(D23:D27))</f>
        <v>0.19645843533403926</v>
      </c>
      <c r="E28" s="40">
        <f>IF(COUNT(E23:E27)=0,"n/m",AVERAGE(E23:E27))</f>
        <v>0.14103994706030626</v>
      </c>
      <c r="F28" s="40">
        <f>IF(COUNT(F23:F27)=0,"n/m",AVERAGE(F23:F27))</f>
        <v>0.14953756715248792</v>
      </c>
      <c r="G28" s="40">
        <f>IF(COUNT(G23:G27)=0,"n/m",AVERAGE(G23:G27))</f>
        <v>0.17988762592814997</v>
      </c>
      <c r="H28" s="40">
        <f>IF(COUNT(H23:H27)=0,"n/m",AVERAGE(H23:H27))</f>
        <v>0.28358182596058851</v>
      </c>
    </row>
    <row r="29" spans="1:8" ht="19.95" customHeight="1" x14ac:dyDescent="0.3">
      <c r="A29" s="29"/>
      <c r="B29" s="29"/>
      <c r="C29" s="29"/>
      <c r="D29" s="41"/>
      <c r="E29" s="41"/>
      <c r="F29" s="41"/>
      <c r="G29" s="41"/>
      <c r="H29" s="41"/>
    </row>
    <row r="30" spans="1:8" ht="25.95" customHeight="1" x14ac:dyDescent="0.3">
      <c r="A30" s="35" t="s">
        <v>148</v>
      </c>
      <c r="B30" s="36" t="s">
        <v>149</v>
      </c>
      <c r="C30" s="84" t="s">
        <v>264</v>
      </c>
      <c r="D30" s="38"/>
      <c r="E30" s="38"/>
      <c r="F30" s="38"/>
      <c r="G30" s="38"/>
      <c r="H30" s="38"/>
    </row>
    <row r="31" spans="1:8" ht="19.95" customHeight="1" x14ac:dyDescent="0.3">
      <c r="A31" s="29" t="s">
        <v>9</v>
      </c>
      <c r="B31" s="29"/>
      <c r="C31" s="29"/>
      <c r="D31" s="42">
        <f>KOHC!D114</f>
        <v>2276.5547739999984</v>
      </c>
      <c r="E31" s="42">
        <f>KOHC!E114</f>
        <v>8287.8407679999964</v>
      </c>
      <c r="F31" s="42">
        <f>KOHC!F114</f>
        <v>13000.905238000001</v>
      </c>
      <c r="G31" s="42">
        <f>KOHC!G114</f>
        <v>21116.760542</v>
      </c>
      <c r="H31" s="42">
        <f>KOHC!H114</f>
        <v>26953.091383000003</v>
      </c>
    </row>
    <row r="32" spans="1:8" ht="19.95" customHeight="1" x14ac:dyDescent="0.3">
      <c r="A32" s="29" t="s">
        <v>13</v>
      </c>
      <c r="B32" s="29"/>
      <c r="C32" s="29"/>
      <c r="D32" s="42">
        <f>LUCK!D114</f>
        <v>10289.302000000007</v>
      </c>
      <c r="E32" s="42">
        <f>LUCK!E114</f>
        <v>14454.333000000006</v>
      </c>
      <c r="F32" s="42">
        <f>LUCK!F114</f>
        <v>13395.762999999999</v>
      </c>
      <c r="G32" s="42">
        <f>LUCK!G114</f>
        <v>14263.611000000004</v>
      </c>
      <c r="H32" s="42">
        <f>LUCK!H114</f>
        <v>41905.97600000001</v>
      </c>
    </row>
    <row r="33" spans="1:8" ht="19.95" customHeight="1" x14ac:dyDescent="0.3">
      <c r="A33" s="29" t="s">
        <v>17</v>
      </c>
      <c r="B33" s="29"/>
      <c r="C33" s="29"/>
      <c r="D33" s="42" t="str">
        <f>DGKC!D114</f>
        <v>n/m</v>
      </c>
      <c r="E33" s="42" t="str">
        <f>DGKC!E114</f>
        <v>n/m</v>
      </c>
      <c r="F33" s="42" t="str">
        <f>DGKC!F114</f>
        <v>n/m</v>
      </c>
      <c r="G33" s="42">
        <f>DGKC!G114</f>
        <v>9544.8039999999928</v>
      </c>
      <c r="H33" s="42">
        <f>DGKC!H114</f>
        <v>21997.121999999999</v>
      </c>
    </row>
    <row r="34" spans="1:8" ht="19.95" customHeight="1" x14ac:dyDescent="0.3">
      <c r="A34" s="29" t="s">
        <v>21</v>
      </c>
      <c r="B34" s="29"/>
      <c r="C34" s="29"/>
      <c r="D34" s="42">
        <f>MLCF!D114</f>
        <v>5473.9680000000026</v>
      </c>
      <c r="E34" s="42">
        <f>MLCF!E114</f>
        <v>4128.5980000000036</v>
      </c>
      <c r="F34" s="42">
        <f>MLCF!F114</f>
        <v>6024.645999999997</v>
      </c>
      <c r="G34" s="42">
        <f>MLCF!G114</f>
        <v>8270.0370000000003</v>
      </c>
      <c r="H34" s="42">
        <f>MLCF!H114</f>
        <v>12422.112999999994</v>
      </c>
    </row>
    <row r="35" spans="1:8" ht="19.95" customHeight="1" x14ac:dyDescent="0.3">
      <c r="A35" s="29" t="s">
        <v>25</v>
      </c>
      <c r="B35" s="29"/>
      <c r="C35" s="29"/>
      <c r="D35" s="42">
        <f>FCCL!D114</f>
        <v>6276.7430000000004</v>
      </c>
      <c r="E35" s="42">
        <f>FCCL!E114</f>
        <v>1495.5590000000011</v>
      </c>
      <c r="F35" s="42" t="str">
        <f>FCCL!F114</f>
        <v>n/m</v>
      </c>
      <c r="G35" s="42" t="str">
        <f>FCCL!G114</f>
        <v>n/m</v>
      </c>
      <c r="H35" s="42">
        <f>FCCL!H114</f>
        <v>9835.0680000000066</v>
      </c>
    </row>
    <row r="36" spans="1:8" ht="19.95" customHeight="1" x14ac:dyDescent="0.3">
      <c r="A36" s="37" t="s">
        <v>220</v>
      </c>
      <c r="B36" s="37"/>
      <c r="C36" s="50" t="str">
        <f>"N (FY21-25): "&amp;COUNT(D31:D35)&amp;","&amp;COUNT(E31:E35)&amp;","&amp;COUNT(F31:F35)&amp;","&amp;COUNT(G31:G35)&amp;","&amp;COUNT(H31:H35)</f>
        <v>N (FY21-25): 4,4,3,4,5</v>
      </c>
      <c r="D36" s="43">
        <f>IF(COUNT(D31:D35)=0,"n/m",AVERAGE(D31:D35))</f>
        <v>6079.1419435000025</v>
      </c>
      <c r="E36" s="43">
        <f>IF(COUNT(E31:E35)=0,"n/m",AVERAGE(E31:E35))</f>
        <v>7091.5826920000018</v>
      </c>
      <c r="F36" s="43">
        <f>IF(COUNT(F31:F35)=0,"n/m",AVERAGE(F31:F35))</f>
        <v>10807.104745999999</v>
      </c>
      <c r="G36" s="43">
        <f>IF(COUNT(G31:G35)=0,"n/m",AVERAGE(G31:G35))</f>
        <v>13298.803135499998</v>
      </c>
      <c r="H36" s="43">
        <f>IF(COUNT(H31:H35)=0,"n/m",AVERAGE(H31:H35))</f>
        <v>22622.674076600008</v>
      </c>
    </row>
    <row r="37" spans="1:8" ht="19.95" customHeight="1" x14ac:dyDescent="0.3">
      <c r="A37" s="29"/>
      <c r="B37" s="29"/>
      <c r="C37" s="29"/>
      <c r="D37" s="41"/>
      <c r="E37" s="41"/>
      <c r="F37" s="41"/>
      <c r="G37" s="41"/>
      <c r="H37" s="41"/>
    </row>
    <row r="38" spans="1:8" ht="19.95" customHeight="1" x14ac:dyDescent="0.3">
      <c r="A38" s="94" t="s">
        <v>221</v>
      </c>
      <c r="B38" s="94"/>
      <c r="C38" s="94"/>
      <c r="D38" s="95"/>
      <c r="E38" s="95"/>
      <c r="F38" s="95"/>
      <c r="G38" s="95"/>
      <c r="H38" s="95"/>
    </row>
    <row r="39" spans="1:8" ht="25.95" customHeight="1" x14ac:dyDescent="0.3">
      <c r="A39" s="35" t="s">
        <v>151</v>
      </c>
      <c r="B39" s="36" t="s">
        <v>152</v>
      </c>
      <c r="C39" s="84" t="s">
        <v>265</v>
      </c>
      <c r="D39" s="38"/>
      <c r="E39" s="38"/>
      <c r="F39" s="38"/>
      <c r="G39" s="38"/>
      <c r="H39" s="38"/>
    </row>
    <row r="40" spans="1:8" ht="19.95" customHeight="1" x14ac:dyDescent="0.3">
      <c r="A40" s="29" t="s">
        <v>9</v>
      </c>
      <c r="B40" s="29"/>
      <c r="C40" s="29"/>
      <c r="D40" s="39">
        <f>KOHC!D116</f>
        <v>4.8570986013255171</v>
      </c>
      <c r="E40" s="39">
        <f>KOHC!E116</f>
        <v>4.6811317215716919</v>
      </c>
      <c r="F40" s="39">
        <f>KOHC!F116</f>
        <v>4.2753791437713859</v>
      </c>
      <c r="G40" s="39">
        <f>KOHC!G116</f>
        <v>3.5957369645110586</v>
      </c>
      <c r="H40" s="39">
        <f>KOHC!H116</f>
        <v>3.024880626442934</v>
      </c>
    </row>
    <row r="41" spans="1:8" ht="19.95" customHeight="1" x14ac:dyDescent="0.3">
      <c r="A41" s="29" t="s">
        <v>13</v>
      </c>
      <c r="B41" s="29"/>
      <c r="C41" s="29"/>
      <c r="D41" s="39">
        <f>LUCK!D116</f>
        <v>3.8136073127139278</v>
      </c>
      <c r="E41" s="39">
        <f>LUCK!E116</f>
        <v>3.657733126059421</v>
      </c>
      <c r="F41" s="39">
        <f>LUCK!F116</f>
        <v>3.6234818387767853</v>
      </c>
      <c r="G41" s="39">
        <f>LUCK!G116</f>
        <v>3.5401699550948362</v>
      </c>
      <c r="H41" s="39">
        <f>LUCK!H116</f>
        <v>3.4260949525900268</v>
      </c>
    </row>
    <row r="42" spans="1:8" ht="19.95" customHeight="1" x14ac:dyDescent="0.3">
      <c r="A42" s="29" t="s">
        <v>17</v>
      </c>
      <c r="B42" s="29"/>
      <c r="C42" s="29"/>
      <c r="D42" s="39">
        <f>DGKC!D116</f>
        <v>2.6267527531726218</v>
      </c>
      <c r="E42" s="39">
        <f>DGKC!E116</f>
        <v>2.479761249901864</v>
      </c>
      <c r="F42" s="39">
        <f>DGKC!F116</f>
        <v>2.4352964976956684</v>
      </c>
      <c r="G42" s="39">
        <f>DGKC!G116</f>
        <v>2.5832010951831741</v>
      </c>
      <c r="H42" s="39">
        <f>DGKC!H116</f>
        <v>2.6203448800361673</v>
      </c>
    </row>
    <row r="43" spans="1:8" ht="19.95" customHeight="1" x14ac:dyDescent="0.3">
      <c r="A43" s="29" t="s">
        <v>21</v>
      </c>
      <c r="B43" s="29"/>
      <c r="C43" s="29"/>
      <c r="D43" s="39">
        <f>MLCF!D116</f>
        <v>2.5503561154199565</v>
      </c>
      <c r="E43" s="39">
        <f>MLCF!E116</f>
        <v>2.6418827583195736</v>
      </c>
      <c r="F43" s="39">
        <f>MLCF!F116</f>
        <v>2.991643999189634</v>
      </c>
      <c r="G43" s="39">
        <f>MLCF!G116</f>
        <v>3.1013565995658121</v>
      </c>
      <c r="H43" s="39">
        <f>MLCF!H116</f>
        <v>2.7865732877055658</v>
      </c>
    </row>
    <row r="44" spans="1:8" ht="19.95" customHeight="1" x14ac:dyDescent="0.3">
      <c r="A44" s="29" t="s">
        <v>25</v>
      </c>
      <c r="B44" s="29"/>
      <c r="C44" s="29"/>
      <c r="D44" s="39">
        <f>FCCL!D116</f>
        <v>3.593399445976929</v>
      </c>
      <c r="E44" s="39">
        <f>FCCL!E116</f>
        <v>3.6798285509863442</v>
      </c>
      <c r="F44" s="39">
        <f>FCCL!F116</f>
        <v>3.0981941833220765</v>
      </c>
      <c r="G44" s="39">
        <f>FCCL!G116</f>
        <v>3.4267755412065504</v>
      </c>
      <c r="H44" s="39">
        <f>FCCL!H116</f>
        <v>3.1608830315846066</v>
      </c>
    </row>
    <row r="45" spans="1:8" ht="19.95" customHeight="1" x14ac:dyDescent="0.3">
      <c r="A45" s="37" t="s">
        <v>220</v>
      </c>
      <c r="B45" s="37"/>
      <c r="C45" s="37"/>
      <c r="D45" s="40">
        <f>IF(COUNT(D40:D44)=0,"n/m",AVERAGE(D40:D44))</f>
        <v>3.4882428457217904</v>
      </c>
      <c r="E45" s="40">
        <f>IF(COUNT(E40:E44)=0,"n/m",AVERAGE(E40:E44))</f>
        <v>3.4280674813677789</v>
      </c>
      <c r="F45" s="40">
        <f>IF(COUNT(F40:F44)=0,"n/m",AVERAGE(F40:F44))</f>
        <v>3.2847991325511101</v>
      </c>
      <c r="G45" s="40">
        <f>IF(COUNT(G40:G44)=0,"n/m",AVERAGE(G40:G44))</f>
        <v>3.2494480311122858</v>
      </c>
      <c r="H45" s="40">
        <f>IF(COUNT(H40:H44)=0,"n/m",AVERAGE(H40:H44))</f>
        <v>3.0037553556718599</v>
      </c>
    </row>
    <row r="46" spans="1:8" ht="19.95" customHeight="1" x14ac:dyDescent="0.3">
      <c r="A46" s="29"/>
      <c r="B46" s="29"/>
      <c r="C46" s="29"/>
      <c r="D46" s="41"/>
      <c r="E46" s="41"/>
      <c r="F46" s="41"/>
      <c r="G46" s="41"/>
      <c r="H46" s="41"/>
    </row>
    <row r="47" spans="1:8" ht="25.95" customHeight="1" x14ac:dyDescent="0.3">
      <c r="A47" s="35" t="s">
        <v>153</v>
      </c>
      <c r="B47" s="36" t="s">
        <v>154</v>
      </c>
      <c r="C47" s="84" t="s">
        <v>266</v>
      </c>
      <c r="D47" s="38"/>
      <c r="E47" s="38"/>
      <c r="F47" s="38"/>
      <c r="G47" s="38"/>
      <c r="H47" s="38"/>
    </row>
    <row r="48" spans="1:8" ht="19.95" customHeight="1" x14ac:dyDescent="0.3">
      <c r="A48" s="29" t="s">
        <v>9</v>
      </c>
      <c r="B48" s="29"/>
      <c r="C48" s="29"/>
      <c r="D48" s="39">
        <f>KOHC!D117</f>
        <v>32.556527152183129</v>
      </c>
      <c r="E48" s="39">
        <f>KOHC!E117</f>
        <v>34.614462046513971</v>
      </c>
      <c r="F48" s="39">
        <f>KOHC!F117</f>
        <v>36.690956476472735</v>
      </c>
      <c r="G48" s="39">
        <f>KOHC!G117</f>
        <v>23.311269128267483</v>
      </c>
      <c r="H48" s="39">
        <f>KOHC!H117</f>
        <v>19.742821104933064</v>
      </c>
    </row>
    <row r="49" spans="1:8" ht="19.95" customHeight="1" x14ac:dyDescent="0.3">
      <c r="A49" s="29" t="s">
        <v>13</v>
      </c>
      <c r="B49" s="29"/>
      <c r="C49" s="29"/>
      <c r="D49" s="39">
        <f>LUCK!D117</f>
        <v>20.525799758937445</v>
      </c>
      <c r="E49" s="39">
        <f>LUCK!E117</f>
        <v>26.020654219821807</v>
      </c>
      <c r="F49" s="39">
        <f>LUCK!F117</f>
        <v>22.253946370189343</v>
      </c>
      <c r="G49" s="39">
        <f>LUCK!G117</f>
        <v>19.185416979630755</v>
      </c>
      <c r="H49" s="39">
        <f>LUCK!H117</f>
        <v>18.743761644592638</v>
      </c>
    </row>
    <row r="50" spans="1:8" ht="19.95" customHeight="1" x14ac:dyDescent="0.3">
      <c r="A50" s="29" t="s">
        <v>17</v>
      </c>
      <c r="B50" s="29"/>
      <c r="C50" s="29"/>
      <c r="D50" s="39">
        <f>DGKC!D117</f>
        <v>22.768270883109405</v>
      </c>
      <c r="E50" s="39">
        <f>DGKC!E117</f>
        <v>36.922320391767833</v>
      </c>
      <c r="F50" s="39">
        <f>DGKC!F117</f>
        <v>48.836111797909446</v>
      </c>
      <c r="G50" s="39">
        <f>DGKC!G117</f>
        <v>64.453707869774377</v>
      </c>
      <c r="H50" s="39">
        <f>DGKC!H117</f>
        <v>61.216079379365482</v>
      </c>
    </row>
    <row r="51" spans="1:8" ht="19.95" customHeight="1" x14ac:dyDescent="0.3">
      <c r="A51" s="29" t="s">
        <v>21</v>
      </c>
      <c r="B51" s="29"/>
      <c r="C51" s="29"/>
      <c r="D51" s="39">
        <f>MLCF!D117</f>
        <v>15.020941563038772</v>
      </c>
      <c r="E51" s="39">
        <f>MLCF!E117</f>
        <v>25.905344380386534</v>
      </c>
      <c r="F51" s="39">
        <f>MLCF!F117</f>
        <v>26.600659453629234</v>
      </c>
      <c r="G51" s="39">
        <f>MLCF!G117</f>
        <v>19.574371293114748</v>
      </c>
      <c r="H51" s="39">
        <f>MLCF!H117</f>
        <v>15.67064847793373</v>
      </c>
    </row>
    <row r="52" spans="1:8" ht="19.95" customHeight="1" x14ac:dyDescent="0.3">
      <c r="A52" s="29" t="s">
        <v>25</v>
      </c>
      <c r="B52" s="29"/>
      <c r="C52" s="29"/>
      <c r="D52" s="39">
        <f>FCCL!D117</f>
        <v>19.415164144242155</v>
      </c>
      <c r="E52" s="39">
        <f>FCCL!E117</f>
        <v>28.088084014998095</v>
      </c>
      <c r="F52" s="39">
        <f>FCCL!F117</f>
        <v>22.745855737892271</v>
      </c>
      <c r="G52" s="39">
        <f>FCCL!G117</f>
        <v>17.554064923929165</v>
      </c>
      <c r="H52" s="39">
        <f>FCCL!H117</f>
        <v>14.282644096931071</v>
      </c>
    </row>
    <row r="53" spans="1:8" ht="19.95" customHeight="1" x14ac:dyDescent="0.3">
      <c r="A53" s="37" t="s">
        <v>220</v>
      </c>
      <c r="B53" s="37"/>
      <c r="C53" s="37"/>
      <c r="D53" s="40">
        <f>IF(COUNT(D48:D52)=0,"n/m",AVERAGE(D48:D52))</f>
        <v>22.057340700302184</v>
      </c>
      <c r="E53" s="40">
        <f>IF(COUNT(E48:E52)=0,"n/m",AVERAGE(E48:E52))</f>
        <v>30.31017301069765</v>
      </c>
      <c r="F53" s="40">
        <f>IF(COUNT(F48:F52)=0,"n/m",AVERAGE(F48:F52))</f>
        <v>31.425505967218601</v>
      </c>
      <c r="G53" s="40">
        <f>IF(COUNT(G48:G52)=0,"n/m",AVERAGE(G48:G52))</f>
        <v>28.815766038943309</v>
      </c>
      <c r="H53" s="40">
        <f>IF(COUNT(H48:H52)=0,"n/m",AVERAGE(H48:H52))</f>
        <v>25.931190940751197</v>
      </c>
    </row>
    <row r="54" spans="1:8" ht="19.95" customHeight="1" x14ac:dyDescent="0.3">
      <c r="A54" s="29"/>
      <c r="B54" s="29"/>
      <c r="C54" s="29"/>
      <c r="D54" s="41"/>
      <c r="E54" s="41"/>
      <c r="F54" s="41"/>
      <c r="G54" s="41"/>
      <c r="H54" s="41"/>
    </row>
    <row r="55" spans="1:8" ht="25.95" customHeight="1" x14ac:dyDescent="0.3">
      <c r="A55" s="35" t="s">
        <v>155</v>
      </c>
      <c r="B55" s="36" t="s">
        <v>156</v>
      </c>
      <c r="C55" s="84" t="s">
        <v>267</v>
      </c>
      <c r="D55" s="38"/>
      <c r="E55" s="38"/>
      <c r="F55" s="38"/>
      <c r="G55" s="38"/>
      <c r="H55" s="38"/>
    </row>
    <row r="56" spans="1:8" ht="19.95" customHeight="1" x14ac:dyDescent="0.3">
      <c r="A56" s="29" t="s">
        <v>9</v>
      </c>
      <c r="B56" s="29"/>
      <c r="C56" s="29"/>
      <c r="D56" s="44">
        <f>KOHC!D118</f>
        <v>75.147743531578783</v>
      </c>
      <c r="E56" s="44">
        <f>KOHC!E118</f>
        <v>77.972597591731756</v>
      </c>
      <c r="F56" s="44">
        <f>KOHC!F118</f>
        <v>85.372545387407953</v>
      </c>
      <c r="G56" s="44">
        <f>KOHC!G118</f>
        <v>101.50909357454404</v>
      </c>
      <c r="H56" s="44">
        <f>KOHC!H118</f>
        <v>120.66591878345184</v>
      </c>
    </row>
    <row r="57" spans="1:8" ht="19.95" customHeight="1" x14ac:dyDescent="0.3">
      <c r="A57" s="29" t="s">
        <v>13</v>
      </c>
      <c r="B57" s="29"/>
      <c r="C57" s="29"/>
      <c r="D57" s="44">
        <f>LUCK!D118</f>
        <v>95.709906676324849</v>
      </c>
      <c r="E57" s="44">
        <f>LUCK!E118</f>
        <v>99.788581457615734</v>
      </c>
      <c r="F57" s="44">
        <f>LUCK!F118</f>
        <v>100.73184197970664</v>
      </c>
      <c r="G57" s="44">
        <f>LUCK!G118</f>
        <v>103.10239469568691</v>
      </c>
      <c r="H57" s="44">
        <f>LUCK!H118</f>
        <v>106.53528435458882</v>
      </c>
    </row>
    <row r="58" spans="1:8" ht="19.95" customHeight="1" x14ac:dyDescent="0.3">
      <c r="A58" s="29" t="s">
        <v>17</v>
      </c>
      <c r="B58" s="29"/>
      <c r="C58" s="29"/>
      <c r="D58" s="44">
        <f>DGKC!D118</f>
        <v>138.95483675010863</v>
      </c>
      <c r="E58" s="44">
        <f>DGKC!E118</f>
        <v>147.19158951872677</v>
      </c>
      <c r="F58" s="44">
        <f>DGKC!F118</f>
        <v>149.87908057411946</v>
      </c>
      <c r="G58" s="44">
        <f>DGKC!G118</f>
        <v>141.29755545575051</v>
      </c>
      <c r="H58" s="44">
        <f>DGKC!H118</f>
        <v>139.29464124392746</v>
      </c>
    </row>
    <row r="59" spans="1:8" ht="19.95" customHeight="1" x14ac:dyDescent="0.3">
      <c r="A59" s="29" t="s">
        <v>21</v>
      </c>
      <c r="B59" s="29"/>
      <c r="C59" s="29"/>
      <c r="D59" s="44">
        <f>MLCF!D118</f>
        <v>143.11726813096334</v>
      </c>
      <c r="E59" s="44">
        <f>MLCF!E118</f>
        <v>138.1590454196257</v>
      </c>
      <c r="F59" s="44">
        <f>MLCF!F118</f>
        <v>122.0064954583065</v>
      </c>
      <c r="G59" s="44">
        <f>MLCF!G118</f>
        <v>117.69043264844159</v>
      </c>
      <c r="H59" s="44">
        <f>MLCF!H118</f>
        <v>130.98525045452405</v>
      </c>
    </row>
    <row r="60" spans="1:8" ht="19.95" customHeight="1" x14ac:dyDescent="0.3">
      <c r="A60" s="29" t="s">
        <v>25</v>
      </c>
      <c r="B60" s="29"/>
      <c r="C60" s="29"/>
      <c r="D60" s="44">
        <f>FCCL!D118</f>
        <v>101.57512558439446</v>
      </c>
      <c r="E60" s="44">
        <f>FCCL!E118</f>
        <v>99.189403784088</v>
      </c>
      <c r="F60" s="44">
        <f>FCCL!F118</f>
        <v>117.81056267061489</v>
      </c>
      <c r="G60" s="44">
        <f>FCCL!G118</f>
        <v>106.51412548353994</v>
      </c>
      <c r="H60" s="44">
        <f>FCCL!H118</f>
        <v>115.47406099903009</v>
      </c>
    </row>
    <row r="61" spans="1:8" ht="19.95" customHeight="1" x14ac:dyDescent="0.3">
      <c r="A61" s="37" t="s">
        <v>220</v>
      </c>
      <c r="B61" s="37"/>
      <c r="C61" s="37"/>
      <c r="D61" s="45">
        <f>IF(COUNT(D56:D60)=0,"n/m",AVERAGE(D56:D60))</f>
        <v>110.90097613467401</v>
      </c>
      <c r="E61" s="45">
        <f>IF(COUNT(E56:E60)=0,"n/m",AVERAGE(E56:E60))</f>
        <v>112.46024355435759</v>
      </c>
      <c r="F61" s="45">
        <f>IF(COUNT(F56:F60)=0,"n/m",AVERAGE(F56:F60))</f>
        <v>115.16010521403109</v>
      </c>
      <c r="G61" s="45">
        <f>IF(COUNT(G56:G60)=0,"n/m",AVERAGE(G56:G60))</f>
        <v>114.0227203715926</v>
      </c>
      <c r="H61" s="45">
        <f>IF(COUNT(H56:H60)=0,"n/m",AVERAGE(H56:H60))</f>
        <v>122.59103116710443</v>
      </c>
    </row>
    <row r="62" spans="1:8" ht="19.95" customHeight="1" x14ac:dyDescent="0.3">
      <c r="A62" s="29"/>
      <c r="B62" s="29"/>
      <c r="C62" s="29"/>
      <c r="D62" s="41"/>
      <c r="E62" s="41"/>
      <c r="F62" s="41"/>
      <c r="G62" s="41"/>
      <c r="H62" s="41"/>
    </row>
    <row r="63" spans="1:8" ht="25.95" customHeight="1" x14ac:dyDescent="0.3">
      <c r="A63" s="35" t="s">
        <v>157</v>
      </c>
      <c r="B63" s="36" t="s">
        <v>158</v>
      </c>
      <c r="C63" s="84" t="s">
        <v>268</v>
      </c>
      <c r="D63" s="38"/>
      <c r="E63" s="38"/>
      <c r="F63" s="38"/>
      <c r="G63" s="38"/>
      <c r="H63" s="38"/>
    </row>
    <row r="64" spans="1:8" ht="19.95" customHeight="1" x14ac:dyDescent="0.3">
      <c r="A64" s="29" t="s">
        <v>9</v>
      </c>
      <c r="B64" s="29"/>
      <c r="C64" s="29"/>
      <c r="D64" s="44">
        <f>KOHC!D119</f>
        <v>11.211269503464973</v>
      </c>
      <c r="E64" s="44">
        <f>KOHC!E119</f>
        <v>10.544725482358297</v>
      </c>
      <c r="F64" s="44">
        <f>KOHC!F119</f>
        <v>9.9479554378487851</v>
      </c>
      <c r="G64" s="44">
        <f>KOHC!G119</f>
        <v>15.657663166755571</v>
      </c>
      <c r="H64" s="44">
        <f>KOHC!H119</f>
        <v>18.487732733839078</v>
      </c>
    </row>
    <row r="65" spans="1:8" ht="19.95" customHeight="1" x14ac:dyDescent="0.3">
      <c r="A65" s="29" t="s">
        <v>13</v>
      </c>
      <c r="B65" s="29"/>
      <c r="C65" s="29"/>
      <c r="D65" s="44">
        <f>LUCK!D119</f>
        <v>17.782498333156049</v>
      </c>
      <c r="E65" s="44">
        <f>LUCK!E119</f>
        <v>14.027318333985361</v>
      </c>
      <c r="F65" s="44">
        <f>LUCK!F119</f>
        <v>16.401585315624828</v>
      </c>
      <c r="G65" s="44">
        <f>LUCK!G119</f>
        <v>19.024866667611246</v>
      </c>
      <c r="H65" s="44">
        <f>LUCK!H119</f>
        <v>19.473145621508603</v>
      </c>
    </row>
    <row r="66" spans="1:8" ht="19.95" customHeight="1" x14ac:dyDescent="0.3">
      <c r="A66" s="29" t="s">
        <v>17</v>
      </c>
      <c r="B66" s="29"/>
      <c r="C66" s="29"/>
      <c r="D66" s="44">
        <f>DGKC!D119</f>
        <v>16.031081230273596</v>
      </c>
      <c r="E66" s="44">
        <f>DGKC!E119</f>
        <v>9.8856192169704489</v>
      </c>
      <c r="F66" s="44">
        <f>DGKC!F119</f>
        <v>7.4739774843341396</v>
      </c>
      <c r="G66" s="44">
        <f>DGKC!G119</f>
        <v>5.6629790909386459</v>
      </c>
      <c r="H66" s="44">
        <f>DGKC!H119</f>
        <v>5.9624857341490083</v>
      </c>
    </row>
    <row r="67" spans="1:8" ht="19.95" customHeight="1" x14ac:dyDescent="0.3">
      <c r="A67" s="29" t="s">
        <v>21</v>
      </c>
      <c r="B67" s="29"/>
      <c r="C67" s="29"/>
      <c r="D67" s="44">
        <f>MLCF!D119</f>
        <v>24.299408826550263</v>
      </c>
      <c r="E67" s="44">
        <f>MLCF!E119</f>
        <v>14.089756717395696</v>
      </c>
      <c r="F67" s="44">
        <f>MLCF!F119</f>
        <v>13.72146433573479</v>
      </c>
      <c r="G67" s="44">
        <f>MLCF!G119</f>
        <v>18.646831335440545</v>
      </c>
      <c r="H67" s="44">
        <f>MLCF!H119</f>
        <v>23.291952500495849</v>
      </c>
    </row>
    <row r="68" spans="1:8" ht="19.95" customHeight="1" x14ac:dyDescent="0.3">
      <c r="A68" s="29" t="s">
        <v>25</v>
      </c>
      <c r="B68" s="29"/>
      <c r="C68" s="29"/>
      <c r="D68" s="44">
        <f>FCCL!D119</f>
        <v>18.799738044359827</v>
      </c>
      <c r="E68" s="44">
        <f>FCCL!E119</f>
        <v>12.994834386179642</v>
      </c>
      <c r="F68" s="44">
        <f>FCCL!F119</f>
        <v>16.046879229606091</v>
      </c>
      <c r="G68" s="44">
        <f>FCCL!G119</f>
        <v>20.792904753499183</v>
      </c>
      <c r="H68" s="44">
        <f>FCCL!H119</f>
        <v>25.555492212987932</v>
      </c>
    </row>
    <row r="69" spans="1:8" ht="19.95" customHeight="1" x14ac:dyDescent="0.3">
      <c r="A69" s="37" t="s">
        <v>220</v>
      </c>
      <c r="B69" s="37"/>
      <c r="C69" s="37"/>
      <c r="D69" s="45">
        <f>IF(COUNT(D64:D68)=0,"n/m",AVERAGE(D64:D68))</f>
        <v>17.624799187560942</v>
      </c>
      <c r="E69" s="45">
        <f>IF(COUNT(E64:E68)=0,"n/m",AVERAGE(E64:E68))</f>
        <v>12.308450827377888</v>
      </c>
      <c r="F69" s="45">
        <f>IF(COUNT(F64:F68)=0,"n/m",AVERAGE(F64:F68))</f>
        <v>12.718372360629726</v>
      </c>
      <c r="G69" s="45">
        <f>IF(COUNT(G64:G68)=0,"n/m",AVERAGE(G64:G68))</f>
        <v>15.957049002849038</v>
      </c>
      <c r="H69" s="45">
        <f>IF(COUNT(H64:H68)=0,"n/m",AVERAGE(H64:H68))</f>
        <v>18.554161760596095</v>
      </c>
    </row>
    <row r="70" spans="1:8" ht="19.95" customHeight="1" x14ac:dyDescent="0.3">
      <c r="A70" s="29"/>
      <c r="B70" s="29"/>
      <c r="C70" s="29"/>
      <c r="D70" s="41"/>
      <c r="E70" s="41"/>
      <c r="F70" s="41"/>
      <c r="G70" s="41"/>
      <c r="H70" s="41"/>
    </row>
    <row r="71" spans="1:8" ht="25.95" customHeight="1" x14ac:dyDescent="0.3">
      <c r="A71" s="35" t="s">
        <v>159</v>
      </c>
      <c r="B71" s="36" t="s">
        <v>160</v>
      </c>
      <c r="C71" s="84" t="s">
        <v>269</v>
      </c>
      <c r="D71" s="38"/>
      <c r="E71" s="38"/>
      <c r="F71" s="38"/>
      <c r="G71" s="38"/>
      <c r="H71" s="38"/>
    </row>
    <row r="72" spans="1:8" ht="19.95" customHeight="1" x14ac:dyDescent="0.3">
      <c r="A72" s="29" t="s">
        <v>9</v>
      </c>
      <c r="B72" s="29"/>
      <c r="C72" s="29"/>
      <c r="D72" s="39">
        <f>KOHC!D120</f>
        <v>1.0921496738296084</v>
      </c>
      <c r="E72" s="39">
        <f>KOHC!E120</f>
        <v>1.5412541563844033</v>
      </c>
      <c r="F72" s="39">
        <f>KOHC!F120</f>
        <v>1.7509053329621809</v>
      </c>
      <c r="G72" s="39">
        <f>KOHC!G120</f>
        <v>1.7442972870565909</v>
      </c>
      <c r="H72" s="39">
        <f>KOHC!H120</f>
        <v>1.606837829232711</v>
      </c>
    </row>
    <row r="73" spans="1:8" ht="19.95" customHeight="1" x14ac:dyDescent="0.3">
      <c r="A73" s="29" t="s">
        <v>13</v>
      </c>
      <c r="B73" s="29"/>
      <c r="C73" s="29"/>
      <c r="D73" s="39">
        <f>LUCK!D120</f>
        <v>1.0088292750112451</v>
      </c>
      <c r="E73" s="39">
        <f>LUCK!E120</f>
        <v>0.98532795146598973</v>
      </c>
      <c r="F73" s="39">
        <f>LUCK!F120</f>
        <v>1.0022154394695202</v>
      </c>
      <c r="G73" s="39">
        <f>LUCK!G120</f>
        <v>1.0752008785316265</v>
      </c>
      <c r="H73" s="39">
        <f>LUCK!H120</f>
        <v>1.1592237370838812</v>
      </c>
    </row>
    <row r="74" spans="1:8" ht="19.95" customHeight="1" x14ac:dyDescent="0.3">
      <c r="A74" s="29" t="s">
        <v>17</v>
      </c>
      <c r="B74" s="29"/>
      <c r="C74" s="29"/>
      <c r="D74" s="39">
        <f>DGKC!D120</f>
        <v>0.53055318948132613</v>
      </c>
      <c r="E74" s="39">
        <f>DGKC!E120</f>
        <v>0.70098015962057802</v>
      </c>
      <c r="F74" s="39">
        <f>DGKC!F120</f>
        <v>0.79011863849334296</v>
      </c>
      <c r="G74" s="39">
        <f>DGKC!G120</f>
        <v>0.82674606407416695</v>
      </c>
      <c r="H74" s="39">
        <f>DGKC!H120</f>
        <v>0.93062078370763102</v>
      </c>
    </row>
    <row r="75" spans="1:8" ht="19.95" customHeight="1" x14ac:dyDescent="0.3">
      <c r="A75" s="29" t="s">
        <v>21</v>
      </c>
      <c r="B75" s="29"/>
      <c r="C75" s="29"/>
      <c r="D75" s="39">
        <f>MLCF!D120</f>
        <v>0.8037513915639477</v>
      </c>
      <c r="E75" s="39">
        <f>MLCF!E120</f>
        <v>0.85444675022417971</v>
      </c>
      <c r="F75" s="39">
        <f>MLCF!F120</f>
        <v>0.99551999428815263</v>
      </c>
      <c r="G75" s="39">
        <f>MLCF!G120</f>
        <v>1.0069209161495893</v>
      </c>
      <c r="H75" s="39">
        <f>MLCF!H120</f>
        <v>1.0971769908727151</v>
      </c>
    </row>
    <row r="76" spans="1:8" ht="19.95" customHeight="1" x14ac:dyDescent="0.3">
      <c r="A76" s="29" t="s">
        <v>25</v>
      </c>
      <c r="B76" s="29"/>
      <c r="C76" s="29"/>
      <c r="D76" s="39">
        <f>FCCL!D120</f>
        <v>1.1329960510619466</v>
      </c>
      <c r="E76" s="39">
        <f>FCCL!E120</f>
        <v>0.73176601318978285</v>
      </c>
      <c r="F76" s="39">
        <f>FCCL!F120</f>
        <v>0.65184739301529204</v>
      </c>
      <c r="G76" s="39">
        <f>FCCL!G120</f>
        <v>0.72196082222901214</v>
      </c>
      <c r="H76" s="39">
        <f>FCCL!H120</f>
        <v>0.81180021491144161</v>
      </c>
    </row>
    <row r="77" spans="1:8" ht="19.95" customHeight="1" x14ac:dyDescent="0.3">
      <c r="A77" s="37" t="s">
        <v>220</v>
      </c>
      <c r="B77" s="37"/>
      <c r="C77" s="37"/>
      <c r="D77" s="40">
        <f>IF(COUNT(D72:D76)=0,"n/m",AVERAGE(D72:D76))</f>
        <v>0.91365591618961484</v>
      </c>
      <c r="E77" s="40">
        <f>IF(COUNT(E72:E76)=0,"n/m",AVERAGE(E72:E76))</f>
        <v>0.96275500617698673</v>
      </c>
      <c r="F77" s="40">
        <f>IF(COUNT(F72:F76)=0,"n/m",AVERAGE(F72:F76))</f>
        <v>1.038121359645698</v>
      </c>
      <c r="G77" s="40">
        <f>IF(COUNT(G72:G76)=0,"n/m",AVERAGE(G72:G76))</f>
        <v>1.0750251936081971</v>
      </c>
      <c r="H77" s="40">
        <f>IF(COUNT(H72:H76)=0,"n/m",AVERAGE(H72:H76))</f>
        <v>1.121131911161676</v>
      </c>
    </row>
    <row r="78" spans="1:8" ht="19.95" customHeight="1" x14ac:dyDescent="0.3">
      <c r="A78" s="29"/>
      <c r="B78" s="29"/>
      <c r="C78" s="29"/>
      <c r="D78" s="41"/>
      <c r="E78" s="41"/>
      <c r="F78" s="41"/>
      <c r="G78" s="41"/>
      <c r="H78" s="41"/>
    </row>
    <row r="79" spans="1:8" ht="25.95" customHeight="1" x14ac:dyDescent="0.3">
      <c r="A79" s="35" t="s">
        <v>161</v>
      </c>
      <c r="B79" s="36" t="s">
        <v>162</v>
      </c>
      <c r="C79" s="84" t="s">
        <v>270</v>
      </c>
      <c r="D79" s="38"/>
      <c r="E79" s="38"/>
      <c r="F79" s="38"/>
      <c r="G79" s="38"/>
      <c r="H79" s="38"/>
    </row>
    <row r="80" spans="1:8" ht="19.95" customHeight="1" x14ac:dyDescent="0.3">
      <c r="A80" s="29" t="s">
        <v>9</v>
      </c>
      <c r="B80" s="29"/>
      <c r="C80" s="29"/>
      <c r="D80" s="39">
        <f>KOHC!D121</f>
        <v>0.66665082622797289</v>
      </c>
      <c r="E80" s="39">
        <f>KOHC!E121</f>
        <v>0.7583954484233022</v>
      </c>
      <c r="F80" s="39">
        <f>KOHC!F121</f>
        <v>0.78581821088962756</v>
      </c>
      <c r="G80" s="39">
        <f>KOHC!G121</f>
        <v>0.65679136157504614</v>
      </c>
      <c r="H80" s="39">
        <f>KOHC!H121</f>
        <v>0.56195953485342598</v>
      </c>
    </row>
    <row r="81" spans="1:8" ht="19.95" customHeight="1" x14ac:dyDescent="0.3">
      <c r="A81" s="29" t="s">
        <v>13</v>
      </c>
      <c r="B81" s="29"/>
      <c r="C81" s="29"/>
      <c r="D81" s="39">
        <f>LUCK!D121</f>
        <v>0.40251701143421476</v>
      </c>
      <c r="E81" s="39">
        <f>LUCK!E121</f>
        <v>0.4384325626713429</v>
      </c>
      <c r="F81" s="39">
        <f>LUCK!F121</f>
        <v>0.44974923322711935</v>
      </c>
      <c r="G81" s="39">
        <f>LUCK!G121</f>
        <v>0.49280353497458251</v>
      </c>
      <c r="H81" s="39">
        <f>LUCK!H121</f>
        <v>0.46677662061834158</v>
      </c>
    </row>
    <row r="82" spans="1:8" ht="19.95" customHeight="1" x14ac:dyDescent="0.3">
      <c r="A82" s="29" t="s">
        <v>17</v>
      </c>
      <c r="B82" s="29"/>
      <c r="C82" s="29"/>
      <c r="D82" s="39">
        <f>DGKC!D121</f>
        <v>0.32711693039218176</v>
      </c>
      <c r="E82" s="39">
        <f>DGKC!E121</f>
        <v>0.42503666813991675</v>
      </c>
      <c r="F82" s="39">
        <f>DGKC!F121</f>
        <v>0.4823862468647665</v>
      </c>
      <c r="G82" s="39">
        <f>DGKC!G121</f>
        <v>0.47720727814222835</v>
      </c>
      <c r="H82" s="39">
        <f>DGKC!H121</f>
        <v>0.49267235836459933</v>
      </c>
    </row>
    <row r="83" spans="1:8" ht="19.95" customHeight="1" x14ac:dyDescent="0.3">
      <c r="A83" s="29" t="s">
        <v>21</v>
      </c>
      <c r="B83" s="29"/>
      <c r="C83" s="29"/>
      <c r="D83" s="39">
        <f>MLCF!D121</f>
        <v>0.53651401514370378</v>
      </c>
      <c r="E83" s="39">
        <f>MLCF!E121</f>
        <v>0.59016101960962719</v>
      </c>
      <c r="F83" s="39">
        <f>MLCF!F121</f>
        <v>0.69197238797008198</v>
      </c>
      <c r="G83" s="39">
        <f>MLCF!G121</f>
        <v>0.66876558045462819</v>
      </c>
      <c r="H83" s="39">
        <f>MLCF!H121</f>
        <v>0.57883136984449801</v>
      </c>
    </row>
    <row r="84" spans="1:8" ht="19.95" customHeight="1" x14ac:dyDescent="0.3">
      <c r="A84" s="29" t="s">
        <v>25</v>
      </c>
      <c r="B84" s="29"/>
      <c r="C84" s="29"/>
      <c r="D84" s="39">
        <f>FCCL!D121</f>
        <v>0.71276636764269574</v>
      </c>
      <c r="E84" s="39">
        <f>FCCL!E121</f>
        <v>0.4770803467502796</v>
      </c>
      <c r="F84" s="39">
        <f>FCCL!F121</f>
        <v>0.49031202866080159</v>
      </c>
      <c r="G84" s="39">
        <f>FCCL!G121</f>
        <v>0.54204979765850125</v>
      </c>
      <c r="H84" s="39">
        <f>FCCL!H121</f>
        <v>0.55305556508680442</v>
      </c>
    </row>
    <row r="85" spans="1:8" ht="19.95" customHeight="1" x14ac:dyDescent="0.3">
      <c r="A85" s="37" t="s">
        <v>220</v>
      </c>
      <c r="B85" s="37"/>
      <c r="C85" s="37"/>
      <c r="D85" s="40">
        <f>IF(COUNT(D80:D84)=0,"n/m",AVERAGE(D80:D84))</f>
        <v>0.5291130301681537</v>
      </c>
      <c r="E85" s="40">
        <f>IF(COUNT(E80:E84)=0,"n/m",AVERAGE(E80:E84))</f>
        <v>0.53782120911889375</v>
      </c>
      <c r="F85" s="40">
        <f>IF(COUNT(F80:F84)=0,"n/m",AVERAGE(F80:F84))</f>
        <v>0.58004762152247946</v>
      </c>
      <c r="G85" s="40">
        <f>IF(COUNT(G80:G84)=0,"n/m",AVERAGE(G80:G84))</f>
        <v>0.56752351056099726</v>
      </c>
      <c r="H85" s="40">
        <f>IF(COUNT(H80:H84)=0,"n/m",AVERAGE(H80:H84))</f>
        <v>0.53065908975353382</v>
      </c>
    </row>
    <row r="86" spans="1:8" ht="19.95" customHeight="1" x14ac:dyDescent="0.3">
      <c r="A86" s="29"/>
      <c r="B86" s="29"/>
      <c r="C86" s="29"/>
      <c r="D86" s="41"/>
      <c r="E86" s="41"/>
      <c r="F86" s="41"/>
      <c r="G86" s="41"/>
      <c r="H86" s="41"/>
    </row>
    <row r="87" spans="1:8" ht="19.95" customHeight="1" x14ac:dyDescent="0.3">
      <c r="A87" s="94" t="s">
        <v>222</v>
      </c>
      <c r="B87" s="94"/>
      <c r="C87" s="94"/>
      <c r="D87" s="95"/>
      <c r="E87" s="95"/>
      <c r="F87" s="95"/>
      <c r="G87" s="95"/>
      <c r="H87" s="95"/>
    </row>
    <row r="88" spans="1:8" ht="25.95" customHeight="1" x14ac:dyDescent="0.3">
      <c r="A88" s="35" t="s">
        <v>164</v>
      </c>
      <c r="B88" s="36" t="s">
        <v>165</v>
      </c>
      <c r="C88" s="84" t="s">
        <v>271</v>
      </c>
      <c r="D88" s="38"/>
      <c r="E88" s="38"/>
      <c r="F88" s="38"/>
      <c r="G88" s="38"/>
      <c r="H88" s="38"/>
    </row>
    <row r="89" spans="1:8" ht="19.95" customHeight="1" x14ac:dyDescent="0.3">
      <c r="A89" s="29" t="s">
        <v>9</v>
      </c>
      <c r="B89" s="29"/>
      <c r="C89" s="29"/>
      <c r="D89" s="46">
        <f>KOHC!D123</f>
        <v>0.38416638255503399</v>
      </c>
      <c r="E89" s="46">
        <f>KOHC!E123</f>
        <v>0.37149249167170456</v>
      </c>
      <c r="F89" s="46">
        <f>KOHC!F123</f>
        <v>0.34161124098483342</v>
      </c>
      <c r="G89" s="46">
        <f>KOHC!G123</f>
        <v>0.30169945185029512</v>
      </c>
      <c r="H89" s="46">
        <f>KOHC!H123</f>
        <v>0.28204672647028445</v>
      </c>
    </row>
    <row r="90" spans="1:8" ht="19.95" customHeight="1" x14ac:dyDescent="0.3">
      <c r="A90" s="29" t="s">
        <v>13</v>
      </c>
      <c r="B90" s="29"/>
      <c r="C90" s="29"/>
      <c r="D90" s="46">
        <f>LUCK!D123</f>
        <v>0.27606535150381284</v>
      </c>
      <c r="E90" s="46">
        <f>LUCK!E123</f>
        <v>0.30504607293955061</v>
      </c>
      <c r="F90" s="46">
        <f>LUCK!F123</f>
        <v>0.35532697822447284</v>
      </c>
      <c r="G90" s="46">
        <f>LUCK!G123</f>
        <v>0.36859036410390322</v>
      </c>
      <c r="H90" s="46">
        <f>LUCK!H123</f>
        <v>0.34053721034041001</v>
      </c>
    </row>
    <row r="91" spans="1:8" ht="19.95" customHeight="1" x14ac:dyDescent="0.3">
      <c r="A91" s="29" t="s">
        <v>17</v>
      </c>
      <c r="B91" s="29"/>
      <c r="C91" s="29"/>
      <c r="D91" s="46">
        <f>DGKC!D123</f>
        <v>0.46714504184305206</v>
      </c>
      <c r="E91" s="46">
        <f>DGKC!E123</f>
        <v>0.48801207258126744</v>
      </c>
      <c r="F91" s="46">
        <f>DGKC!F123</f>
        <v>0.52348952241922664</v>
      </c>
      <c r="G91" s="46">
        <f>DGKC!G123</f>
        <v>0.45191223946360831</v>
      </c>
      <c r="H91" s="46">
        <f>DGKC!H123</f>
        <v>0.35125595827177031</v>
      </c>
    </row>
    <row r="92" spans="1:8" ht="19.95" customHeight="1" x14ac:dyDescent="0.3">
      <c r="A92" s="29" t="s">
        <v>21</v>
      </c>
      <c r="B92" s="29"/>
      <c r="C92" s="29"/>
      <c r="D92" s="46">
        <f>MLCF!D123</f>
        <v>0.43322840867921292</v>
      </c>
      <c r="E92" s="46">
        <f>MLCF!E123</f>
        <v>0.50666660909348882</v>
      </c>
      <c r="F92" s="46">
        <f>MLCF!F123</f>
        <v>0.49933942690835115</v>
      </c>
      <c r="G92" s="46">
        <f>MLCF!G123</f>
        <v>0.4704820926001394</v>
      </c>
      <c r="H92" s="46">
        <f>MLCF!H123</f>
        <v>0.40001822406143511</v>
      </c>
    </row>
    <row r="93" spans="1:8" ht="19.95" customHeight="1" x14ac:dyDescent="0.3">
      <c r="A93" s="29" t="s">
        <v>25</v>
      </c>
      <c r="B93" s="29"/>
      <c r="C93" s="29"/>
      <c r="D93" s="46">
        <f>FCCL!D123</f>
        <v>0.31647148170702821</v>
      </c>
      <c r="E93" s="46">
        <f>FCCL!E123</f>
        <v>0.49219848282922141</v>
      </c>
      <c r="F93" s="46">
        <f>FCCL!F123</f>
        <v>0.53053055814614203</v>
      </c>
      <c r="G93" s="46">
        <f>FCCL!G123</f>
        <v>0.5028400637434024</v>
      </c>
      <c r="H93" s="46">
        <f>FCCL!H123</f>
        <v>0.4760663500346739</v>
      </c>
    </row>
    <row r="94" spans="1:8" ht="19.95" customHeight="1" x14ac:dyDescent="0.3">
      <c r="A94" s="37" t="s">
        <v>220</v>
      </c>
      <c r="B94" s="37"/>
      <c r="C94" s="37"/>
      <c r="D94" s="47">
        <f>IF(COUNT(D89:D93)=0,"n/m",AVERAGE(D89:D93))</f>
        <v>0.37541533325762799</v>
      </c>
      <c r="E94" s="47">
        <f>IF(COUNT(E89:E93)=0,"n/m",AVERAGE(E89:E93))</f>
        <v>0.43268314582304657</v>
      </c>
      <c r="F94" s="47">
        <f>IF(COUNT(F89:F93)=0,"n/m",AVERAGE(F89:F93))</f>
        <v>0.45005954533660519</v>
      </c>
      <c r="G94" s="47">
        <f>IF(COUNT(G89:G93)=0,"n/m",AVERAGE(G89:G93))</f>
        <v>0.41910484235226975</v>
      </c>
      <c r="H94" s="47">
        <f>IF(COUNT(H89:H93)=0,"n/m",AVERAGE(H89:H93))</f>
        <v>0.36998489383571476</v>
      </c>
    </row>
    <row r="95" spans="1:8" ht="19.95" customHeight="1" x14ac:dyDescent="0.3">
      <c r="A95" s="29"/>
      <c r="B95" s="29"/>
      <c r="C95" s="29"/>
      <c r="D95" s="41"/>
      <c r="E95" s="41"/>
      <c r="F95" s="41"/>
      <c r="G95" s="41"/>
      <c r="H95" s="41"/>
    </row>
    <row r="96" spans="1:8" ht="25.95" customHeight="1" x14ac:dyDescent="0.3">
      <c r="A96" s="35" t="s">
        <v>166</v>
      </c>
      <c r="B96" s="36" t="s">
        <v>167</v>
      </c>
      <c r="C96" s="84" t="s">
        <v>272</v>
      </c>
      <c r="D96" s="38"/>
      <c r="E96" s="38"/>
      <c r="F96" s="38"/>
      <c r="G96" s="38"/>
      <c r="H96" s="38"/>
    </row>
    <row r="97" spans="1:8" ht="19.95" customHeight="1" x14ac:dyDescent="0.3">
      <c r="A97" s="29" t="s">
        <v>9</v>
      </c>
      <c r="B97" s="29"/>
      <c r="C97" s="29"/>
      <c r="D97" s="39">
        <f>KOHC!D124</f>
        <v>0.2722692388457173</v>
      </c>
      <c r="E97" s="39">
        <f>KOHC!E124</f>
        <v>0.15603310983895571</v>
      </c>
      <c r="F97" s="39">
        <f>KOHC!F124</f>
        <v>9.7619406864766459E-2</v>
      </c>
      <c r="G97" s="39">
        <f>KOHC!G124</f>
        <v>5.2398238191517746E-2</v>
      </c>
      <c r="H97" s="39">
        <f>KOHC!H124</f>
        <v>4.6764934517749976E-2</v>
      </c>
    </row>
    <row r="98" spans="1:8" ht="19.95" customHeight="1" x14ac:dyDescent="0.3">
      <c r="A98" s="29" t="s">
        <v>13</v>
      </c>
      <c r="B98" s="29"/>
      <c r="C98" s="29"/>
      <c r="D98" s="39">
        <f>LUCK!D124</f>
        <v>9.267604319417716E-2</v>
      </c>
      <c r="E98" s="39">
        <f>LUCK!E124</f>
        <v>0.12132883685589589</v>
      </c>
      <c r="F98" s="39">
        <f>LUCK!F124</f>
        <v>0.15318126074071459</v>
      </c>
      <c r="G98" s="39">
        <f>LUCK!G124</f>
        <v>0.13768684470695258</v>
      </c>
      <c r="H98" s="39">
        <f>LUCK!H124</f>
        <v>9.9684879347667912E-2</v>
      </c>
    </row>
    <row r="99" spans="1:8" ht="19.95" customHeight="1" x14ac:dyDescent="0.3">
      <c r="A99" s="29" t="s">
        <v>17</v>
      </c>
      <c r="B99" s="29"/>
      <c r="C99" s="29"/>
      <c r="D99" s="39">
        <f>DGKC!D124</f>
        <v>0.59600006385595838</v>
      </c>
      <c r="E99" s="39">
        <f>DGKC!E124</f>
        <v>0.66471914526512743</v>
      </c>
      <c r="F99" s="39">
        <f>DGKC!F124</f>
        <v>0.66251390334697124</v>
      </c>
      <c r="G99" s="39">
        <f>DGKC!G124</f>
        <v>0.45251048227827784</v>
      </c>
      <c r="H99" s="39">
        <f>DGKC!H124</f>
        <v>0.23141104487858016</v>
      </c>
    </row>
    <row r="100" spans="1:8" ht="19.95" customHeight="1" x14ac:dyDescent="0.3">
      <c r="A100" s="29" t="s">
        <v>21</v>
      </c>
      <c r="B100" s="29"/>
      <c r="C100" s="29"/>
      <c r="D100" s="39">
        <f>MLCF!D124</f>
        <v>0.43245543768601064</v>
      </c>
      <c r="E100" s="39">
        <f>MLCF!E124</f>
        <v>0.61573768495117542</v>
      </c>
      <c r="F100" s="39">
        <f>MLCF!F124</f>
        <v>0.44250779404874935</v>
      </c>
      <c r="G100" s="39">
        <f>MLCF!G124</f>
        <v>0.36846998820204724</v>
      </c>
      <c r="H100" s="39">
        <f>MLCF!H124</f>
        <v>0.20402666092297522</v>
      </c>
    </row>
    <row r="101" spans="1:8" ht="19.95" customHeight="1" x14ac:dyDescent="0.3">
      <c r="A101" s="29" t="s">
        <v>25</v>
      </c>
      <c r="B101" s="29"/>
      <c r="C101" s="29"/>
      <c r="D101" s="39">
        <f>FCCL!D124</f>
        <v>0.11033361830900601</v>
      </c>
      <c r="E101" s="39">
        <f>FCCL!E124</f>
        <v>0.44889851845785944</v>
      </c>
      <c r="F101" s="39">
        <f>FCCL!F124</f>
        <v>0.62375966688339879</v>
      </c>
      <c r="G101" s="39">
        <f>FCCL!G124</f>
        <v>0.49850573278032018</v>
      </c>
      <c r="H101" s="39">
        <f>FCCL!H124</f>
        <v>0.47508509566997464</v>
      </c>
    </row>
    <row r="102" spans="1:8" ht="19.95" customHeight="1" x14ac:dyDescent="0.3">
      <c r="A102" s="37" t="s">
        <v>220</v>
      </c>
      <c r="B102" s="37"/>
      <c r="C102" s="37"/>
      <c r="D102" s="40">
        <f>IF(COUNT(D97:D101)=0,"n/m",AVERAGE(D97:D101))</f>
        <v>0.30074688037817388</v>
      </c>
      <c r="E102" s="40">
        <f>IF(COUNT(E97:E101)=0,"n/m",AVERAGE(E97:E101))</f>
        <v>0.40134345907380276</v>
      </c>
      <c r="F102" s="40">
        <f>IF(COUNT(F97:F101)=0,"n/m",AVERAGE(F97:F101))</f>
        <v>0.3959164063769201</v>
      </c>
      <c r="G102" s="40">
        <f>IF(COUNT(G97:G101)=0,"n/m",AVERAGE(G97:G101))</f>
        <v>0.30191425723182308</v>
      </c>
      <c r="H102" s="40">
        <f>IF(COUNT(H97:H101)=0,"n/m",AVERAGE(H97:H101))</f>
        <v>0.21139452306738957</v>
      </c>
    </row>
    <row r="103" spans="1:8" ht="19.95" customHeight="1" x14ac:dyDescent="0.3">
      <c r="A103" s="29"/>
      <c r="B103" s="29"/>
      <c r="C103" s="29"/>
      <c r="D103" s="41"/>
      <c r="E103" s="41"/>
      <c r="F103" s="41"/>
      <c r="G103" s="41"/>
      <c r="H103" s="41"/>
    </row>
    <row r="104" spans="1:8" ht="25.95" customHeight="1" x14ac:dyDescent="0.3">
      <c r="A104" s="35" t="s">
        <v>168</v>
      </c>
      <c r="B104" s="36" t="s">
        <v>169</v>
      </c>
      <c r="C104" s="84" t="s">
        <v>273</v>
      </c>
      <c r="D104" s="38"/>
      <c r="E104" s="38"/>
      <c r="F104" s="38"/>
      <c r="G104" s="38"/>
      <c r="H104" s="38"/>
    </row>
    <row r="105" spans="1:8" ht="19.95" customHeight="1" x14ac:dyDescent="0.3">
      <c r="A105" s="29" t="s">
        <v>9</v>
      </c>
      <c r="B105" s="29"/>
      <c r="C105" s="29"/>
      <c r="D105" s="46">
        <f>KOHC!D125</f>
        <v>0.21400284667161887</v>
      </c>
      <c r="E105" s="46">
        <f>KOHC!E125</f>
        <v>0.13497287275854264</v>
      </c>
      <c r="F105" s="46">
        <f>KOHC!F125</f>
        <v>8.8937391462133447E-2</v>
      </c>
      <c r="G105" s="46">
        <f>KOHC!G125</f>
        <v>4.9789363275218823E-2</v>
      </c>
      <c r="H105" s="46">
        <f>KOHC!H125</f>
        <v>4.4675679300715997E-2</v>
      </c>
    </row>
    <row r="106" spans="1:8" ht="19.95" customHeight="1" x14ac:dyDescent="0.3">
      <c r="A106" s="29" t="s">
        <v>13</v>
      </c>
      <c r="B106" s="29"/>
      <c r="C106" s="29"/>
      <c r="D106" s="46">
        <f>LUCK!D125</f>
        <v>8.4815663134025443E-2</v>
      </c>
      <c r="E106" s="46">
        <f>LUCK!E125</f>
        <v>0.10820094237127705</v>
      </c>
      <c r="F106" s="46">
        <f>LUCK!F125</f>
        <v>0.13283363678865434</v>
      </c>
      <c r="G106" s="46">
        <f>LUCK!G125</f>
        <v>0.12102350075289672</v>
      </c>
      <c r="H106" s="46">
        <f>LUCK!H125</f>
        <v>9.0648585990198302E-2</v>
      </c>
    </row>
    <row r="107" spans="1:8" ht="19.95" customHeight="1" x14ac:dyDescent="0.3">
      <c r="A107" s="29" t="s">
        <v>17</v>
      </c>
      <c r="B107" s="29"/>
      <c r="C107" s="29"/>
      <c r="D107" s="46">
        <f>DGKC!D125</f>
        <v>0.37343360902882045</v>
      </c>
      <c r="E107" s="46">
        <f>DGKC!E125</f>
        <v>0.39929807208366225</v>
      </c>
      <c r="F107" s="46">
        <f>DGKC!F125</f>
        <v>0.39850127088453147</v>
      </c>
      <c r="G107" s="46">
        <f>DGKC!G125</f>
        <v>0.31153681009483003</v>
      </c>
      <c r="H107" s="46">
        <f>DGKC!H125</f>
        <v>0.18792347676351873</v>
      </c>
    </row>
    <row r="108" spans="1:8" ht="19.95" customHeight="1" x14ac:dyDescent="0.3">
      <c r="A108" s="29" t="s">
        <v>21</v>
      </c>
      <c r="B108" s="29"/>
      <c r="C108" s="29"/>
      <c r="D108" s="46">
        <f>MLCF!D125</f>
        <v>0.30189800416032447</v>
      </c>
      <c r="E108" s="46">
        <f>MLCF!E125</f>
        <v>0.381087654689308</v>
      </c>
      <c r="F108" s="46">
        <f>MLCF!F125</f>
        <v>0.30676284445350793</v>
      </c>
      <c r="G108" s="46">
        <f>MLCF!G125</f>
        <v>0.2692569010491479</v>
      </c>
      <c r="H108" s="46">
        <f>MLCF!H125</f>
        <v>0.1694536072536581</v>
      </c>
    </row>
    <row r="109" spans="1:8" ht="19.95" customHeight="1" x14ac:dyDescent="0.3">
      <c r="A109" s="29" t="s">
        <v>25</v>
      </c>
      <c r="B109" s="29"/>
      <c r="C109" s="29"/>
      <c r="D109" s="46">
        <f>FCCL!D125</f>
        <v>9.9369789844821352E-2</v>
      </c>
      <c r="E109" s="46">
        <f>FCCL!E125</f>
        <v>0.30982053797366449</v>
      </c>
      <c r="F109" s="46">
        <f>FCCL!F125</f>
        <v>0.38414531386940193</v>
      </c>
      <c r="G109" s="46">
        <f>FCCL!G125</f>
        <v>0.33266855232872222</v>
      </c>
      <c r="H109" s="46">
        <f>FCCL!H125</f>
        <v>0.3220730092552348</v>
      </c>
    </row>
    <row r="110" spans="1:8" ht="19.95" customHeight="1" x14ac:dyDescent="0.3">
      <c r="A110" s="37" t="s">
        <v>220</v>
      </c>
      <c r="B110" s="37"/>
      <c r="C110" s="37"/>
      <c r="D110" s="47">
        <f>IF(COUNT(D105:D109)=0,"n/m",AVERAGE(D105:D109))</f>
        <v>0.21470398256792214</v>
      </c>
      <c r="E110" s="47">
        <f>IF(COUNT(E105:E109)=0,"n/m",AVERAGE(E105:E109))</f>
        <v>0.26667601597529089</v>
      </c>
      <c r="F110" s="47">
        <f>IF(COUNT(F105:F109)=0,"n/m",AVERAGE(F105:F109))</f>
        <v>0.26223609149164584</v>
      </c>
      <c r="G110" s="47">
        <f>IF(COUNT(G105:G109)=0,"n/m",AVERAGE(G105:G109))</f>
        <v>0.21685502550016317</v>
      </c>
      <c r="H110" s="47">
        <f>IF(COUNT(H105:H109)=0,"n/m",AVERAGE(H105:H109))</f>
        <v>0.16295487171266518</v>
      </c>
    </row>
    <row r="111" spans="1:8" ht="19.95" customHeight="1" x14ac:dyDescent="0.3">
      <c r="A111" s="29"/>
      <c r="B111" s="29"/>
      <c r="C111" s="29"/>
      <c r="D111" s="41"/>
      <c r="E111" s="41"/>
      <c r="F111" s="41"/>
      <c r="G111" s="41"/>
      <c r="H111" s="41"/>
    </row>
    <row r="112" spans="1:8" ht="25.95" customHeight="1" x14ac:dyDescent="0.3">
      <c r="A112" s="35" t="s">
        <v>170</v>
      </c>
      <c r="B112" s="36" t="s">
        <v>171</v>
      </c>
      <c r="C112" s="84" t="s">
        <v>274</v>
      </c>
      <c r="D112" s="38"/>
      <c r="E112" s="38"/>
      <c r="F112" s="38"/>
      <c r="G112" s="38"/>
      <c r="H112" s="38"/>
    </row>
    <row r="113" spans="1:8" ht="19.95" customHeight="1" x14ac:dyDescent="0.3">
      <c r="A113" s="29" t="s">
        <v>9</v>
      </c>
      <c r="B113" s="29"/>
      <c r="C113" s="29"/>
      <c r="D113" s="39">
        <f>KOHC!D126</f>
        <v>10.965146742707439</v>
      </c>
      <c r="E113" s="39">
        <f>KOHC!E126</f>
        <v>18.319735243438064</v>
      </c>
      <c r="F113" s="39">
        <f>KOHC!F126</f>
        <v>16.315812571917526</v>
      </c>
      <c r="G113" s="39">
        <f>KOHC!G126</f>
        <v>22.319441864662931</v>
      </c>
      <c r="H113" s="39">
        <f>KOHC!H126</f>
        <v>58.956241100348862</v>
      </c>
    </row>
    <row r="114" spans="1:8" ht="19.95" customHeight="1" x14ac:dyDescent="0.3">
      <c r="A114" s="29" t="s">
        <v>13</v>
      </c>
      <c r="B114" s="29"/>
      <c r="C114" s="29"/>
      <c r="D114" s="39">
        <f>LUCK!D126</f>
        <v>52.042228263318378</v>
      </c>
      <c r="E114" s="39">
        <f>LUCK!E126</f>
        <v>55.297361076962446</v>
      </c>
      <c r="F114" s="39">
        <f>LUCK!F126</f>
        <v>19.418491261619813</v>
      </c>
      <c r="G114" s="39">
        <f>LUCK!G126</f>
        <v>27.521394265428206</v>
      </c>
      <c r="H114" s="39">
        <f>LUCK!H126</f>
        <v>36.687316512913945</v>
      </c>
    </row>
    <row r="115" spans="1:8" ht="19.95" customHeight="1" x14ac:dyDescent="0.3">
      <c r="A115" s="29" t="s">
        <v>17</v>
      </c>
      <c r="B115" s="29"/>
      <c r="C115" s="29"/>
      <c r="D115" s="39">
        <f>DGKC!D126</f>
        <v>2.6532310456742976</v>
      </c>
      <c r="E115" s="39">
        <f>DGKC!E126</f>
        <v>2.6982633298510965</v>
      </c>
      <c r="F115" s="39">
        <f>DGKC!F126</f>
        <v>1.4717538518085045</v>
      </c>
      <c r="G115" s="39">
        <f>DGKC!G126</f>
        <v>1.3582230764552283</v>
      </c>
      <c r="H115" s="39">
        <f>DGKC!H126</f>
        <v>4.4072600253200633</v>
      </c>
    </row>
    <row r="116" spans="1:8" ht="19.95" customHeight="1" x14ac:dyDescent="0.3">
      <c r="A116" s="29" t="s">
        <v>21</v>
      </c>
      <c r="B116" s="29"/>
      <c r="C116" s="29"/>
      <c r="D116" s="39">
        <f>MLCF!D126</f>
        <v>6.0367662605249279</v>
      </c>
      <c r="E116" s="39">
        <f>MLCF!E126</f>
        <v>5.2505359388174728</v>
      </c>
      <c r="F116" s="39">
        <f>MLCF!F126</f>
        <v>4.4476569735481268</v>
      </c>
      <c r="G116" s="39">
        <f>MLCF!G126</f>
        <v>3.2023484620581835</v>
      </c>
      <c r="H116" s="39">
        <f>MLCF!H126</f>
        <v>7.3457905408215804</v>
      </c>
    </row>
    <row r="117" spans="1:8" ht="19.95" customHeight="1" x14ac:dyDescent="0.3">
      <c r="A117" s="29" t="s">
        <v>25</v>
      </c>
      <c r="B117" s="29"/>
      <c r="C117" s="29"/>
      <c r="D117" s="39">
        <f>FCCL!D126</f>
        <v>56.450885878061477</v>
      </c>
      <c r="E117" s="39">
        <f>FCCL!E126</f>
        <v>12.583415391911771</v>
      </c>
      <c r="F117" s="39">
        <f>FCCL!F126</f>
        <v>5.9146829675290808</v>
      </c>
      <c r="G117" s="39">
        <f>FCCL!G126</f>
        <v>3.7798126521954241</v>
      </c>
      <c r="H117" s="39">
        <f>FCCL!H126</f>
        <v>4.7935258018729412</v>
      </c>
    </row>
    <row r="118" spans="1:8" ht="19.95" customHeight="1" x14ac:dyDescent="0.3">
      <c r="A118" s="37" t="s">
        <v>220</v>
      </c>
      <c r="B118" s="37"/>
      <c r="C118" s="37"/>
      <c r="D118" s="40">
        <f>IF(COUNT(D113:D117)=0,"n/m",AVERAGE(D113:D117))</f>
        <v>25.629651638057304</v>
      </c>
      <c r="E118" s="40">
        <f>IF(COUNT(E113:E117)=0,"n/m",AVERAGE(E113:E117))</f>
        <v>18.829862196196171</v>
      </c>
      <c r="F118" s="40">
        <f>IF(COUNT(F113:F117)=0,"n/m",AVERAGE(F113:F117))</f>
        <v>9.513679525284612</v>
      </c>
      <c r="G118" s="40">
        <f>IF(COUNT(G113:G117)=0,"n/m",AVERAGE(G113:G117))</f>
        <v>11.636244064159992</v>
      </c>
      <c r="H118" s="40">
        <f>IF(COUNT(H113:H117)=0,"n/m",AVERAGE(H113:H117))</f>
        <v>22.438026796255478</v>
      </c>
    </row>
    <row r="119" spans="1:8" ht="19.95" customHeight="1" x14ac:dyDescent="0.3">
      <c r="A119" s="29"/>
      <c r="B119" s="29"/>
      <c r="C119" s="29"/>
      <c r="D119" s="41"/>
      <c r="E119" s="41"/>
      <c r="F119" s="41"/>
      <c r="G119" s="41"/>
      <c r="H119" s="41"/>
    </row>
    <row r="120" spans="1:8" ht="19.95" customHeight="1" x14ac:dyDescent="0.3">
      <c r="A120" s="94" t="s">
        <v>223</v>
      </c>
      <c r="B120" s="94"/>
      <c r="C120" s="94"/>
      <c r="D120" s="95"/>
      <c r="E120" s="95"/>
      <c r="F120" s="95"/>
      <c r="G120" s="95"/>
      <c r="H120" s="95"/>
    </row>
    <row r="121" spans="1:8" ht="25.95" customHeight="1" x14ac:dyDescent="0.3">
      <c r="A121" s="35" t="s">
        <v>173</v>
      </c>
      <c r="B121" s="36" t="s">
        <v>174</v>
      </c>
      <c r="C121" s="84" t="s">
        <v>275</v>
      </c>
      <c r="D121" s="38"/>
      <c r="E121" s="38"/>
      <c r="F121" s="38"/>
      <c r="G121" s="38"/>
      <c r="H121" s="38"/>
    </row>
    <row r="122" spans="1:8" ht="19.95" customHeight="1" x14ac:dyDescent="0.3">
      <c r="A122" s="29" t="s">
        <v>9</v>
      </c>
      <c r="B122" s="29"/>
      <c r="C122" s="29"/>
      <c r="D122" s="46">
        <f>KOHC!D128</f>
        <v>0.24796341300828931</v>
      </c>
      <c r="E122" s="46">
        <f>KOHC!E128</f>
        <v>0.29843914213509881</v>
      </c>
      <c r="F122" s="46">
        <f>KOHC!F128</f>
        <v>0.26804356818989611</v>
      </c>
      <c r="G122" s="46">
        <f>KOHC!G128</f>
        <v>0.29125851467425595</v>
      </c>
      <c r="H122" s="46">
        <f>KOHC!H128</f>
        <v>0.39220278175445145</v>
      </c>
    </row>
    <row r="123" spans="1:8" ht="19.95" customHeight="1" x14ac:dyDescent="0.3">
      <c r="A123" s="29" t="s">
        <v>13</v>
      </c>
      <c r="B123" s="29"/>
      <c r="C123" s="29"/>
      <c r="D123" s="46">
        <f>LUCK!D128</f>
        <v>0.30117079055471246</v>
      </c>
      <c r="E123" s="46">
        <f>LUCK!E128</f>
        <v>0.27809669144361399</v>
      </c>
      <c r="F123" s="46">
        <f>LUCK!F128</f>
        <v>0.27194087595679139</v>
      </c>
      <c r="G123" s="46">
        <f>LUCK!G128</f>
        <v>0.33648030796321582</v>
      </c>
      <c r="H123" s="46">
        <f>LUCK!H128</f>
        <v>0.34281652982067301</v>
      </c>
    </row>
    <row r="124" spans="1:8" ht="19.95" customHeight="1" x14ac:dyDescent="0.3">
      <c r="A124" s="29" t="s">
        <v>17</v>
      </c>
      <c r="B124" s="29"/>
      <c r="C124" s="29"/>
      <c r="D124" s="46">
        <f>DGKC!D128</f>
        <v>0.17894713739497631</v>
      </c>
      <c r="E124" s="46">
        <f>DGKC!E128</f>
        <v>0.17966261135996409</v>
      </c>
      <c r="F124" s="46">
        <f>DGKC!F128</f>
        <v>0.14704852458583501</v>
      </c>
      <c r="G124" s="46">
        <f>DGKC!G128</f>
        <v>0.15942563608432631</v>
      </c>
      <c r="H124" s="46">
        <f>DGKC!H128</f>
        <v>0.25740632547300923</v>
      </c>
    </row>
    <row r="125" spans="1:8" ht="19.95" customHeight="1" x14ac:dyDescent="0.3">
      <c r="A125" s="29" t="s">
        <v>21</v>
      </c>
      <c r="B125" s="29"/>
      <c r="C125" s="29"/>
      <c r="D125" s="46">
        <f>MLCF!D128</f>
        <v>0.20830714445240356</v>
      </c>
      <c r="E125" s="46">
        <f>MLCF!E128</f>
        <v>0.25300003367709667</v>
      </c>
      <c r="F125" s="46">
        <f>MLCF!F128</f>
        <v>0.29276322471727417</v>
      </c>
      <c r="G125" s="46">
        <f>MLCF!G128</f>
        <v>0.31547845382378364</v>
      </c>
      <c r="H125" s="46">
        <f>MLCF!H128</f>
        <v>0.34444405990469212</v>
      </c>
    </row>
    <row r="126" spans="1:8" ht="19.95" customHeight="1" x14ac:dyDescent="0.3">
      <c r="A126" s="29" t="s">
        <v>25</v>
      </c>
      <c r="B126" s="29"/>
      <c r="C126" s="29"/>
      <c r="D126" s="46">
        <f>FCCL!D128</f>
        <v>0.24985924725452316</v>
      </c>
      <c r="E126" s="46">
        <f>FCCL!E128</f>
        <v>0.28507903988852556</v>
      </c>
      <c r="F126" s="46">
        <f>FCCL!F128</f>
        <v>0.29996604048210768</v>
      </c>
      <c r="G126" s="46">
        <f>FCCL!G128</f>
        <v>0.32089986350224731</v>
      </c>
      <c r="H126" s="46">
        <f>FCCL!H128</f>
        <v>0.35490842202929052</v>
      </c>
    </row>
    <row r="127" spans="1:8" ht="19.95" customHeight="1" x14ac:dyDescent="0.3">
      <c r="A127" s="37" t="s">
        <v>220</v>
      </c>
      <c r="B127" s="37"/>
      <c r="C127" s="37"/>
      <c r="D127" s="47">
        <f>IF(COUNT(D122:D126)=0,"n/m",AVERAGE(D122:D126))</f>
        <v>0.23724954653298097</v>
      </c>
      <c r="E127" s="47">
        <f>IF(COUNT(E122:E126)=0,"n/m",AVERAGE(E122:E126))</f>
        <v>0.25885550370085986</v>
      </c>
      <c r="F127" s="47">
        <f>IF(COUNT(F122:F126)=0,"n/m",AVERAGE(F122:F126))</f>
        <v>0.25595244678638085</v>
      </c>
      <c r="G127" s="47">
        <f>IF(COUNT(G122:G126)=0,"n/m",AVERAGE(G122:G126))</f>
        <v>0.28470855520956578</v>
      </c>
      <c r="H127" s="47">
        <f>IF(COUNT(H122:H126)=0,"n/m",AVERAGE(H122:H126))</f>
        <v>0.33835562379642325</v>
      </c>
    </row>
    <row r="128" spans="1:8" ht="19.95" customHeight="1" x14ac:dyDescent="0.3">
      <c r="A128" s="29"/>
      <c r="B128" s="29"/>
      <c r="C128" s="29"/>
      <c r="D128" s="41"/>
      <c r="E128" s="41"/>
      <c r="F128" s="41"/>
      <c r="G128" s="41"/>
      <c r="H128" s="41"/>
    </row>
    <row r="129" spans="1:8" ht="25.95" customHeight="1" x14ac:dyDescent="0.3">
      <c r="A129" s="35" t="s">
        <v>175</v>
      </c>
      <c r="B129" s="36" t="s">
        <v>176</v>
      </c>
      <c r="C129" s="84" t="s">
        <v>276</v>
      </c>
      <c r="D129" s="38"/>
      <c r="E129" s="38"/>
      <c r="F129" s="38"/>
      <c r="G129" s="38"/>
      <c r="H129" s="38"/>
    </row>
    <row r="130" spans="1:8" ht="19.95" customHeight="1" x14ac:dyDescent="0.3">
      <c r="A130" s="29" t="s">
        <v>9</v>
      </c>
      <c r="B130" s="29"/>
      <c r="C130" s="29"/>
      <c r="D130" s="46">
        <f>KOHC!D129</f>
        <v>0.223476531263751</v>
      </c>
      <c r="E130" s="46">
        <f>KOHC!E129</f>
        <v>0.28715637280086448</v>
      </c>
      <c r="F130" s="46">
        <f>KOHC!F129</f>
        <v>0.28654734202991289</v>
      </c>
      <c r="G130" s="46">
        <f>KOHC!G129</f>
        <v>0.37317728789535698</v>
      </c>
      <c r="H130" s="46">
        <f>KOHC!H129</f>
        <v>0.48095636892569549</v>
      </c>
    </row>
    <row r="131" spans="1:8" ht="19.95" customHeight="1" x14ac:dyDescent="0.3">
      <c r="A131" s="29" t="s">
        <v>13</v>
      </c>
      <c r="B131" s="29"/>
      <c r="C131" s="29"/>
      <c r="D131" s="46">
        <f>LUCK!D129</f>
        <v>0.27526050866365631</v>
      </c>
      <c r="E131" s="46">
        <f>LUCK!E129</f>
        <v>0.26901961654768358</v>
      </c>
      <c r="F131" s="46">
        <f>LUCK!F129</f>
        <v>0.23480711540356072</v>
      </c>
      <c r="G131" s="46">
        <f>LUCK!G129</f>
        <v>0.37240945675047471</v>
      </c>
      <c r="H131" s="46">
        <f>LUCK!H129</f>
        <v>0.39071901522799324</v>
      </c>
    </row>
    <row r="132" spans="1:8" ht="19.95" customHeight="1" x14ac:dyDescent="0.3">
      <c r="A132" s="29" t="s">
        <v>17</v>
      </c>
      <c r="B132" s="29"/>
      <c r="C132" s="29"/>
      <c r="D132" s="46">
        <f>DGKC!D129</f>
        <v>0.16976072150890459</v>
      </c>
      <c r="E132" s="46">
        <f>DGKC!E129</f>
        <v>0.1647791429733062</v>
      </c>
      <c r="F132" s="46">
        <f>DGKC!F129</f>
        <v>0.15182766799754666</v>
      </c>
      <c r="G132" s="46">
        <f>DGKC!G129</f>
        <v>0.16299366572828242</v>
      </c>
      <c r="H132" s="46">
        <f>DGKC!H129</f>
        <v>0.23397808045883622</v>
      </c>
    </row>
    <row r="133" spans="1:8" ht="19.95" customHeight="1" x14ac:dyDescent="0.3">
      <c r="A133" s="29" t="s">
        <v>21</v>
      </c>
      <c r="B133" s="29"/>
      <c r="C133" s="29"/>
      <c r="D133" s="46">
        <f>MLCF!D129</f>
        <v>0.24584402613957254</v>
      </c>
      <c r="E133" s="46">
        <f>MLCF!E129</f>
        <v>0.18288553443388325</v>
      </c>
      <c r="F133" s="46">
        <f>MLCF!F129</f>
        <v>0.19224796146239193</v>
      </c>
      <c r="G133" s="46">
        <f>MLCF!G129</f>
        <v>0.19543128859795894</v>
      </c>
      <c r="H133" s="46">
        <f>MLCF!H129</f>
        <v>0.36375545770453227</v>
      </c>
    </row>
    <row r="134" spans="1:8" ht="19.95" customHeight="1" x14ac:dyDescent="0.3">
      <c r="A134" s="29" t="s">
        <v>25</v>
      </c>
      <c r="B134" s="29"/>
      <c r="C134" s="29"/>
      <c r="D134" s="46">
        <f>FCCL!D129</f>
        <v>0.2142368646736256</v>
      </c>
      <c r="E134" s="46">
        <f>FCCL!E129</f>
        <v>0.23087384099122032</v>
      </c>
      <c r="F134" s="46">
        <f>FCCL!F129</f>
        <v>0.22807525720632701</v>
      </c>
      <c r="G134" s="46">
        <f>FCCL!G129</f>
        <v>0.26089810857755552</v>
      </c>
      <c r="H134" s="46">
        <f>FCCL!H129</f>
        <v>0.3057657460861018</v>
      </c>
    </row>
    <row r="135" spans="1:8" ht="19.95" customHeight="1" x14ac:dyDescent="0.3">
      <c r="A135" s="37" t="s">
        <v>220</v>
      </c>
      <c r="B135" s="37"/>
      <c r="C135" s="37"/>
      <c r="D135" s="47">
        <f>IF(COUNT(D130:D134)=0,"n/m",AVERAGE(D130:D134))</f>
        <v>0.22571573044990201</v>
      </c>
      <c r="E135" s="47">
        <f>IF(COUNT(E130:E134)=0,"n/m",AVERAGE(E130:E134))</f>
        <v>0.22694290154939156</v>
      </c>
      <c r="F135" s="47">
        <f>IF(COUNT(F130:F134)=0,"n/m",AVERAGE(F130:F134))</f>
        <v>0.21870106881994783</v>
      </c>
      <c r="G135" s="47">
        <f>IF(COUNT(G130:G134)=0,"n/m",AVERAGE(G130:G134))</f>
        <v>0.27298196150992571</v>
      </c>
      <c r="H135" s="47">
        <f>IF(COUNT(H130:H134)=0,"n/m",AVERAGE(H130:H134))</f>
        <v>0.35503493368063183</v>
      </c>
    </row>
    <row r="136" spans="1:8" ht="19.95" customHeight="1" x14ac:dyDescent="0.3">
      <c r="A136" s="29"/>
      <c r="B136" s="29"/>
      <c r="C136" s="29"/>
      <c r="D136" s="41"/>
      <c r="E136" s="41"/>
      <c r="F136" s="41"/>
      <c r="G136" s="41"/>
      <c r="H136" s="41"/>
    </row>
    <row r="137" spans="1:8" ht="25.95" customHeight="1" x14ac:dyDescent="0.3">
      <c r="A137" s="35" t="s">
        <v>177</v>
      </c>
      <c r="B137" s="36" t="s">
        <v>178</v>
      </c>
      <c r="C137" s="84" t="s">
        <v>277</v>
      </c>
      <c r="D137" s="38"/>
      <c r="E137" s="38"/>
      <c r="F137" s="38"/>
      <c r="G137" s="38"/>
      <c r="H137" s="38"/>
    </row>
    <row r="138" spans="1:8" ht="19.95" customHeight="1" x14ac:dyDescent="0.3">
      <c r="A138" s="29" t="s">
        <v>9</v>
      </c>
      <c r="B138" s="29"/>
      <c r="C138" s="29"/>
      <c r="D138" s="46">
        <f>KOHC!D130</f>
        <v>0.1453819089897026</v>
      </c>
      <c r="E138" s="46">
        <f>KOHC!E130</f>
        <v>0.15282075695786385</v>
      </c>
      <c r="F138" s="46">
        <f>KOHC!F130</f>
        <v>0.14955052871384544</v>
      </c>
      <c r="G138" s="46">
        <f>KOHC!G130</f>
        <v>0.23011561219895646</v>
      </c>
      <c r="H138" s="46">
        <f>KOHC!H130</f>
        <v>0.30837719707594857</v>
      </c>
    </row>
    <row r="139" spans="1:8" ht="19.95" customHeight="1" x14ac:dyDescent="0.3">
      <c r="A139" s="29" t="s">
        <v>13</v>
      </c>
      <c r="B139" s="29"/>
      <c r="C139" s="29"/>
      <c r="D139" s="46">
        <f>LUCK!D130</f>
        <v>0.22354637821997994</v>
      </c>
      <c r="E139" s="46">
        <f>LUCK!E130</f>
        <v>0.18865400166042842</v>
      </c>
      <c r="F139" s="46">
        <f>LUCK!F130</f>
        <v>0.14322765825125466</v>
      </c>
      <c r="G139" s="46">
        <f>LUCK!G130</f>
        <v>0.24371604713228476</v>
      </c>
      <c r="H139" s="46">
        <f>LUCK!H130</f>
        <v>0.26577542757733763</v>
      </c>
    </row>
    <row r="140" spans="1:8" ht="19.95" customHeight="1" x14ac:dyDescent="0.3">
      <c r="A140" s="29" t="s">
        <v>17</v>
      </c>
      <c r="B140" s="29"/>
      <c r="C140" s="29"/>
      <c r="D140" s="46">
        <f>DGKC!D130</f>
        <v>8.2497529800351119E-2</v>
      </c>
      <c r="E140" s="46">
        <f>DGKC!E130</f>
        <v>5.120493100192175E-2</v>
      </c>
      <c r="F140" s="46" t="str">
        <f>DGKC!F130</f>
        <v>n/m</v>
      </c>
      <c r="G140" s="46">
        <f>DGKC!G130</f>
        <v>8.2133065966830711E-3</v>
      </c>
      <c r="H140" s="46">
        <f>DGKC!H130</f>
        <v>0.12066652759857006</v>
      </c>
    </row>
    <row r="141" spans="1:8" ht="19.95" customHeight="1" x14ac:dyDescent="0.3">
      <c r="A141" s="29" t="s">
        <v>21</v>
      </c>
      <c r="B141" s="29"/>
      <c r="C141" s="29"/>
      <c r="D141" s="46">
        <f>MLCF!D130</f>
        <v>0.1759822170452098</v>
      </c>
      <c r="E141" s="46">
        <f>MLCF!E130</f>
        <v>7.4739658936337147E-2</v>
      </c>
      <c r="F141" s="46">
        <f>MLCF!F130</f>
        <v>7.2358441549152441E-2</v>
      </c>
      <c r="G141" s="46">
        <f>MLCF!G130</f>
        <v>7.9342975209845082E-2</v>
      </c>
      <c r="H141" s="46">
        <f>MLCF!H130</f>
        <v>0.24711008947956384</v>
      </c>
    </row>
    <row r="142" spans="1:8" ht="19.95" customHeight="1" x14ac:dyDescent="0.3">
      <c r="A142" s="29" t="s">
        <v>25</v>
      </c>
      <c r="B142" s="29"/>
      <c r="C142" s="29"/>
      <c r="D142" s="46">
        <f>FCCL!D130</f>
        <v>0.14302295902338913</v>
      </c>
      <c r="E142" s="46">
        <f>FCCL!E130</f>
        <v>0.13112336204567002</v>
      </c>
      <c r="F142" s="46">
        <f>FCCL!F130</f>
        <v>0.10929571726641699</v>
      </c>
      <c r="G142" s="46">
        <f>FCCL!G130</f>
        <v>0.10275526425549537</v>
      </c>
      <c r="H142" s="46">
        <f>FCCL!H130</f>
        <v>0.14980611609777766</v>
      </c>
    </row>
    <row r="143" spans="1:8" ht="19.95" customHeight="1" x14ac:dyDescent="0.3">
      <c r="A143" s="37" t="s">
        <v>220</v>
      </c>
      <c r="B143" s="37"/>
      <c r="C143" s="50" t="str">
        <f>"N (FY21-25): "&amp;COUNT(D138:D142)&amp;","&amp;COUNT(E138:E142)&amp;","&amp;COUNT(F138:F142)&amp;","&amp;COUNT(G138:G142)&amp;","&amp;COUNT(H138:H142)</f>
        <v>N (FY21-25): 5,5,4,5,5</v>
      </c>
      <c r="D143" s="47">
        <f>IF(COUNT(D138:D142)=0,"n/m",AVERAGE(D138:D142))</f>
        <v>0.15408619861572653</v>
      </c>
      <c r="E143" s="47">
        <f>IF(COUNT(E138:E142)=0,"n/m",AVERAGE(E138:E142))</f>
        <v>0.11970854212044424</v>
      </c>
      <c r="F143" s="47">
        <f>IF(COUNT(F138:F142)=0,"n/m",AVERAGE(F138:F142))</f>
        <v>0.11860808644516738</v>
      </c>
      <c r="G143" s="47">
        <f>IF(COUNT(G138:G142)=0,"n/m",AVERAGE(G138:G142))</f>
        <v>0.13282864107865294</v>
      </c>
      <c r="H143" s="47">
        <f>IF(COUNT(H138:H142)=0,"n/m",AVERAGE(H138:H142))</f>
        <v>0.21834707156583955</v>
      </c>
    </row>
    <row r="144" spans="1:8" ht="19.95" customHeight="1" x14ac:dyDescent="0.3">
      <c r="A144" s="29"/>
      <c r="B144" s="29"/>
      <c r="C144" s="29"/>
      <c r="D144" s="41"/>
      <c r="E144" s="41"/>
      <c r="F144" s="41"/>
      <c r="G144" s="41"/>
      <c r="H144" s="41"/>
    </row>
    <row r="145" spans="1:8" ht="25.95" customHeight="1" x14ac:dyDescent="0.3">
      <c r="A145" s="35" t="s">
        <v>179</v>
      </c>
      <c r="B145" s="36" t="s">
        <v>180</v>
      </c>
      <c r="C145" s="84" t="s">
        <v>278</v>
      </c>
      <c r="D145" s="38"/>
      <c r="E145" s="38"/>
      <c r="F145" s="38"/>
      <c r="G145" s="38"/>
      <c r="H145" s="38"/>
    </row>
    <row r="146" spans="1:8" ht="19.95" customHeight="1" x14ac:dyDescent="0.3">
      <c r="A146" s="29" t="s">
        <v>9</v>
      </c>
      <c r="B146" s="29"/>
      <c r="C146" s="29"/>
      <c r="D146" s="46">
        <f>KOHC!D131</f>
        <v>9.6918969746585204E-2</v>
      </c>
      <c r="E146" s="46">
        <f>KOHC!E131</f>
        <v>0.11589856650144761</v>
      </c>
      <c r="F146" s="46">
        <f>KOHC!F131</f>
        <v>0.11751952891151191</v>
      </c>
      <c r="G146" s="46">
        <f>KOHC!G131</f>
        <v>0.15113794625582791</v>
      </c>
      <c r="H146" s="46">
        <f>KOHC!H131</f>
        <v>0.17329550622820336</v>
      </c>
    </row>
    <row r="147" spans="1:8" ht="19.95" customHeight="1" x14ac:dyDescent="0.3">
      <c r="A147" s="29" t="s">
        <v>13</v>
      </c>
      <c r="B147" s="29"/>
      <c r="C147" s="29"/>
      <c r="D147" s="46">
        <f>LUCK!D131</f>
        <v>8.9981220078048957E-2</v>
      </c>
      <c r="E147" s="46">
        <f>LUCK!E131</f>
        <v>8.271205740618541E-2</v>
      </c>
      <c r="F147" s="46">
        <f>LUCK!F131</f>
        <v>6.4416529475417678E-2</v>
      </c>
      <c r="G147" s="46">
        <f>LUCK!G131</f>
        <v>0.12010412955682188</v>
      </c>
      <c r="H147" s="46">
        <f>LUCK!H131</f>
        <v>0.12405775592794444</v>
      </c>
    </row>
    <row r="148" spans="1:8" ht="19.95" customHeight="1" x14ac:dyDescent="0.3">
      <c r="A148" s="29" t="s">
        <v>17</v>
      </c>
      <c r="B148" s="29"/>
      <c r="C148" s="29"/>
      <c r="D148" s="46">
        <f>DGKC!D131</f>
        <v>2.6986338713228402E-2</v>
      </c>
      <c r="E148" s="46">
        <f>DGKC!E131</f>
        <v>2.1763973265391149E-2</v>
      </c>
      <c r="F148" s="46" t="str">
        <f>DGKC!F131</f>
        <v>n/m</v>
      </c>
      <c r="G148" s="46">
        <f>DGKC!G131</f>
        <v>3.9194496855507379E-3</v>
      </c>
      <c r="H148" s="46">
        <f>DGKC!H131</f>
        <v>5.9449062727654524E-2</v>
      </c>
    </row>
    <row r="149" spans="1:8" ht="19.95" customHeight="1" x14ac:dyDescent="0.3">
      <c r="A149" s="29" t="s">
        <v>21</v>
      </c>
      <c r="B149" s="29"/>
      <c r="C149" s="29"/>
      <c r="D149" s="46">
        <f>MLCF!D131</f>
        <v>9.4416925860816264E-2</v>
      </c>
      <c r="E149" s="46">
        <f>MLCF!E131</f>
        <v>4.4108433323144514E-2</v>
      </c>
      <c r="F149" s="46">
        <f>MLCF!F131</f>
        <v>5.0070043588560612E-2</v>
      </c>
      <c r="G149" s="46">
        <f>MLCF!G131</f>
        <v>5.3061850871209217E-2</v>
      </c>
      <c r="H149" s="46">
        <f>MLCF!H131</f>
        <v>0.14303507159585241</v>
      </c>
    </row>
    <row r="150" spans="1:8" ht="19.95" customHeight="1" x14ac:dyDescent="0.3">
      <c r="A150" s="29" t="s">
        <v>25</v>
      </c>
      <c r="B150" s="29"/>
      <c r="C150" s="29"/>
      <c r="D150" s="46">
        <f>FCCL!D131</f>
        <v>0.10194195499261118</v>
      </c>
      <c r="E150" s="46">
        <f>FCCL!E131</f>
        <v>6.2556379031810716E-2</v>
      </c>
      <c r="F150" s="46">
        <f>FCCL!F131</f>
        <v>5.3589004856834314E-2</v>
      </c>
      <c r="G150" s="46">
        <f>FCCL!G131</f>
        <v>5.5698470198037101E-2</v>
      </c>
      <c r="H150" s="46">
        <f>FCCL!H131</f>
        <v>8.2851106191915852E-2</v>
      </c>
    </row>
    <row r="151" spans="1:8" ht="19.95" customHeight="1" x14ac:dyDescent="0.3">
      <c r="A151" s="37" t="s">
        <v>220</v>
      </c>
      <c r="B151" s="37"/>
      <c r="C151" s="50" t="str">
        <f>"N (FY21-25): "&amp;COUNT(D146:D150)&amp;","&amp;COUNT(E146:E150)&amp;","&amp;COUNT(F146:F150)&amp;","&amp;COUNT(G146:G150)&amp;","&amp;COUNT(H146:H150)</f>
        <v>N (FY21-25): 5,5,4,5,5</v>
      </c>
      <c r="D151" s="47">
        <f>IF(COUNT(D146:D150)=0,"n/m",AVERAGE(D146:D150))</f>
        <v>8.204908187825799E-2</v>
      </c>
      <c r="E151" s="47">
        <f>IF(COUNT(E146:E150)=0,"n/m",AVERAGE(E146:E150))</f>
        <v>6.5407881905595877E-2</v>
      </c>
      <c r="F151" s="47">
        <f>IF(COUNT(F146:F150)=0,"n/m",AVERAGE(F146:F150))</f>
        <v>7.1398776708081133E-2</v>
      </c>
      <c r="G151" s="47">
        <f>IF(COUNT(G146:G150)=0,"n/m",AVERAGE(G146:G150))</f>
        <v>7.6784369313489378E-2</v>
      </c>
      <c r="H151" s="47">
        <f>IF(COUNT(H146:H150)=0,"n/m",AVERAGE(H146:H150))</f>
        <v>0.11653770053431411</v>
      </c>
    </row>
    <row r="152" spans="1:8" ht="19.95" customHeight="1" x14ac:dyDescent="0.3">
      <c r="A152" s="29"/>
      <c r="B152" s="29"/>
      <c r="C152" s="29"/>
      <c r="D152" s="41"/>
      <c r="E152" s="41"/>
      <c r="F152" s="41"/>
      <c r="G152" s="41"/>
      <c r="H152" s="41"/>
    </row>
    <row r="153" spans="1:8" ht="25.95" customHeight="1" x14ac:dyDescent="0.3">
      <c r="A153" s="35" t="s">
        <v>181</v>
      </c>
      <c r="B153" s="36" t="s">
        <v>182</v>
      </c>
      <c r="C153" s="84" t="s">
        <v>279</v>
      </c>
      <c r="D153" s="38"/>
      <c r="E153" s="38"/>
      <c r="F153" s="38"/>
      <c r="G153" s="38"/>
      <c r="H153" s="38"/>
    </row>
    <row r="154" spans="1:8" ht="19.95" customHeight="1" x14ac:dyDescent="0.3">
      <c r="A154" s="29" t="s">
        <v>9</v>
      </c>
      <c r="B154" s="29"/>
      <c r="C154" s="29"/>
      <c r="D154" s="46">
        <f>KOHC!D132</f>
        <v>0.15737849802466555</v>
      </c>
      <c r="E154" s="46">
        <f>KOHC!E132</f>
        <v>0.18440283523376622</v>
      </c>
      <c r="F154" s="46">
        <f>KOHC!F132</f>
        <v>0.17849564911664104</v>
      </c>
      <c r="G154" s="46">
        <f>KOHC!G132</f>
        <v>0.21643681457260755</v>
      </c>
      <c r="H154" s="46">
        <f>KOHC!H132</f>
        <v>0.24137435208870983</v>
      </c>
    </row>
    <row r="155" spans="1:8" ht="19.95" customHeight="1" x14ac:dyDescent="0.3">
      <c r="A155" s="29" t="s">
        <v>13</v>
      </c>
      <c r="B155" s="29"/>
      <c r="C155" s="29"/>
      <c r="D155" s="46">
        <f>LUCK!D132</f>
        <v>0.12429467254394423</v>
      </c>
      <c r="E155" s="46">
        <f>LUCK!E132</f>
        <v>0.11901804448540206</v>
      </c>
      <c r="F155" s="46">
        <f>LUCK!F132</f>
        <v>9.9921242706891636E-2</v>
      </c>
      <c r="G155" s="46">
        <f>LUCK!G132</f>
        <v>0.19021586420101122</v>
      </c>
      <c r="H155" s="46">
        <f>LUCK!H132</f>
        <v>0.18811941761260281</v>
      </c>
    </row>
    <row r="156" spans="1:8" ht="19.95" customHeight="1" x14ac:dyDescent="0.3">
      <c r="A156" s="29" t="s">
        <v>17</v>
      </c>
      <c r="B156" s="29"/>
      <c r="C156" s="29"/>
      <c r="D156" s="46">
        <f>DGKC!D132</f>
        <v>5.0644811125656837E-2</v>
      </c>
      <c r="E156" s="46">
        <f>DGKC!E132</f>
        <v>4.2508762609145177E-2</v>
      </c>
      <c r="F156" s="46" t="str">
        <f>DGKC!F132</f>
        <v>n/m</v>
      </c>
      <c r="G156" s="46">
        <f>DGKC!G132</f>
        <v>7.1511352154898129E-3</v>
      </c>
      <c r="H156" s="46">
        <f>DGKC!H132</f>
        <v>9.1637161813901913E-2</v>
      </c>
    </row>
    <row r="157" spans="1:8" ht="19.95" customHeight="1" x14ac:dyDescent="0.3">
      <c r="A157" s="29" t="s">
        <v>21</v>
      </c>
      <c r="B157" s="29"/>
      <c r="C157" s="29"/>
      <c r="D157" s="46">
        <f>MLCF!D132</f>
        <v>0.16658725897109622</v>
      </c>
      <c r="E157" s="46">
        <f>MLCF!E132</f>
        <v>8.9408976031592494E-2</v>
      </c>
      <c r="F157" s="46">
        <f>MLCF!F132</f>
        <v>0.10000796203977304</v>
      </c>
      <c r="G157" s="46">
        <f>MLCF!G132</f>
        <v>0.10020784968682853</v>
      </c>
      <c r="H157" s="46">
        <f>MLCF!H132</f>
        <v>0.2383990269906105</v>
      </c>
    </row>
    <row r="158" spans="1:8" ht="19.95" customHeight="1" x14ac:dyDescent="0.3">
      <c r="A158" s="29" t="s">
        <v>25</v>
      </c>
      <c r="B158" s="29"/>
      <c r="C158" s="29"/>
      <c r="D158" s="46">
        <f>FCCL!D132</f>
        <v>0.14914074872427949</v>
      </c>
      <c r="E158" s="46">
        <f>FCCL!E132</f>
        <v>0.12319061073378482</v>
      </c>
      <c r="F158" s="46">
        <f>FCCL!F132</f>
        <v>0.11414801492770245</v>
      </c>
      <c r="G158" s="46">
        <f>FCCL!G132</f>
        <v>0.1120333038446799</v>
      </c>
      <c r="H158" s="46">
        <f>FCCL!H132</f>
        <v>0.15813282120245373</v>
      </c>
    </row>
    <row r="159" spans="1:8" ht="19.95" customHeight="1" x14ac:dyDescent="0.3">
      <c r="A159" s="37" t="s">
        <v>220</v>
      </c>
      <c r="B159" s="37"/>
      <c r="C159" s="50" t="str">
        <f>"N (FY21-25): "&amp;COUNT(D154:D158)&amp;","&amp;COUNT(E154:E158)&amp;","&amp;COUNT(F154:F158)&amp;","&amp;COUNT(G154:G158)&amp;","&amp;COUNT(H154:H158)</f>
        <v>N (FY21-25): 5,5,4,5,5</v>
      </c>
      <c r="D159" s="47">
        <f>IF(COUNT(D154:D158)=0,"n/m",AVERAGE(D154:D158))</f>
        <v>0.12960919787792846</v>
      </c>
      <c r="E159" s="47">
        <f>IF(COUNT(E154:E158)=0,"n/m",AVERAGE(E154:E158))</f>
        <v>0.11170584581873814</v>
      </c>
      <c r="F159" s="47">
        <f>IF(COUNT(F154:F158)=0,"n/m",AVERAGE(F154:F158))</f>
        <v>0.12314321719775204</v>
      </c>
      <c r="G159" s="47">
        <f>IF(COUNT(G154:G158)=0,"n/m",AVERAGE(G154:G158))</f>
        <v>0.1252089935041234</v>
      </c>
      <c r="H159" s="47">
        <f>IF(COUNT(H154:H158)=0,"n/m",AVERAGE(H154:H158))</f>
        <v>0.18353255594165577</v>
      </c>
    </row>
    <row r="160" spans="1:8" ht="19.95" customHeight="1" x14ac:dyDescent="0.3">
      <c r="A160" s="29"/>
      <c r="B160" s="29"/>
      <c r="C160" s="29"/>
      <c r="D160" s="41"/>
      <c r="E160" s="41"/>
      <c r="F160" s="41"/>
      <c r="G160" s="41"/>
      <c r="H160" s="41"/>
    </row>
    <row r="161" spans="1:8" ht="25.95" customHeight="1" x14ac:dyDescent="0.3">
      <c r="A161" s="35" t="s">
        <v>183</v>
      </c>
      <c r="B161" s="36" t="s">
        <v>184</v>
      </c>
      <c r="C161" s="84" t="s">
        <v>280</v>
      </c>
      <c r="D161" s="38"/>
      <c r="E161" s="38"/>
      <c r="F161" s="38"/>
      <c r="G161" s="38"/>
      <c r="H161" s="38"/>
    </row>
    <row r="162" spans="1:8" ht="19.95" customHeight="1" x14ac:dyDescent="0.3">
      <c r="A162" s="29" t="s">
        <v>9</v>
      </c>
      <c r="B162" s="29"/>
      <c r="C162" s="29"/>
      <c r="D162" s="46">
        <f>KOHC!D133</f>
        <v>0.13611222052431424</v>
      </c>
      <c r="E162" s="46">
        <f>KOHC!E133</f>
        <v>0.16872337936741016</v>
      </c>
      <c r="F162" s="46">
        <f>KOHC!F133</f>
        <v>0.17323854283924056</v>
      </c>
      <c r="G162" s="46">
        <f>KOHC!G133</f>
        <v>0.21530718381280636</v>
      </c>
      <c r="H162" s="46">
        <f>KOHC!H133</f>
        <v>0.23456949398989801</v>
      </c>
    </row>
    <row r="163" spans="1:8" ht="19.95" customHeight="1" x14ac:dyDescent="0.3">
      <c r="A163" s="29" t="s">
        <v>13</v>
      </c>
      <c r="B163" s="29"/>
      <c r="C163" s="29"/>
      <c r="D163" s="46">
        <f>LUCK!D133</f>
        <v>0.11598113408973314</v>
      </c>
      <c r="E163" s="46">
        <f>LUCK!E133</f>
        <v>0.10809497435976413</v>
      </c>
      <c r="F163" s="46">
        <f>LUCK!F133</f>
        <v>9.1352761839314733E-2</v>
      </c>
      <c r="G163" s="46">
        <f>LUCK!G133</f>
        <v>0.17349944050776198</v>
      </c>
      <c r="H163" s="46">
        <f>LUCK!H133</f>
        <v>0.17586014458599655</v>
      </c>
    </row>
    <row r="164" spans="1:8" ht="19.95" customHeight="1" x14ac:dyDescent="0.3">
      <c r="A164" s="29" t="s">
        <v>17</v>
      </c>
      <c r="B164" s="29"/>
      <c r="C164" s="29"/>
      <c r="D164" s="46">
        <f>DGKC!D133</f>
        <v>5.0926469503026137E-2</v>
      </c>
      <c r="E164" s="46">
        <f>DGKC!E133</f>
        <v>4.0571100495840479E-2</v>
      </c>
      <c r="F164" s="46" t="str">
        <f>DGKC!F133</f>
        <v>n/m</v>
      </c>
      <c r="G164" s="46">
        <f>DGKC!G133</f>
        <v>1.8666945531428475E-2</v>
      </c>
      <c r="H164" s="46">
        <f>DGKC!H133</f>
        <v>9.6256924504903307E-2</v>
      </c>
    </row>
    <row r="165" spans="1:8" ht="19.95" customHeight="1" x14ac:dyDescent="0.3">
      <c r="A165" s="29" t="s">
        <v>21</v>
      </c>
      <c r="B165" s="29"/>
      <c r="C165" s="29"/>
      <c r="D165" s="46">
        <f>MLCF!D133</f>
        <v>0.13938409686265396</v>
      </c>
      <c r="E165" s="46">
        <f>MLCF!E133</f>
        <v>6.8354987715222609E-2</v>
      </c>
      <c r="F165" s="46">
        <f>MLCF!F133</f>
        <v>8.9438322458184685E-2</v>
      </c>
      <c r="G165" s="46">
        <f>MLCF!G133</f>
        <v>0.10647533565261356</v>
      </c>
      <c r="H165" s="46">
        <f>MLCF!H133</f>
        <v>0.22920346694221672</v>
      </c>
    </row>
    <row r="166" spans="1:8" ht="19.95" customHeight="1" x14ac:dyDescent="0.3">
      <c r="A166" s="29" t="s">
        <v>25</v>
      </c>
      <c r="B166" s="29"/>
      <c r="C166" s="29"/>
      <c r="D166" s="46">
        <f>FCCL!D133</f>
        <v>0.13674299962769382</v>
      </c>
      <c r="E166" s="46">
        <f>FCCL!E133</f>
        <v>9.2363746892435927E-2</v>
      </c>
      <c r="F166" s="46">
        <f>FCCL!F133</f>
        <v>8.4602379259019547E-2</v>
      </c>
      <c r="G166" s="46">
        <f>FCCL!G133</f>
        <v>0.10165844956887071</v>
      </c>
      <c r="H166" s="46">
        <f>FCCL!H133</f>
        <v>0.13546184028270253</v>
      </c>
    </row>
    <row r="167" spans="1:8" ht="19.95" customHeight="1" x14ac:dyDescent="0.3">
      <c r="A167" s="37" t="s">
        <v>220</v>
      </c>
      <c r="B167" s="37"/>
      <c r="C167" s="50" t="str">
        <f>"N (FY21-25): "&amp;COUNT(D162:D166)&amp;","&amp;COUNT(E162:E166)&amp;","&amp;COUNT(F162:F166)&amp;","&amp;COUNT(G162:G166)&amp;","&amp;COUNT(H162:H166)</f>
        <v>N (FY21-25): 5,5,4,5,5</v>
      </c>
      <c r="D167" s="47">
        <f>IF(COUNT(D162:D166)=0,"n/m",AVERAGE(D162:D166))</f>
        <v>0.11582938412148427</v>
      </c>
      <c r="E167" s="47">
        <f>IF(COUNT(E162:E166)=0,"n/m",AVERAGE(E162:E166))</f>
        <v>9.5621637766134665E-2</v>
      </c>
      <c r="F167" s="47">
        <f>IF(COUNT(F162:F166)=0,"n/m",AVERAGE(F162:F166))</f>
        <v>0.10965800159893987</v>
      </c>
      <c r="G167" s="47">
        <f>IF(COUNT(G162:G166)=0,"n/m",AVERAGE(G162:G166))</f>
        <v>0.12312147101469621</v>
      </c>
      <c r="H167" s="47">
        <f>IF(COUNT(H162:H166)=0,"n/m",AVERAGE(H162:H166))</f>
        <v>0.1742703740611434</v>
      </c>
    </row>
    <row r="168" spans="1:8" ht="19.95" customHeight="1" x14ac:dyDescent="0.3">
      <c r="A168" s="29"/>
      <c r="B168" s="29"/>
      <c r="C168" s="29"/>
      <c r="D168" s="41"/>
      <c r="E168" s="41"/>
      <c r="F168" s="41"/>
      <c r="G168" s="41"/>
      <c r="H168" s="41"/>
    </row>
    <row r="169" spans="1:8" ht="25.95" customHeight="1" x14ac:dyDescent="0.3">
      <c r="A169" s="35" t="s">
        <v>185</v>
      </c>
      <c r="B169" s="36" t="s">
        <v>186</v>
      </c>
      <c r="C169" s="84" t="s">
        <v>281</v>
      </c>
      <c r="D169" s="38"/>
      <c r="E169" s="38"/>
      <c r="F169" s="38"/>
      <c r="G169" s="38"/>
      <c r="H169" s="38"/>
    </row>
    <row r="170" spans="1:8" ht="19.95" customHeight="1" x14ac:dyDescent="0.3">
      <c r="A170" s="29" t="s">
        <v>9</v>
      </c>
      <c r="B170" s="29"/>
      <c r="C170" s="29"/>
      <c r="D170" s="46">
        <f>KOHC!D134</f>
        <v>0.14898081420954101</v>
      </c>
      <c r="E170" s="46">
        <f>KOHC!E134</f>
        <v>0.21777808611792054</v>
      </c>
      <c r="F170" s="46">
        <f>KOHC!F134</f>
        <v>0.22517411964912432</v>
      </c>
      <c r="G170" s="46">
        <f>KOHC!G134</f>
        <v>0.24509961902567451</v>
      </c>
      <c r="H170" s="46">
        <f>KOHC!H134</f>
        <v>0.2702780173662766</v>
      </c>
    </row>
    <row r="171" spans="1:8" ht="19.95" customHeight="1" x14ac:dyDescent="0.3">
      <c r="A171" s="29" t="s">
        <v>13</v>
      </c>
      <c r="B171" s="29"/>
      <c r="C171" s="29"/>
      <c r="D171" s="46">
        <f>LUCK!D134</f>
        <v>0.11079703731315671</v>
      </c>
      <c r="E171" s="46">
        <f>LUCK!E134</f>
        <v>0.11794695989186292</v>
      </c>
      <c r="F171" s="46">
        <f>LUCK!F134</f>
        <v>0.10560432010902317</v>
      </c>
      <c r="G171" s="46">
        <f>LUCK!G134</f>
        <v>0.18352469674459784</v>
      </c>
      <c r="H171" s="46">
        <f>LUCK!H134</f>
        <v>0.18237850153944901</v>
      </c>
    </row>
    <row r="172" spans="1:8" ht="19.95" customHeight="1" x14ac:dyDescent="0.3">
      <c r="A172" s="29" t="s">
        <v>17</v>
      </c>
      <c r="B172" s="29"/>
      <c r="C172" s="29"/>
      <c r="D172" s="46">
        <f>DGKC!D134</f>
        <v>5.5531606121154903E-2</v>
      </c>
      <c r="E172" s="46">
        <f>DGKC!E134</f>
        <v>7.0037177908325046E-2</v>
      </c>
      <c r="F172" s="46">
        <f>DGKC!F134</f>
        <v>7.3239578935566346E-2</v>
      </c>
      <c r="G172" s="46">
        <f>DGKC!G134</f>
        <v>7.7781763576617868E-2</v>
      </c>
      <c r="H172" s="46">
        <f>DGKC!H134</f>
        <v>0.11527453270527682</v>
      </c>
    </row>
    <row r="173" spans="1:8" ht="19.95" customHeight="1" x14ac:dyDescent="0.3">
      <c r="A173" s="29" t="s">
        <v>21</v>
      </c>
      <c r="B173" s="29"/>
      <c r="C173" s="29"/>
      <c r="D173" s="46">
        <f>MLCF!D134</f>
        <v>0.13189876556323574</v>
      </c>
      <c r="E173" s="46">
        <f>MLCF!E134</f>
        <v>0.10793191347335213</v>
      </c>
      <c r="F173" s="46">
        <f>MLCF!F134</f>
        <v>0.13303028097551164</v>
      </c>
      <c r="G173" s="46">
        <f>MLCF!G134</f>
        <v>0.13069771915820996</v>
      </c>
      <c r="H173" s="46">
        <f>MLCF!H134</f>
        <v>0.21055306987152678</v>
      </c>
    </row>
    <row r="174" spans="1:8" ht="19.95" customHeight="1" x14ac:dyDescent="0.3">
      <c r="A174" s="29" t="s">
        <v>25</v>
      </c>
      <c r="B174" s="29"/>
      <c r="C174" s="29"/>
      <c r="D174" s="46">
        <f>FCCL!D134</f>
        <v>0.15270083184857988</v>
      </c>
      <c r="E174" s="46">
        <f>FCCL!E134</f>
        <v>0.11014537211566031</v>
      </c>
      <c r="F174" s="46">
        <f>FCCL!F134</f>
        <v>0.11182804204816831</v>
      </c>
      <c r="G174" s="46">
        <f>FCCL!G134</f>
        <v>0.14141976696394967</v>
      </c>
      <c r="H174" s="46">
        <f>FCCL!H134</f>
        <v>0.16910544748583739</v>
      </c>
    </row>
    <row r="175" spans="1:8" ht="19.95" customHeight="1" x14ac:dyDescent="0.3">
      <c r="A175" s="37" t="s">
        <v>220</v>
      </c>
      <c r="B175" s="37"/>
      <c r="C175" s="37"/>
      <c r="D175" s="47">
        <f>IF(COUNT(D170:D174)=0,"n/m",AVERAGE(D170:D174))</f>
        <v>0.11998181101113366</v>
      </c>
      <c r="E175" s="47">
        <f>IF(COUNT(E170:E174)=0,"n/m",AVERAGE(E170:E174))</f>
        <v>0.1247679019014242</v>
      </c>
      <c r="F175" s="47">
        <f>IF(COUNT(F170:F174)=0,"n/m",AVERAGE(F170:F174))</f>
        <v>0.12977526834347874</v>
      </c>
      <c r="G175" s="47">
        <f>IF(COUNT(G170:G174)=0,"n/m",AVERAGE(G170:G174))</f>
        <v>0.15570471309380998</v>
      </c>
      <c r="H175" s="47">
        <f>IF(COUNT(H170:H174)=0,"n/m",AVERAGE(H170:H174))</f>
        <v>0.18951791379367333</v>
      </c>
    </row>
    <row r="176" spans="1:8" ht="19.95" customHeight="1" x14ac:dyDescent="0.3">
      <c r="A176" s="29"/>
      <c r="B176" s="29"/>
      <c r="C176" s="29"/>
      <c r="D176" s="41"/>
      <c r="E176" s="41"/>
      <c r="F176" s="41"/>
      <c r="G176" s="41"/>
      <c r="H176" s="41"/>
    </row>
    <row r="177" spans="1:8" ht="19.95" customHeight="1" x14ac:dyDescent="0.3">
      <c r="A177" s="94" t="s">
        <v>224</v>
      </c>
      <c r="B177" s="94"/>
      <c r="C177" s="94"/>
      <c r="D177" s="95"/>
      <c r="E177" s="95"/>
      <c r="F177" s="95"/>
      <c r="G177" s="95"/>
      <c r="H177" s="95"/>
    </row>
    <row r="178" spans="1:8" ht="25.95" customHeight="1" x14ac:dyDescent="0.3">
      <c r="A178" s="35" t="s">
        <v>188</v>
      </c>
      <c r="B178" s="36" t="s">
        <v>189</v>
      </c>
      <c r="C178" s="84" t="s">
        <v>282</v>
      </c>
      <c r="D178" s="38"/>
      <c r="E178" s="38"/>
      <c r="F178" s="38"/>
      <c r="G178" s="38"/>
      <c r="H178" s="38"/>
    </row>
    <row r="179" spans="1:8" ht="19.95" customHeight="1" x14ac:dyDescent="0.3">
      <c r="A179" s="29" t="s">
        <v>9</v>
      </c>
      <c r="B179" s="29"/>
      <c r="C179" s="29"/>
      <c r="D179" s="48">
        <f>KOHC!D136</f>
        <v>17.412549352402124</v>
      </c>
      <c r="E179" s="48">
        <f>KOHC!E136</f>
        <v>25.013680261160516</v>
      </c>
      <c r="F179" s="48">
        <f>KOHC!F136</f>
        <v>28.978958275869324</v>
      </c>
      <c r="G179" s="48">
        <f>KOHC!G136</f>
        <v>45.274272678614977</v>
      </c>
      <c r="H179" s="48">
        <f>KOHC!H136</f>
        <v>59.842054600869929</v>
      </c>
    </row>
    <row r="180" spans="1:8" ht="19.95" customHeight="1" x14ac:dyDescent="0.3">
      <c r="A180" s="29" t="s">
        <v>13</v>
      </c>
      <c r="B180" s="29"/>
      <c r="C180" s="29"/>
      <c r="D180" s="48">
        <f>LUCK!D136</f>
        <v>43.510441437959038</v>
      </c>
      <c r="E180" s="48">
        <f>LUCK!E136</f>
        <v>47.309216853498242</v>
      </c>
      <c r="F180" s="48">
        <f>LUCK!F136</f>
        <v>43.061512349842658</v>
      </c>
      <c r="G180" s="48">
        <f>LUCK!G136</f>
        <v>94.540589177116431</v>
      </c>
      <c r="H180" s="48">
        <f>LUCK!H136</f>
        <v>22.588506484641641</v>
      </c>
    </row>
    <row r="181" spans="1:8" ht="19.95" customHeight="1" x14ac:dyDescent="0.3">
      <c r="A181" s="29" t="s">
        <v>17</v>
      </c>
      <c r="B181" s="29"/>
      <c r="C181" s="29"/>
      <c r="D181" s="48">
        <f>DGKC!D136</f>
        <v>8.4937471274650029</v>
      </c>
      <c r="E181" s="48">
        <f>DGKC!E136</f>
        <v>6.7838445707817723</v>
      </c>
      <c r="F181" s="48" t="str">
        <f>DGKC!F136</f>
        <v>n/m</v>
      </c>
      <c r="G181" s="48">
        <f>DGKC!G136</f>
        <v>1.2380103440270365</v>
      </c>
      <c r="H181" s="48">
        <f>DGKC!H136</f>
        <v>19.800685803443983</v>
      </c>
    </row>
    <row r="182" spans="1:8" ht="19.95" customHeight="1" x14ac:dyDescent="0.3">
      <c r="A182" s="29" t="s">
        <v>21</v>
      </c>
      <c r="B182" s="29"/>
      <c r="C182" s="29"/>
      <c r="D182" s="48">
        <f>MLCF!D136</f>
        <v>5.6941155155115029</v>
      </c>
      <c r="E182" s="48">
        <f>MLCF!E136</f>
        <v>3.3041099784606085</v>
      </c>
      <c r="F182" s="48">
        <f>MLCF!F136</f>
        <v>4.1845053824045904</v>
      </c>
      <c r="G182" s="48">
        <f>MLCF!G136</f>
        <v>4.9791974962957211</v>
      </c>
      <c r="H182" s="48">
        <f>MLCF!H136</f>
        <v>16.262863426829693</v>
      </c>
    </row>
    <row r="183" spans="1:8" ht="19.95" customHeight="1" x14ac:dyDescent="0.3">
      <c r="A183" s="29" t="s">
        <v>25</v>
      </c>
      <c r="B183" s="29"/>
      <c r="C183" s="29"/>
      <c r="D183" s="48">
        <f>FCCL!D136</f>
        <v>2.5158090033808875</v>
      </c>
      <c r="E183" s="48">
        <f>FCCL!E136</f>
        <v>3.2621706372812294</v>
      </c>
      <c r="F183" s="48">
        <f>FCCL!F136</f>
        <v>3.0330791851886794</v>
      </c>
      <c r="G183" s="48">
        <f>FCCL!G136</f>
        <v>3.3524781610919856</v>
      </c>
      <c r="H183" s="48">
        <f>FCCL!H136</f>
        <v>5.4329528095311241</v>
      </c>
    </row>
    <row r="184" spans="1:8" ht="19.95" customHeight="1" x14ac:dyDescent="0.3">
      <c r="A184" s="37" t="s">
        <v>220</v>
      </c>
      <c r="B184" s="37"/>
      <c r="C184" s="50" t="str">
        <f>"N (FY21-25): "&amp;COUNT(D179:D183)&amp;","&amp;COUNT(E179:E183)&amp;","&amp;COUNT(F179:F183)&amp;","&amp;COUNT(G179:G183)&amp;","&amp;COUNT(H179:H183)</f>
        <v>N (FY21-25): 5,5,4,5,5</v>
      </c>
      <c r="D184" s="49">
        <f>IF(COUNT(D179:D183)=0,"n/m",AVERAGE(D179:D183))</f>
        <v>15.525332487343713</v>
      </c>
      <c r="E184" s="49">
        <f>IF(COUNT(E179:E183)=0,"n/m",AVERAGE(E179:E183))</f>
        <v>17.134604460236471</v>
      </c>
      <c r="F184" s="49">
        <f>IF(COUNT(F179:F183)=0,"n/m",AVERAGE(F179:F183))</f>
        <v>19.814513798326313</v>
      </c>
      <c r="G184" s="49">
        <f>IF(COUNT(G179:G183)=0,"n/m",AVERAGE(G179:G183))</f>
        <v>29.876909571429231</v>
      </c>
      <c r="H184" s="49">
        <f>IF(COUNT(H179:H183)=0,"n/m",AVERAGE(H179:H183))</f>
        <v>24.785412625063277</v>
      </c>
    </row>
    <row r="185" spans="1:8" ht="19.95" customHeight="1" x14ac:dyDescent="0.3">
      <c r="A185" s="29"/>
      <c r="B185" s="29"/>
      <c r="C185" s="29"/>
      <c r="D185" s="41"/>
      <c r="E185" s="41"/>
      <c r="F185" s="41"/>
      <c r="G185" s="41"/>
      <c r="H185" s="41"/>
    </row>
    <row r="186" spans="1:8" ht="25.95" customHeight="1" x14ac:dyDescent="0.3">
      <c r="A186" s="35" t="s">
        <v>190</v>
      </c>
      <c r="B186" s="36" t="s">
        <v>191</v>
      </c>
      <c r="C186" s="84" t="s">
        <v>283</v>
      </c>
      <c r="D186" s="38"/>
      <c r="E186" s="38"/>
      <c r="F186" s="38"/>
      <c r="G186" s="38"/>
      <c r="H186" s="38"/>
    </row>
    <row r="187" spans="1:8" ht="19.95" customHeight="1" x14ac:dyDescent="0.3">
      <c r="A187" s="29" t="s">
        <v>9</v>
      </c>
      <c r="B187" s="29"/>
      <c r="C187" s="29"/>
      <c r="D187" s="48">
        <f>KOHC!D137</f>
        <v>110.64122209168052</v>
      </c>
      <c r="E187" s="48">
        <f>KOHC!E137</f>
        <v>135.64693964412666</v>
      </c>
      <c r="F187" s="48">
        <f>KOHC!F137</f>
        <v>162.35106244484723</v>
      </c>
      <c r="G187" s="48">
        <f>KOHC!G137</f>
        <v>209.79287853383309</v>
      </c>
      <c r="H187" s="48">
        <f>KOHC!H137</f>
        <v>260.8226721418157</v>
      </c>
    </row>
    <row r="188" spans="1:8" ht="19.95" customHeight="1" x14ac:dyDescent="0.3">
      <c r="A188" s="29" t="s">
        <v>13</v>
      </c>
      <c r="B188" s="29"/>
      <c r="C188" s="29"/>
      <c r="D188" s="48">
        <f>LUCK!D137</f>
        <v>350.05878005411677</v>
      </c>
      <c r="E188" s="48">
        <f>LUCK!E137</f>
        <v>397.49617008117508</v>
      </c>
      <c r="F188" s="48">
        <f>LUCK!F137</f>
        <v>440.50456229600826</v>
      </c>
      <c r="G188" s="48">
        <f>LUCK!G137</f>
        <v>504.3046996587031</v>
      </c>
      <c r="H188" s="48">
        <f>LUCK!H137</f>
        <v>120.07535836177475</v>
      </c>
    </row>
    <row r="189" spans="1:8" ht="19.95" customHeight="1" x14ac:dyDescent="0.3">
      <c r="A189" s="29" t="s">
        <v>17</v>
      </c>
      <c r="B189" s="29"/>
      <c r="C189" s="29"/>
      <c r="D189" s="48">
        <f>DGKC!D137</f>
        <v>167.71209700741193</v>
      </c>
      <c r="E189" s="48">
        <f>DGKC!E137</f>
        <v>159.58697532246367</v>
      </c>
      <c r="F189" s="48">
        <f>DGKC!F137</f>
        <v>146.51786922779672</v>
      </c>
      <c r="G189" s="48">
        <f>DGKC!G137</f>
        <v>173.12082034314415</v>
      </c>
      <c r="H189" s="48">
        <f>DGKC!H137</f>
        <v>216.07703932560804</v>
      </c>
    </row>
    <row r="190" spans="1:8" ht="19.95" customHeight="1" x14ac:dyDescent="0.3">
      <c r="A190" s="29" t="s">
        <v>21</v>
      </c>
      <c r="B190" s="29"/>
      <c r="C190" s="29"/>
      <c r="D190" s="48">
        <f>MLCF!D137</f>
        <v>34.180972265393187</v>
      </c>
      <c r="E190" s="48">
        <f>MLCF!E137</f>
        <v>37.561557627459578</v>
      </c>
      <c r="F190" s="48">
        <f>MLCF!F137</f>
        <v>41.844014540695262</v>
      </c>
      <c r="G190" s="48">
        <f>MLCF!G137</f>
        <v>50.226982139301263</v>
      </c>
      <c r="H190" s="48">
        <f>MLCF!H137</f>
        <v>68.217013474898792</v>
      </c>
    </row>
    <row r="191" spans="1:8" ht="19.95" customHeight="1" x14ac:dyDescent="0.3">
      <c r="A191" s="29" t="s">
        <v>25</v>
      </c>
      <c r="B191" s="29"/>
      <c r="C191" s="29"/>
      <c r="D191" s="48">
        <f>FCCL!D137</f>
        <v>16.868689643176804</v>
      </c>
      <c r="E191" s="48">
        <f>FCCL!E137</f>
        <v>26.480675904195227</v>
      </c>
      <c r="F191" s="48">
        <f>FCCL!F137</f>
        <v>26.571458006604239</v>
      </c>
      <c r="G191" s="48">
        <f>FCCL!G137</f>
        <v>29.923935347634316</v>
      </c>
      <c r="H191" s="48">
        <f>FCCL!H137</f>
        <v>34.356887072804682</v>
      </c>
    </row>
    <row r="192" spans="1:8" ht="19.95" customHeight="1" x14ac:dyDescent="0.3">
      <c r="A192" s="37" t="s">
        <v>220</v>
      </c>
      <c r="B192" s="37"/>
      <c r="C192" s="37"/>
      <c r="D192" s="49">
        <f>IF(COUNT(D187:D191)=0,"n/m",AVERAGE(D187:D191))</f>
        <v>135.89235221235583</v>
      </c>
      <c r="E192" s="49">
        <f>IF(COUNT(E187:E191)=0,"n/m",AVERAGE(E187:E191))</f>
        <v>151.35446371588404</v>
      </c>
      <c r="F192" s="49">
        <f>IF(COUNT(F187:F191)=0,"n/m",AVERAGE(F187:F191))</f>
        <v>163.55779330319035</v>
      </c>
      <c r="G192" s="49">
        <f>IF(COUNT(G187:G191)=0,"n/m",AVERAGE(G187:G191))</f>
        <v>193.47386320452318</v>
      </c>
      <c r="H192" s="49">
        <f>IF(COUNT(H187:H191)=0,"n/m",AVERAGE(H187:H191))</f>
        <v>139.90979407538038</v>
      </c>
    </row>
    <row r="193" spans="1:8" ht="19.95" customHeight="1" x14ac:dyDescent="0.3">
      <c r="A193" s="29"/>
      <c r="B193" s="29"/>
      <c r="C193" s="29"/>
      <c r="D193" s="41"/>
      <c r="E193" s="41"/>
      <c r="F193" s="41"/>
      <c r="G193" s="41"/>
      <c r="H193" s="41"/>
    </row>
    <row r="194" spans="1:8" ht="25.95" customHeight="1" x14ac:dyDescent="0.3">
      <c r="A194" s="35" t="s">
        <v>192</v>
      </c>
      <c r="B194" s="36" t="s">
        <v>193</v>
      </c>
      <c r="C194" s="84" t="s">
        <v>284</v>
      </c>
      <c r="D194" s="38"/>
      <c r="E194" s="38"/>
      <c r="F194" s="38"/>
      <c r="G194" s="38"/>
      <c r="H194" s="38"/>
    </row>
    <row r="195" spans="1:8" ht="19.95" customHeight="1" x14ac:dyDescent="0.3">
      <c r="A195" s="29" t="s">
        <v>9</v>
      </c>
      <c r="B195" s="29"/>
      <c r="C195" s="29"/>
      <c r="D195" s="39">
        <f>KOHC!D138</f>
        <v>11.858688571154802</v>
      </c>
      <c r="E195" s="39">
        <f>KOHC!E138</f>
        <v>5.2023532179731546</v>
      </c>
      <c r="F195" s="39">
        <f>KOHC!F138</f>
        <v>5.9860674889907219</v>
      </c>
      <c r="G195" s="39">
        <f>KOHC!G138</f>
        <v>5.5313975285193058</v>
      </c>
      <c r="H195" s="39">
        <f>KOHC!H138</f>
        <v>6.3393545313613817</v>
      </c>
    </row>
    <row r="196" spans="1:8" ht="19.95" customHeight="1" x14ac:dyDescent="0.3">
      <c r="A196" s="29" t="s">
        <v>13</v>
      </c>
      <c r="B196" s="29"/>
      <c r="C196" s="29"/>
      <c r="D196" s="39">
        <f>LUCK!D138</f>
        <v>19.844432082610968</v>
      </c>
      <c r="E196" s="39">
        <f>LUCK!E138</f>
        <v>9.7029718632101325</v>
      </c>
      <c r="F196" s="39">
        <f>LUCK!F138</f>
        <v>12.124283879265743</v>
      </c>
      <c r="G196" s="39">
        <f>LUCK!G138</f>
        <v>9.5909070156236584</v>
      </c>
      <c r="H196" s="39">
        <f>LUCK!H138</f>
        <v>15.726582022655393</v>
      </c>
    </row>
    <row r="197" spans="1:8" ht="19.95" customHeight="1" x14ac:dyDescent="0.3">
      <c r="A197" s="29" t="s">
        <v>17</v>
      </c>
      <c r="B197" s="29"/>
      <c r="C197" s="29"/>
      <c r="D197" s="39">
        <f>DGKC!D138</f>
        <v>13.883154069739035</v>
      </c>
      <c r="E197" s="39">
        <f>DGKC!E138</f>
        <v>9.2130648554640278</v>
      </c>
      <c r="F197" s="39" t="str">
        <f>DGKC!F138</f>
        <v>n/m</v>
      </c>
      <c r="G197" s="39">
        <f>DGKC!G138</f>
        <v>72.91538429829842</v>
      </c>
      <c r="H197" s="39">
        <f>DGKC!H138</f>
        <v>8.3613265542147914</v>
      </c>
    </row>
    <row r="198" spans="1:8" ht="19.95" customHeight="1" x14ac:dyDescent="0.3">
      <c r="A198" s="29" t="s">
        <v>21</v>
      </c>
      <c r="B198" s="29"/>
      <c r="C198" s="29"/>
      <c r="D198" s="39">
        <f>MLCF!D138</f>
        <v>8.2506229232653325</v>
      </c>
      <c r="E198" s="39">
        <f>MLCF!E138</f>
        <v>8.2775695053414715</v>
      </c>
      <c r="F198" s="39">
        <f>MLCF!F138</f>
        <v>6.7702147353244424</v>
      </c>
      <c r="G198" s="39">
        <f>MLCF!G138</f>
        <v>7.6317519094733912</v>
      </c>
      <c r="H198" s="39">
        <f>MLCF!H138</f>
        <v>5.1823592062489379</v>
      </c>
    </row>
    <row r="199" spans="1:8" ht="19.95" customHeight="1" x14ac:dyDescent="0.3">
      <c r="A199" s="29" t="s">
        <v>25</v>
      </c>
      <c r="B199" s="29"/>
      <c r="C199" s="29"/>
      <c r="D199" s="39">
        <f>FCCL!D138</f>
        <v>9.1421884447870596</v>
      </c>
      <c r="E199" s="39">
        <f>FCCL!E138</f>
        <v>4.3437335368236942</v>
      </c>
      <c r="F199" s="39">
        <f>FCCL!F138</f>
        <v>3.877247932539039</v>
      </c>
      <c r="G199" s="39">
        <f>FCCL!G138</f>
        <v>6.8337507059367812</v>
      </c>
      <c r="H199" s="39">
        <f>FCCL!H138</f>
        <v>8.2220482242427426</v>
      </c>
    </row>
    <row r="200" spans="1:8" ht="19.95" customHeight="1" x14ac:dyDescent="0.3">
      <c r="A200" s="37" t="s">
        <v>220</v>
      </c>
      <c r="B200" s="37"/>
      <c r="C200" s="50" t="str">
        <f>"N (FY21-25): "&amp;COUNT(D195:D199)&amp;","&amp;COUNT(E195:E199)&amp;","&amp;COUNT(F195:F199)&amp;","&amp;COUNT(G195:G199)&amp;","&amp;COUNT(H195:H199)</f>
        <v>N (FY21-25): 5,5,4,5,5</v>
      </c>
      <c r="D200" s="40">
        <f>IF(COUNT(D195:D199)=0,"n/m",AVERAGE(D195:D199))</f>
        <v>12.59581721831144</v>
      </c>
      <c r="E200" s="40">
        <f>IF(COUNT(E195:E199)=0,"n/m",AVERAGE(E195:E199))</f>
        <v>7.3479385957624954</v>
      </c>
      <c r="F200" s="40">
        <f>IF(COUNT(F195:F199)=0,"n/m",AVERAGE(F195:F199))</f>
        <v>7.1894535090299874</v>
      </c>
      <c r="G200" s="40">
        <f>IF(COUNT(G195:G199)=0,"n/m",AVERAGE(G195:G199))</f>
        <v>20.500638291570311</v>
      </c>
      <c r="H200" s="40">
        <f>IF(COUNT(H195:H199)=0,"n/m",AVERAGE(H195:H199))</f>
        <v>8.7663341077446493</v>
      </c>
    </row>
    <row r="201" spans="1:8" ht="19.95" customHeight="1" x14ac:dyDescent="0.3">
      <c r="A201" s="29"/>
      <c r="B201" s="29"/>
      <c r="C201" s="29"/>
      <c r="D201" s="41"/>
      <c r="E201" s="41"/>
      <c r="F201" s="41"/>
      <c r="G201" s="41"/>
      <c r="H201" s="41"/>
    </row>
    <row r="202" spans="1:8" ht="25.95" customHeight="1" x14ac:dyDescent="0.3">
      <c r="A202" s="35" t="s">
        <v>194</v>
      </c>
      <c r="B202" s="36" t="s">
        <v>195</v>
      </c>
      <c r="C202" s="84" t="s">
        <v>285</v>
      </c>
      <c r="D202" s="38"/>
      <c r="E202" s="38"/>
      <c r="F202" s="38"/>
      <c r="G202" s="38"/>
      <c r="H202" s="38"/>
    </row>
    <row r="203" spans="1:8" ht="19.95" customHeight="1" x14ac:dyDescent="0.3">
      <c r="A203" s="29" t="s">
        <v>9</v>
      </c>
      <c r="B203" s="29"/>
      <c r="C203" s="29"/>
      <c r="D203" s="39">
        <f>KOHC!D139</f>
        <v>1.8663025958706099</v>
      </c>
      <c r="E203" s="39">
        <f>KOHC!E139</f>
        <v>0.95932868328175702</v>
      </c>
      <c r="F203" s="39">
        <f>KOHC!F139</f>
        <v>1.0684870021034203</v>
      </c>
      <c r="G203" s="39">
        <f>KOHC!G139</f>
        <v>1.1937011482475723</v>
      </c>
      <c r="H203" s="39">
        <f>KOHC!H139</f>
        <v>1.4544747850514033</v>
      </c>
    </row>
    <row r="204" spans="1:8" ht="19.95" customHeight="1" x14ac:dyDescent="0.3">
      <c r="A204" s="29" t="s">
        <v>13</v>
      </c>
      <c r="B204" s="29"/>
      <c r="C204" s="29"/>
      <c r="D204" s="39">
        <f>LUCK!D139</f>
        <v>2.4665571875286716</v>
      </c>
      <c r="E204" s="39">
        <f>LUCK!E139</f>
        <v>1.1548287368561481</v>
      </c>
      <c r="F204" s="39">
        <f>LUCK!F139</f>
        <v>1.1852090640758639</v>
      </c>
      <c r="G204" s="39">
        <f>LUCK!G139</f>
        <v>1.7979804681845026</v>
      </c>
      <c r="H204" s="39">
        <f>LUCK!H139</f>
        <v>2.9584754511387614</v>
      </c>
    </row>
    <row r="205" spans="1:8" ht="19.95" customHeight="1" x14ac:dyDescent="0.3">
      <c r="A205" s="29" t="s">
        <v>17</v>
      </c>
      <c r="B205" s="29"/>
      <c r="C205" s="29"/>
      <c r="D205" s="39">
        <f>DGKC!D139</f>
        <v>0.7031096868032638</v>
      </c>
      <c r="E205" s="39">
        <f>DGKC!E139</f>
        <v>0.39163597075332512</v>
      </c>
      <c r="F205" s="39">
        <f>DGKC!F139</f>
        <v>0.35012794187063967</v>
      </c>
      <c r="G205" s="39">
        <f>DGKC!G139</f>
        <v>0.52142775098382221</v>
      </c>
      <c r="H205" s="39">
        <f>DGKC!H139</f>
        <v>0.76620820294800718</v>
      </c>
    </row>
    <row r="206" spans="1:8" ht="19.95" customHeight="1" x14ac:dyDescent="0.3">
      <c r="A206" s="29" t="s">
        <v>21</v>
      </c>
      <c r="B206" s="29"/>
      <c r="C206" s="29"/>
      <c r="D206" s="39">
        <f>MLCF!D139</f>
        <v>1.3744489078669448</v>
      </c>
      <c r="E206" s="39">
        <f>MLCF!E139</f>
        <v>0.72813806794864222</v>
      </c>
      <c r="F206" s="39">
        <f>MLCF!F139</f>
        <v>0.67703828877240613</v>
      </c>
      <c r="G206" s="39">
        <f>MLCF!G139</f>
        <v>0.75656546305349337</v>
      </c>
      <c r="H206" s="39">
        <f>MLCF!H139</f>
        <v>1.2354689205356633</v>
      </c>
    </row>
    <row r="207" spans="1:8" ht="19.95" customHeight="1" x14ac:dyDescent="0.3">
      <c r="A207" s="29" t="s">
        <v>25</v>
      </c>
      <c r="B207" s="29"/>
      <c r="C207" s="29"/>
      <c r="D207" s="39">
        <f>FCCL!D139</f>
        <v>1.3634728296339984</v>
      </c>
      <c r="E207" s="39">
        <f>FCCL!E139</f>
        <v>0.53510718726613404</v>
      </c>
      <c r="F207" s="39">
        <f>FCCL!F139</f>
        <v>0.44258015488186969</v>
      </c>
      <c r="G207" s="39">
        <f>FCCL!G139</f>
        <v>0.76560785651514207</v>
      </c>
      <c r="H207" s="39">
        <f>FCCL!H139</f>
        <v>1.3001759998029245</v>
      </c>
    </row>
    <row r="208" spans="1:8" ht="19.95" customHeight="1" x14ac:dyDescent="0.3">
      <c r="A208" s="37" t="s">
        <v>220</v>
      </c>
      <c r="B208" s="37"/>
      <c r="C208" s="37"/>
      <c r="D208" s="40">
        <f>IF(COUNT(D203:D207)=0,"n/m",AVERAGE(D203:D207))</f>
        <v>1.5547782415406979</v>
      </c>
      <c r="E208" s="40">
        <f>IF(COUNT(E203:E207)=0,"n/m",AVERAGE(E203:E207))</f>
        <v>0.75380772922120132</v>
      </c>
      <c r="F208" s="40">
        <f>IF(COUNT(F203:F207)=0,"n/m",AVERAGE(F203:F207))</f>
        <v>0.74468849034083984</v>
      </c>
      <c r="G208" s="40">
        <f>IF(COUNT(G203:G207)=0,"n/m",AVERAGE(G203:G207))</f>
        <v>1.0070565373969065</v>
      </c>
      <c r="H208" s="40">
        <f>IF(COUNT(H203:H207)=0,"n/m",AVERAGE(H203:H207))</f>
        <v>1.5429606718953519</v>
      </c>
    </row>
    <row r="209" spans="1:8" ht="19.95" customHeight="1" x14ac:dyDescent="0.3">
      <c r="A209" s="29"/>
      <c r="B209" s="29"/>
      <c r="C209" s="29"/>
      <c r="D209" s="41"/>
      <c r="E209" s="41"/>
      <c r="F209" s="41"/>
      <c r="G209" s="41"/>
      <c r="H209" s="41"/>
    </row>
    <row r="210" spans="1:8" ht="25.95" customHeight="1" x14ac:dyDescent="0.3">
      <c r="A210" s="35" t="s">
        <v>196</v>
      </c>
      <c r="B210" s="36" t="s">
        <v>197</v>
      </c>
      <c r="C210" s="84" t="s">
        <v>225</v>
      </c>
      <c r="D210" s="38"/>
      <c r="E210" s="38"/>
      <c r="F210" s="38"/>
      <c r="G210" s="38"/>
      <c r="H210" s="38"/>
    </row>
    <row r="211" spans="1:8" ht="31.05" customHeight="1" x14ac:dyDescent="0.3">
      <c r="A211" s="29" t="s">
        <v>9</v>
      </c>
      <c r="B211" s="29"/>
      <c r="C211" s="54" t="s">
        <v>198</v>
      </c>
      <c r="D211" s="53">
        <f>KOHC!D140</f>
        <v>0</v>
      </c>
      <c r="E211" s="53">
        <f>KOHC!E140</f>
        <v>0</v>
      </c>
      <c r="F211" s="53">
        <f>KOHC!F140</f>
        <v>0</v>
      </c>
      <c r="G211" s="53">
        <f>KOHC!G140</f>
        <v>0</v>
      </c>
      <c r="H211" s="53">
        <f>KOHC!H140</f>
        <v>0</v>
      </c>
    </row>
    <row r="212" spans="1:8" ht="31.05" customHeight="1" x14ac:dyDescent="0.3">
      <c r="A212" s="29" t="s">
        <v>13</v>
      </c>
      <c r="B212" s="29"/>
      <c r="C212" s="54" t="s">
        <v>213</v>
      </c>
      <c r="D212" s="53">
        <f>LUCK!D140</f>
        <v>0</v>
      </c>
      <c r="E212" s="53">
        <f>LUCK!E140</f>
        <v>0</v>
      </c>
      <c r="F212" s="46">
        <f>LUCK!F140</f>
        <v>3.4476814342354764E-2</v>
      </c>
      <c r="G212" s="46">
        <f>LUCK!G140</f>
        <v>1.6542962072502287E-2</v>
      </c>
      <c r="H212" s="46">
        <f>LUCK!H140</f>
        <v>1.1259993244004052E-2</v>
      </c>
    </row>
    <row r="213" spans="1:8" ht="31.05" customHeight="1" x14ac:dyDescent="0.3">
      <c r="A213" s="29" t="s">
        <v>17</v>
      </c>
      <c r="B213" s="29"/>
      <c r="C213" s="54" t="s">
        <v>215</v>
      </c>
      <c r="D213" s="46">
        <f>DGKC!D140</f>
        <v>8.4803256445047485E-3</v>
      </c>
      <c r="E213" s="46">
        <f>DGKC!E140</f>
        <v>1.6E-2</v>
      </c>
      <c r="F213" s="53">
        <f>DGKC!F140</f>
        <v>0</v>
      </c>
      <c r="G213" s="53">
        <f>DGKC!G140</f>
        <v>0</v>
      </c>
      <c r="H213" s="46">
        <f>DGKC!H140</f>
        <v>1.2080212611741966E-2</v>
      </c>
    </row>
    <row r="214" spans="1:8" ht="31.05" customHeight="1" x14ac:dyDescent="0.3">
      <c r="A214" s="29" t="s">
        <v>21</v>
      </c>
      <c r="B214" s="29"/>
      <c r="C214" s="54" t="s">
        <v>198</v>
      </c>
      <c r="D214" s="53">
        <f>MLCF!D140</f>
        <v>0</v>
      </c>
      <c r="E214" s="53">
        <f>MLCF!E140</f>
        <v>0</v>
      </c>
      <c r="F214" s="53">
        <f>MLCF!F140</f>
        <v>0</v>
      </c>
      <c r="G214" s="53">
        <f>MLCF!G140</f>
        <v>0</v>
      </c>
      <c r="H214" s="53">
        <f>MLCF!H140</f>
        <v>0</v>
      </c>
    </row>
    <row r="215" spans="1:8" ht="31.05" customHeight="1" x14ac:dyDescent="0.3">
      <c r="A215" s="29" t="s">
        <v>25</v>
      </c>
      <c r="B215" s="29"/>
      <c r="C215" s="54" t="s">
        <v>218</v>
      </c>
      <c r="D215" s="53">
        <f>FCCL!D140</f>
        <v>0</v>
      </c>
      <c r="E215" s="53">
        <f>FCCL!E140</f>
        <v>0</v>
      </c>
      <c r="F215" s="53">
        <f>FCCL!F140</f>
        <v>0</v>
      </c>
      <c r="G215" s="46">
        <f>FCCL!G140</f>
        <v>4.3649061545176782E-2</v>
      </c>
      <c r="H215" s="46">
        <f>FCCL!H140</f>
        <v>2.7982986344302664E-2</v>
      </c>
    </row>
    <row r="216" spans="1:8" ht="19.95" customHeight="1" x14ac:dyDescent="0.3">
      <c r="A216" s="37" t="s">
        <v>220</v>
      </c>
      <c r="B216" s="37"/>
      <c r="C216" s="37"/>
      <c r="D216" s="47">
        <f>IF(COUNT(D211:D215)=0,"n/m",AVERAGE(D211:D215))</f>
        <v>1.6960651289009497E-3</v>
      </c>
      <c r="E216" s="47">
        <f>IF(COUNT(E211:E215)=0,"n/m",AVERAGE(E211:E215))</f>
        <v>3.2000000000000002E-3</v>
      </c>
      <c r="F216" s="47">
        <f>IF(COUNT(F211:F215)=0,"n/m",AVERAGE(F211:F215))</f>
        <v>6.8953628684709526E-3</v>
      </c>
      <c r="G216" s="47">
        <f>IF(COUNT(G211:G215)=0,"n/m",AVERAGE(G211:G215))</f>
        <v>1.2038404723535814E-2</v>
      </c>
      <c r="H216" s="47">
        <f>IF(COUNT(H211:H215)=0,"n/m",AVERAGE(H211:H215))</f>
        <v>1.0264638440009737E-2</v>
      </c>
    </row>
    <row r="217" spans="1:8" ht="19.95" customHeight="1" x14ac:dyDescent="0.3">
      <c r="A217" s="29"/>
      <c r="B217" s="29"/>
      <c r="C217" s="29"/>
      <c r="D217" s="41"/>
      <c r="E217" s="41"/>
      <c r="F217" s="41"/>
      <c r="G217" s="41"/>
      <c r="H217" s="41"/>
    </row>
    <row r="218" spans="1:8" ht="25.95" customHeight="1" x14ac:dyDescent="0.3">
      <c r="A218" s="35" t="s">
        <v>199</v>
      </c>
      <c r="B218" s="36" t="s">
        <v>200</v>
      </c>
      <c r="C218" s="84" t="s">
        <v>286</v>
      </c>
      <c r="D218" s="38"/>
      <c r="E218" s="38"/>
      <c r="F218" s="38"/>
      <c r="G218" s="38"/>
      <c r="H218" s="38"/>
    </row>
    <row r="219" spans="1:8" ht="19.95" customHeight="1" x14ac:dyDescent="0.3">
      <c r="A219" s="29" t="s">
        <v>9</v>
      </c>
      <c r="B219" s="29"/>
      <c r="C219" s="29"/>
      <c r="D219" s="39">
        <f>KOHC!D141</f>
        <v>7.030703799061059</v>
      </c>
      <c r="E219" s="39">
        <f>KOHC!E141</f>
        <v>2.8460065892461768</v>
      </c>
      <c r="F219" s="39">
        <f>KOHC!F141</f>
        <v>3.0390586129963157</v>
      </c>
      <c r="G219" s="39">
        <f>KOHC!G141</f>
        <v>3.2191008909496732</v>
      </c>
      <c r="H219" s="39">
        <f>KOHC!H141</f>
        <v>3.6540457208322041</v>
      </c>
    </row>
    <row r="220" spans="1:8" ht="19.95" customHeight="1" x14ac:dyDescent="0.3">
      <c r="A220" s="29" t="s">
        <v>13</v>
      </c>
      <c r="B220" s="29"/>
      <c r="C220" s="29"/>
      <c r="D220" s="39">
        <f>LUCK!D141</f>
        <v>12.530231924140164</v>
      </c>
      <c r="E220" s="39">
        <f>LUCK!E141</f>
        <v>5.6439003003016683</v>
      </c>
      <c r="F220" s="39">
        <f>LUCK!F141</f>
        <v>5.6924500846825419</v>
      </c>
      <c r="G220" s="39">
        <f>LUCK!G141</f>
        <v>5.178403100254557</v>
      </c>
      <c r="H220" s="39">
        <f>LUCK!H141</f>
        <v>8.5282679327793396</v>
      </c>
    </row>
    <row r="221" spans="1:8" ht="19.95" customHeight="1" x14ac:dyDescent="0.3">
      <c r="A221" s="29" t="s">
        <v>17</v>
      </c>
      <c r="B221" s="29"/>
      <c r="C221" s="29"/>
      <c r="D221" s="39">
        <f>DGKC!D141</f>
        <v>8.4672094053907152</v>
      </c>
      <c r="E221" s="39">
        <f>DGKC!E141</f>
        <v>5.5150906801201929</v>
      </c>
      <c r="F221" s="39">
        <f>DGKC!F141</f>
        <v>4.7839328299471351</v>
      </c>
      <c r="G221" s="39">
        <f>DGKC!G141</f>
        <v>5.0911516840273263</v>
      </c>
      <c r="H221" s="39">
        <f>DGKC!H141</f>
        <v>4.5245291189336676</v>
      </c>
    </row>
    <row r="222" spans="1:8" ht="19.95" customHeight="1" x14ac:dyDescent="0.3">
      <c r="A222" s="29" t="s">
        <v>21</v>
      </c>
      <c r="B222" s="29"/>
      <c r="C222" s="29"/>
      <c r="D222" s="39">
        <f>MLCF!D141</f>
        <v>5.6223501239668989</v>
      </c>
      <c r="E222" s="39">
        <f>MLCF!E141</f>
        <v>4.4912459172048038</v>
      </c>
      <c r="F222" s="39">
        <f>MLCF!F141</f>
        <v>3.2721791070017887</v>
      </c>
      <c r="G222" s="39">
        <f>MLCF!G141</f>
        <v>3.3522633268626687</v>
      </c>
      <c r="H222" s="39">
        <f>MLCF!H141</f>
        <v>3.4441662826745523</v>
      </c>
    </row>
    <row r="223" spans="1:8" ht="19.95" customHeight="1" x14ac:dyDescent="0.3">
      <c r="A223" s="29" t="s">
        <v>25</v>
      </c>
      <c r="B223" s="29"/>
      <c r="C223" s="29"/>
      <c r="D223" s="39">
        <f>FCCL!D141</f>
        <v>4.9126800998035849</v>
      </c>
      <c r="E223" s="39">
        <f>FCCL!E141</f>
        <v>3.9999441320816422</v>
      </c>
      <c r="F223" s="39">
        <f>FCCL!F141</f>
        <v>3.9638226712605413</v>
      </c>
      <c r="G223" s="39">
        <f>FCCL!G141</f>
        <v>3.9028355635230949</v>
      </c>
      <c r="H223" s="39">
        <f>FCCL!H141</f>
        <v>4.5760845203336329</v>
      </c>
    </row>
    <row r="224" spans="1:8" ht="19.95" customHeight="1" x14ac:dyDescent="0.3">
      <c r="A224" s="37" t="s">
        <v>220</v>
      </c>
      <c r="B224" s="37"/>
      <c r="C224" s="37"/>
      <c r="D224" s="40">
        <f>IF(COUNT(D219:D223)=0,"n/m",AVERAGE(D219:D223))</f>
        <v>7.7126350704724844</v>
      </c>
      <c r="E224" s="40">
        <f>IF(COUNT(E219:E223)=0,"n/m",AVERAGE(E219:E223))</f>
        <v>4.4992375237908968</v>
      </c>
      <c r="F224" s="40">
        <f>IF(COUNT(F219:F223)=0,"n/m",AVERAGE(F219:F223))</f>
        <v>4.1502886611776644</v>
      </c>
      <c r="G224" s="40">
        <f>IF(COUNT(G219:G223)=0,"n/m",AVERAGE(G219:G223))</f>
        <v>4.1487509131234637</v>
      </c>
      <c r="H224" s="40">
        <f>IF(COUNT(H219:H223)=0,"n/m",AVERAGE(H219:H223))</f>
        <v>4.9454187151106792</v>
      </c>
    </row>
    <row r="225" spans="1:8" ht="24" customHeight="1" x14ac:dyDescent="0.3">
      <c r="A225" s="29"/>
      <c r="B225" s="29"/>
      <c r="C225" s="29"/>
      <c r="D225" s="29"/>
      <c r="E225" s="29"/>
      <c r="F225" s="29"/>
      <c r="G225" s="29"/>
      <c r="H225" s="29"/>
    </row>
    <row r="226" spans="1:8" ht="24" customHeight="1" x14ac:dyDescent="0.3">
      <c r="A226" s="29"/>
      <c r="B226" s="29"/>
      <c r="C226" s="29"/>
      <c r="D226" s="29"/>
      <c r="E226" s="29"/>
      <c r="F226" s="29"/>
      <c r="G226" s="29"/>
      <c r="H226" s="29"/>
    </row>
    <row r="245" ht="19.5" customHeight="1" x14ac:dyDescent="0.3"/>
    <row r="295" ht="19.5" customHeight="1" x14ac:dyDescent="0.3"/>
  </sheetData>
  <mergeCells count="6">
    <mergeCell ref="A177:H177"/>
    <mergeCell ref="A2:H2"/>
    <mergeCell ref="A5:H5"/>
    <mergeCell ref="A38:H38"/>
    <mergeCell ref="A87:H87"/>
    <mergeCell ref="A120:H120"/>
  </mergeCells>
  <pageMargins left="0.7" right="0.7" top="0.75" bottom="0.75" header="0.3" footer="0.3"/>
  <pageSetup paperSize="9" scale="73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08D57"/>
    <pageSetUpPr fitToPage="1"/>
  </sheetPr>
  <dimension ref="A1:Z625"/>
  <sheetViews>
    <sheetView showGridLines="0" workbookViewId="0">
      <selection activeCell="F4" sqref="F4"/>
    </sheetView>
  </sheetViews>
  <sheetFormatPr defaultColWidth="8.6640625" defaultRowHeight="14.4" x14ac:dyDescent="0.3"/>
  <cols>
    <col min="1" max="9" width="9" customWidth="1"/>
    <col min="10" max="10" width="3" customWidth="1"/>
    <col min="11" max="19" width="9" customWidth="1"/>
    <col min="20" max="26" width="14" hidden="1" customWidth="1"/>
  </cols>
  <sheetData>
    <row r="1" spans="1:26" ht="19.95" customHeight="1" x14ac:dyDescent="0.35">
      <c r="A1" s="98" t="s">
        <v>226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t="s">
        <v>227</v>
      </c>
      <c r="U1" t="s">
        <v>9</v>
      </c>
      <c r="V1" t="s">
        <v>13</v>
      </c>
      <c r="W1" t="s">
        <v>17</v>
      </c>
      <c r="X1" t="s">
        <v>21</v>
      </c>
      <c r="Y1" t="s">
        <v>25</v>
      </c>
      <c r="Z1" t="s">
        <v>228</v>
      </c>
    </row>
    <row r="2" spans="1:26" ht="19.95" customHeight="1" x14ac:dyDescent="0.3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t="s">
        <v>39</v>
      </c>
      <c r="U2" s="57">
        <f>IF(ISNUMBER(KOHC!D111),KOHC!D111,NA())</f>
        <v>1.3006446691414961</v>
      </c>
      <c r="V2" s="57">
        <f>IF(ISNUMBER(LUCK!D111),LUCK!D111,NA())</f>
        <v>1.3386079458938223</v>
      </c>
      <c r="W2" s="57">
        <f>IF(ISNUMBER(DGKC!D111),DGKC!D111,NA())</f>
        <v>0.91452508864509019</v>
      </c>
      <c r="X2" s="57">
        <f>IF(ISNUMBER(MLCF!D111),MLCF!D111,NA())</f>
        <v>1.4780988568182505</v>
      </c>
      <c r="Y2" s="57">
        <f>IF(ISNUMBER(FCCL!D111),FCCL!D111,NA())</f>
        <v>2.01862288296847</v>
      </c>
      <c r="Z2" s="57">
        <f>'Industry Averages'!D12</f>
        <v>1.410099888693426</v>
      </c>
    </row>
    <row r="3" spans="1:26" ht="19.95" customHeight="1" x14ac:dyDescent="0.3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t="s">
        <v>40</v>
      </c>
      <c r="U3" s="57">
        <f>IF(ISNUMBER(KOHC!E111),KOHC!E111,NA())</f>
        <v>1.8735085276109804</v>
      </c>
      <c r="V3" s="57">
        <f>IF(ISNUMBER(LUCK!E111),LUCK!E111,NA())</f>
        <v>1.4760766300374313</v>
      </c>
      <c r="W3" s="57">
        <f>IF(ISNUMBER(DGKC!E111),DGKC!E111,NA())</f>
        <v>0.88552877147710041</v>
      </c>
      <c r="X3" s="57">
        <f>IF(ISNUMBER(MLCF!E111),MLCF!E111,NA())</f>
        <v>1.2549557408945418</v>
      </c>
      <c r="Y3" s="57">
        <f>IF(ISNUMBER(FCCL!E111),FCCL!E111,NA())</f>
        <v>1.0559688948718087</v>
      </c>
      <c r="Z3" s="57">
        <f>'Industry Averages'!E12</f>
        <v>1.3092077129783726</v>
      </c>
    </row>
    <row r="4" spans="1:26" ht="19.95" customHeight="1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t="s">
        <v>41</v>
      </c>
      <c r="U4" s="57">
        <f>IF(ISNUMBER(KOHC!F111),KOHC!F111,NA())</f>
        <v>2.311570515459215</v>
      </c>
      <c r="V4" s="57">
        <f>IF(ISNUMBER(LUCK!F111),LUCK!F111,NA())</f>
        <v>1.290071633326858</v>
      </c>
      <c r="W4" s="57">
        <f>IF(ISNUMBER(DGKC!F111),DGKC!F111,NA())</f>
        <v>0.80176749057385621</v>
      </c>
      <c r="X4" s="57">
        <f>IF(ISNUMBER(MLCF!F111),MLCF!F111,NA())</f>
        <v>1.3715472215546312</v>
      </c>
      <c r="Y4" s="57">
        <f>IF(ISNUMBER(FCCL!F111),FCCL!F111,NA())</f>
        <v>0.81211137558007007</v>
      </c>
      <c r="Z4" s="57">
        <f>'Industry Averages'!F12</f>
        <v>1.3174136472989262</v>
      </c>
    </row>
    <row r="5" spans="1:26" ht="19.95" customHeight="1" x14ac:dyDescent="0.3">
      <c r="A5" s="56"/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t="s">
        <v>42</v>
      </c>
      <c r="U5" s="57">
        <f>IF(ISNUMBER(KOHC!G111),KOHC!G111,NA())</f>
        <v>2.9031590530160019</v>
      </c>
      <c r="V5" s="57">
        <f>IF(ISNUMBER(LUCK!G111),LUCK!G111,NA())</f>
        <v>1.2632222354743232</v>
      </c>
      <c r="W5" s="57">
        <f>IF(ISNUMBER(DGKC!G111),DGKC!G111,NA())</f>
        <v>1.296185931254842</v>
      </c>
      <c r="X5" s="57">
        <f>IF(ISNUMBER(MLCF!G111),MLCF!G111,NA())</f>
        <v>1.4446782415124371</v>
      </c>
      <c r="Y5" s="57">
        <f>IF(ISNUMBER(FCCL!G111),FCCL!G111,NA())</f>
        <v>0.95974773116730094</v>
      </c>
      <c r="Z5" s="57">
        <f>'Industry Averages'!G12</f>
        <v>1.5733986384849812</v>
      </c>
    </row>
    <row r="6" spans="1:26" ht="19.95" customHeight="1" x14ac:dyDescent="0.3">
      <c r="A6" s="97" t="s">
        <v>229</v>
      </c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t="s">
        <v>43</v>
      </c>
      <c r="U6" s="57">
        <f>IF(ISNUMBER(KOHC!H111),KOHC!H111,NA())</f>
        <v>3.311248687172772</v>
      </c>
      <c r="V6" s="57">
        <f>IF(ISNUMBER(LUCK!H111),LUCK!H111,NA())</f>
        <v>1.7146143875904156</v>
      </c>
      <c r="W6" s="57">
        <f>IF(ISNUMBER(DGKC!H111),DGKC!H111,NA())</f>
        <v>1.8489517932979607</v>
      </c>
      <c r="X6" s="57">
        <f>IF(ISNUMBER(MLCF!H111),MLCF!H111,NA())</f>
        <v>1.5324411303645513</v>
      </c>
      <c r="Y6" s="57">
        <f>IF(ISNUMBER(FCCL!H111),FCCL!H111,NA())</f>
        <v>1.3210140828410366</v>
      </c>
      <c r="Z6" s="57">
        <f>'Industry Averages'!H12</f>
        <v>1.9456540162533476</v>
      </c>
    </row>
    <row r="7" spans="1:26" ht="19.95" customHeight="1" x14ac:dyDescent="0.3">
      <c r="A7" s="56"/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</row>
    <row r="8" spans="1:26" ht="19.95" customHeight="1" x14ac:dyDescent="0.3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</row>
    <row r="9" spans="1:26" ht="19.95" customHeight="1" x14ac:dyDescent="0.3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t="s">
        <v>227</v>
      </c>
      <c r="U9" t="s">
        <v>9</v>
      </c>
      <c r="V9" t="s">
        <v>13</v>
      </c>
      <c r="W9" t="s">
        <v>17</v>
      </c>
      <c r="X9" t="s">
        <v>21</v>
      </c>
      <c r="Y9" t="s">
        <v>25</v>
      </c>
      <c r="Z9" t="s">
        <v>228</v>
      </c>
    </row>
    <row r="10" spans="1:26" ht="19.95" customHeight="1" x14ac:dyDescent="0.3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t="s">
        <v>39</v>
      </c>
      <c r="U10" s="57">
        <f>IF(ISNUMBER(KOHC!D112),KOHC!D112,NA())</f>
        <v>0.74816043855554903</v>
      </c>
      <c r="V10" s="57">
        <f>IF(ISNUMBER(LUCK!D112),LUCK!D112,NA())</f>
        <v>0.89000886100685095</v>
      </c>
      <c r="W10" s="57">
        <f>IF(ISNUMBER(DGKC!D112),DGKC!D112,NA())</f>
        <v>0.52718830778210601</v>
      </c>
      <c r="X10" s="57">
        <f>IF(ISNUMBER(MLCF!D112),MLCF!D112,NA())</f>
        <v>0.43971691910387301</v>
      </c>
      <c r="Y10" s="57">
        <f>IF(ISNUMBER(FCCL!D112),FCCL!D112,NA())</f>
        <v>1.1357988467684703</v>
      </c>
      <c r="Z10" s="57">
        <f>'Industry Averages'!D20</f>
        <v>0.74817467464336995</v>
      </c>
    </row>
    <row r="11" spans="1:26" ht="19.95" customHeight="1" x14ac:dyDescent="0.3">
      <c r="A11" s="56"/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t="s">
        <v>40</v>
      </c>
      <c r="U11" s="57">
        <f>IF(ISNUMBER(KOHC!E112),KOHC!E112,NA())</f>
        <v>1.2758070110452304</v>
      </c>
      <c r="V11" s="57">
        <f>IF(ISNUMBER(LUCK!E112),LUCK!E112,NA())</f>
        <v>0.87076091919208631</v>
      </c>
      <c r="W11" s="57">
        <f>IF(ISNUMBER(DGKC!E112),DGKC!E112,NA())</f>
        <v>0.39093390789665328</v>
      </c>
      <c r="X11" s="57">
        <f>IF(ISNUMBER(MLCF!E112),MLCF!E112,NA())</f>
        <v>0.29473524106223353</v>
      </c>
      <c r="Y11" s="57">
        <f>IF(ISNUMBER(FCCL!E112),FCCL!E112,NA())</f>
        <v>0.47078421060569281</v>
      </c>
      <c r="Z11" s="57">
        <f>'Industry Averages'!E20</f>
        <v>0.66060425796037925</v>
      </c>
    </row>
    <row r="12" spans="1:26" ht="19.95" customHeight="1" x14ac:dyDescent="0.3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t="s">
        <v>41</v>
      </c>
      <c r="U12" s="57">
        <f>IF(ISNUMBER(KOHC!F112),KOHC!F112,NA())</f>
        <v>1.5392110300634694</v>
      </c>
      <c r="V12" s="57">
        <f>IF(ISNUMBER(LUCK!F112),LUCK!F112,NA())</f>
        <v>0.85412226562426408</v>
      </c>
      <c r="W12" s="57">
        <f>IF(ISNUMBER(DGKC!F112),DGKC!F112,NA())</f>
        <v>0.33489936167445872</v>
      </c>
      <c r="X12" s="57">
        <f>IF(ISNUMBER(MLCF!F112),MLCF!F112,NA())</f>
        <v>0.5204561252187091</v>
      </c>
      <c r="Y12" s="57">
        <f>IF(ISNUMBER(FCCL!F112),FCCL!F112,NA())</f>
        <v>0.28121710873313321</v>
      </c>
      <c r="Z12" s="57">
        <f>'Industry Averages'!F20</f>
        <v>0.70598117826280693</v>
      </c>
    </row>
    <row r="13" spans="1:26" ht="19.95" customHeight="1" x14ac:dyDescent="0.3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t="s">
        <v>42</v>
      </c>
      <c r="U13" s="57">
        <f>IF(ISNUMBER(KOHC!G112),KOHC!G112,NA())</f>
        <v>2.2200593399212352</v>
      </c>
      <c r="V13" s="57">
        <f>IF(ISNUMBER(LUCK!G112),LUCK!G112,NA())</f>
        <v>0.83698311631700717</v>
      </c>
      <c r="W13" s="57">
        <f>IF(ISNUMBER(DGKC!G112),DGKC!G112,NA())</f>
        <v>0.66771764923027133</v>
      </c>
      <c r="X13" s="57">
        <f>IF(ISNUMBER(MLCF!G112),MLCF!G112,NA())</f>
        <v>0.60942670638462615</v>
      </c>
      <c r="Y13" s="57">
        <f>IF(ISNUMBER(FCCL!G112),FCCL!G112,NA())</f>
        <v>0.3420463898878065</v>
      </c>
      <c r="Z13" s="57">
        <f>'Industry Averages'!G20</f>
        <v>0.93524664034818927</v>
      </c>
    </row>
    <row r="14" spans="1:26" ht="19.95" customHeight="1" x14ac:dyDescent="0.3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t="s">
        <v>43</v>
      </c>
      <c r="U14" s="57">
        <f>IF(ISNUMBER(KOHC!H112),KOHC!H112,NA())</f>
        <v>2.6677003784340947</v>
      </c>
      <c r="V14" s="57">
        <f>IF(ISNUMBER(LUCK!H112),LUCK!H112,NA())</f>
        <v>1.2939267138361998</v>
      </c>
      <c r="W14" s="57">
        <f>IF(ISNUMBER(DGKC!H112),DGKC!H112,NA())</f>
        <v>1.0579587679634685</v>
      </c>
      <c r="X14" s="57">
        <f>IF(ISNUMBER(MLCF!H112),MLCF!H112,NA())</f>
        <v>0.80788282595509864</v>
      </c>
      <c r="Y14" s="57">
        <f>IF(ISNUMBER(FCCL!H112),FCCL!H112,NA())</f>
        <v>0.67753380767364924</v>
      </c>
      <c r="Z14" s="57">
        <f>'Industry Averages'!H20</f>
        <v>1.3010004987725021</v>
      </c>
    </row>
    <row r="15" spans="1:26" ht="19.95" customHeight="1" x14ac:dyDescent="0.3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</row>
    <row r="16" spans="1:26" ht="19.95" customHeight="1" x14ac:dyDescent="0.3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</row>
    <row r="17" spans="1:26" ht="19.95" customHeight="1" x14ac:dyDescent="0.3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t="s">
        <v>227</v>
      </c>
      <c r="U17" t="s">
        <v>9</v>
      </c>
      <c r="V17" t="s">
        <v>13</v>
      </c>
      <c r="W17" t="s">
        <v>17</v>
      </c>
      <c r="X17" t="s">
        <v>21</v>
      </c>
      <c r="Y17" t="s">
        <v>25</v>
      </c>
      <c r="Z17" t="s">
        <v>228</v>
      </c>
    </row>
    <row r="18" spans="1:26" ht="19.95" customHeight="1" x14ac:dyDescent="0.3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t="s">
        <v>39</v>
      </c>
      <c r="U18" s="57">
        <f>IF(ISNUMBER(KOHC!D113),KOHC!D113,NA())</f>
        <v>0.15817363525137568</v>
      </c>
      <c r="V18" s="57">
        <f>IF(ISNUMBER(LUCK!D113),LUCK!D113,NA())</f>
        <v>0.61509850934604882</v>
      </c>
      <c r="W18" s="57">
        <f>IF(ISNUMBER(DGKC!D113),DGKC!D113,NA())</f>
        <v>2.0011480184397672E-2</v>
      </c>
      <c r="X18" s="57">
        <f>IF(ISNUMBER(MLCF!D113),MLCF!D113,NA())</f>
        <v>4.2825558053104403E-2</v>
      </c>
      <c r="Y18" s="57">
        <f>IF(ISNUMBER(FCCL!D113),FCCL!D113,NA())</f>
        <v>0.14618299383526975</v>
      </c>
      <c r="Z18" s="57">
        <f>'Industry Averages'!D28</f>
        <v>0.19645843533403926</v>
      </c>
    </row>
    <row r="19" spans="1:26" ht="19.95" customHeight="1" x14ac:dyDescent="0.3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t="s">
        <v>40</v>
      </c>
      <c r="U19" s="57">
        <f>IF(ISNUMBER(KOHC!E113),KOHC!E113,NA())</f>
        <v>5.0670963775722312E-2</v>
      </c>
      <c r="V19" s="57">
        <f>IF(ISNUMBER(LUCK!E113),LUCK!E113,NA())</f>
        <v>0.51028731982278264</v>
      </c>
      <c r="W19" s="57">
        <f>IF(ISNUMBER(DGKC!E113),DGKC!E113,NA())</f>
        <v>8.913248794490819E-3</v>
      </c>
      <c r="X19" s="57">
        <f>IF(ISNUMBER(MLCF!E113),MLCF!E113,NA())</f>
        <v>4.9006165540003331E-2</v>
      </c>
      <c r="Y19" s="57">
        <f>IF(ISNUMBER(FCCL!E113),FCCL!E113,NA())</f>
        <v>8.632203736853207E-2</v>
      </c>
      <c r="Z19" s="57">
        <f>'Industry Averages'!E28</f>
        <v>0.14103994706030626</v>
      </c>
    </row>
    <row r="20" spans="1:26" ht="19.95" customHeight="1" x14ac:dyDescent="0.3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t="s">
        <v>41</v>
      </c>
      <c r="U20" s="57">
        <f>IF(ISNUMBER(KOHC!F113),KOHC!F113,NA())</f>
        <v>9.4178046452072631E-2</v>
      </c>
      <c r="V20" s="57">
        <f>IF(ISNUMBER(LUCK!F113),LUCK!F113,NA())</f>
        <v>0.56303776721097065</v>
      </c>
      <c r="W20" s="57">
        <f>IF(ISNUMBER(DGKC!F113),DGKC!F113,NA())</f>
        <v>1.3866688142092815E-2</v>
      </c>
      <c r="X20" s="57">
        <f>IF(ISNUMBER(MLCF!F113),MLCF!F113,NA())</f>
        <v>4.5680298533070048E-2</v>
      </c>
      <c r="Y20" s="57">
        <f>IF(ISNUMBER(FCCL!F113),FCCL!F113,NA())</f>
        <v>3.0925035424233385E-2</v>
      </c>
      <c r="Z20" s="57">
        <f>'Industry Averages'!F28</f>
        <v>0.14953756715248792</v>
      </c>
    </row>
    <row r="21" spans="1:26" ht="19.95" customHeight="1" x14ac:dyDescent="0.3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t="s">
        <v>42</v>
      </c>
      <c r="U21" s="57">
        <f>IF(ISNUMBER(KOHC!G113),KOHC!G113,NA())</f>
        <v>9.9376831489781367E-2</v>
      </c>
      <c r="V21" s="57">
        <f>IF(ISNUMBER(LUCK!G113),LUCK!G113,NA())</f>
        <v>0.59758338272421885</v>
      </c>
      <c r="W21" s="57">
        <f>IF(ISNUMBER(DGKC!G113),DGKC!G113,NA())</f>
        <v>2.2719990993528554E-2</v>
      </c>
      <c r="X21" s="57">
        <f>IF(ISNUMBER(MLCF!G113),MLCF!G113,NA())</f>
        <v>7.3767434857886421E-2</v>
      </c>
      <c r="Y21" s="57">
        <f>IF(ISNUMBER(FCCL!G113),FCCL!G113,NA())</f>
        <v>0.10599048957533475</v>
      </c>
      <c r="Z21" s="57">
        <f>'Industry Averages'!G28</f>
        <v>0.17988762592814997</v>
      </c>
    </row>
    <row r="22" spans="1:26" ht="19.95" customHeight="1" x14ac:dyDescent="0.3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t="s">
        <v>43</v>
      </c>
      <c r="U22" s="57">
        <f>IF(ISNUMBER(KOHC!H113),KOHC!H113,NA())</f>
        <v>0.1243988942257843</v>
      </c>
      <c r="V22" s="57">
        <f>IF(ISNUMBER(LUCK!H113),LUCK!H113,NA())</f>
        <v>1.0928864859820921</v>
      </c>
      <c r="W22" s="57">
        <f>IF(ISNUMBER(DGKC!H113),DGKC!H113,NA())</f>
        <v>4.7175167844291127E-2</v>
      </c>
      <c r="X22" s="57">
        <f>IF(ISNUMBER(MLCF!H113),MLCF!H113,NA())</f>
        <v>6.9243334827372452E-2</v>
      </c>
      <c r="Y22" s="57">
        <f>IF(ISNUMBER(FCCL!H113),FCCL!H113,NA())</f>
        <v>8.4205246923402408E-2</v>
      </c>
      <c r="Z22" s="57">
        <f>'Industry Averages'!H28</f>
        <v>0.28358182596058851</v>
      </c>
    </row>
    <row r="23" spans="1:26" ht="19.95" customHeight="1" x14ac:dyDescent="0.3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</row>
    <row r="24" spans="1:26" ht="19.95" customHeight="1" x14ac:dyDescent="0.3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</row>
    <row r="25" spans="1:26" ht="19.95" customHeight="1" x14ac:dyDescent="0.3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t="s">
        <v>227</v>
      </c>
      <c r="U25" t="s">
        <v>9</v>
      </c>
      <c r="V25" t="s">
        <v>13</v>
      </c>
      <c r="W25" t="s">
        <v>17</v>
      </c>
      <c r="X25" t="s">
        <v>21</v>
      </c>
      <c r="Y25" t="s">
        <v>25</v>
      </c>
      <c r="Z25" t="s">
        <v>228</v>
      </c>
    </row>
    <row r="26" spans="1:26" ht="19.95" customHeight="1" x14ac:dyDescent="0.3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t="s">
        <v>39</v>
      </c>
      <c r="U26" s="58">
        <f>IF(ISNUMBER(KOHC!D114),KOHC!D114,NA())</f>
        <v>2276.5547739999984</v>
      </c>
      <c r="V26" s="58">
        <f>IF(ISNUMBER(LUCK!D114),LUCK!D114,NA())</f>
        <v>10289.302000000007</v>
      </c>
      <c r="W26" s="58" t="e">
        <f>IF(ISNUMBER(DGKC!D114),DGKC!D114,NA())</f>
        <v>#N/A</v>
      </c>
      <c r="X26" s="58">
        <f>IF(ISNUMBER(MLCF!D114),MLCF!D114,NA())</f>
        <v>5473.9680000000026</v>
      </c>
      <c r="Y26" s="58">
        <f>IF(ISNUMBER(FCCL!D114),FCCL!D114,NA())</f>
        <v>6276.7430000000004</v>
      </c>
      <c r="Z26" s="58">
        <f>'Industry Averages'!D36</f>
        <v>6079.1419435000025</v>
      </c>
    </row>
    <row r="27" spans="1:26" ht="19.95" customHeight="1" x14ac:dyDescent="0.3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t="s">
        <v>40</v>
      </c>
      <c r="U27" s="58">
        <f>IF(ISNUMBER(KOHC!E114),KOHC!E114,NA())</f>
        <v>8287.8407679999964</v>
      </c>
      <c r="V27" s="58">
        <f>IF(ISNUMBER(LUCK!E114),LUCK!E114,NA())</f>
        <v>14454.333000000006</v>
      </c>
      <c r="W27" s="58" t="e">
        <f>IF(ISNUMBER(DGKC!E114),DGKC!E114,NA())</f>
        <v>#N/A</v>
      </c>
      <c r="X27" s="58">
        <f>IF(ISNUMBER(MLCF!E114),MLCF!E114,NA())</f>
        <v>4128.5980000000036</v>
      </c>
      <c r="Y27" s="58">
        <f>IF(ISNUMBER(FCCL!E114),FCCL!E114,NA())</f>
        <v>1495.5590000000011</v>
      </c>
      <c r="Z27" s="58">
        <f>'Industry Averages'!E36</f>
        <v>7091.5826920000018</v>
      </c>
    </row>
    <row r="28" spans="1:26" ht="19.95" customHeight="1" x14ac:dyDescent="0.3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t="s">
        <v>41</v>
      </c>
      <c r="U28" s="58">
        <f>IF(ISNUMBER(KOHC!F114),KOHC!F114,NA())</f>
        <v>13000.905238000001</v>
      </c>
      <c r="V28" s="58">
        <f>IF(ISNUMBER(LUCK!F114),LUCK!F114,NA())</f>
        <v>13395.762999999999</v>
      </c>
      <c r="W28" s="58" t="e">
        <f>IF(ISNUMBER(DGKC!F114),DGKC!F114,NA())</f>
        <v>#N/A</v>
      </c>
      <c r="X28" s="58">
        <f>IF(ISNUMBER(MLCF!F114),MLCF!F114,NA())</f>
        <v>6024.645999999997</v>
      </c>
      <c r="Y28" s="58" t="e">
        <f>IF(ISNUMBER(FCCL!F114),FCCL!F114,NA())</f>
        <v>#N/A</v>
      </c>
      <c r="Z28" s="58">
        <f>'Industry Averages'!F36</f>
        <v>10807.104745999999</v>
      </c>
    </row>
    <row r="29" spans="1:26" ht="19.95" customHeight="1" x14ac:dyDescent="0.3">
      <c r="A29" s="97" t="s">
        <v>230</v>
      </c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t="s">
        <v>42</v>
      </c>
      <c r="U29" s="58">
        <f>IF(ISNUMBER(KOHC!G114),KOHC!G114,NA())</f>
        <v>21116.760542</v>
      </c>
      <c r="V29" s="58">
        <f>IF(ISNUMBER(LUCK!G114),LUCK!G114,NA())</f>
        <v>14263.611000000004</v>
      </c>
      <c r="W29" s="58">
        <f>IF(ISNUMBER(DGKC!G114),DGKC!G114,NA())</f>
        <v>9544.8039999999928</v>
      </c>
      <c r="X29" s="58">
        <f>IF(ISNUMBER(MLCF!G114),MLCF!G114,NA())</f>
        <v>8270.0370000000003</v>
      </c>
      <c r="Y29" s="58" t="e">
        <f>IF(ISNUMBER(FCCL!G114),FCCL!G114,NA())</f>
        <v>#N/A</v>
      </c>
      <c r="Z29" s="58">
        <f>'Industry Averages'!G36</f>
        <v>13298.803135499998</v>
      </c>
    </row>
    <row r="30" spans="1:26" ht="19.95" customHeight="1" x14ac:dyDescent="0.3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t="s">
        <v>43</v>
      </c>
      <c r="U30" s="58">
        <f>IF(ISNUMBER(KOHC!H114),KOHC!H114,NA())</f>
        <v>26953.091383000003</v>
      </c>
      <c r="V30" s="58">
        <f>IF(ISNUMBER(LUCK!H114),LUCK!H114,NA())</f>
        <v>41905.97600000001</v>
      </c>
      <c r="W30" s="58">
        <f>IF(ISNUMBER(DGKC!H114),DGKC!H114,NA())</f>
        <v>21997.121999999999</v>
      </c>
      <c r="X30" s="58">
        <f>IF(ISNUMBER(MLCF!H114),MLCF!H114,NA())</f>
        <v>12422.112999999994</v>
      </c>
      <c r="Y30" s="58">
        <f>IF(ISNUMBER(FCCL!H114),FCCL!H114,NA())</f>
        <v>9835.0680000000066</v>
      </c>
      <c r="Z30" s="58">
        <f>'Industry Averages'!H36</f>
        <v>22622.674076600008</v>
      </c>
    </row>
    <row r="31" spans="1:26" ht="19.95" customHeight="1" x14ac:dyDescent="0.3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</row>
    <row r="32" spans="1:26" ht="19.95" customHeight="1" x14ac:dyDescent="0.3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</row>
    <row r="33" spans="1:26" ht="19.95" customHeight="1" x14ac:dyDescent="0.3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t="s">
        <v>227</v>
      </c>
      <c r="U33" t="s">
        <v>9</v>
      </c>
      <c r="V33" t="s">
        <v>13</v>
      </c>
      <c r="W33" t="s">
        <v>17</v>
      </c>
      <c r="X33" t="s">
        <v>21</v>
      </c>
      <c r="Y33" t="s">
        <v>25</v>
      </c>
      <c r="Z33" t="s">
        <v>228</v>
      </c>
    </row>
    <row r="34" spans="1:26" ht="19.95" customHeight="1" x14ac:dyDescent="0.3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t="s">
        <v>39</v>
      </c>
      <c r="U34" s="57">
        <f>IF(ISNUMBER(KOHC!D116),KOHC!D116,NA())</f>
        <v>4.8570986013255171</v>
      </c>
      <c r="V34" s="57">
        <f>IF(ISNUMBER(LUCK!D116),LUCK!D116,NA())</f>
        <v>3.8136073127139278</v>
      </c>
      <c r="W34" s="57">
        <f>IF(ISNUMBER(DGKC!D116),DGKC!D116,NA())</f>
        <v>2.6267527531726218</v>
      </c>
      <c r="X34" s="57">
        <f>IF(ISNUMBER(MLCF!D116),MLCF!D116,NA())</f>
        <v>2.5503561154199565</v>
      </c>
      <c r="Y34" s="57">
        <f>IF(ISNUMBER(FCCL!D116),FCCL!D116,NA())</f>
        <v>3.593399445976929</v>
      </c>
      <c r="Z34" s="57">
        <f>'Industry Averages'!D45</f>
        <v>3.4882428457217904</v>
      </c>
    </row>
    <row r="35" spans="1:26" ht="19.95" customHeight="1" x14ac:dyDescent="0.3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t="s">
        <v>40</v>
      </c>
      <c r="U35" s="57">
        <f>IF(ISNUMBER(KOHC!E116),KOHC!E116,NA())</f>
        <v>4.6811317215716919</v>
      </c>
      <c r="V35" s="57">
        <f>IF(ISNUMBER(LUCK!E116),LUCK!E116,NA())</f>
        <v>3.657733126059421</v>
      </c>
      <c r="W35" s="57">
        <f>IF(ISNUMBER(DGKC!E116),DGKC!E116,NA())</f>
        <v>2.479761249901864</v>
      </c>
      <c r="X35" s="57">
        <f>IF(ISNUMBER(MLCF!E116),MLCF!E116,NA())</f>
        <v>2.6418827583195736</v>
      </c>
      <c r="Y35" s="57">
        <f>IF(ISNUMBER(FCCL!E116),FCCL!E116,NA())</f>
        <v>3.6798285509863442</v>
      </c>
      <c r="Z35" s="57">
        <f>'Industry Averages'!E45</f>
        <v>3.4280674813677789</v>
      </c>
    </row>
    <row r="36" spans="1:26" ht="19.95" customHeight="1" x14ac:dyDescent="0.3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t="s">
        <v>41</v>
      </c>
      <c r="U36" s="57">
        <f>IF(ISNUMBER(KOHC!F116),KOHC!F116,NA())</f>
        <v>4.2753791437713859</v>
      </c>
      <c r="V36" s="57">
        <f>IF(ISNUMBER(LUCK!F116),LUCK!F116,NA())</f>
        <v>3.6234818387767853</v>
      </c>
      <c r="W36" s="57">
        <f>IF(ISNUMBER(DGKC!F116),DGKC!F116,NA())</f>
        <v>2.4352964976956684</v>
      </c>
      <c r="X36" s="57">
        <f>IF(ISNUMBER(MLCF!F116),MLCF!F116,NA())</f>
        <v>2.991643999189634</v>
      </c>
      <c r="Y36" s="57">
        <f>IF(ISNUMBER(FCCL!F116),FCCL!F116,NA())</f>
        <v>3.0981941833220765</v>
      </c>
      <c r="Z36" s="57">
        <f>'Industry Averages'!F45</f>
        <v>3.2847991325511101</v>
      </c>
    </row>
    <row r="37" spans="1:26" ht="19.95" customHeight="1" x14ac:dyDescent="0.3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t="s">
        <v>42</v>
      </c>
      <c r="U37" s="57">
        <f>IF(ISNUMBER(KOHC!G116),KOHC!G116,NA())</f>
        <v>3.5957369645110586</v>
      </c>
      <c r="V37" s="57">
        <f>IF(ISNUMBER(LUCK!G116),LUCK!G116,NA())</f>
        <v>3.5401699550948362</v>
      </c>
      <c r="W37" s="57">
        <f>IF(ISNUMBER(DGKC!G116),DGKC!G116,NA())</f>
        <v>2.5832010951831741</v>
      </c>
      <c r="X37" s="57">
        <f>IF(ISNUMBER(MLCF!G116),MLCF!G116,NA())</f>
        <v>3.1013565995658121</v>
      </c>
      <c r="Y37" s="57">
        <f>IF(ISNUMBER(FCCL!G116),FCCL!G116,NA())</f>
        <v>3.4267755412065504</v>
      </c>
      <c r="Z37" s="57">
        <f>'Industry Averages'!G45</f>
        <v>3.2494480311122858</v>
      </c>
    </row>
    <row r="38" spans="1:26" ht="19.95" customHeight="1" x14ac:dyDescent="0.3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t="s">
        <v>43</v>
      </c>
      <c r="U38" s="57">
        <f>IF(ISNUMBER(KOHC!H116),KOHC!H116,NA())</f>
        <v>3.024880626442934</v>
      </c>
      <c r="V38" s="57">
        <f>IF(ISNUMBER(LUCK!H116),LUCK!H116,NA())</f>
        <v>3.4260949525900268</v>
      </c>
      <c r="W38" s="57">
        <f>IF(ISNUMBER(DGKC!H116),DGKC!H116,NA())</f>
        <v>2.6203448800361673</v>
      </c>
      <c r="X38" s="57">
        <f>IF(ISNUMBER(MLCF!H116),MLCF!H116,NA())</f>
        <v>2.7865732877055658</v>
      </c>
      <c r="Y38" s="57">
        <f>IF(ISNUMBER(FCCL!H116),FCCL!H116,NA())</f>
        <v>3.1608830315846066</v>
      </c>
      <c r="Z38" s="57">
        <f>'Industry Averages'!H45</f>
        <v>3.0037553556718599</v>
      </c>
    </row>
    <row r="39" spans="1:26" ht="19.95" customHeight="1" x14ac:dyDescent="0.3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</row>
    <row r="40" spans="1:26" ht="19.95" customHeight="1" x14ac:dyDescent="0.3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</row>
    <row r="41" spans="1:26" ht="19.95" customHeight="1" x14ac:dyDescent="0.3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t="s">
        <v>227</v>
      </c>
      <c r="U41" t="s">
        <v>9</v>
      </c>
      <c r="V41" t="s">
        <v>13</v>
      </c>
      <c r="W41" t="s">
        <v>17</v>
      </c>
      <c r="X41" t="s">
        <v>21</v>
      </c>
      <c r="Y41" t="s">
        <v>25</v>
      </c>
      <c r="Z41" t="s">
        <v>228</v>
      </c>
    </row>
    <row r="42" spans="1:26" ht="19.95" customHeight="1" x14ac:dyDescent="0.3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t="s">
        <v>39</v>
      </c>
      <c r="U42" s="57">
        <f>IF(ISNUMBER(KOHC!D117),KOHC!D117,NA())</f>
        <v>32.556527152183129</v>
      </c>
      <c r="V42" s="57">
        <f>IF(ISNUMBER(LUCK!D117),LUCK!D117,NA())</f>
        <v>20.525799758937445</v>
      </c>
      <c r="W42" s="57">
        <f>IF(ISNUMBER(DGKC!D117),DGKC!D117,NA())</f>
        <v>22.768270883109405</v>
      </c>
      <c r="X42" s="57">
        <f>IF(ISNUMBER(MLCF!D117),MLCF!D117,NA())</f>
        <v>15.020941563038772</v>
      </c>
      <c r="Y42" s="57">
        <f>IF(ISNUMBER(FCCL!D117),FCCL!D117,NA())</f>
        <v>19.415164144242155</v>
      </c>
      <c r="Z42" s="57">
        <f>'Industry Averages'!D53</f>
        <v>22.057340700302184</v>
      </c>
    </row>
    <row r="43" spans="1:26" ht="19.95" customHeight="1" x14ac:dyDescent="0.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t="s">
        <v>40</v>
      </c>
      <c r="U43" s="57">
        <f>IF(ISNUMBER(KOHC!E117),KOHC!E117,NA())</f>
        <v>34.614462046513971</v>
      </c>
      <c r="V43" s="57">
        <f>IF(ISNUMBER(LUCK!E117),LUCK!E117,NA())</f>
        <v>26.020654219821807</v>
      </c>
      <c r="W43" s="57">
        <f>IF(ISNUMBER(DGKC!E117),DGKC!E117,NA())</f>
        <v>36.922320391767833</v>
      </c>
      <c r="X43" s="57">
        <f>IF(ISNUMBER(MLCF!E117),MLCF!E117,NA())</f>
        <v>25.905344380386534</v>
      </c>
      <c r="Y43" s="57">
        <f>IF(ISNUMBER(FCCL!E117),FCCL!E117,NA())</f>
        <v>28.088084014998095</v>
      </c>
      <c r="Z43" s="57">
        <f>'Industry Averages'!E53</f>
        <v>30.31017301069765</v>
      </c>
    </row>
    <row r="44" spans="1:26" ht="19.95" customHeight="1" x14ac:dyDescent="0.3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t="s">
        <v>41</v>
      </c>
      <c r="U44" s="57">
        <f>IF(ISNUMBER(KOHC!F117),KOHC!F117,NA())</f>
        <v>36.690956476472735</v>
      </c>
      <c r="V44" s="57">
        <f>IF(ISNUMBER(LUCK!F117),LUCK!F117,NA())</f>
        <v>22.253946370189343</v>
      </c>
      <c r="W44" s="57">
        <f>IF(ISNUMBER(DGKC!F117),DGKC!F117,NA())</f>
        <v>48.836111797909446</v>
      </c>
      <c r="X44" s="57">
        <f>IF(ISNUMBER(MLCF!F117),MLCF!F117,NA())</f>
        <v>26.600659453629234</v>
      </c>
      <c r="Y44" s="57">
        <f>IF(ISNUMBER(FCCL!F117),FCCL!F117,NA())</f>
        <v>22.745855737892271</v>
      </c>
      <c r="Z44" s="57">
        <f>'Industry Averages'!F53</f>
        <v>31.425505967218601</v>
      </c>
    </row>
    <row r="45" spans="1:26" ht="19.95" customHeight="1" x14ac:dyDescent="0.3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t="s">
        <v>42</v>
      </c>
      <c r="U45" s="57">
        <f>IF(ISNUMBER(KOHC!G117),KOHC!G117,NA())</f>
        <v>23.311269128267483</v>
      </c>
      <c r="V45" s="57">
        <f>IF(ISNUMBER(LUCK!G117),LUCK!G117,NA())</f>
        <v>19.185416979630755</v>
      </c>
      <c r="W45" s="57">
        <f>IF(ISNUMBER(DGKC!G117),DGKC!G117,NA())</f>
        <v>64.453707869774377</v>
      </c>
      <c r="X45" s="57">
        <f>IF(ISNUMBER(MLCF!G117),MLCF!G117,NA())</f>
        <v>19.574371293114748</v>
      </c>
      <c r="Y45" s="57">
        <f>IF(ISNUMBER(FCCL!G117),FCCL!G117,NA())</f>
        <v>17.554064923929165</v>
      </c>
      <c r="Z45" s="57">
        <f>'Industry Averages'!G53</f>
        <v>28.815766038943309</v>
      </c>
    </row>
    <row r="46" spans="1:26" ht="19.95" customHeight="1" x14ac:dyDescent="0.3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t="s">
        <v>43</v>
      </c>
      <c r="U46" s="57">
        <f>IF(ISNUMBER(KOHC!H117),KOHC!H117,NA())</f>
        <v>19.742821104933064</v>
      </c>
      <c r="V46" s="57">
        <f>IF(ISNUMBER(LUCK!H117),LUCK!H117,NA())</f>
        <v>18.743761644592638</v>
      </c>
      <c r="W46" s="57">
        <f>IF(ISNUMBER(DGKC!H117),DGKC!H117,NA())</f>
        <v>61.216079379365482</v>
      </c>
      <c r="X46" s="57">
        <f>IF(ISNUMBER(MLCF!H117),MLCF!H117,NA())</f>
        <v>15.67064847793373</v>
      </c>
      <c r="Y46" s="57">
        <f>IF(ISNUMBER(FCCL!H117),FCCL!H117,NA())</f>
        <v>14.282644096931071</v>
      </c>
      <c r="Z46" s="57">
        <f>'Industry Averages'!H53</f>
        <v>25.931190940751197</v>
      </c>
    </row>
    <row r="47" spans="1:26" ht="19.95" customHeight="1" x14ac:dyDescent="0.3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</row>
    <row r="48" spans="1:26" ht="19.95" customHeight="1" x14ac:dyDescent="0.3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</row>
    <row r="49" spans="1:26" ht="19.95" customHeight="1" x14ac:dyDescent="0.3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t="s">
        <v>227</v>
      </c>
      <c r="U49" t="s">
        <v>9</v>
      </c>
      <c r="V49" t="s">
        <v>13</v>
      </c>
      <c r="W49" t="s">
        <v>17</v>
      </c>
      <c r="X49" t="s">
        <v>21</v>
      </c>
      <c r="Y49" t="s">
        <v>25</v>
      </c>
      <c r="Z49" t="s">
        <v>228</v>
      </c>
    </row>
    <row r="50" spans="1:26" ht="19.95" customHeight="1" x14ac:dyDescent="0.3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t="s">
        <v>39</v>
      </c>
      <c r="U50" s="57">
        <f>IF(ISNUMBER(KOHC!D118),KOHC!D118,NA())</f>
        <v>75.147743531578783</v>
      </c>
      <c r="V50" s="57">
        <f>IF(ISNUMBER(LUCK!D118),LUCK!D118,NA())</f>
        <v>95.709906676324849</v>
      </c>
      <c r="W50" s="57">
        <f>IF(ISNUMBER(DGKC!D118),DGKC!D118,NA())</f>
        <v>138.95483675010863</v>
      </c>
      <c r="X50" s="57">
        <f>IF(ISNUMBER(MLCF!D118),MLCF!D118,NA())</f>
        <v>143.11726813096334</v>
      </c>
      <c r="Y50" s="57">
        <f>IF(ISNUMBER(FCCL!D118),FCCL!D118,NA())</f>
        <v>101.57512558439446</v>
      </c>
      <c r="Z50" s="57">
        <f>'Industry Averages'!D61</f>
        <v>110.90097613467401</v>
      </c>
    </row>
    <row r="51" spans="1:26" ht="19.95" customHeight="1" x14ac:dyDescent="0.3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t="s">
        <v>40</v>
      </c>
      <c r="U51" s="57">
        <f>IF(ISNUMBER(KOHC!E118),KOHC!E118,NA())</f>
        <v>77.972597591731756</v>
      </c>
      <c r="V51" s="57">
        <f>IF(ISNUMBER(LUCK!E118),LUCK!E118,NA())</f>
        <v>99.788581457615734</v>
      </c>
      <c r="W51" s="57">
        <f>IF(ISNUMBER(DGKC!E118),DGKC!E118,NA())</f>
        <v>147.19158951872677</v>
      </c>
      <c r="X51" s="57">
        <f>IF(ISNUMBER(MLCF!E118),MLCF!E118,NA())</f>
        <v>138.1590454196257</v>
      </c>
      <c r="Y51" s="57">
        <f>IF(ISNUMBER(FCCL!E118),FCCL!E118,NA())</f>
        <v>99.189403784088</v>
      </c>
      <c r="Z51" s="57">
        <f>'Industry Averages'!E61</f>
        <v>112.46024355435759</v>
      </c>
    </row>
    <row r="52" spans="1:26" ht="19.95" customHeight="1" x14ac:dyDescent="0.3">
      <c r="A52" s="97" t="s">
        <v>231</v>
      </c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t="s">
        <v>41</v>
      </c>
      <c r="U52" s="57">
        <f>IF(ISNUMBER(KOHC!F118),KOHC!F118,NA())</f>
        <v>85.372545387407953</v>
      </c>
      <c r="V52" s="57">
        <f>IF(ISNUMBER(LUCK!F118),LUCK!F118,NA())</f>
        <v>100.73184197970664</v>
      </c>
      <c r="W52" s="57">
        <f>IF(ISNUMBER(DGKC!F118),DGKC!F118,NA())</f>
        <v>149.87908057411946</v>
      </c>
      <c r="X52" s="57">
        <f>IF(ISNUMBER(MLCF!F118),MLCF!F118,NA())</f>
        <v>122.0064954583065</v>
      </c>
      <c r="Y52" s="57">
        <f>IF(ISNUMBER(FCCL!F118),FCCL!F118,NA())</f>
        <v>117.81056267061489</v>
      </c>
      <c r="Z52" s="57">
        <f>'Industry Averages'!F61</f>
        <v>115.16010521403109</v>
      </c>
    </row>
    <row r="53" spans="1:26" ht="19.95" customHeight="1" x14ac:dyDescent="0.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t="s">
        <v>42</v>
      </c>
      <c r="U53" s="57">
        <f>IF(ISNUMBER(KOHC!G118),KOHC!G118,NA())</f>
        <v>101.50909357454404</v>
      </c>
      <c r="V53" s="57">
        <f>IF(ISNUMBER(LUCK!G118),LUCK!G118,NA())</f>
        <v>103.10239469568691</v>
      </c>
      <c r="W53" s="57">
        <f>IF(ISNUMBER(DGKC!G118),DGKC!G118,NA())</f>
        <v>141.29755545575051</v>
      </c>
      <c r="X53" s="57">
        <f>IF(ISNUMBER(MLCF!G118),MLCF!G118,NA())</f>
        <v>117.69043264844159</v>
      </c>
      <c r="Y53" s="57">
        <f>IF(ISNUMBER(FCCL!G118),FCCL!G118,NA())</f>
        <v>106.51412548353994</v>
      </c>
      <c r="Z53" s="57">
        <f>'Industry Averages'!G61</f>
        <v>114.0227203715926</v>
      </c>
    </row>
    <row r="54" spans="1:26" ht="19.95" customHeight="1" x14ac:dyDescent="0.3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t="s">
        <v>43</v>
      </c>
      <c r="U54" s="57">
        <f>IF(ISNUMBER(KOHC!H118),KOHC!H118,NA())</f>
        <v>120.66591878345184</v>
      </c>
      <c r="V54" s="57">
        <f>IF(ISNUMBER(LUCK!H118),LUCK!H118,NA())</f>
        <v>106.53528435458882</v>
      </c>
      <c r="W54" s="57">
        <f>IF(ISNUMBER(DGKC!H118),DGKC!H118,NA())</f>
        <v>139.29464124392746</v>
      </c>
      <c r="X54" s="57">
        <f>IF(ISNUMBER(MLCF!H118),MLCF!H118,NA())</f>
        <v>130.98525045452405</v>
      </c>
      <c r="Y54" s="57">
        <f>IF(ISNUMBER(FCCL!H118),FCCL!H118,NA())</f>
        <v>115.47406099903009</v>
      </c>
      <c r="Z54" s="57">
        <f>'Industry Averages'!H61</f>
        <v>122.59103116710443</v>
      </c>
    </row>
    <row r="55" spans="1:26" ht="19.95" customHeight="1" x14ac:dyDescent="0.3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</row>
    <row r="56" spans="1:26" ht="19.95" customHeight="1" x14ac:dyDescent="0.3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</row>
    <row r="57" spans="1:26" ht="19.95" customHeight="1" x14ac:dyDescent="0.3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t="s">
        <v>227</v>
      </c>
      <c r="U57" t="s">
        <v>9</v>
      </c>
      <c r="V57" t="s">
        <v>13</v>
      </c>
      <c r="W57" t="s">
        <v>17</v>
      </c>
      <c r="X57" t="s">
        <v>21</v>
      </c>
      <c r="Y57" t="s">
        <v>25</v>
      </c>
      <c r="Z57" t="s">
        <v>228</v>
      </c>
    </row>
    <row r="58" spans="1:26" ht="19.95" customHeight="1" x14ac:dyDescent="0.3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t="s">
        <v>39</v>
      </c>
      <c r="U58" s="57">
        <f>IF(ISNUMBER(KOHC!D119),KOHC!D119,NA())</f>
        <v>11.211269503464973</v>
      </c>
      <c r="V58" s="57">
        <f>IF(ISNUMBER(LUCK!D119),LUCK!D119,NA())</f>
        <v>17.782498333156049</v>
      </c>
      <c r="W58" s="57">
        <f>IF(ISNUMBER(DGKC!D119),DGKC!D119,NA())</f>
        <v>16.031081230273596</v>
      </c>
      <c r="X58" s="57">
        <f>IF(ISNUMBER(MLCF!D119),MLCF!D119,NA())</f>
        <v>24.299408826550263</v>
      </c>
      <c r="Y58" s="57">
        <f>IF(ISNUMBER(FCCL!D119),FCCL!D119,NA())</f>
        <v>18.799738044359827</v>
      </c>
      <c r="Z58" s="57">
        <f>'Industry Averages'!D69</f>
        <v>17.624799187560942</v>
      </c>
    </row>
    <row r="59" spans="1:26" ht="19.95" customHeight="1" x14ac:dyDescent="0.3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t="s">
        <v>40</v>
      </c>
      <c r="U59" s="57">
        <f>IF(ISNUMBER(KOHC!E119),KOHC!E119,NA())</f>
        <v>10.544725482358297</v>
      </c>
      <c r="V59" s="57">
        <f>IF(ISNUMBER(LUCK!E119),LUCK!E119,NA())</f>
        <v>14.027318333985361</v>
      </c>
      <c r="W59" s="57">
        <f>IF(ISNUMBER(DGKC!E119),DGKC!E119,NA())</f>
        <v>9.8856192169704489</v>
      </c>
      <c r="X59" s="57">
        <f>IF(ISNUMBER(MLCF!E119),MLCF!E119,NA())</f>
        <v>14.089756717395696</v>
      </c>
      <c r="Y59" s="57">
        <f>IF(ISNUMBER(FCCL!E119),FCCL!E119,NA())</f>
        <v>12.994834386179642</v>
      </c>
      <c r="Z59" s="57">
        <f>'Industry Averages'!E69</f>
        <v>12.308450827377888</v>
      </c>
    </row>
    <row r="60" spans="1:26" ht="19.95" customHeight="1" x14ac:dyDescent="0.3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t="s">
        <v>41</v>
      </c>
      <c r="U60" s="57">
        <f>IF(ISNUMBER(KOHC!F119),KOHC!F119,NA())</f>
        <v>9.9479554378487851</v>
      </c>
      <c r="V60" s="57">
        <f>IF(ISNUMBER(LUCK!F119),LUCK!F119,NA())</f>
        <v>16.401585315624828</v>
      </c>
      <c r="W60" s="57">
        <f>IF(ISNUMBER(DGKC!F119),DGKC!F119,NA())</f>
        <v>7.4739774843341396</v>
      </c>
      <c r="X60" s="57">
        <f>IF(ISNUMBER(MLCF!F119),MLCF!F119,NA())</f>
        <v>13.72146433573479</v>
      </c>
      <c r="Y60" s="57">
        <f>IF(ISNUMBER(FCCL!F119),FCCL!F119,NA())</f>
        <v>16.046879229606091</v>
      </c>
      <c r="Z60" s="57">
        <f>'Industry Averages'!F69</f>
        <v>12.718372360629726</v>
      </c>
    </row>
    <row r="61" spans="1:26" ht="19.95" customHeight="1" x14ac:dyDescent="0.3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t="s">
        <v>42</v>
      </c>
      <c r="U61" s="57">
        <f>IF(ISNUMBER(KOHC!G119),KOHC!G119,NA())</f>
        <v>15.657663166755571</v>
      </c>
      <c r="V61" s="57">
        <f>IF(ISNUMBER(LUCK!G119),LUCK!G119,NA())</f>
        <v>19.024866667611246</v>
      </c>
      <c r="W61" s="57">
        <f>IF(ISNUMBER(DGKC!G119),DGKC!G119,NA())</f>
        <v>5.6629790909386459</v>
      </c>
      <c r="X61" s="57">
        <f>IF(ISNUMBER(MLCF!G119),MLCF!G119,NA())</f>
        <v>18.646831335440545</v>
      </c>
      <c r="Y61" s="57">
        <f>IF(ISNUMBER(FCCL!G119),FCCL!G119,NA())</f>
        <v>20.792904753499183</v>
      </c>
      <c r="Z61" s="57">
        <f>'Industry Averages'!G69</f>
        <v>15.957049002849038</v>
      </c>
    </row>
    <row r="62" spans="1:26" ht="19.95" customHeight="1" x14ac:dyDescent="0.3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t="s">
        <v>43</v>
      </c>
      <c r="U62" s="57">
        <f>IF(ISNUMBER(KOHC!H119),KOHC!H119,NA())</f>
        <v>18.487732733839078</v>
      </c>
      <c r="V62" s="57">
        <f>IF(ISNUMBER(LUCK!H119),LUCK!H119,NA())</f>
        <v>19.473145621508603</v>
      </c>
      <c r="W62" s="57">
        <f>IF(ISNUMBER(DGKC!H119),DGKC!H119,NA())</f>
        <v>5.9624857341490083</v>
      </c>
      <c r="X62" s="57">
        <f>IF(ISNUMBER(MLCF!H119),MLCF!H119,NA())</f>
        <v>23.291952500495849</v>
      </c>
      <c r="Y62" s="57">
        <f>IF(ISNUMBER(FCCL!H119),FCCL!H119,NA())</f>
        <v>25.555492212987932</v>
      </c>
      <c r="Z62" s="57">
        <f>'Industry Averages'!H69</f>
        <v>18.554161760596095</v>
      </c>
    </row>
    <row r="63" spans="1:26" ht="19.95" customHeight="1" x14ac:dyDescent="0.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</row>
    <row r="64" spans="1:26" ht="19.95" customHeight="1" x14ac:dyDescent="0.3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</row>
    <row r="65" spans="1:26" ht="19.95" customHeight="1" x14ac:dyDescent="0.3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t="s">
        <v>227</v>
      </c>
      <c r="U65" t="s">
        <v>9</v>
      </c>
      <c r="V65" t="s">
        <v>13</v>
      </c>
      <c r="W65" t="s">
        <v>17</v>
      </c>
      <c r="X65" t="s">
        <v>21</v>
      </c>
      <c r="Y65" t="s">
        <v>25</v>
      </c>
      <c r="Z65" t="s">
        <v>228</v>
      </c>
    </row>
    <row r="66" spans="1:26" ht="19.95" customHeight="1" x14ac:dyDescent="0.3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t="s">
        <v>39</v>
      </c>
      <c r="U66" s="57">
        <f>IF(ISNUMBER(KOHC!D120),KOHC!D120,NA())</f>
        <v>1.0921496738296084</v>
      </c>
      <c r="V66" s="57">
        <f>IF(ISNUMBER(LUCK!D120),LUCK!D120,NA())</f>
        <v>1.0088292750112451</v>
      </c>
      <c r="W66" s="57">
        <f>IF(ISNUMBER(DGKC!D120),DGKC!D120,NA())</f>
        <v>0.53055318948132613</v>
      </c>
      <c r="X66" s="57">
        <f>IF(ISNUMBER(MLCF!D120),MLCF!D120,NA())</f>
        <v>0.8037513915639477</v>
      </c>
      <c r="Y66" s="57">
        <f>IF(ISNUMBER(FCCL!D120),FCCL!D120,NA())</f>
        <v>1.1329960510619466</v>
      </c>
      <c r="Z66" s="57">
        <f>'Industry Averages'!D77</f>
        <v>0.91365591618961484</v>
      </c>
    </row>
    <row r="67" spans="1:26" ht="19.95" customHeight="1" x14ac:dyDescent="0.3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t="s">
        <v>40</v>
      </c>
      <c r="U67" s="57">
        <f>IF(ISNUMBER(KOHC!E120),KOHC!E120,NA())</f>
        <v>1.5412541563844033</v>
      </c>
      <c r="V67" s="57">
        <f>IF(ISNUMBER(LUCK!E120),LUCK!E120,NA())</f>
        <v>0.98532795146598973</v>
      </c>
      <c r="W67" s="57">
        <f>IF(ISNUMBER(DGKC!E120),DGKC!E120,NA())</f>
        <v>0.70098015962057802</v>
      </c>
      <c r="X67" s="57">
        <f>IF(ISNUMBER(MLCF!E120),MLCF!E120,NA())</f>
        <v>0.85444675022417971</v>
      </c>
      <c r="Y67" s="57">
        <f>IF(ISNUMBER(FCCL!E120),FCCL!E120,NA())</f>
        <v>0.73176601318978285</v>
      </c>
      <c r="Z67" s="57">
        <f>'Industry Averages'!E77</f>
        <v>0.96275500617698673</v>
      </c>
    </row>
    <row r="68" spans="1:26" ht="19.95" customHeight="1" x14ac:dyDescent="0.3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t="s">
        <v>41</v>
      </c>
      <c r="U68" s="57">
        <f>IF(ISNUMBER(KOHC!F120),KOHC!F120,NA())</f>
        <v>1.7509053329621809</v>
      </c>
      <c r="V68" s="57">
        <f>IF(ISNUMBER(LUCK!F120),LUCK!F120,NA())</f>
        <v>1.0022154394695202</v>
      </c>
      <c r="W68" s="57">
        <f>IF(ISNUMBER(DGKC!F120),DGKC!F120,NA())</f>
        <v>0.79011863849334296</v>
      </c>
      <c r="X68" s="57">
        <f>IF(ISNUMBER(MLCF!F120),MLCF!F120,NA())</f>
        <v>0.99551999428815263</v>
      </c>
      <c r="Y68" s="57">
        <f>IF(ISNUMBER(FCCL!F120),FCCL!F120,NA())</f>
        <v>0.65184739301529204</v>
      </c>
      <c r="Z68" s="57">
        <f>'Industry Averages'!F77</f>
        <v>1.038121359645698</v>
      </c>
    </row>
    <row r="69" spans="1:26" ht="19.95" customHeight="1" x14ac:dyDescent="0.3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t="s">
        <v>42</v>
      </c>
      <c r="U69" s="57">
        <f>IF(ISNUMBER(KOHC!G120),KOHC!G120,NA())</f>
        <v>1.7442972870565909</v>
      </c>
      <c r="V69" s="57">
        <f>IF(ISNUMBER(LUCK!G120),LUCK!G120,NA())</f>
        <v>1.0752008785316265</v>
      </c>
      <c r="W69" s="57">
        <f>IF(ISNUMBER(DGKC!G120),DGKC!G120,NA())</f>
        <v>0.82674606407416695</v>
      </c>
      <c r="X69" s="57">
        <f>IF(ISNUMBER(MLCF!G120),MLCF!G120,NA())</f>
        <v>1.0069209161495893</v>
      </c>
      <c r="Y69" s="57">
        <f>IF(ISNUMBER(FCCL!G120),FCCL!G120,NA())</f>
        <v>0.72196082222901214</v>
      </c>
      <c r="Z69" s="57">
        <f>'Industry Averages'!G77</f>
        <v>1.0750251936081971</v>
      </c>
    </row>
    <row r="70" spans="1:26" ht="19.95" customHeight="1" x14ac:dyDescent="0.3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t="s">
        <v>43</v>
      </c>
      <c r="U70" s="57">
        <f>IF(ISNUMBER(KOHC!H120),KOHC!H120,NA())</f>
        <v>1.606837829232711</v>
      </c>
      <c r="V70" s="57">
        <f>IF(ISNUMBER(LUCK!H120),LUCK!H120,NA())</f>
        <v>1.1592237370838812</v>
      </c>
      <c r="W70" s="57">
        <f>IF(ISNUMBER(DGKC!H120),DGKC!H120,NA())</f>
        <v>0.93062078370763102</v>
      </c>
      <c r="X70" s="57">
        <f>IF(ISNUMBER(MLCF!H120),MLCF!H120,NA())</f>
        <v>1.0971769908727151</v>
      </c>
      <c r="Y70" s="57">
        <f>IF(ISNUMBER(FCCL!H120),FCCL!H120,NA())</f>
        <v>0.81180021491144161</v>
      </c>
      <c r="Z70" s="57">
        <f>'Industry Averages'!H77</f>
        <v>1.121131911161676</v>
      </c>
    </row>
    <row r="71" spans="1:26" ht="19.95" customHeight="1" x14ac:dyDescent="0.3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</row>
    <row r="72" spans="1:26" ht="19.95" customHeight="1" x14ac:dyDescent="0.3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</row>
    <row r="73" spans="1:26" ht="19.95" customHeight="1" x14ac:dyDescent="0.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t="s">
        <v>227</v>
      </c>
      <c r="U73" t="s">
        <v>9</v>
      </c>
      <c r="V73" t="s">
        <v>13</v>
      </c>
      <c r="W73" t="s">
        <v>17</v>
      </c>
      <c r="X73" t="s">
        <v>21</v>
      </c>
      <c r="Y73" t="s">
        <v>25</v>
      </c>
      <c r="Z73" t="s">
        <v>228</v>
      </c>
    </row>
    <row r="74" spans="1:26" ht="19.95" customHeight="1" x14ac:dyDescent="0.3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t="s">
        <v>39</v>
      </c>
      <c r="U74" s="57">
        <f>IF(ISNUMBER(KOHC!D121),KOHC!D121,NA())</f>
        <v>0.66665082622797289</v>
      </c>
      <c r="V74" s="57">
        <f>IF(ISNUMBER(LUCK!D121),LUCK!D121,NA())</f>
        <v>0.40251701143421476</v>
      </c>
      <c r="W74" s="57">
        <f>IF(ISNUMBER(DGKC!D121),DGKC!D121,NA())</f>
        <v>0.32711693039218176</v>
      </c>
      <c r="X74" s="57">
        <f>IF(ISNUMBER(MLCF!D121),MLCF!D121,NA())</f>
        <v>0.53651401514370378</v>
      </c>
      <c r="Y74" s="57">
        <f>IF(ISNUMBER(FCCL!D121),FCCL!D121,NA())</f>
        <v>0.71276636764269574</v>
      </c>
      <c r="Z74" s="57">
        <f>'Industry Averages'!D85</f>
        <v>0.5291130301681537</v>
      </c>
    </row>
    <row r="75" spans="1:26" ht="19.95" customHeight="1" x14ac:dyDescent="0.3">
      <c r="A75" s="97" t="s">
        <v>232</v>
      </c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t="s">
        <v>40</v>
      </c>
      <c r="U75" s="57">
        <f>IF(ISNUMBER(KOHC!E121),KOHC!E121,NA())</f>
        <v>0.7583954484233022</v>
      </c>
      <c r="V75" s="57">
        <f>IF(ISNUMBER(LUCK!E121),LUCK!E121,NA())</f>
        <v>0.4384325626713429</v>
      </c>
      <c r="W75" s="57">
        <f>IF(ISNUMBER(DGKC!E121),DGKC!E121,NA())</f>
        <v>0.42503666813991675</v>
      </c>
      <c r="X75" s="57">
        <f>IF(ISNUMBER(MLCF!E121),MLCF!E121,NA())</f>
        <v>0.59016101960962719</v>
      </c>
      <c r="Y75" s="57">
        <f>IF(ISNUMBER(FCCL!E121),FCCL!E121,NA())</f>
        <v>0.4770803467502796</v>
      </c>
      <c r="Z75" s="57">
        <f>'Industry Averages'!E85</f>
        <v>0.53782120911889375</v>
      </c>
    </row>
    <row r="76" spans="1:26" ht="19.95" customHeight="1" x14ac:dyDescent="0.3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t="s">
        <v>41</v>
      </c>
      <c r="U76" s="57">
        <f>IF(ISNUMBER(KOHC!F121),KOHC!F121,NA())</f>
        <v>0.78581821088962756</v>
      </c>
      <c r="V76" s="57">
        <f>IF(ISNUMBER(LUCK!F121),LUCK!F121,NA())</f>
        <v>0.44974923322711935</v>
      </c>
      <c r="W76" s="57">
        <f>IF(ISNUMBER(DGKC!F121),DGKC!F121,NA())</f>
        <v>0.4823862468647665</v>
      </c>
      <c r="X76" s="57">
        <f>IF(ISNUMBER(MLCF!F121),MLCF!F121,NA())</f>
        <v>0.69197238797008198</v>
      </c>
      <c r="Y76" s="57">
        <f>IF(ISNUMBER(FCCL!F121),FCCL!F121,NA())</f>
        <v>0.49031202866080159</v>
      </c>
      <c r="Z76" s="57">
        <f>'Industry Averages'!F85</f>
        <v>0.58004762152247946</v>
      </c>
    </row>
    <row r="77" spans="1:26" ht="19.95" customHeight="1" x14ac:dyDescent="0.3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t="s">
        <v>42</v>
      </c>
      <c r="U77" s="57">
        <f>IF(ISNUMBER(KOHC!G121),KOHC!G121,NA())</f>
        <v>0.65679136157504614</v>
      </c>
      <c r="V77" s="57">
        <f>IF(ISNUMBER(LUCK!G121),LUCK!G121,NA())</f>
        <v>0.49280353497458251</v>
      </c>
      <c r="W77" s="57">
        <f>IF(ISNUMBER(DGKC!G121),DGKC!G121,NA())</f>
        <v>0.47720727814222835</v>
      </c>
      <c r="X77" s="57">
        <f>IF(ISNUMBER(MLCF!G121),MLCF!G121,NA())</f>
        <v>0.66876558045462819</v>
      </c>
      <c r="Y77" s="57">
        <f>IF(ISNUMBER(FCCL!G121),FCCL!G121,NA())</f>
        <v>0.54204979765850125</v>
      </c>
      <c r="Z77" s="57">
        <f>'Industry Averages'!G85</f>
        <v>0.56752351056099726</v>
      </c>
    </row>
    <row r="78" spans="1:26" ht="19.95" customHeight="1" x14ac:dyDescent="0.3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t="s">
        <v>43</v>
      </c>
      <c r="U78" s="57">
        <f>IF(ISNUMBER(KOHC!H121),KOHC!H121,NA())</f>
        <v>0.56195953485342598</v>
      </c>
      <c r="V78" s="57">
        <f>IF(ISNUMBER(LUCK!H121),LUCK!H121,NA())</f>
        <v>0.46677662061834158</v>
      </c>
      <c r="W78" s="57">
        <f>IF(ISNUMBER(DGKC!H121),DGKC!H121,NA())</f>
        <v>0.49267235836459933</v>
      </c>
      <c r="X78" s="57">
        <f>IF(ISNUMBER(MLCF!H121),MLCF!H121,NA())</f>
        <v>0.57883136984449801</v>
      </c>
      <c r="Y78" s="57">
        <f>IF(ISNUMBER(FCCL!H121),FCCL!H121,NA())</f>
        <v>0.55305556508680442</v>
      </c>
      <c r="Z78" s="57">
        <f>'Industry Averages'!H85</f>
        <v>0.53065908975353382</v>
      </c>
    </row>
    <row r="79" spans="1:26" ht="19.95" customHeight="1" x14ac:dyDescent="0.3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</row>
    <row r="80" spans="1:26" ht="19.95" customHeight="1" x14ac:dyDescent="0.3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</row>
    <row r="81" spans="1:26" ht="19.95" customHeight="1" x14ac:dyDescent="0.3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t="s">
        <v>227</v>
      </c>
      <c r="U81" t="s">
        <v>9</v>
      </c>
      <c r="V81" t="s">
        <v>13</v>
      </c>
      <c r="W81" t="s">
        <v>17</v>
      </c>
      <c r="X81" t="s">
        <v>21</v>
      </c>
      <c r="Y81" t="s">
        <v>25</v>
      </c>
      <c r="Z81" t="s">
        <v>228</v>
      </c>
    </row>
    <row r="82" spans="1:26" ht="19.95" customHeight="1" x14ac:dyDescent="0.3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t="s">
        <v>39</v>
      </c>
      <c r="U82" s="59">
        <f>IF(ISNUMBER(KOHC!D123),KOHC!D123,NA())</f>
        <v>0.38416638255503399</v>
      </c>
      <c r="V82" s="59">
        <f>IF(ISNUMBER(LUCK!D123),LUCK!D123,NA())</f>
        <v>0.27606535150381284</v>
      </c>
      <c r="W82" s="59">
        <f>IF(ISNUMBER(DGKC!D123),DGKC!D123,NA())</f>
        <v>0.46714504184305206</v>
      </c>
      <c r="X82" s="59">
        <f>IF(ISNUMBER(MLCF!D123),MLCF!D123,NA())</f>
        <v>0.43322840867921292</v>
      </c>
      <c r="Y82" s="59">
        <f>IF(ISNUMBER(FCCL!D123),FCCL!D123,NA())</f>
        <v>0.31647148170702821</v>
      </c>
      <c r="Z82" s="59">
        <f>'Industry Averages'!D94</f>
        <v>0.37541533325762799</v>
      </c>
    </row>
    <row r="83" spans="1:26" ht="19.95" customHeight="1" x14ac:dyDescent="0.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t="s">
        <v>40</v>
      </c>
      <c r="U83" s="59">
        <f>IF(ISNUMBER(KOHC!E123),KOHC!E123,NA())</f>
        <v>0.37149249167170456</v>
      </c>
      <c r="V83" s="59">
        <f>IF(ISNUMBER(LUCK!E123),LUCK!E123,NA())</f>
        <v>0.30504607293955061</v>
      </c>
      <c r="W83" s="59">
        <f>IF(ISNUMBER(DGKC!E123),DGKC!E123,NA())</f>
        <v>0.48801207258126744</v>
      </c>
      <c r="X83" s="59">
        <f>IF(ISNUMBER(MLCF!E123),MLCF!E123,NA())</f>
        <v>0.50666660909348882</v>
      </c>
      <c r="Y83" s="59">
        <f>IF(ISNUMBER(FCCL!E123),FCCL!E123,NA())</f>
        <v>0.49219848282922141</v>
      </c>
      <c r="Z83" s="59">
        <f>'Industry Averages'!E94</f>
        <v>0.43268314582304657</v>
      </c>
    </row>
    <row r="84" spans="1:26" ht="19.95" customHeight="1" x14ac:dyDescent="0.3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t="s">
        <v>41</v>
      </c>
      <c r="U84" s="59">
        <f>IF(ISNUMBER(KOHC!F123),KOHC!F123,NA())</f>
        <v>0.34161124098483342</v>
      </c>
      <c r="V84" s="59">
        <f>IF(ISNUMBER(LUCK!F123),LUCK!F123,NA())</f>
        <v>0.35532697822447284</v>
      </c>
      <c r="W84" s="59">
        <f>IF(ISNUMBER(DGKC!F123),DGKC!F123,NA())</f>
        <v>0.52348952241922664</v>
      </c>
      <c r="X84" s="59">
        <f>IF(ISNUMBER(MLCF!F123),MLCF!F123,NA())</f>
        <v>0.49933942690835115</v>
      </c>
      <c r="Y84" s="59">
        <f>IF(ISNUMBER(FCCL!F123),FCCL!F123,NA())</f>
        <v>0.53053055814614203</v>
      </c>
      <c r="Z84" s="59">
        <f>'Industry Averages'!F94</f>
        <v>0.45005954533660519</v>
      </c>
    </row>
    <row r="85" spans="1:26" ht="19.95" customHeight="1" x14ac:dyDescent="0.3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t="s">
        <v>42</v>
      </c>
      <c r="U85" s="59">
        <f>IF(ISNUMBER(KOHC!G123),KOHC!G123,NA())</f>
        <v>0.30169945185029512</v>
      </c>
      <c r="V85" s="59">
        <f>IF(ISNUMBER(LUCK!G123),LUCK!G123,NA())</f>
        <v>0.36859036410390322</v>
      </c>
      <c r="W85" s="59">
        <f>IF(ISNUMBER(DGKC!G123),DGKC!G123,NA())</f>
        <v>0.45191223946360831</v>
      </c>
      <c r="X85" s="59">
        <f>IF(ISNUMBER(MLCF!G123),MLCF!G123,NA())</f>
        <v>0.4704820926001394</v>
      </c>
      <c r="Y85" s="59">
        <f>IF(ISNUMBER(FCCL!G123),FCCL!G123,NA())</f>
        <v>0.5028400637434024</v>
      </c>
      <c r="Z85" s="59">
        <f>'Industry Averages'!G94</f>
        <v>0.41910484235226975</v>
      </c>
    </row>
    <row r="86" spans="1:26" ht="19.95" customHeight="1" x14ac:dyDescent="0.3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t="s">
        <v>43</v>
      </c>
      <c r="U86" s="59">
        <f>IF(ISNUMBER(KOHC!H123),KOHC!H123,NA())</f>
        <v>0.28204672647028445</v>
      </c>
      <c r="V86" s="59">
        <f>IF(ISNUMBER(LUCK!H123),LUCK!H123,NA())</f>
        <v>0.34053721034041001</v>
      </c>
      <c r="W86" s="59">
        <f>IF(ISNUMBER(DGKC!H123),DGKC!H123,NA())</f>
        <v>0.35125595827177031</v>
      </c>
      <c r="X86" s="59">
        <f>IF(ISNUMBER(MLCF!H123),MLCF!H123,NA())</f>
        <v>0.40001822406143511</v>
      </c>
      <c r="Y86" s="59">
        <f>IF(ISNUMBER(FCCL!H123),FCCL!H123,NA())</f>
        <v>0.4760663500346739</v>
      </c>
      <c r="Z86" s="59">
        <f>'Industry Averages'!H94</f>
        <v>0.36998489383571476</v>
      </c>
    </row>
    <row r="87" spans="1:26" ht="19.95" customHeight="1" x14ac:dyDescent="0.3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</row>
    <row r="88" spans="1:26" ht="19.95" customHeight="1" x14ac:dyDescent="0.3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</row>
    <row r="89" spans="1:26" ht="19.95" customHeight="1" x14ac:dyDescent="0.3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t="s">
        <v>227</v>
      </c>
      <c r="U89" t="s">
        <v>9</v>
      </c>
      <c r="V89" t="s">
        <v>13</v>
      </c>
      <c r="W89" t="s">
        <v>17</v>
      </c>
      <c r="X89" t="s">
        <v>21</v>
      </c>
      <c r="Y89" t="s">
        <v>25</v>
      </c>
      <c r="Z89" t="s">
        <v>228</v>
      </c>
    </row>
    <row r="90" spans="1:26" ht="19.95" customHeight="1" x14ac:dyDescent="0.3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t="s">
        <v>39</v>
      </c>
      <c r="U90" s="57">
        <f>IF(ISNUMBER(KOHC!D124),KOHC!D124,NA())</f>
        <v>0.2722692388457173</v>
      </c>
      <c r="V90" s="57">
        <f>IF(ISNUMBER(LUCK!D124),LUCK!D124,NA())</f>
        <v>9.267604319417716E-2</v>
      </c>
      <c r="W90" s="57">
        <f>IF(ISNUMBER(DGKC!D124),DGKC!D124,NA())</f>
        <v>0.59600006385595838</v>
      </c>
      <c r="X90" s="57">
        <f>IF(ISNUMBER(MLCF!D124),MLCF!D124,NA())</f>
        <v>0.43245543768601064</v>
      </c>
      <c r="Y90" s="57">
        <f>IF(ISNUMBER(FCCL!D124),FCCL!D124,NA())</f>
        <v>0.11033361830900601</v>
      </c>
      <c r="Z90" s="57">
        <f>'Industry Averages'!D102</f>
        <v>0.30074688037817388</v>
      </c>
    </row>
    <row r="91" spans="1:26" ht="19.95" customHeight="1" x14ac:dyDescent="0.3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t="s">
        <v>40</v>
      </c>
      <c r="U91" s="57">
        <f>IF(ISNUMBER(KOHC!E124),KOHC!E124,NA())</f>
        <v>0.15603310983895571</v>
      </c>
      <c r="V91" s="57">
        <f>IF(ISNUMBER(LUCK!E124),LUCK!E124,NA())</f>
        <v>0.12132883685589589</v>
      </c>
      <c r="W91" s="57">
        <f>IF(ISNUMBER(DGKC!E124),DGKC!E124,NA())</f>
        <v>0.66471914526512743</v>
      </c>
      <c r="X91" s="57">
        <f>IF(ISNUMBER(MLCF!E124),MLCF!E124,NA())</f>
        <v>0.61573768495117542</v>
      </c>
      <c r="Y91" s="57">
        <f>IF(ISNUMBER(FCCL!E124),FCCL!E124,NA())</f>
        <v>0.44889851845785944</v>
      </c>
      <c r="Z91" s="57">
        <f>'Industry Averages'!E102</f>
        <v>0.40134345907380276</v>
      </c>
    </row>
    <row r="92" spans="1:26" ht="19.95" customHeight="1" x14ac:dyDescent="0.3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t="s">
        <v>41</v>
      </c>
      <c r="U92" s="57">
        <f>IF(ISNUMBER(KOHC!F124),KOHC!F124,NA())</f>
        <v>9.7619406864766459E-2</v>
      </c>
      <c r="V92" s="57">
        <f>IF(ISNUMBER(LUCK!F124),LUCK!F124,NA())</f>
        <v>0.15318126074071459</v>
      </c>
      <c r="W92" s="57">
        <f>IF(ISNUMBER(DGKC!F124),DGKC!F124,NA())</f>
        <v>0.66251390334697124</v>
      </c>
      <c r="X92" s="57">
        <f>IF(ISNUMBER(MLCF!F124),MLCF!F124,NA())</f>
        <v>0.44250779404874935</v>
      </c>
      <c r="Y92" s="57">
        <f>IF(ISNUMBER(FCCL!F124),FCCL!F124,NA())</f>
        <v>0.62375966688339879</v>
      </c>
      <c r="Z92" s="57">
        <f>'Industry Averages'!F102</f>
        <v>0.3959164063769201</v>
      </c>
    </row>
    <row r="93" spans="1:26" ht="19.95" customHeight="1" x14ac:dyDescent="0.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t="s">
        <v>42</v>
      </c>
      <c r="U93" s="57">
        <f>IF(ISNUMBER(KOHC!G124),KOHC!G124,NA())</f>
        <v>5.2398238191517746E-2</v>
      </c>
      <c r="V93" s="57">
        <f>IF(ISNUMBER(LUCK!G124),LUCK!G124,NA())</f>
        <v>0.13768684470695258</v>
      </c>
      <c r="W93" s="57">
        <f>IF(ISNUMBER(DGKC!G124),DGKC!G124,NA())</f>
        <v>0.45251048227827784</v>
      </c>
      <c r="X93" s="57">
        <f>IF(ISNUMBER(MLCF!G124),MLCF!G124,NA())</f>
        <v>0.36846998820204724</v>
      </c>
      <c r="Y93" s="57">
        <f>IF(ISNUMBER(FCCL!G124),FCCL!G124,NA())</f>
        <v>0.49850573278032018</v>
      </c>
      <c r="Z93" s="57">
        <f>'Industry Averages'!G102</f>
        <v>0.30191425723182308</v>
      </c>
    </row>
    <row r="94" spans="1:26" ht="19.95" customHeight="1" x14ac:dyDescent="0.3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t="s">
        <v>43</v>
      </c>
      <c r="U94" s="57">
        <f>IF(ISNUMBER(KOHC!H124),KOHC!H124,NA())</f>
        <v>4.6764934517749976E-2</v>
      </c>
      <c r="V94" s="57">
        <f>IF(ISNUMBER(LUCK!H124),LUCK!H124,NA())</f>
        <v>9.9684879347667912E-2</v>
      </c>
      <c r="W94" s="57">
        <f>IF(ISNUMBER(DGKC!H124),DGKC!H124,NA())</f>
        <v>0.23141104487858016</v>
      </c>
      <c r="X94" s="57">
        <f>IF(ISNUMBER(MLCF!H124),MLCF!H124,NA())</f>
        <v>0.20402666092297522</v>
      </c>
      <c r="Y94" s="57">
        <f>IF(ISNUMBER(FCCL!H124),FCCL!H124,NA())</f>
        <v>0.47508509566997464</v>
      </c>
      <c r="Z94" s="57">
        <f>'Industry Averages'!H102</f>
        <v>0.21139452306738957</v>
      </c>
    </row>
    <row r="95" spans="1:26" ht="19.95" customHeight="1" x14ac:dyDescent="0.3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</row>
    <row r="96" spans="1:26" ht="19.95" customHeight="1" x14ac:dyDescent="0.3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</row>
    <row r="97" spans="1:26" ht="19.95" customHeight="1" x14ac:dyDescent="0.3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t="s">
        <v>227</v>
      </c>
      <c r="U97" t="s">
        <v>9</v>
      </c>
      <c r="V97" t="s">
        <v>13</v>
      </c>
      <c r="W97" t="s">
        <v>17</v>
      </c>
      <c r="X97" t="s">
        <v>21</v>
      </c>
      <c r="Y97" t="s">
        <v>25</v>
      </c>
      <c r="Z97" t="s">
        <v>228</v>
      </c>
    </row>
    <row r="98" spans="1:26" ht="19.95" customHeight="1" x14ac:dyDescent="0.3">
      <c r="A98" s="97" t="s">
        <v>233</v>
      </c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t="s">
        <v>39</v>
      </c>
      <c r="U98" s="59">
        <f>IF(ISNUMBER(KOHC!D125),KOHC!D125,NA())</f>
        <v>0.21400284667161887</v>
      </c>
      <c r="V98" s="59">
        <f>IF(ISNUMBER(LUCK!D125),LUCK!D125,NA())</f>
        <v>8.4815663134025443E-2</v>
      </c>
      <c r="W98" s="59">
        <f>IF(ISNUMBER(DGKC!D125),DGKC!D125,NA())</f>
        <v>0.37343360902882045</v>
      </c>
      <c r="X98" s="59">
        <f>IF(ISNUMBER(MLCF!D125),MLCF!D125,NA())</f>
        <v>0.30189800416032447</v>
      </c>
      <c r="Y98" s="59">
        <f>IF(ISNUMBER(FCCL!D125),FCCL!D125,NA())</f>
        <v>9.9369789844821352E-2</v>
      </c>
      <c r="Z98" s="59">
        <f>'Industry Averages'!D110</f>
        <v>0.21470398256792214</v>
      </c>
    </row>
    <row r="99" spans="1:26" ht="19.95" customHeight="1" x14ac:dyDescent="0.3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t="s">
        <v>40</v>
      </c>
      <c r="U99" s="59">
        <f>IF(ISNUMBER(KOHC!E125),KOHC!E125,NA())</f>
        <v>0.13497287275854264</v>
      </c>
      <c r="V99" s="59">
        <f>IF(ISNUMBER(LUCK!E125),LUCK!E125,NA())</f>
        <v>0.10820094237127705</v>
      </c>
      <c r="W99" s="59">
        <f>IF(ISNUMBER(DGKC!E125),DGKC!E125,NA())</f>
        <v>0.39929807208366225</v>
      </c>
      <c r="X99" s="59">
        <f>IF(ISNUMBER(MLCF!E125),MLCF!E125,NA())</f>
        <v>0.381087654689308</v>
      </c>
      <c r="Y99" s="59">
        <f>IF(ISNUMBER(FCCL!E125),FCCL!E125,NA())</f>
        <v>0.30982053797366449</v>
      </c>
      <c r="Z99" s="59">
        <f>'Industry Averages'!E110</f>
        <v>0.26667601597529089</v>
      </c>
    </row>
    <row r="100" spans="1:26" ht="19.95" customHeight="1" x14ac:dyDescent="0.3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t="s">
        <v>41</v>
      </c>
      <c r="U100" s="59">
        <f>IF(ISNUMBER(KOHC!F125),KOHC!F125,NA())</f>
        <v>8.8937391462133447E-2</v>
      </c>
      <c r="V100" s="59">
        <f>IF(ISNUMBER(LUCK!F125),LUCK!F125,NA())</f>
        <v>0.13283363678865434</v>
      </c>
      <c r="W100" s="59">
        <f>IF(ISNUMBER(DGKC!F125),DGKC!F125,NA())</f>
        <v>0.39850127088453147</v>
      </c>
      <c r="X100" s="59">
        <f>IF(ISNUMBER(MLCF!F125),MLCF!F125,NA())</f>
        <v>0.30676284445350793</v>
      </c>
      <c r="Y100" s="59">
        <f>IF(ISNUMBER(FCCL!F125),FCCL!F125,NA())</f>
        <v>0.38414531386940193</v>
      </c>
      <c r="Z100" s="59">
        <f>'Industry Averages'!F110</f>
        <v>0.26223609149164584</v>
      </c>
    </row>
    <row r="101" spans="1:26" ht="19.95" customHeight="1" x14ac:dyDescent="0.3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t="s">
        <v>42</v>
      </c>
      <c r="U101" s="59">
        <f>IF(ISNUMBER(KOHC!G125),KOHC!G125,NA())</f>
        <v>4.9789363275218823E-2</v>
      </c>
      <c r="V101" s="59">
        <f>IF(ISNUMBER(LUCK!G125),LUCK!G125,NA())</f>
        <v>0.12102350075289672</v>
      </c>
      <c r="W101" s="59">
        <f>IF(ISNUMBER(DGKC!G125),DGKC!G125,NA())</f>
        <v>0.31153681009483003</v>
      </c>
      <c r="X101" s="59">
        <f>IF(ISNUMBER(MLCF!G125),MLCF!G125,NA())</f>
        <v>0.2692569010491479</v>
      </c>
      <c r="Y101" s="59">
        <f>IF(ISNUMBER(FCCL!G125),FCCL!G125,NA())</f>
        <v>0.33266855232872222</v>
      </c>
      <c r="Z101" s="59">
        <f>'Industry Averages'!G110</f>
        <v>0.21685502550016317</v>
      </c>
    </row>
    <row r="102" spans="1:26" ht="19.95" customHeight="1" x14ac:dyDescent="0.3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t="s">
        <v>43</v>
      </c>
      <c r="U102" s="59">
        <f>IF(ISNUMBER(KOHC!H125),KOHC!H125,NA())</f>
        <v>4.4675679300715997E-2</v>
      </c>
      <c r="V102" s="59">
        <f>IF(ISNUMBER(LUCK!H125),LUCK!H125,NA())</f>
        <v>9.0648585990198302E-2</v>
      </c>
      <c r="W102" s="59">
        <f>IF(ISNUMBER(DGKC!H125),DGKC!H125,NA())</f>
        <v>0.18792347676351873</v>
      </c>
      <c r="X102" s="59">
        <f>IF(ISNUMBER(MLCF!H125),MLCF!H125,NA())</f>
        <v>0.1694536072536581</v>
      </c>
      <c r="Y102" s="59">
        <f>IF(ISNUMBER(FCCL!H125),FCCL!H125,NA())</f>
        <v>0.3220730092552348</v>
      </c>
      <c r="Z102" s="59">
        <f>'Industry Averages'!H110</f>
        <v>0.16295487171266518</v>
      </c>
    </row>
    <row r="103" spans="1:26" ht="19.95" customHeight="1" x14ac:dyDescent="0.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</row>
    <row r="104" spans="1:26" ht="19.95" customHeight="1" x14ac:dyDescent="0.3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</row>
    <row r="105" spans="1:26" ht="19.95" customHeight="1" x14ac:dyDescent="0.3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t="s">
        <v>227</v>
      </c>
      <c r="U105" t="s">
        <v>9</v>
      </c>
      <c r="V105" t="s">
        <v>13</v>
      </c>
      <c r="W105" t="s">
        <v>17</v>
      </c>
      <c r="X105" t="s">
        <v>21</v>
      </c>
      <c r="Y105" t="s">
        <v>25</v>
      </c>
      <c r="Z105" t="s">
        <v>228</v>
      </c>
    </row>
    <row r="106" spans="1:26" ht="19.95" customHeight="1" x14ac:dyDescent="0.3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t="s">
        <v>39</v>
      </c>
      <c r="U106" s="57">
        <f>IF(ISNUMBER(KOHC!D126),KOHC!D126,NA())</f>
        <v>10.965146742707439</v>
      </c>
      <c r="V106" s="57">
        <f>IF(ISNUMBER(LUCK!D126),LUCK!D126,NA())</f>
        <v>52.042228263318378</v>
      </c>
      <c r="W106" s="57">
        <f>IF(ISNUMBER(DGKC!D126),DGKC!D126,NA())</f>
        <v>2.6532310456742976</v>
      </c>
      <c r="X106" s="57">
        <f>IF(ISNUMBER(MLCF!D126),MLCF!D126,NA())</f>
        <v>6.0367662605249279</v>
      </c>
      <c r="Y106" s="57">
        <f>IF(ISNUMBER(FCCL!D126),FCCL!D126,NA())</f>
        <v>56.450885878061477</v>
      </c>
      <c r="Z106" s="57">
        <f>'Industry Averages'!D118</f>
        <v>25.629651638057304</v>
      </c>
    </row>
    <row r="107" spans="1:26" ht="19.95" customHeight="1" x14ac:dyDescent="0.3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t="s">
        <v>40</v>
      </c>
      <c r="U107" s="57">
        <f>IF(ISNUMBER(KOHC!E126),KOHC!E126,NA())</f>
        <v>18.319735243438064</v>
      </c>
      <c r="V107" s="57">
        <f>IF(ISNUMBER(LUCK!E126),LUCK!E126,NA())</f>
        <v>55.297361076962446</v>
      </c>
      <c r="W107" s="57">
        <f>IF(ISNUMBER(DGKC!E126),DGKC!E126,NA())</f>
        <v>2.6982633298510965</v>
      </c>
      <c r="X107" s="57">
        <f>IF(ISNUMBER(MLCF!E126),MLCF!E126,NA())</f>
        <v>5.2505359388174728</v>
      </c>
      <c r="Y107" s="57">
        <f>IF(ISNUMBER(FCCL!E126),FCCL!E126,NA())</f>
        <v>12.583415391911771</v>
      </c>
      <c r="Z107" s="57">
        <f>'Industry Averages'!E118</f>
        <v>18.829862196196171</v>
      </c>
    </row>
    <row r="108" spans="1:26" ht="19.95" customHeight="1" x14ac:dyDescent="0.3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t="s">
        <v>41</v>
      </c>
      <c r="U108" s="57">
        <f>IF(ISNUMBER(KOHC!F126),KOHC!F126,NA())</f>
        <v>16.315812571917526</v>
      </c>
      <c r="V108" s="57">
        <f>IF(ISNUMBER(LUCK!F126),LUCK!F126,NA())</f>
        <v>19.418491261619813</v>
      </c>
      <c r="W108" s="57">
        <f>IF(ISNUMBER(DGKC!F126),DGKC!F126,NA())</f>
        <v>1.4717538518085045</v>
      </c>
      <c r="X108" s="57">
        <f>IF(ISNUMBER(MLCF!F126),MLCF!F126,NA())</f>
        <v>4.4476569735481268</v>
      </c>
      <c r="Y108" s="57">
        <f>IF(ISNUMBER(FCCL!F126),FCCL!F126,NA())</f>
        <v>5.9146829675290808</v>
      </c>
      <c r="Z108" s="57">
        <f>'Industry Averages'!F118</f>
        <v>9.513679525284612</v>
      </c>
    </row>
    <row r="109" spans="1:26" ht="19.95" customHeight="1" x14ac:dyDescent="0.3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t="s">
        <v>42</v>
      </c>
      <c r="U109" s="57">
        <f>IF(ISNUMBER(KOHC!G126),KOHC!G126,NA())</f>
        <v>22.319441864662931</v>
      </c>
      <c r="V109" s="57">
        <f>IF(ISNUMBER(LUCK!G126),LUCK!G126,NA())</f>
        <v>27.521394265428206</v>
      </c>
      <c r="W109" s="57">
        <f>IF(ISNUMBER(DGKC!G126),DGKC!G126,NA())</f>
        <v>1.3582230764552283</v>
      </c>
      <c r="X109" s="57">
        <f>IF(ISNUMBER(MLCF!G126),MLCF!G126,NA())</f>
        <v>3.2023484620581835</v>
      </c>
      <c r="Y109" s="57">
        <f>IF(ISNUMBER(FCCL!G126),FCCL!G126,NA())</f>
        <v>3.7798126521954241</v>
      </c>
      <c r="Z109" s="57">
        <f>'Industry Averages'!G118</f>
        <v>11.636244064159992</v>
      </c>
    </row>
    <row r="110" spans="1:26" ht="19.95" customHeight="1" x14ac:dyDescent="0.3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t="s">
        <v>43</v>
      </c>
      <c r="U110" s="57">
        <f>IF(ISNUMBER(KOHC!H126),KOHC!H126,NA())</f>
        <v>58.956241100348862</v>
      </c>
      <c r="V110" s="57">
        <f>IF(ISNUMBER(LUCK!H126),LUCK!H126,NA())</f>
        <v>36.687316512913945</v>
      </c>
      <c r="W110" s="57">
        <f>IF(ISNUMBER(DGKC!H126),DGKC!H126,NA())</f>
        <v>4.4072600253200633</v>
      </c>
      <c r="X110" s="57">
        <f>IF(ISNUMBER(MLCF!H126),MLCF!H126,NA())</f>
        <v>7.3457905408215804</v>
      </c>
      <c r="Y110" s="57">
        <f>IF(ISNUMBER(FCCL!H126),FCCL!H126,NA())</f>
        <v>4.7935258018729412</v>
      </c>
      <c r="Z110" s="57">
        <f>'Industry Averages'!H118</f>
        <v>22.438026796255478</v>
      </c>
    </row>
    <row r="111" spans="1:26" ht="19.95" customHeight="1" x14ac:dyDescent="0.3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</row>
    <row r="112" spans="1:26" ht="19.95" customHeight="1" x14ac:dyDescent="0.3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</row>
    <row r="113" spans="1:26" ht="19.95" customHeight="1" x14ac:dyDescent="0.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t="s">
        <v>227</v>
      </c>
      <c r="U113" t="s">
        <v>9</v>
      </c>
      <c r="V113" t="s">
        <v>13</v>
      </c>
      <c r="W113" t="s">
        <v>17</v>
      </c>
      <c r="X113" t="s">
        <v>21</v>
      </c>
      <c r="Y113" t="s">
        <v>25</v>
      </c>
      <c r="Z113" t="s">
        <v>228</v>
      </c>
    </row>
    <row r="114" spans="1:26" ht="19.95" customHeight="1" x14ac:dyDescent="0.3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t="s">
        <v>39</v>
      </c>
      <c r="U114" s="59">
        <f>IF(ISNUMBER(KOHC!D128),KOHC!D128,NA())</f>
        <v>0.24796341300828931</v>
      </c>
      <c r="V114" s="59">
        <f>IF(ISNUMBER(LUCK!D128),LUCK!D128,NA())</f>
        <v>0.30117079055471246</v>
      </c>
      <c r="W114" s="59">
        <f>IF(ISNUMBER(DGKC!D128),DGKC!D128,NA())</f>
        <v>0.17894713739497631</v>
      </c>
      <c r="X114" s="59">
        <f>IF(ISNUMBER(MLCF!D128),MLCF!D128,NA())</f>
        <v>0.20830714445240356</v>
      </c>
      <c r="Y114" s="59">
        <f>IF(ISNUMBER(FCCL!D128),FCCL!D128,NA())</f>
        <v>0.24985924725452316</v>
      </c>
      <c r="Z114" s="59">
        <f>'Industry Averages'!D127</f>
        <v>0.23724954653298097</v>
      </c>
    </row>
    <row r="115" spans="1:26" ht="19.95" customHeight="1" x14ac:dyDescent="0.3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t="s">
        <v>40</v>
      </c>
      <c r="U115" s="59">
        <f>IF(ISNUMBER(KOHC!E128),KOHC!E128,NA())</f>
        <v>0.29843914213509881</v>
      </c>
      <c r="V115" s="59">
        <f>IF(ISNUMBER(LUCK!E128),LUCK!E128,NA())</f>
        <v>0.27809669144361399</v>
      </c>
      <c r="W115" s="59">
        <f>IF(ISNUMBER(DGKC!E128),DGKC!E128,NA())</f>
        <v>0.17966261135996409</v>
      </c>
      <c r="X115" s="59">
        <f>IF(ISNUMBER(MLCF!E128),MLCF!E128,NA())</f>
        <v>0.25300003367709667</v>
      </c>
      <c r="Y115" s="59">
        <f>IF(ISNUMBER(FCCL!E128),FCCL!E128,NA())</f>
        <v>0.28507903988852556</v>
      </c>
      <c r="Z115" s="59">
        <f>'Industry Averages'!E127</f>
        <v>0.25885550370085986</v>
      </c>
    </row>
    <row r="116" spans="1:26" ht="19.95" customHeight="1" x14ac:dyDescent="0.3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t="s">
        <v>41</v>
      </c>
      <c r="U116" s="59">
        <f>IF(ISNUMBER(KOHC!F128),KOHC!F128,NA())</f>
        <v>0.26804356818989611</v>
      </c>
      <c r="V116" s="59">
        <f>IF(ISNUMBER(LUCK!F128),LUCK!F128,NA())</f>
        <v>0.27194087595679139</v>
      </c>
      <c r="W116" s="59">
        <f>IF(ISNUMBER(DGKC!F128),DGKC!F128,NA())</f>
        <v>0.14704852458583501</v>
      </c>
      <c r="X116" s="59">
        <f>IF(ISNUMBER(MLCF!F128),MLCF!F128,NA())</f>
        <v>0.29276322471727417</v>
      </c>
      <c r="Y116" s="59">
        <f>IF(ISNUMBER(FCCL!F128),FCCL!F128,NA())</f>
        <v>0.29996604048210768</v>
      </c>
      <c r="Z116" s="59">
        <f>'Industry Averages'!F127</f>
        <v>0.25595244678638085</v>
      </c>
    </row>
    <row r="117" spans="1:26" ht="19.95" customHeight="1" x14ac:dyDescent="0.3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t="s">
        <v>42</v>
      </c>
      <c r="U117" s="59">
        <f>IF(ISNUMBER(KOHC!G128),KOHC!G128,NA())</f>
        <v>0.29125851467425595</v>
      </c>
      <c r="V117" s="59">
        <f>IF(ISNUMBER(LUCK!G128),LUCK!G128,NA())</f>
        <v>0.33648030796321582</v>
      </c>
      <c r="W117" s="59">
        <f>IF(ISNUMBER(DGKC!G128),DGKC!G128,NA())</f>
        <v>0.15942563608432631</v>
      </c>
      <c r="X117" s="59">
        <f>IF(ISNUMBER(MLCF!G128),MLCF!G128,NA())</f>
        <v>0.31547845382378364</v>
      </c>
      <c r="Y117" s="59">
        <f>IF(ISNUMBER(FCCL!G128),FCCL!G128,NA())</f>
        <v>0.32089986350224731</v>
      </c>
      <c r="Z117" s="59">
        <f>'Industry Averages'!G127</f>
        <v>0.28470855520956578</v>
      </c>
    </row>
    <row r="118" spans="1:26" ht="19.95" customHeight="1" x14ac:dyDescent="0.3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t="s">
        <v>43</v>
      </c>
      <c r="U118" s="59">
        <f>IF(ISNUMBER(KOHC!H128),KOHC!H128,NA())</f>
        <v>0.39220278175445145</v>
      </c>
      <c r="V118" s="59">
        <f>IF(ISNUMBER(LUCK!H128),LUCK!H128,NA())</f>
        <v>0.34281652982067301</v>
      </c>
      <c r="W118" s="59">
        <f>IF(ISNUMBER(DGKC!H128),DGKC!H128,NA())</f>
        <v>0.25740632547300923</v>
      </c>
      <c r="X118" s="59">
        <f>IF(ISNUMBER(MLCF!H128),MLCF!H128,NA())</f>
        <v>0.34444405990469212</v>
      </c>
      <c r="Y118" s="59">
        <f>IF(ISNUMBER(FCCL!H128),FCCL!H128,NA())</f>
        <v>0.35490842202929052</v>
      </c>
      <c r="Z118" s="59">
        <f>'Industry Averages'!H127</f>
        <v>0.33835562379642325</v>
      </c>
    </row>
    <row r="119" spans="1:26" ht="19.95" customHeight="1" x14ac:dyDescent="0.3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</row>
    <row r="120" spans="1:26" ht="19.95" customHeight="1" x14ac:dyDescent="0.3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</row>
    <row r="121" spans="1:26" ht="19.95" customHeight="1" x14ac:dyDescent="0.3">
      <c r="A121" s="97" t="s">
        <v>234</v>
      </c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t="s">
        <v>227</v>
      </c>
      <c r="U121" t="s">
        <v>9</v>
      </c>
      <c r="V121" t="s">
        <v>13</v>
      </c>
      <c r="W121" t="s">
        <v>17</v>
      </c>
      <c r="X121" t="s">
        <v>21</v>
      </c>
      <c r="Y121" t="s">
        <v>25</v>
      </c>
      <c r="Z121" t="s">
        <v>228</v>
      </c>
    </row>
    <row r="122" spans="1:26" ht="19.95" customHeight="1" x14ac:dyDescent="0.3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t="s">
        <v>39</v>
      </c>
      <c r="U122" s="59">
        <f>IF(ISNUMBER(KOHC!D129),KOHC!D129,NA())</f>
        <v>0.223476531263751</v>
      </c>
      <c r="V122" s="59">
        <f>IF(ISNUMBER(LUCK!D129),LUCK!D129,NA())</f>
        <v>0.27526050866365631</v>
      </c>
      <c r="W122" s="59">
        <f>IF(ISNUMBER(DGKC!D129),DGKC!D129,NA())</f>
        <v>0.16976072150890459</v>
      </c>
      <c r="X122" s="59">
        <f>IF(ISNUMBER(MLCF!D129),MLCF!D129,NA())</f>
        <v>0.24584402613957254</v>
      </c>
      <c r="Y122" s="59">
        <f>IF(ISNUMBER(FCCL!D129),FCCL!D129,NA())</f>
        <v>0.2142368646736256</v>
      </c>
      <c r="Z122" s="59">
        <f>'Industry Averages'!D135</f>
        <v>0.22571573044990201</v>
      </c>
    </row>
    <row r="123" spans="1:26" ht="19.95" customHeight="1" x14ac:dyDescent="0.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t="s">
        <v>40</v>
      </c>
      <c r="U123" s="59">
        <f>IF(ISNUMBER(KOHC!E129),KOHC!E129,NA())</f>
        <v>0.28715637280086448</v>
      </c>
      <c r="V123" s="59">
        <f>IF(ISNUMBER(LUCK!E129),LUCK!E129,NA())</f>
        <v>0.26901961654768358</v>
      </c>
      <c r="W123" s="59">
        <f>IF(ISNUMBER(DGKC!E129),DGKC!E129,NA())</f>
        <v>0.1647791429733062</v>
      </c>
      <c r="X123" s="59">
        <f>IF(ISNUMBER(MLCF!E129),MLCF!E129,NA())</f>
        <v>0.18288553443388325</v>
      </c>
      <c r="Y123" s="59">
        <f>IF(ISNUMBER(FCCL!E129),FCCL!E129,NA())</f>
        <v>0.23087384099122032</v>
      </c>
      <c r="Z123" s="59">
        <f>'Industry Averages'!E135</f>
        <v>0.22694290154939156</v>
      </c>
    </row>
    <row r="124" spans="1:26" ht="19.95" customHeight="1" x14ac:dyDescent="0.3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t="s">
        <v>41</v>
      </c>
      <c r="U124" s="59">
        <f>IF(ISNUMBER(KOHC!F129),KOHC!F129,NA())</f>
        <v>0.28654734202991289</v>
      </c>
      <c r="V124" s="59">
        <f>IF(ISNUMBER(LUCK!F129),LUCK!F129,NA())</f>
        <v>0.23480711540356072</v>
      </c>
      <c r="W124" s="59">
        <f>IF(ISNUMBER(DGKC!F129),DGKC!F129,NA())</f>
        <v>0.15182766799754666</v>
      </c>
      <c r="X124" s="59">
        <f>IF(ISNUMBER(MLCF!F129),MLCF!F129,NA())</f>
        <v>0.19224796146239193</v>
      </c>
      <c r="Y124" s="59">
        <f>IF(ISNUMBER(FCCL!F129),FCCL!F129,NA())</f>
        <v>0.22807525720632701</v>
      </c>
      <c r="Z124" s="59">
        <f>'Industry Averages'!F135</f>
        <v>0.21870106881994783</v>
      </c>
    </row>
    <row r="125" spans="1:26" ht="19.95" customHeight="1" x14ac:dyDescent="0.3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t="s">
        <v>42</v>
      </c>
      <c r="U125" s="59">
        <f>IF(ISNUMBER(KOHC!G129),KOHC!G129,NA())</f>
        <v>0.37317728789535698</v>
      </c>
      <c r="V125" s="59">
        <f>IF(ISNUMBER(LUCK!G129),LUCK!G129,NA())</f>
        <v>0.37240945675047471</v>
      </c>
      <c r="W125" s="59">
        <f>IF(ISNUMBER(DGKC!G129),DGKC!G129,NA())</f>
        <v>0.16299366572828242</v>
      </c>
      <c r="X125" s="59">
        <f>IF(ISNUMBER(MLCF!G129),MLCF!G129,NA())</f>
        <v>0.19543128859795894</v>
      </c>
      <c r="Y125" s="59">
        <f>IF(ISNUMBER(FCCL!G129),FCCL!G129,NA())</f>
        <v>0.26089810857755552</v>
      </c>
      <c r="Z125" s="59">
        <f>'Industry Averages'!G135</f>
        <v>0.27298196150992571</v>
      </c>
    </row>
    <row r="126" spans="1:26" ht="19.95" customHeight="1" x14ac:dyDescent="0.3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t="s">
        <v>43</v>
      </c>
      <c r="U126" s="59">
        <f>IF(ISNUMBER(KOHC!H129),KOHC!H129,NA())</f>
        <v>0.48095636892569549</v>
      </c>
      <c r="V126" s="59">
        <f>IF(ISNUMBER(LUCK!H129),LUCK!H129,NA())</f>
        <v>0.39071901522799324</v>
      </c>
      <c r="W126" s="59">
        <f>IF(ISNUMBER(DGKC!H129),DGKC!H129,NA())</f>
        <v>0.23397808045883622</v>
      </c>
      <c r="X126" s="59">
        <f>IF(ISNUMBER(MLCF!H129),MLCF!H129,NA())</f>
        <v>0.36375545770453227</v>
      </c>
      <c r="Y126" s="59">
        <f>IF(ISNUMBER(FCCL!H129),FCCL!H129,NA())</f>
        <v>0.3057657460861018</v>
      </c>
      <c r="Z126" s="59">
        <f>'Industry Averages'!H135</f>
        <v>0.35503493368063183</v>
      </c>
    </row>
    <row r="127" spans="1:26" ht="19.95" customHeight="1" x14ac:dyDescent="0.3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</row>
    <row r="128" spans="1:26" ht="19.95" customHeight="1" x14ac:dyDescent="0.3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</row>
    <row r="129" spans="1:26" ht="19.95" customHeight="1" x14ac:dyDescent="0.3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t="s">
        <v>227</v>
      </c>
      <c r="U129" t="s">
        <v>9</v>
      </c>
      <c r="V129" t="s">
        <v>13</v>
      </c>
      <c r="W129" t="s">
        <v>17</v>
      </c>
      <c r="X129" t="s">
        <v>21</v>
      </c>
      <c r="Y129" t="s">
        <v>25</v>
      </c>
      <c r="Z129" t="s">
        <v>228</v>
      </c>
    </row>
    <row r="130" spans="1:26" ht="19.95" customHeight="1" x14ac:dyDescent="0.3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t="s">
        <v>39</v>
      </c>
      <c r="U130" s="59">
        <f>IF(ISNUMBER(KOHC!D130),KOHC!D130,NA())</f>
        <v>0.1453819089897026</v>
      </c>
      <c r="V130" s="59">
        <f>IF(ISNUMBER(LUCK!D130),LUCK!D130,NA())</f>
        <v>0.22354637821997994</v>
      </c>
      <c r="W130" s="59">
        <f>IF(ISNUMBER(DGKC!D130),DGKC!D130,NA())</f>
        <v>8.2497529800351119E-2</v>
      </c>
      <c r="X130" s="59">
        <f>IF(ISNUMBER(MLCF!D130),MLCF!D130,NA())</f>
        <v>0.1759822170452098</v>
      </c>
      <c r="Y130" s="59">
        <f>IF(ISNUMBER(FCCL!D130),FCCL!D130,NA())</f>
        <v>0.14302295902338913</v>
      </c>
      <c r="Z130" s="59">
        <f>'Industry Averages'!D143</f>
        <v>0.15408619861572653</v>
      </c>
    </row>
    <row r="131" spans="1:26" ht="19.95" customHeight="1" x14ac:dyDescent="0.3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t="s">
        <v>40</v>
      </c>
      <c r="U131" s="59">
        <f>IF(ISNUMBER(KOHC!E130),KOHC!E130,NA())</f>
        <v>0.15282075695786385</v>
      </c>
      <c r="V131" s="59">
        <f>IF(ISNUMBER(LUCK!E130),LUCK!E130,NA())</f>
        <v>0.18865400166042842</v>
      </c>
      <c r="W131" s="59">
        <f>IF(ISNUMBER(DGKC!E130),DGKC!E130,NA())</f>
        <v>5.120493100192175E-2</v>
      </c>
      <c r="X131" s="59">
        <f>IF(ISNUMBER(MLCF!E130),MLCF!E130,NA())</f>
        <v>7.4739658936337147E-2</v>
      </c>
      <c r="Y131" s="59">
        <f>IF(ISNUMBER(FCCL!E130),FCCL!E130,NA())</f>
        <v>0.13112336204567002</v>
      </c>
      <c r="Z131" s="59">
        <f>'Industry Averages'!E143</f>
        <v>0.11970854212044424</v>
      </c>
    </row>
    <row r="132" spans="1:26" ht="19.95" customHeight="1" x14ac:dyDescent="0.3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t="s">
        <v>41</v>
      </c>
      <c r="U132" s="59">
        <f>IF(ISNUMBER(KOHC!F130),KOHC!F130,NA())</f>
        <v>0.14955052871384544</v>
      </c>
      <c r="V132" s="59">
        <f>IF(ISNUMBER(LUCK!F130),LUCK!F130,NA())</f>
        <v>0.14322765825125466</v>
      </c>
      <c r="W132" s="59" t="e">
        <f>IF(ISNUMBER(DGKC!F130),DGKC!F130,NA())</f>
        <v>#N/A</v>
      </c>
      <c r="X132" s="59">
        <f>IF(ISNUMBER(MLCF!F130),MLCF!F130,NA())</f>
        <v>7.2358441549152441E-2</v>
      </c>
      <c r="Y132" s="59">
        <f>IF(ISNUMBER(FCCL!F130),FCCL!F130,NA())</f>
        <v>0.10929571726641699</v>
      </c>
      <c r="Z132" s="59">
        <f>'Industry Averages'!F143</f>
        <v>0.11860808644516738</v>
      </c>
    </row>
    <row r="133" spans="1:26" ht="19.95" customHeight="1" x14ac:dyDescent="0.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t="s">
        <v>42</v>
      </c>
      <c r="U133" s="59">
        <f>IF(ISNUMBER(KOHC!G130),KOHC!G130,NA())</f>
        <v>0.23011561219895646</v>
      </c>
      <c r="V133" s="59">
        <f>IF(ISNUMBER(LUCK!G130),LUCK!G130,NA())</f>
        <v>0.24371604713228476</v>
      </c>
      <c r="W133" s="59">
        <f>IF(ISNUMBER(DGKC!G130),DGKC!G130,NA())</f>
        <v>8.2133065966830711E-3</v>
      </c>
      <c r="X133" s="59">
        <f>IF(ISNUMBER(MLCF!G130),MLCF!G130,NA())</f>
        <v>7.9342975209845082E-2</v>
      </c>
      <c r="Y133" s="59">
        <f>IF(ISNUMBER(FCCL!G130),FCCL!G130,NA())</f>
        <v>0.10275526425549537</v>
      </c>
      <c r="Z133" s="59">
        <f>'Industry Averages'!G143</f>
        <v>0.13282864107865294</v>
      </c>
    </row>
    <row r="134" spans="1:26" ht="19.95" customHeight="1" x14ac:dyDescent="0.3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t="s">
        <v>43</v>
      </c>
      <c r="U134" s="59">
        <f>IF(ISNUMBER(KOHC!H130),KOHC!H130,NA())</f>
        <v>0.30837719707594857</v>
      </c>
      <c r="V134" s="59">
        <f>IF(ISNUMBER(LUCK!H130),LUCK!H130,NA())</f>
        <v>0.26577542757733763</v>
      </c>
      <c r="W134" s="59">
        <f>IF(ISNUMBER(DGKC!H130),DGKC!H130,NA())</f>
        <v>0.12066652759857006</v>
      </c>
      <c r="X134" s="59">
        <f>IF(ISNUMBER(MLCF!H130),MLCF!H130,NA())</f>
        <v>0.24711008947956384</v>
      </c>
      <c r="Y134" s="59">
        <f>IF(ISNUMBER(FCCL!H130),FCCL!H130,NA())</f>
        <v>0.14980611609777766</v>
      </c>
      <c r="Z134" s="59">
        <f>'Industry Averages'!H143</f>
        <v>0.21834707156583955</v>
      </c>
    </row>
    <row r="135" spans="1:26" ht="19.95" customHeight="1" x14ac:dyDescent="0.3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</row>
    <row r="136" spans="1:26" ht="19.95" customHeight="1" x14ac:dyDescent="0.3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</row>
    <row r="137" spans="1:26" ht="19.95" customHeight="1" x14ac:dyDescent="0.3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t="s">
        <v>227</v>
      </c>
      <c r="U137" t="s">
        <v>9</v>
      </c>
      <c r="V137" t="s">
        <v>13</v>
      </c>
      <c r="W137" t="s">
        <v>17</v>
      </c>
      <c r="X137" t="s">
        <v>21</v>
      </c>
      <c r="Y137" t="s">
        <v>25</v>
      </c>
      <c r="Z137" t="s">
        <v>228</v>
      </c>
    </row>
    <row r="138" spans="1:26" ht="19.95" customHeight="1" x14ac:dyDescent="0.3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t="s">
        <v>39</v>
      </c>
      <c r="U138" s="59">
        <f>IF(ISNUMBER(KOHC!D131),KOHC!D131,NA())</f>
        <v>9.6918969746585204E-2</v>
      </c>
      <c r="V138" s="59">
        <f>IF(ISNUMBER(LUCK!D131),LUCK!D131,NA())</f>
        <v>8.9981220078048957E-2</v>
      </c>
      <c r="W138" s="59">
        <f>IF(ISNUMBER(DGKC!D131),DGKC!D131,NA())</f>
        <v>2.6986338713228402E-2</v>
      </c>
      <c r="X138" s="59">
        <f>IF(ISNUMBER(MLCF!D131),MLCF!D131,NA())</f>
        <v>9.4416925860816264E-2</v>
      </c>
      <c r="Y138" s="59">
        <f>IF(ISNUMBER(FCCL!D131),FCCL!D131,NA())</f>
        <v>0.10194195499261118</v>
      </c>
      <c r="Z138" s="59">
        <f>'Industry Averages'!D151</f>
        <v>8.204908187825799E-2</v>
      </c>
    </row>
    <row r="139" spans="1:26" ht="19.95" customHeight="1" x14ac:dyDescent="0.3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t="s">
        <v>40</v>
      </c>
      <c r="U139" s="59">
        <f>IF(ISNUMBER(KOHC!E131),KOHC!E131,NA())</f>
        <v>0.11589856650144761</v>
      </c>
      <c r="V139" s="59">
        <f>IF(ISNUMBER(LUCK!E131),LUCK!E131,NA())</f>
        <v>8.271205740618541E-2</v>
      </c>
      <c r="W139" s="59">
        <f>IF(ISNUMBER(DGKC!E131),DGKC!E131,NA())</f>
        <v>2.1763973265391149E-2</v>
      </c>
      <c r="X139" s="59">
        <f>IF(ISNUMBER(MLCF!E131),MLCF!E131,NA())</f>
        <v>4.4108433323144514E-2</v>
      </c>
      <c r="Y139" s="59">
        <f>IF(ISNUMBER(FCCL!E131),FCCL!E131,NA())</f>
        <v>6.2556379031810716E-2</v>
      </c>
      <c r="Z139" s="59">
        <f>'Industry Averages'!E151</f>
        <v>6.5407881905595877E-2</v>
      </c>
    </row>
    <row r="140" spans="1:26" ht="19.95" customHeight="1" x14ac:dyDescent="0.3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t="s">
        <v>41</v>
      </c>
      <c r="U140" s="59">
        <f>IF(ISNUMBER(KOHC!F131),KOHC!F131,NA())</f>
        <v>0.11751952891151191</v>
      </c>
      <c r="V140" s="59">
        <f>IF(ISNUMBER(LUCK!F131),LUCK!F131,NA())</f>
        <v>6.4416529475417678E-2</v>
      </c>
      <c r="W140" s="59" t="e">
        <f>IF(ISNUMBER(DGKC!F131),DGKC!F131,NA())</f>
        <v>#N/A</v>
      </c>
      <c r="X140" s="59">
        <f>IF(ISNUMBER(MLCF!F131),MLCF!F131,NA())</f>
        <v>5.0070043588560612E-2</v>
      </c>
      <c r="Y140" s="59">
        <f>IF(ISNUMBER(FCCL!F131),FCCL!F131,NA())</f>
        <v>5.3589004856834314E-2</v>
      </c>
      <c r="Z140" s="59">
        <f>'Industry Averages'!F151</f>
        <v>7.1398776708081133E-2</v>
      </c>
    </row>
    <row r="141" spans="1:26" ht="19.95" customHeight="1" x14ac:dyDescent="0.3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t="s">
        <v>42</v>
      </c>
      <c r="U141" s="59">
        <f>IF(ISNUMBER(KOHC!G131),KOHC!G131,NA())</f>
        <v>0.15113794625582791</v>
      </c>
      <c r="V141" s="59">
        <f>IF(ISNUMBER(LUCK!G131),LUCK!G131,NA())</f>
        <v>0.12010412955682188</v>
      </c>
      <c r="W141" s="59">
        <f>IF(ISNUMBER(DGKC!G131),DGKC!G131,NA())</f>
        <v>3.9194496855507379E-3</v>
      </c>
      <c r="X141" s="59">
        <f>IF(ISNUMBER(MLCF!G131),MLCF!G131,NA())</f>
        <v>5.3061850871209217E-2</v>
      </c>
      <c r="Y141" s="59">
        <f>IF(ISNUMBER(FCCL!G131),FCCL!G131,NA())</f>
        <v>5.5698470198037101E-2</v>
      </c>
      <c r="Z141" s="59">
        <f>'Industry Averages'!G151</f>
        <v>7.6784369313489378E-2</v>
      </c>
    </row>
    <row r="142" spans="1:26" ht="19.95" customHeight="1" x14ac:dyDescent="0.3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t="s">
        <v>43</v>
      </c>
      <c r="U142" s="59">
        <f>IF(ISNUMBER(KOHC!H131),KOHC!H131,NA())</f>
        <v>0.17329550622820336</v>
      </c>
      <c r="V142" s="59">
        <f>IF(ISNUMBER(LUCK!H131),LUCK!H131,NA())</f>
        <v>0.12405775592794444</v>
      </c>
      <c r="W142" s="59">
        <f>IF(ISNUMBER(DGKC!H131),DGKC!H131,NA())</f>
        <v>5.9449062727654524E-2</v>
      </c>
      <c r="X142" s="59">
        <f>IF(ISNUMBER(MLCF!H131),MLCF!H131,NA())</f>
        <v>0.14303507159585241</v>
      </c>
      <c r="Y142" s="59">
        <f>IF(ISNUMBER(FCCL!H131),FCCL!H131,NA())</f>
        <v>8.2851106191915852E-2</v>
      </c>
      <c r="Z142" s="59">
        <f>'Industry Averages'!H151</f>
        <v>0.11653770053431411</v>
      </c>
    </row>
    <row r="143" spans="1:26" ht="19.95" customHeight="1" x14ac:dyDescent="0.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</row>
    <row r="144" spans="1:26" ht="19.95" customHeight="1" x14ac:dyDescent="0.3">
      <c r="A144" s="97" t="s">
        <v>235</v>
      </c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</row>
    <row r="145" spans="1:26" ht="19.95" customHeight="1" x14ac:dyDescent="0.3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t="s">
        <v>227</v>
      </c>
      <c r="U145" t="s">
        <v>9</v>
      </c>
      <c r="V145" t="s">
        <v>13</v>
      </c>
      <c r="W145" t="s">
        <v>17</v>
      </c>
      <c r="X145" t="s">
        <v>21</v>
      </c>
      <c r="Y145" t="s">
        <v>25</v>
      </c>
      <c r="Z145" t="s">
        <v>228</v>
      </c>
    </row>
    <row r="146" spans="1:26" ht="19.95" customHeight="1" x14ac:dyDescent="0.3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t="s">
        <v>39</v>
      </c>
      <c r="U146" s="59">
        <f>IF(ISNUMBER(KOHC!D132),KOHC!D132,NA())</f>
        <v>0.15737849802466555</v>
      </c>
      <c r="V146" s="59">
        <f>IF(ISNUMBER(LUCK!D132),LUCK!D132,NA())</f>
        <v>0.12429467254394423</v>
      </c>
      <c r="W146" s="59">
        <f>IF(ISNUMBER(DGKC!D132),DGKC!D132,NA())</f>
        <v>5.0644811125656837E-2</v>
      </c>
      <c r="X146" s="59">
        <f>IF(ISNUMBER(MLCF!D132),MLCF!D132,NA())</f>
        <v>0.16658725897109622</v>
      </c>
      <c r="Y146" s="59">
        <f>IF(ISNUMBER(FCCL!D132),FCCL!D132,NA())</f>
        <v>0.14914074872427949</v>
      </c>
      <c r="Z146" s="59">
        <f>'Industry Averages'!D159</f>
        <v>0.12960919787792846</v>
      </c>
    </row>
    <row r="147" spans="1:26" ht="19.95" customHeight="1" x14ac:dyDescent="0.3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t="s">
        <v>40</v>
      </c>
      <c r="U147" s="59">
        <f>IF(ISNUMBER(KOHC!E132),KOHC!E132,NA())</f>
        <v>0.18440283523376622</v>
      </c>
      <c r="V147" s="59">
        <f>IF(ISNUMBER(LUCK!E132),LUCK!E132,NA())</f>
        <v>0.11901804448540206</v>
      </c>
      <c r="W147" s="59">
        <f>IF(ISNUMBER(DGKC!E132),DGKC!E132,NA())</f>
        <v>4.2508762609145177E-2</v>
      </c>
      <c r="X147" s="59">
        <f>IF(ISNUMBER(MLCF!E132),MLCF!E132,NA())</f>
        <v>8.9408976031592494E-2</v>
      </c>
      <c r="Y147" s="59">
        <f>IF(ISNUMBER(FCCL!E132),FCCL!E132,NA())</f>
        <v>0.12319061073378482</v>
      </c>
      <c r="Z147" s="59">
        <f>'Industry Averages'!E159</f>
        <v>0.11170584581873814</v>
      </c>
    </row>
    <row r="148" spans="1:26" ht="19.95" customHeight="1" x14ac:dyDescent="0.3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t="s">
        <v>41</v>
      </c>
      <c r="U148" s="59">
        <f>IF(ISNUMBER(KOHC!F132),KOHC!F132,NA())</f>
        <v>0.17849564911664104</v>
      </c>
      <c r="V148" s="59">
        <f>IF(ISNUMBER(LUCK!F132),LUCK!F132,NA())</f>
        <v>9.9921242706891636E-2</v>
      </c>
      <c r="W148" s="59" t="e">
        <f>IF(ISNUMBER(DGKC!F132),DGKC!F132,NA())</f>
        <v>#N/A</v>
      </c>
      <c r="X148" s="59">
        <f>IF(ISNUMBER(MLCF!F132),MLCF!F132,NA())</f>
        <v>0.10000796203977304</v>
      </c>
      <c r="Y148" s="59">
        <f>IF(ISNUMBER(FCCL!F132),FCCL!F132,NA())</f>
        <v>0.11414801492770245</v>
      </c>
      <c r="Z148" s="59">
        <f>'Industry Averages'!F159</f>
        <v>0.12314321719775204</v>
      </c>
    </row>
    <row r="149" spans="1:26" ht="19.95" customHeight="1" x14ac:dyDescent="0.3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t="s">
        <v>42</v>
      </c>
      <c r="U149" s="59">
        <f>IF(ISNUMBER(KOHC!G132),KOHC!G132,NA())</f>
        <v>0.21643681457260755</v>
      </c>
      <c r="V149" s="59">
        <f>IF(ISNUMBER(LUCK!G132),LUCK!G132,NA())</f>
        <v>0.19021586420101122</v>
      </c>
      <c r="W149" s="59">
        <f>IF(ISNUMBER(DGKC!G132),DGKC!G132,NA())</f>
        <v>7.1511352154898129E-3</v>
      </c>
      <c r="X149" s="59">
        <f>IF(ISNUMBER(MLCF!G132),MLCF!G132,NA())</f>
        <v>0.10020784968682853</v>
      </c>
      <c r="Y149" s="59">
        <f>IF(ISNUMBER(FCCL!G132),FCCL!G132,NA())</f>
        <v>0.1120333038446799</v>
      </c>
      <c r="Z149" s="59">
        <f>'Industry Averages'!G159</f>
        <v>0.1252089935041234</v>
      </c>
    </row>
    <row r="150" spans="1:26" ht="19.95" customHeight="1" x14ac:dyDescent="0.3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t="s">
        <v>43</v>
      </c>
      <c r="U150" s="59">
        <f>IF(ISNUMBER(KOHC!H132),KOHC!H132,NA())</f>
        <v>0.24137435208870983</v>
      </c>
      <c r="V150" s="59">
        <f>IF(ISNUMBER(LUCK!H132),LUCK!H132,NA())</f>
        <v>0.18811941761260281</v>
      </c>
      <c r="W150" s="59">
        <f>IF(ISNUMBER(DGKC!H132),DGKC!H132,NA())</f>
        <v>9.1637161813901913E-2</v>
      </c>
      <c r="X150" s="59">
        <f>IF(ISNUMBER(MLCF!H132),MLCF!H132,NA())</f>
        <v>0.2383990269906105</v>
      </c>
      <c r="Y150" s="59">
        <f>IF(ISNUMBER(FCCL!H132),FCCL!H132,NA())</f>
        <v>0.15813282120245373</v>
      </c>
      <c r="Z150" s="59">
        <f>'Industry Averages'!H159</f>
        <v>0.18353255594165577</v>
      </c>
    </row>
    <row r="151" spans="1:26" ht="19.95" customHeight="1" x14ac:dyDescent="0.3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</row>
    <row r="152" spans="1:26" ht="19.95" customHeight="1" x14ac:dyDescent="0.3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</row>
    <row r="153" spans="1:26" ht="19.95" customHeight="1" x14ac:dyDescent="0.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t="s">
        <v>227</v>
      </c>
      <c r="U153" t="s">
        <v>9</v>
      </c>
      <c r="V153" t="s">
        <v>13</v>
      </c>
      <c r="W153" t="s">
        <v>17</v>
      </c>
      <c r="X153" t="s">
        <v>21</v>
      </c>
      <c r="Y153" t="s">
        <v>25</v>
      </c>
      <c r="Z153" t="s">
        <v>228</v>
      </c>
    </row>
    <row r="154" spans="1:26" ht="19.95" customHeight="1" x14ac:dyDescent="0.3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t="s">
        <v>39</v>
      </c>
      <c r="U154" s="59">
        <f>IF(ISNUMBER(KOHC!D133),KOHC!D133,NA())</f>
        <v>0.13611222052431424</v>
      </c>
      <c r="V154" s="59">
        <f>IF(ISNUMBER(LUCK!D133),LUCK!D133,NA())</f>
        <v>0.11598113408973314</v>
      </c>
      <c r="W154" s="59">
        <f>IF(ISNUMBER(DGKC!D133),DGKC!D133,NA())</f>
        <v>5.0926469503026137E-2</v>
      </c>
      <c r="X154" s="59">
        <f>IF(ISNUMBER(MLCF!D133),MLCF!D133,NA())</f>
        <v>0.13938409686265396</v>
      </c>
      <c r="Y154" s="59">
        <f>IF(ISNUMBER(FCCL!D133),FCCL!D133,NA())</f>
        <v>0.13674299962769382</v>
      </c>
      <c r="Z154" s="59">
        <f>'Industry Averages'!D167</f>
        <v>0.11582938412148427</v>
      </c>
    </row>
    <row r="155" spans="1:26" ht="19.95" customHeight="1" x14ac:dyDescent="0.3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t="s">
        <v>40</v>
      </c>
      <c r="U155" s="59">
        <f>IF(ISNUMBER(KOHC!E133),KOHC!E133,NA())</f>
        <v>0.16872337936741016</v>
      </c>
      <c r="V155" s="59">
        <f>IF(ISNUMBER(LUCK!E133),LUCK!E133,NA())</f>
        <v>0.10809497435976413</v>
      </c>
      <c r="W155" s="59">
        <f>IF(ISNUMBER(DGKC!E133),DGKC!E133,NA())</f>
        <v>4.0571100495840479E-2</v>
      </c>
      <c r="X155" s="59">
        <f>IF(ISNUMBER(MLCF!E133),MLCF!E133,NA())</f>
        <v>6.8354987715222609E-2</v>
      </c>
      <c r="Y155" s="59">
        <f>IF(ISNUMBER(FCCL!E133),FCCL!E133,NA())</f>
        <v>9.2363746892435927E-2</v>
      </c>
      <c r="Z155" s="59">
        <f>'Industry Averages'!E167</f>
        <v>9.5621637766134665E-2</v>
      </c>
    </row>
    <row r="156" spans="1:26" ht="19.95" customHeight="1" x14ac:dyDescent="0.3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t="s">
        <v>41</v>
      </c>
      <c r="U156" s="59">
        <f>IF(ISNUMBER(KOHC!F133),KOHC!F133,NA())</f>
        <v>0.17323854283924056</v>
      </c>
      <c r="V156" s="59">
        <f>IF(ISNUMBER(LUCK!F133),LUCK!F133,NA())</f>
        <v>9.1352761839314733E-2</v>
      </c>
      <c r="W156" s="59" t="e">
        <f>IF(ISNUMBER(DGKC!F133),DGKC!F133,NA())</f>
        <v>#N/A</v>
      </c>
      <c r="X156" s="59">
        <f>IF(ISNUMBER(MLCF!F133),MLCF!F133,NA())</f>
        <v>8.9438322458184685E-2</v>
      </c>
      <c r="Y156" s="59">
        <f>IF(ISNUMBER(FCCL!F133),FCCL!F133,NA())</f>
        <v>8.4602379259019547E-2</v>
      </c>
      <c r="Z156" s="59">
        <f>'Industry Averages'!F167</f>
        <v>0.10965800159893987</v>
      </c>
    </row>
    <row r="157" spans="1:26" ht="19.95" customHeight="1" x14ac:dyDescent="0.3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t="s">
        <v>42</v>
      </c>
      <c r="U157" s="59">
        <f>IF(ISNUMBER(KOHC!G133),KOHC!G133,NA())</f>
        <v>0.21530718381280636</v>
      </c>
      <c r="V157" s="59">
        <f>IF(ISNUMBER(LUCK!G133),LUCK!G133,NA())</f>
        <v>0.17349944050776198</v>
      </c>
      <c r="W157" s="59">
        <f>IF(ISNUMBER(DGKC!G133),DGKC!G133,NA())</f>
        <v>1.8666945531428475E-2</v>
      </c>
      <c r="X157" s="59">
        <f>IF(ISNUMBER(MLCF!G133),MLCF!G133,NA())</f>
        <v>0.10647533565261356</v>
      </c>
      <c r="Y157" s="59">
        <f>IF(ISNUMBER(FCCL!G133),FCCL!G133,NA())</f>
        <v>0.10165844956887071</v>
      </c>
      <c r="Z157" s="59">
        <f>'Industry Averages'!G167</f>
        <v>0.12312147101469621</v>
      </c>
    </row>
    <row r="158" spans="1:26" ht="19.95" customHeight="1" x14ac:dyDescent="0.3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t="s">
        <v>43</v>
      </c>
      <c r="U158" s="59">
        <f>IF(ISNUMBER(KOHC!H133),KOHC!H133,NA())</f>
        <v>0.23456949398989801</v>
      </c>
      <c r="V158" s="59">
        <f>IF(ISNUMBER(LUCK!H133),LUCK!H133,NA())</f>
        <v>0.17586014458599655</v>
      </c>
      <c r="W158" s="59">
        <f>IF(ISNUMBER(DGKC!H133),DGKC!H133,NA())</f>
        <v>9.6256924504903307E-2</v>
      </c>
      <c r="X158" s="59">
        <f>IF(ISNUMBER(MLCF!H133),MLCF!H133,NA())</f>
        <v>0.22920346694221672</v>
      </c>
      <c r="Y158" s="59">
        <f>IF(ISNUMBER(FCCL!H133),FCCL!H133,NA())</f>
        <v>0.13546184028270253</v>
      </c>
      <c r="Z158" s="59">
        <f>'Industry Averages'!H167</f>
        <v>0.1742703740611434</v>
      </c>
    </row>
    <row r="159" spans="1:26" ht="19.95" customHeight="1" x14ac:dyDescent="0.3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</row>
    <row r="160" spans="1:26" ht="19.95" customHeight="1" x14ac:dyDescent="0.3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</row>
    <row r="161" spans="1:26" ht="19.95" customHeight="1" x14ac:dyDescent="0.3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t="s">
        <v>227</v>
      </c>
      <c r="U161" t="s">
        <v>9</v>
      </c>
      <c r="V161" t="s">
        <v>13</v>
      </c>
      <c r="W161" t="s">
        <v>17</v>
      </c>
      <c r="X161" t="s">
        <v>21</v>
      </c>
      <c r="Y161" t="s">
        <v>25</v>
      </c>
      <c r="Z161" t="s">
        <v>228</v>
      </c>
    </row>
    <row r="162" spans="1:26" ht="19.95" customHeight="1" x14ac:dyDescent="0.3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t="s">
        <v>39</v>
      </c>
      <c r="U162" s="59">
        <f>IF(ISNUMBER(KOHC!D134),KOHC!D134,NA())</f>
        <v>0.14898081420954101</v>
      </c>
      <c r="V162" s="59">
        <f>IF(ISNUMBER(LUCK!D134),LUCK!D134,NA())</f>
        <v>0.11079703731315671</v>
      </c>
      <c r="W162" s="59">
        <f>IF(ISNUMBER(DGKC!D134),DGKC!D134,NA())</f>
        <v>5.5531606121154903E-2</v>
      </c>
      <c r="X162" s="59">
        <f>IF(ISNUMBER(MLCF!D134),MLCF!D134,NA())</f>
        <v>0.13189876556323574</v>
      </c>
      <c r="Y162" s="59">
        <f>IF(ISNUMBER(FCCL!D134),FCCL!D134,NA())</f>
        <v>0.15270083184857988</v>
      </c>
      <c r="Z162" s="59">
        <f>'Industry Averages'!D175</f>
        <v>0.11998181101113366</v>
      </c>
    </row>
    <row r="163" spans="1:26" ht="19.95" customHeight="1" x14ac:dyDescent="0.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t="s">
        <v>40</v>
      </c>
      <c r="U163" s="59">
        <f>IF(ISNUMBER(KOHC!E134),KOHC!E134,NA())</f>
        <v>0.21777808611792054</v>
      </c>
      <c r="V163" s="59">
        <f>IF(ISNUMBER(LUCK!E134),LUCK!E134,NA())</f>
        <v>0.11794695989186292</v>
      </c>
      <c r="W163" s="59">
        <f>IF(ISNUMBER(DGKC!E134),DGKC!E134,NA())</f>
        <v>7.0037177908325046E-2</v>
      </c>
      <c r="X163" s="59">
        <f>IF(ISNUMBER(MLCF!E134),MLCF!E134,NA())</f>
        <v>0.10793191347335213</v>
      </c>
      <c r="Y163" s="59">
        <f>IF(ISNUMBER(FCCL!E134),FCCL!E134,NA())</f>
        <v>0.11014537211566031</v>
      </c>
      <c r="Z163" s="59">
        <f>'Industry Averages'!E175</f>
        <v>0.1247679019014242</v>
      </c>
    </row>
    <row r="164" spans="1:26" ht="19.95" customHeight="1" x14ac:dyDescent="0.3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t="s">
        <v>41</v>
      </c>
      <c r="U164" s="59">
        <f>IF(ISNUMBER(KOHC!F134),KOHC!F134,NA())</f>
        <v>0.22517411964912432</v>
      </c>
      <c r="V164" s="59">
        <f>IF(ISNUMBER(LUCK!F134),LUCK!F134,NA())</f>
        <v>0.10560432010902317</v>
      </c>
      <c r="W164" s="59">
        <f>IF(ISNUMBER(DGKC!F134),DGKC!F134,NA())</f>
        <v>7.3239578935566346E-2</v>
      </c>
      <c r="X164" s="59">
        <f>IF(ISNUMBER(MLCF!F134),MLCF!F134,NA())</f>
        <v>0.13303028097551164</v>
      </c>
      <c r="Y164" s="59">
        <f>IF(ISNUMBER(FCCL!F134),FCCL!F134,NA())</f>
        <v>0.11182804204816831</v>
      </c>
      <c r="Z164" s="59">
        <f>'Industry Averages'!F175</f>
        <v>0.12977526834347874</v>
      </c>
    </row>
    <row r="165" spans="1:26" ht="19.95" customHeight="1" x14ac:dyDescent="0.3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t="s">
        <v>42</v>
      </c>
      <c r="U165" s="59">
        <f>IF(ISNUMBER(KOHC!G134),KOHC!G134,NA())</f>
        <v>0.24509961902567451</v>
      </c>
      <c r="V165" s="59">
        <f>IF(ISNUMBER(LUCK!G134),LUCK!G134,NA())</f>
        <v>0.18352469674459784</v>
      </c>
      <c r="W165" s="59">
        <f>IF(ISNUMBER(DGKC!G134),DGKC!G134,NA())</f>
        <v>7.7781763576617868E-2</v>
      </c>
      <c r="X165" s="59">
        <f>IF(ISNUMBER(MLCF!G134),MLCF!G134,NA())</f>
        <v>0.13069771915820996</v>
      </c>
      <c r="Y165" s="59">
        <f>IF(ISNUMBER(FCCL!G134),FCCL!G134,NA())</f>
        <v>0.14141976696394967</v>
      </c>
      <c r="Z165" s="59">
        <f>'Industry Averages'!G175</f>
        <v>0.15570471309380998</v>
      </c>
    </row>
    <row r="166" spans="1:26" ht="19.95" customHeight="1" x14ac:dyDescent="0.3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t="s">
        <v>43</v>
      </c>
      <c r="U166" s="59">
        <f>IF(ISNUMBER(KOHC!H134),KOHC!H134,NA())</f>
        <v>0.2702780173662766</v>
      </c>
      <c r="V166" s="59">
        <f>IF(ISNUMBER(LUCK!H134),LUCK!H134,NA())</f>
        <v>0.18237850153944901</v>
      </c>
      <c r="W166" s="59">
        <f>IF(ISNUMBER(DGKC!H134),DGKC!H134,NA())</f>
        <v>0.11527453270527682</v>
      </c>
      <c r="X166" s="59">
        <f>IF(ISNUMBER(MLCF!H134),MLCF!H134,NA())</f>
        <v>0.21055306987152678</v>
      </c>
      <c r="Y166" s="59">
        <f>IF(ISNUMBER(FCCL!H134),FCCL!H134,NA())</f>
        <v>0.16910544748583739</v>
      </c>
      <c r="Z166" s="59">
        <f>'Industry Averages'!H175</f>
        <v>0.18951791379367333</v>
      </c>
    </row>
    <row r="167" spans="1:26" ht="19.95" customHeight="1" x14ac:dyDescent="0.3">
      <c r="A167" s="97" t="s">
        <v>236</v>
      </c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</row>
    <row r="168" spans="1:26" ht="19.95" customHeight="1" x14ac:dyDescent="0.3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</row>
    <row r="169" spans="1:26" ht="19.95" customHeight="1" x14ac:dyDescent="0.3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t="s">
        <v>227</v>
      </c>
      <c r="U169" t="s">
        <v>9</v>
      </c>
      <c r="V169" t="s">
        <v>13</v>
      </c>
      <c r="W169" t="s">
        <v>17</v>
      </c>
      <c r="X169" t="s">
        <v>21</v>
      </c>
      <c r="Y169" t="s">
        <v>25</v>
      </c>
      <c r="Z169" t="s">
        <v>228</v>
      </c>
    </row>
    <row r="170" spans="1:26" ht="19.95" customHeight="1" x14ac:dyDescent="0.3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t="s">
        <v>39</v>
      </c>
      <c r="U170" s="57">
        <f>IF(ISNUMBER(KOHC!D136),KOHC!D136,NA())</f>
        <v>17.412549352402124</v>
      </c>
      <c r="V170" s="57">
        <f>IF(ISNUMBER(LUCK!D136),LUCK!D136,NA())</f>
        <v>43.510441437959038</v>
      </c>
      <c r="W170" s="57">
        <f>IF(ISNUMBER(DGKC!D136),DGKC!D136,NA())</f>
        <v>8.4937471274650029</v>
      </c>
      <c r="X170" s="57">
        <f>IF(ISNUMBER(MLCF!D136),MLCF!D136,NA())</f>
        <v>5.6941155155115029</v>
      </c>
      <c r="Y170" s="57">
        <f>IF(ISNUMBER(FCCL!D136),FCCL!D136,NA())</f>
        <v>2.5158090033808875</v>
      </c>
      <c r="Z170" s="57">
        <f>'Industry Averages'!D184</f>
        <v>15.525332487343713</v>
      </c>
    </row>
    <row r="171" spans="1:26" ht="19.95" customHeight="1" x14ac:dyDescent="0.3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t="s">
        <v>40</v>
      </c>
      <c r="U171" s="57">
        <f>IF(ISNUMBER(KOHC!E136),KOHC!E136,NA())</f>
        <v>25.013680261160516</v>
      </c>
      <c r="V171" s="57">
        <f>IF(ISNUMBER(LUCK!E136),LUCK!E136,NA())</f>
        <v>47.309216853498242</v>
      </c>
      <c r="W171" s="57">
        <f>IF(ISNUMBER(DGKC!E136),DGKC!E136,NA())</f>
        <v>6.7838445707817723</v>
      </c>
      <c r="X171" s="57">
        <f>IF(ISNUMBER(MLCF!E136),MLCF!E136,NA())</f>
        <v>3.3041099784606085</v>
      </c>
      <c r="Y171" s="57">
        <f>IF(ISNUMBER(FCCL!E136),FCCL!E136,NA())</f>
        <v>3.2621706372812294</v>
      </c>
      <c r="Z171" s="57">
        <f>'Industry Averages'!E184</f>
        <v>17.134604460236471</v>
      </c>
    </row>
    <row r="172" spans="1:26" ht="19.95" customHeight="1" x14ac:dyDescent="0.3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t="s">
        <v>41</v>
      </c>
      <c r="U172" s="57">
        <f>IF(ISNUMBER(KOHC!F136),KOHC!F136,NA())</f>
        <v>28.978958275869324</v>
      </c>
      <c r="V172" s="57">
        <f>IF(ISNUMBER(LUCK!F136),LUCK!F136,NA())</f>
        <v>43.061512349842658</v>
      </c>
      <c r="W172" s="57" t="e">
        <f>IF(ISNUMBER(DGKC!F136),DGKC!F136,NA())</f>
        <v>#N/A</v>
      </c>
      <c r="X172" s="57">
        <f>IF(ISNUMBER(MLCF!F136),MLCF!F136,NA())</f>
        <v>4.1845053824045904</v>
      </c>
      <c r="Y172" s="57">
        <f>IF(ISNUMBER(FCCL!F136),FCCL!F136,NA())</f>
        <v>3.0330791851886794</v>
      </c>
      <c r="Z172" s="57">
        <f>'Industry Averages'!F184</f>
        <v>19.814513798326313</v>
      </c>
    </row>
    <row r="173" spans="1:26" ht="19.95" customHeight="1" x14ac:dyDescent="0.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t="s">
        <v>42</v>
      </c>
      <c r="U173" s="57">
        <f>IF(ISNUMBER(KOHC!G136),KOHC!G136,NA())</f>
        <v>45.274272678614977</v>
      </c>
      <c r="V173" s="57">
        <f>IF(ISNUMBER(LUCK!G136),LUCK!G136,NA())</f>
        <v>94.540589177116431</v>
      </c>
      <c r="W173" s="57">
        <f>IF(ISNUMBER(DGKC!G136),DGKC!G136,NA())</f>
        <v>1.2380103440270365</v>
      </c>
      <c r="X173" s="57">
        <f>IF(ISNUMBER(MLCF!G136),MLCF!G136,NA())</f>
        <v>4.9791974962957211</v>
      </c>
      <c r="Y173" s="57">
        <f>IF(ISNUMBER(FCCL!G136),FCCL!G136,NA())</f>
        <v>3.3524781610919856</v>
      </c>
      <c r="Z173" s="57">
        <f>'Industry Averages'!G184</f>
        <v>29.876909571429231</v>
      </c>
    </row>
    <row r="174" spans="1:26" ht="19.95" customHeight="1" x14ac:dyDescent="0.3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t="s">
        <v>43</v>
      </c>
      <c r="U174" s="57">
        <f>IF(ISNUMBER(KOHC!H136),KOHC!H136,NA())</f>
        <v>59.842054600869929</v>
      </c>
      <c r="V174" s="57">
        <f>IF(ISNUMBER(LUCK!H136),LUCK!H136,NA())</f>
        <v>22.588506484641641</v>
      </c>
      <c r="W174" s="57">
        <f>IF(ISNUMBER(DGKC!H136),DGKC!H136,NA())</f>
        <v>19.800685803443983</v>
      </c>
      <c r="X174" s="57">
        <f>IF(ISNUMBER(MLCF!H136),MLCF!H136,NA())</f>
        <v>16.262863426829693</v>
      </c>
      <c r="Y174" s="57">
        <f>IF(ISNUMBER(FCCL!H136),FCCL!H136,NA())</f>
        <v>5.4329528095311241</v>
      </c>
      <c r="Z174" s="57">
        <f>'Industry Averages'!H184</f>
        <v>24.785412625063277</v>
      </c>
    </row>
    <row r="175" spans="1:26" ht="19.95" customHeight="1" x14ac:dyDescent="0.3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</row>
    <row r="176" spans="1:26" ht="19.95" customHeight="1" x14ac:dyDescent="0.3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</row>
    <row r="177" spans="1:26" ht="19.95" customHeight="1" x14ac:dyDescent="0.3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t="s">
        <v>227</v>
      </c>
      <c r="U177" t="s">
        <v>9</v>
      </c>
      <c r="V177" t="s">
        <v>13</v>
      </c>
      <c r="W177" t="s">
        <v>17</v>
      </c>
      <c r="X177" t="s">
        <v>21</v>
      </c>
      <c r="Y177" t="s">
        <v>25</v>
      </c>
      <c r="Z177" t="s">
        <v>228</v>
      </c>
    </row>
    <row r="178" spans="1:26" ht="19.95" customHeight="1" x14ac:dyDescent="0.3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t="s">
        <v>39</v>
      </c>
      <c r="U178" s="57">
        <f>IF(ISNUMBER(KOHC!D137),KOHC!D137,NA())</f>
        <v>110.64122209168052</v>
      </c>
      <c r="V178" s="57">
        <f>IF(ISNUMBER(LUCK!D137),LUCK!D137,NA())</f>
        <v>350.05878005411677</v>
      </c>
      <c r="W178" s="57">
        <f>IF(ISNUMBER(DGKC!D137),DGKC!D137,NA())</f>
        <v>167.71209700741193</v>
      </c>
      <c r="X178" s="57">
        <f>IF(ISNUMBER(MLCF!D137),MLCF!D137,NA())</f>
        <v>34.180972265393187</v>
      </c>
      <c r="Y178" s="57">
        <f>IF(ISNUMBER(FCCL!D137),FCCL!D137,NA())</f>
        <v>16.868689643176804</v>
      </c>
      <c r="Z178" s="57">
        <f>'Industry Averages'!D192</f>
        <v>135.89235221235583</v>
      </c>
    </row>
    <row r="179" spans="1:26" ht="19.95" customHeight="1" x14ac:dyDescent="0.3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t="s">
        <v>40</v>
      </c>
      <c r="U179" s="57">
        <f>IF(ISNUMBER(KOHC!E137),KOHC!E137,NA())</f>
        <v>135.64693964412666</v>
      </c>
      <c r="V179" s="57">
        <f>IF(ISNUMBER(LUCK!E137),LUCK!E137,NA())</f>
        <v>397.49617008117508</v>
      </c>
      <c r="W179" s="57">
        <f>IF(ISNUMBER(DGKC!E137),DGKC!E137,NA())</f>
        <v>159.58697532246367</v>
      </c>
      <c r="X179" s="57">
        <f>IF(ISNUMBER(MLCF!E137),MLCF!E137,NA())</f>
        <v>37.561557627459578</v>
      </c>
      <c r="Y179" s="57">
        <f>IF(ISNUMBER(FCCL!E137),FCCL!E137,NA())</f>
        <v>26.480675904195227</v>
      </c>
      <c r="Z179" s="57">
        <f>'Industry Averages'!E192</f>
        <v>151.35446371588404</v>
      </c>
    </row>
    <row r="180" spans="1:26" ht="19.95" customHeight="1" x14ac:dyDescent="0.3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t="s">
        <v>41</v>
      </c>
      <c r="U180" s="57">
        <f>IF(ISNUMBER(KOHC!F137),KOHC!F137,NA())</f>
        <v>162.35106244484723</v>
      </c>
      <c r="V180" s="57">
        <f>IF(ISNUMBER(LUCK!F137),LUCK!F137,NA())</f>
        <v>440.50456229600826</v>
      </c>
      <c r="W180" s="57">
        <f>IF(ISNUMBER(DGKC!F137),DGKC!F137,NA())</f>
        <v>146.51786922779672</v>
      </c>
      <c r="X180" s="57">
        <f>IF(ISNUMBER(MLCF!F137),MLCF!F137,NA())</f>
        <v>41.844014540695262</v>
      </c>
      <c r="Y180" s="57">
        <f>IF(ISNUMBER(FCCL!F137),FCCL!F137,NA())</f>
        <v>26.571458006604239</v>
      </c>
      <c r="Z180" s="57">
        <f>'Industry Averages'!F192</f>
        <v>163.55779330319035</v>
      </c>
    </row>
    <row r="181" spans="1:26" ht="19.95" customHeight="1" x14ac:dyDescent="0.3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t="s">
        <v>42</v>
      </c>
      <c r="U181" s="57">
        <f>IF(ISNUMBER(KOHC!G137),KOHC!G137,NA())</f>
        <v>209.79287853383309</v>
      </c>
      <c r="V181" s="57">
        <f>IF(ISNUMBER(LUCK!G137),LUCK!G137,NA())</f>
        <v>504.3046996587031</v>
      </c>
      <c r="W181" s="57">
        <f>IF(ISNUMBER(DGKC!G137),DGKC!G137,NA())</f>
        <v>173.12082034314415</v>
      </c>
      <c r="X181" s="57">
        <f>IF(ISNUMBER(MLCF!G137),MLCF!G137,NA())</f>
        <v>50.226982139301263</v>
      </c>
      <c r="Y181" s="57">
        <f>IF(ISNUMBER(FCCL!G137),FCCL!G137,NA())</f>
        <v>29.923935347634316</v>
      </c>
      <c r="Z181" s="57">
        <f>'Industry Averages'!G192</f>
        <v>193.47386320452318</v>
      </c>
    </row>
    <row r="182" spans="1:26" ht="19.95" customHeight="1" x14ac:dyDescent="0.3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t="s">
        <v>43</v>
      </c>
      <c r="U182" s="57">
        <f>IF(ISNUMBER(KOHC!H137),KOHC!H137,NA())</f>
        <v>260.8226721418157</v>
      </c>
      <c r="V182" s="57">
        <f>IF(ISNUMBER(LUCK!H137),LUCK!H137,NA())</f>
        <v>120.07535836177475</v>
      </c>
      <c r="W182" s="57">
        <f>IF(ISNUMBER(DGKC!H137),DGKC!H137,NA())</f>
        <v>216.07703932560804</v>
      </c>
      <c r="X182" s="57">
        <f>IF(ISNUMBER(MLCF!H137),MLCF!H137,NA())</f>
        <v>68.217013474898792</v>
      </c>
      <c r="Y182" s="57">
        <f>IF(ISNUMBER(FCCL!H137),FCCL!H137,NA())</f>
        <v>34.356887072804682</v>
      </c>
      <c r="Z182" s="57">
        <f>'Industry Averages'!H192</f>
        <v>139.90979407538038</v>
      </c>
    </row>
    <row r="183" spans="1:26" ht="19.95" customHeight="1" x14ac:dyDescent="0.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</row>
    <row r="184" spans="1:26" ht="19.95" customHeight="1" x14ac:dyDescent="0.3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</row>
    <row r="185" spans="1:26" ht="19.95" customHeight="1" x14ac:dyDescent="0.3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t="s">
        <v>227</v>
      </c>
      <c r="U185" t="s">
        <v>9</v>
      </c>
      <c r="V185" t="s">
        <v>13</v>
      </c>
      <c r="W185" t="s">
        <v>17</v>
      </c>
      <c r="X185" t="s">
        <v>21</v>
      </c>
      <c r="Y185" t="s">
        <v>25</v>
      </c>
      <c r="Z185" t="s">
        <v>228</v>
      </c>
    </row>
    <row r="186" spans="1:26" ht="19.95" customHeight="1" x14ac:dyDescent="0.3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t="s">
        <v>39</v>
      </c>
      <c r="U186" s="57">
        <f>IF(ISNUMBER(KOHC!D138),KOHC!D138,NA())</f>
        <v>11.858688571154802</v>
      </c>
      <c r="V186" s="57">
        <f>IF(ISNUMBER(LUCK!D138),LUCK!D138,NA())</f>
        <v>19.844432082610968</v>
      </c>
      <c r="W186" s="57">
        <f>IF(ISNUMBER(DGKC!D138),DGKC!D138,NA())</f>
        <v>13.883154069739035</v>
      </c>
      <c r="X186" s="57">
        <f>IF(ISNUMBER(MLCF!D138),MLCF!D138,NA())</f>
        <v>8.2506229232653325</v>
      </c>
      <c r="Y186" s="57">
        <f>IF(ISNUMBER(FCCL!D138),FCCL!D138,NA())</f>
        <v>9.1421884447870596</v>
      </c>
      <c r="Z186" s="57">
        <f>'Industry Averages'!D200</f>
        <v>12.59581721831144</v>
      </c>
    </row>
    <row r="187" spans="1:26" ht="19.95" customHeight="1" x14ac:dyDescent="0.3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t="s">
        <v>40</v>
      </c>
      <c r="U187" s="57">
        <f>IF(ISNUMBER(KOHC!E138),KOHC!E138,NA())</f>
        <v>5.2023532179731546</v>
      </c>
      <c r="V187" s="57">
        <f>IF(ISNUMBER(LUCK!E138),LUCK!E138,NA())</f>
        <v>9.7029718632101325</v>
      </c>
      <c r="W187" s="57">
        <f>IF(ISNUMBER(DGKC!E138),DGKC!E138,NA())</f>
        <v>9.2130648554640278</v>
      </c>
      <c r="X187" s="57">
        <f>IF(ISNUMBER(MLCF!E138),MLCF!E138,NA())</f>
        <v>8.2775695053414715</v>
      </c>
      <c r="Y187" s="57">
        <f>IF(ISNUMBER(FCCL!E138),FCCL!E138,NA())</f>
        <v>4.3437335368236942</v>
      </c>
      <c r="Z187" s="57">
        <f>'Industry Averages'!E200</f>
        <v>7.3479385957624954</v>
      </c>
    </row>
    <row r="188" spans="1:26" ht="19.95" customHeight="1" x14ac:dyDescent="0.3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t="s">
        <v>41</v>
      </c>
      <c r="U188" s="57">
        <f>IF(ISNUMBER(KOHC!F138),KOHC!F138,NA())</f>
        <v>5.9860674889907219</v>
      </c>
      <c r="V188" s="57">
        <f>IF(ISNUMBER(LUCK!F138),LUCK!F138,NA())</f>
        <v>12.124283879265743</v>
      </c>
      <c r="W188" s="57" t="e">
        <f>IF(ISNUMBER(DGKC!F138),DGKC!F138,NA())</f>
        <v>#N/A</v>
      </c>
      <c r="X188" s="57">
        <f>IF(ISNUMBER(MLCF!F138),MLCF!F138,NA())</f>
        <v>6.7702147353244424</v>
      </c>
      <c r="Y188" s="57">
        <f>IF(ISNUMBER(FCCL!F138),FCCL!F138,NA())</f>
        <v>3.877247932539039</v>
      </c>
      <c r="Z188" s="57">
        <f>'Industry Averages'!F200</f>
        <v>7.1894535090299874</v>
      </c>
    </row>
    <row r="189" spans="1:26" ht="19.95" customHeight="1" x14ac:dyDescent="0.3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t="s">
        <v>42</v>
      </c>
      <c r="U189" s="57">
        <f>IF(ISNUMBER(KOHC!G138),KOHC!G138,NA())</f>
        <v>5.5313975285193058</v>
      </c>
      <c r="V189" s="57">
        <f>IF(ISNUMBER(LUCK!G138),LUCK!G138,NA())</f>
        <v>9.5909070156236584</v>
      </c>
      <c r="W189" s="57">
        <f>IF(ISNUMBER(DGKC!G138),DGKC!G138,NA())</f>
        <v>72.91538429829842</v>
      </c>
      <c r="X189" s="57">
        <f>IF(ISNUMBER(MLCF!G138),MLCF!G138,NA())</f>
        <v>7.6317519094733912</v>
      </c>
      <c r="Y189" s="57">
        <f>IF(ISNUMBER(FCCL!G138),FCCL!G138,NA())</f>
        <v>6.8337507059367812</v>
      </c>
      <c r="Z189" s="57">
        <f>'Industry Averages'!G200</f>
        <v>20.500638291570311</v>
      </c>
    </row>
    <row r="190" spans="1:26" ht="19.95" customHeight="1" x14ac:dyDescent="0.3">
      <c r="A190" s="97" t="s">
        <v>237</v>
      </c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t="s">
        <v>43</v>
      </c>
      <c r="U190" s="57">
        <f>IF(ISNUMBER(KOHC!H138),KOHC!H138,NA())</f>
        <v>6.3393545313613817</v>
      </c>
      <c r="V190" s="57">
        <f>IF(ISNUMBER(LUCK!H138),LUCK!H138,NA())</f>
        <v>15.726582022655393</v>
      </c>
      <c r="W190" s="57">
        <f>IF(ISNUMBER(DGKC!H138),DGKC!H138,NA())</f>
        <v>8.3613265542147914</v>
      </c>
      <c r="X190" s="57">
        <f>IF(ISNUMBER(MLCF!H138),MLCF!H138,NA())</f>
        <v>5.1823592062489379</v>
      </c>
      <c r="Y190" s="57">
        <f>IF(ISNUMBER(FCCL!H138),FCCL!H138,NA())</f>
        <v>8.2220482242427426</v>
      </c>
      <c r="Z190" s="57">
        <f>'Industry Averages'!H200</f>
        <v>8.7663341077446493</v>
      </c>
    </row>
    <row r="191" spans="1:26" ht="19.95" customHeight="1" x14ac:dyDescent="0.3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</row>
    <row r="192" spans="1:26" ht="19.95" customHeight="1" x14ac:dyDescent="0.3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</row>
    <row r="193" spans="1:26" ht="19.95" customHeight="1" x14ac:dyDescent="0.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t="s">
        <v>227</v>
      </c>
      <c r="U193" t="s">
        <v>9</v>
      </c>
      <c r="V193" t="s">
        <v>13</v>
      </c>
      <c r="W193" t="s">
        <v>17</v>
      </c>
      <c r="X193" t="s">
        <v>21</v>
      </c>
      <c r="Y193" t="s">
        <v>25</v>
      </c>
      <c r="Z193" t="s">
        <v>228</v>
      </c>
    </row>
    <row r="194" spans="1:26" ht="19.95" customHeight="1" x14ac:dyDescent="0.3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t="s">
        <v>39</v>
      </c>
      <c r="U194" s="57">
        <f>IF(ISNUMBER(KOHC!D139),KOHC!D139,NA())</f>
        <v>1.8663025958706099</v>
      </c>
      <c r="V194" s="57">
        <f>IF(ISNUMBER(LUCK!D139),LUCK!D139,NA())</f>
        <v>2.4665571875286716</v>
      </c>
      <c r="W194" s="57">
        <f>IF(ISNUMBER(DGKC!D139),DGKC!D139,NA())</f>
        <v>0.7031096868032638</v>
      </c>
      <c r="X194" s="57">
        <f>IF(ISNUMBER(MLCF!D139),MLCF!D139,NA())</f>
        <v>1.3744489078669448</v>
      </c>
      <c r="Y194" s="57">
        <f>IF(ISNUMBER(FCCL!D139),FCCL!D139,NA())</f>
        <v>1.3634728296339984</v>
      </c>
      <c r="Z194" s="57">
        <f>'Industry Averages'!D208</f>
        <v>1.5547782415406979</v>
      </c>
    </row>
    <row r="195" spans="1:26" ht="19.95" customHeight="1" x14ac:dyDescent="0.3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t="s">
        <v>40</v>
      </c>
      <c r="U195" s="57">
        <f>IF(ISNUMBER(KOHC!E139),KOHC!E139,NA())</f>
        <v>0.95932868328175702</v>
      </c>
      <c r="V195" s="57">
        <f>IF(ISNUMBER(LUCK!E139),LUCK!E139,NA())</f>
        <v>1.1548287368561481</v>
      </c>
      <c r="W195" s="57">
        <f>IF(ISNUMBER(DGKC!E139),DGKC!E139,NA())</f>
        <v>0.39163597075332512</v>
      </c>
      <c r="X195" s="57">
        <f>IF(ISNUMBER(MLCF!E139),MLCF!E139,NA())</f>
        <v>0.72813806794864222</v>
      </c>
      <c r="Y195" s="57">
        <f>IF(ISNUMBER(FCCL!E139),FCCL!E139,NA())</f>
        <v>0.53510718726613404</v>
      </c>
      <c r="Z195" s="57">
        <f>'Industry Averages'!E208</f>
        <v>0.75380772922120132</v>
      </c>
    </row>
    <row r="196" spans="1:26" ht="19.95" customHeight="1" x14ac:dyDescent="0.3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t="s">
        <v>41</v>
      </c>
      <c r="U196" s="57">
        <f>IF(ISNUMBER(KOHC!F139),KOHC!F139,NA())</f>
        <v>1.0684870021034203</v>
      </c>
      <c r="V196" s="57">
        <f>IF(ISNUMBER(LUCK!F139),LUCK!F139,NA())</f>
        <v>1.1852090640758639</v>
      </c>
      <c r="W196" s="57">
        <f>IF(ISNUMBER(DGKC!F139),DGKC!F139,NA())</f>
        <v>0.35012794187063967</v>
      </c>
      <c r="X196" s="57">
        <f>IF(ISNUMBER(MLCF!F139),MLCF!F139,NA())</f>
        <v>0.67703828877240613</v>
      </c>
      <c r="Y196" s="57">
        <f>IF(ISNUMBER(FCCL!F139),FCCL!F139,NA())</f>
        <v>0.44258015488186969</v>
      </c>
      <c r="Z196" s="57">
        <f>'Industry Averages'!F208</f>
        <v>0.74468849034083984</v>
      </c>
    </row>
    <row r="197" spans="1:26" ht="19.95" customHeight="1" x14ac:dyDescent="0.3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t="s">
        <v>42</v>
      </c>
      <c r="U197" s="57">
        <f>IF(ISNUMBER(KOHC!G139),KOHC!G139,NA())</f>
        <v>1.1937011482475723</v>
      </c>
      <c r="V197" s="57">
        <f>IF(ISNUMBER(LUCK!G139),LUCK!G139,NA())</f>
        <v>1.7979804681845026</v>
      </c>
      <c r="W197" s="57">
        <f>IF(ISNUMBER(DGKC!G139),DGKC!G139,NA())</f>
        <v>0.52142775098382221</v>
      </c>
      <c r="X197" s="57">
        <f>IF(ISNUMBER(MLCF!G139),MLCF!G139,NA())</f>
        <v>0.75656546305349337</v>
      </c>
      <c r="Y197" s="57">
        <f>IF(ISNUMBER(FCCL!G139),FCCL!G139,NA())</f>
        <v>0.76560785651514207</v>
      </c>
      <c r="Z197" s="57">
        <f>'Industry Averages'!G208</f>
        <v>1.0070565373969065</v>
      </c>
    </row>
    <row r="198" spans="1:26" ht="19.95" customHeight="1" x14ac:dyDescent="0.3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t="s">
        <v>43</v>
      </c>
      <c r="U198" s="57">
        <f>IF(ISNUMBER(KOHC!H139),KOHC!H139,NA())</f>
        <v>1.4544747850514033</v>
      </c>
      <c r="V198" s="57">
        <f>IF(ISNUMBER(LUCK!H139),LUCK!H139,NA())</f>
        <v>2.9584754511387614</v>
      </c>
      <c r="W198" s="57">
        <f>IF(ISNUMBER(DGKC!H139),DGKC!H139,NA())</f>
        <v>0.76620820294800718</v>
      </c>
      <c r="X198" s="57">
        <f>IF(ISNUMBER(MLCF!H139),MLCF!H139,NA())</f>
        <v>1.2354689205356633</v>
      </c>
      <c r="Y198" s="57">
        <f>IF(ISNUMBER(FCCL!H139),FCCL!H139,NA())</f>
        <v>1.3001759998029245</v>
      </c>
      <c r="Z198" s="57">
        <f>'Industry Averages'!H208</f>
        <v>1.5429606718953519</v>
      </c>
    </row>
    <row r="199" spans="1:26" ht="19.95" customHeight="1" x14ac:dyDescent="0.3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</row>
    <row r="200" spans="1:26" ht="19.95" customHeight="1" x14ac:dyDescent="0.3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</row>
    <row r="201" spans="1:26" ht="19.95" customHeight="1" x14ac:dyDescent="0.3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t="s">
        <v>227</v>
      </c>
      <c r="U201" t="s">
        <v>9</v>
      </c>
      <c r="V201" t="s">
        <v>13</v>
      </c>
      <c r="W201" t="s">
        <v>17</v>
      </c>
      <c r="X201" t="s">
        <v>21</v>
      </c>
      <c r="Y201" t="s">
        <v>25</v>
      </c>
      <c r="Z201" t="s">
        <v>228</v>
      </c>
    </row>
    <row r="202" spans="1:26" ht="19.95" customHeight="1" x14ac:dyDescent="0.3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t="s">
        <v>39</v>
      </c>
      <c r="U202" s="59">
        <f>IF(ISNUMBER(KOHC!D140),KOHC!D140,NA())</f>
        <v>0</v>
      </c>
      <c r="V202" s="59">
        <f>IF(ISNUMBER(LUCK!D140),LUCK!D140,NA())</f>
        <v>0</v>
      </c>
      <c r="W202" s="59">
        <f>IF(ISNUMBER(DGKC!D140),DGKC!D140,NA())</f>
        <v>8.4803256445047485E-3</v>
      </c>
      <c r="X202" s="59">
        <f>IF(ISNUMBER(MLCF!D140),MLCF!D140,NA())</f>
        <v>0</v>
      </c>
      <c r="Y202" s="59">
        <f>IF(ISNUMBER(FCCL!D140),FCCL!D140,NA())</f>
        <v>0</v>
      </c>
      <c r="Z202" s="59">
        <f>'Industry Averages'!D216</f>
        <v>1.6960651289009497E-3</v>
      </c>
    </row>
    <row r="203" spans="1:26" ht="19.95" customHeight="1" x14ac:dyDescent="0.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t="s">
        <v>40</v>
      </c>
      <c r="U203" s="59">
        <f>IF(ISNUMBER(KOHC!E140),KOHC!E140,NA())</f>
        <v>0</v>
      </c>
      <c r="V203" s="59">
        <f>IF(ISNUMBER(LUCK!E140),LUCK!E140,NA())</f>
        <v>0</v>
      </c>
      <c r="W203" s="59">
        <f>IF(ISNUMBER(DGKC!E140),DGKC!E140,NA())</f>
        <v>1.6E-2</v>
      </c>
      <c r="X203" s="59">
        <f>IF(ISNUMBER(MLCF!E140),MLCF!E140,NA())</f>
        <v>0</v>
      </c>
      <c r="Y203" s="59">
        <f>IF(ISNUMBER(FCCL!E140),FCCL!E140,NA())</f>
        <v>0</v>
      </c>
      <c r="Z203" s="59">
        <f>'Industry Averages'!E216</f>
        <v>3.2000000000000002E-3</v>
      </c>
    </row>
    <row r="204" spans="1:26" ht="19.95" customHeight="1" x14ac:dyDescent="0.3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t="s">
        <v>41</v>
      </c>
      <c r="U204" s="59">
        <f>IF(ISNUMBER(KOHC!F140),KOHC!F140,NA())</f>
        <v>0</v>
      </c>
      <c r="V204" s="59">
        <f>IF(ISNUMBER(LUCK!F140),LUCK!F140,NA())</f>
        <v>3.4476814342354764E-2</v>
      </c>
      <c r="W204" s="59">
        <f>IF(ISNUMBER(DGKC!F140),DGKC!F140,NA())</f>
        <v>0</v>
      </c>
      <c r="X204" s="59">
        <f>IF(ISNUMBER(MLCF!F140),MLCF!F140,NA())</f>
        <v>0</v>
      </c>
      <c r="Y204" s="59">
        <f>IF(ISNUMBER(FCCL!F140),FCCL!F140,NA())</f>
        <v>0</v>
      </c>
      <c r="Z204" s="59">
        <f>'Industry Averages'!F216</f>
        <v>6.8953628684709526E-3</v>
      </c>
    </row>
    <row r="205" spans="1:26" ht="19.95" customHeight="1" x14ac:dyDescent="0.3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t="s">
        <v>42</v>
      </c>
      <c r="U205" s="59">
        <f>IF(ISNUMBER(KOHC!G140),KOHC!G140,NA())</f>
        <v>0</v>
      </c>
      <c r="V205" s="59">
        <f>IF(ISNUMBER(LUCK!G140),LUCK!G140,NA())</f>
        <v>1.6542962072502287E-2</v>
      </c>
      <c r="W205" s="59">
        <f>IF(ISNUMBER(DGKC!G140),DGKC!G140,NA())</f>
        <v>0</v>
      </c>
      <c r="X205" s="59">
        <f>IF(ISNUMBER(MLCF!G140),MLCF!G140,NA())</f>
        <v>0</v>
      </c>
      <c r="Y205" s="59">
        <f>IF(ISNUMBER(FCCL!G140),FCCL!G140,NA())</f>
        <v>4.3649061545176782E-2</v>
      </c>
      <c r="Z205" s="59">
        <f>'Industry Averages'!G216</f>
        <v>1.2038404723535814E-2</v>
      </c>
    </row>
    <row r="206" spans="1:26" ht="19.95" customHeight="1" x14ac:dyDescent="0.3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t="s">
        <v>43</v>
      </c>
      <c r="U206" s="59">
        <f>IF(ISNUMBER(KOHC!H140),KOHC!H140,NA())</f>
        <v>0</v>
      </c>
      <c r="V206" s="59">
        <f>IF(ISNUMBER(LUCK!H140),LUCK!H140,NA())</f>
        <v>1.1259993244004052E-2</v>
      </c>
      <c r="W206" s="59">
        <f>IF(ISNUMBER(DGKC!H140),DGKC!H140,NA())</f>
        <v>1.2080212611741966E-2</v>
      </c>
      <c r="X206" s="59">
        <f>IF(ISNUMBER(MLCF!H140),MLCF!H140,NA())</f>
        <v>0</v>
      </c>
      <c r="Y206" s="59">
        <f>IF(ISNUMBER(FCCL!H140),FCCL!H140,NA())</f>
        <v>2.7982986344302664E-2</v>
      </c>
      <c r="Z206" s="59">
        <f>'Industry Averages'!H216</f>
        <v>1.0264638440009737E-2</v>
      </c>
    </row>
    <row r="207" spans="1:26" ht="19.95" customHeight="1" x14ac:dyDescent="0.3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</row>
    <row r="208" spans="1:26" ht="19.95" customHeight="1" x14ac:dyDescent="0.3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</row>
    <row r="209" spans="1:26" ht="19.95" customHeight="1" x14ac:dyDescent="0.3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t="s">
        <v>227</v>
      </c>
      <c r="U209" t="s">
        <v>9</v>
      </c>
      <c r="V209" t="s">
        <v>13</v>
      </c>
      <c r="W209" t="s">
        <v>17</v>
      </c>
      <c r="X209" t="s">
        <v>21</v>
      </c>
      <c r="Y209" t="s">
        <v>25</v>
      </c>
      <c r="Z209" t="s">
        <v>228</v>
      </c>
    </row>
    <row r="210" spans="1:26" ht="19.95" customHeight="1" x14ac:dyDescent="0.3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t="s">
        <v>39</v>
      </c>
      <c r="U210" s="57">
        <f>IF(ISNUMBER(KOHC!D141),KOHC!D141,NA())</f>
        <v>7.030703799061059</v>
      </c>
      <c r="V210" s="57">
        <f>IF(ISNUMBER(LUCK!D141),LUCK!D141,NA())</f>
        <v>12.530231924140164</v>
      </c>
      <c r="W210" s="57">
        <f>IF(ISNUMBER(DGKC!D141),DGKC!D141,NA())</f>
        <v>8.4672094053907152</v>
      </c>
      <c r="X210" s="57">
        <f>IF(ISNUMBER(MLCF!D141),MLCF!D141,NA())</f>
        <v>5.6223501239668989</v>
      </c>
      <c r="Y210" s="57">
        <f>IF(ISNUMBER(FCCL!D141),FCCL!D141,NA())</f>
        <v>4.9126800998035849</v>
      </c>
      <c r="Z210" s="57">
        <f>'Industry Averages'!D224</f>
        <v>7.7126350704724844</v>
      </c>
    </row>
    <row r="211" spans="1:26" ht="19.95" customHeight="1" x14ac:dyDescent="0.3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t="s">
        <v>40</v>
      </c>
      <c r="U211" s="57">
        <f>IF(ISNUMBER(KOHC!E141),KOHC!E141,NA())</f>
        <v>2.8460065892461768</v>
      </c>
      <c r="V211" s="57">
        <f>IF(ISNUMBER(LUCK!E141),LUCK!E141,NA())</f>
        <v>5.6439003003016683</v>
      </c>
      <c r="W211" s="57">
        <f>IF(ISNUMBER(DGKC!E141),DGKC!E141,NA())</f>
        <v>5.5150906801201929</v>
      </c>
      <c r="X211" s="57">
        <f>IF(ISNUMBER(MLCF!E141),MLCF!E141,NA())</f>
        <v>4.4912459172048038</v>
      </c>
      <c r="Y211" s="57">
        <f>IF(ISNUMBER(FCCL!E141),FCCL!E141,NA())</f>
        <v>3.9999441320816422</v>
      </c>
      <c r="Z211" s="57">
        <f>'Industry Averages'!E224</f>
        <v>4.4992375237908968</v>
      </c>
    </row>
    <row r="212" spans="1:26" ht="19.95" customHeight="1" x14ac:dyDescent="0.3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t="s">
        <v>41</v>
      </c>
      <c r="U212" s="57">
        <f>IF(ISNUMBER(KOHC!F141),KOHC!F141,NA())</f>
        <v>3.0390586129963157</v>
      </c>
      <c r="V212" s="57">
        <f>IF(ISNUMBER(LUCK!F141),LUCK!F141,NA())</f>
        <v>5.6924500846825419</v>
      </c>
      <c r="W212" s="57">
        <f>IF(ISNUMBER(DGKC!F141),DGKC!F141,NA())</f>
        <v>4.7839328299471351</v>
      </c>
      <c r="X212" s="57">
        <f>IF(ISNUMBER(MLCF!F141),MLCF!F141,NA())</f>
        <v>3.2721791070017887</v>
      </c>
      <c r="Y212" s="57">
        <f>IF(ISNUMBER(FCCL!F141),FCCL!F141,NA())</f>
        <v>3.9638226712605413</v>
      </c>
      <c r="Z212" s="57">
        <f>'Industry Averages'!F224</f>
        <v>4.1502886611776644</v>
      </c>
    </row>
    <row r="213" spans="1:26" ht="19.95" customHeight="1" x14ac:dyDescent="0.3">
      <c r="A213" s="97" t="s">
        <v>238</v>
      </c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t="s">
        <v>42</v>
      </c>
      <c r="U213" s="57">
        <f>IF(ISNUMBER(KOHC!G141),KOHC!G141,NA())</f>
        <v>3.2191008909496732</v>
      </c>
      <c r="V213" s="57">
        <f>IF(ISNUMBER(LUCK!G141),LUCK!G141,NA())</f>
        <v>5.178403100254557</v>
      </c>
      <c r="W213" s="57">
        <f>IF(ISNUMBER(DGKC!G141),DGKC!G141,NA())</f>
        <v>5.0911516840273263</v>
      </c>
      <c r="X213" s="57">
        <f>IF(ISNUMBER(MLCF!G141),MLCF!G141,NA())</f>
        <v>3.3522633268626687</v>
      </c>
      <c r="Y213" s="57">
        <f>IF(ISNUMBER(FCCL!G141),FCCL!G141,NA())</f>
        <v>3.9028355635230949</v>
      </c>
      <c r="Z213" s="57">
        <f>'Industry Averages'!G224</f>
        <v>4.1487509131234637</v>
      </c>
    </row>
    <row r="214" spans="1:26" ht="19.95" customHeight="1" x14ac:dyDescent="0.3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t="s">
        <v>43</v>
      </c>
      <c r="U214" s="57">
        <f>IF(ISNUMBER(KOHC!H141),KOHC!H141,NA())</f>
        <v>3.6540457208322041</v>
      </c>
      <c r="V214" s="57">
        <f>IF(ISNUMBER(LUCK!H141),LUCK!H141,NA())</f>
        <v>8.5282679327793396</v>
      </c>
      <c r="W214" s="57">
        <f>IF(ISNUMBER(DGKC!H141),DGKC!H141,NA())</f>
        <v>4.5245291189336676</v>
      </c>
      <c r="X214" s="57">
        <f>IF(ISNUMBER(MLCF!H141),MLCF!H141,NA())</f>
        <v>3.4441662826745523</v>
      </c>
      <c r="Y214" s="57">
        <f>IF(ISNUMBER(FCCL!H141),FCCL!H141,NA())</f>
        <v>4.5760845203336329</v>
      </c>
      <c r="Z214" s="57">
        <f>'Industry Averages'!H224</f>
        <v>4.9454187151106792</v>
      </c>
    </row>
    <row r="215" spans="1:26" ht="19.95" customHeight="1" x14ac:dyDescent="0.3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</row>
    <row r="216" spans="1:26" ht="19.95" customHeight="1" x14ac:dyDescent="0.3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</row>
    <row r="217" spans="1:26" ht="19.95" customHeight="1" x14ac:dyDescent="0.3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</row>
    <row r="218" spans="1:26" ht="19.95" customHeight="1" x14ac:dyDescent="0.3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</row>
    <row r="219" spans="1:26" ht="19.95" customHeight="1" x14ac:dyDescent="0.3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</row>
    <row r="220" spans="1:26" ht="19.95" customHeight="1" x14ac:dyDescent="0.3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</row>
    <row r="221" spans="1:26" ht="19.95" customHeight="1" x14ac:dyDescent="0.3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</row>
    <row r="222" spans="1:26" ht="19.95" customHeight="1" x14ac:dyDescent="0.3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</row>
    <row r="223" spans="1:26" ht="19.95" customHeight="1" x14ac:dyDescent="0.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</row>
    <row r="224" spans="1:26" ht="19.95" customHeight="1" x14ac:dyDescent="0.3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</row>
    <row r="225" spans="1:19" ht="19.95" customHeight="1" x14ac:dyDescent="0.3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</row>
    <row r="226" spans="1:19" ht="19.95" customHeight="1" x14ac:dyDescent="0.3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</row>
    <row r="227" spans="1:19" ht="19.95" customHeight="1" x14ac:dyDescent="0.3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</row>
    <row r="228" spans="1:19" ht="19.95" customHeight="1" x14ac:dyDescent="0.3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</row>
    <row r="229" spans="1:19" ht="19.95" customHeight="1" x14ac:dyDescent="0.3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</row>
    <row r="230" spans="1:19" ht="19.95" customHeight="1" x14ac:dyDescent="0.3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</row>
    <row r="231" spans="1:19" ht="19.95" customHeight="1" x14ac:dyDescent="0.3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</row>
    <row r="232" spans="1:19" ht="19.95" customHeight="1" x14ac:dyDescent="0.3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</row>
    <row r="233" spans="1:19" ht="19.95" customHeight="1" x14ac:dyDescent="0.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</row>
    <row r="234" spans="1:19" ht="19.95" customHeight="1" x14ac:dyDescent="0.3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</row>
    <row r="235" spans="1:19" ht="19.95" customHeight="1" x14ac:dyDescent="0.3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</row>
    <row r="236" spans="1:19" ht="19.95" customHeight="1" x14ac:dyDescent="0.3">
      <c r="A236" s="97" t="s">
        <v>239</v>
      </c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</row>
    <row r="237" spans="1:19" ht="19.95" customHeight="1" x14ac:dyDescent="0.3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</row>
    <row r="238" spans="1:19" ht="19.95" customHeight="1" x14ac:dyDescent="0.3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</row>
    <row r="239" spans="1:19" ht="19.95" customHeight="1" x14ac:dyDescent="0.3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</row>
    <row r="240" spans="1:19" ht="19.95" customHeight="1" x14ac:dyDescent="0.3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</row>
    <row r="241" spans="1:19" ht="19.95" customHeight="1" x14ac:dyDescent="0.3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</row>
    <row r="242" spans="1:19" ht="19.95" customHeight="1" x14ac:dyDescent="0.3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</row>
    <row r="243" spans="1:19" ht="19.95" customHeight="1" x14ac:dyDescent="0.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</row>
    <row r="244" spans="1:19" ht="19.95" customHeight="1" x14ac:dyDescent="0.3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</row>
    <row r="245" spans="1:19" ht="19.95" customHeight="1" x14ac:dyDescent="0.3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</row>
    <row r="246" spans="1:19" ht="19.95" customHeight="1" x14ac:dyDescent="0.3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</row>
    <row r="247" spans="1:19" ht="19.95" customHeight="1" x14ac:dyDescent="0.3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</row>
    <row r="248" spans="1:19" ht="19.95" customHeight="1" x14ac:dyDescent="0.3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</row>
    <row r="249" spans="1:19" ht="19.95" customHeight="1" x14ac:dyDescent="0.3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</row>
    <row r="250" spans="1:19" ht="19.95" customHeight="1" x14ac:dyDescent="0.3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</row>
    <row r="251" spans="1:19" ht="19.95" customHeight="1" x14ac:dyDescent="0.3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</row>
    <row r="252" spans="1:19" ht="19.95" customHeight="1" x14ac:dyDescent="0.3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</row>
    <row r="253" spans="1:19" ht="19.95" customHeight="1" x14ac:dyDescent="0.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</row>
    <row r="254" spans="1:19" ht="19.95" customHeight="1" x14ac:dyDescent="0.3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</row>
    <row r="255" spans="1:19" ht="19.95" customHeight="1" x14ac:dyDescent="0.3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</row>
    <row r="256" spans="1:19" ht="19.95" customHeight="1" x14ac:dyDescent="0.3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</row>
    <row r="257" spans="1:19" ht="19.95" customHeight="1" x14ac:dyDescent="0.3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</row>
    <row r="258" spans="1:19" ht="19.95" customHeight="1" x14ac:dyDescent="0.3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</row>
    <row r="259" spans="1:19" ht="19.95" customHeight="1" x14ac:dyDescent="0.3">
      <c r="A259" s="97" t="s">
        <v>240</v>
      </c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</row>
    <row r="260" spans="1:19" ht="19.95" customHeight="1" x14ac:dyDescent="0.3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</row>
    <row r="261" spans="1:19" ht="19.95" customHeight="1" x14ac:dyDescent="0.3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</row>
    <row r="262" spans="1:19" ht="19.95" customHeight="1" x14ac:dyDescent="0.3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</row>
    <row r="263" spans="1:19" ht="19.95" customHeight="1" x14ac:dyDescent="0.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</row>
    <row r="264" spans="1:19" ht="19.95" customHeight="1" x14ac:dyDescent="0.3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</row>
    <row r="265" spans="1:19" ht="19.95" customHeight="1" x14ac:dyDescent="0.3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</row>
    <row r="266" spans="1:19" ht="19.95" customHeight="1" x14ac:dyDescent="0.3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</row>
    <row r="267" spans="1:19" ht="19.95" customHeight="1" x14ac:dyDescent="0.3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</row>
    <row r="268" spans="1:19" ht="19.95" customHeight="1" x14ac:dyDescent="0.3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</row>
    <row r="269" spans="1:19" ht="19.95" customHeight="1" x14ac:dyDescent="0.3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</row>
    <row r="270" spans="1:19" ht="19.95" customHeight="1" x14ac:dyDescent="0.3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</row>
    <row r="271" spans="1:19" ht="19.95" customHeight="1" x14ac:dyDescent="0.3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</row>
    <row r="272" spans="1:19" ht="19.95" customHeight="1" x14ac:dyDescent="0.3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</row>
    <row r="273" spans="1:19" ht="19.95" customHeight="1" x14ac:dyDescent="0.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</row>
    <row r="274" spans="1:19" ht="19.95" customHeight="1" x14ac:dyDescent="0.3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</row>
    <row r="275" spans="1:19" ht="19.95" customHeight="1" x14ac:dyDescent="0.3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</row>
    <row r="276" spans="1:19" ht="19.95" customHeight="1" x14ac:dyDescent="0.3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</row>
    <row r="277" spans="1:19" ht="19.95" customHeight="1" x14ac:dyDescent="0.3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</row>
    <row r="278" spans="1:19" ht="19.95" customHeight="1" x14ac:dyDescent="0.3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</row>
    <row r="279" spans="1:19" ht="19.95" customHeight="1" x14ac:dyDescent="0.3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</row>
    <row r="280" spans="1:19" ht="19.95" customHeight="1" x14ac:dyDescent="0.3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</row>
    <row r="281" spans="1:19" ht="19.95" customHeight="1" x14ac:dyDescent="0.3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</row>
    <row r="282" spans="1:19" ht="19.95" customHeight="1" x14ac:dyDescent="0.3">
      <c r="A282" s="97" t="s">
        <v>241</v>
      </c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</row>
    <row r="283" spans="1:19" ht="19.95" customHeight="1" x14ac:dyDescent="0.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</row>
    <row r="284" spans="1:19" ht="19.95" customHeight="1" x14ac:dyDescent="0.3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</row>
    <row r="285" spans="1:19" ht="19.95" customHeight="1" x14ac:dyDescent="0.3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</row>
    <row r="286" spans="1:19" ht="19.95" customHeight="1" x14ac:dyDescent="0.3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</row>
    <row r="287" spans="1:19" ht="19.95" customHeight="1" x14ac:dyDescent="0.3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</row>
    <row r="288" spans="1:19" ht="19.95" customHeight="1" x14ac:dyDescent="0.3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</row>
    <row r="289" spans="1:19" ht="19.95" customHeight="1" x14ac:dyDescent="0.3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</row>
    <row r="290" spans="1:19" ht="19.95" customHeight="1" x14ac:dyDescent="0.3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</row>
    <row r="291" spans="1:19" ht="19.95" customHeight="1" x14ac:dyDescent="0.3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</row>
    <row r="292" spans="1:19" ht="19.95" customHeight="1" x14ac:dyDescent="0.3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</row>
    <row r="293" spans="1:19" ht="19.95" customHeight="1" x14ac:dyDescent="0.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</row>
    <row r="294" spans="1:19" ht="19.95" customHeight="1" x14ac:dyDescent="0.3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</row>
    <row r="295" spans="1:19" ht="19.95" customHeight="1" x14ac:dyDescent="0.3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</row>
    <row r="296" spans="1:19" ht="19.95" customHeight="1" x14ac:dyDescent="0.3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</row>
    <row r="297" spans="1:19" ht="19.95" customHeight="1" x14ac:dyDescent="0.3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</row>
    <row r="298" spans="1:19" ht="19.95" customHeight="1" x14ac:dyDescent="0.3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</row>
    <row r="299" spans="1:19" ht="19.95" customHeight="1" x14ac:dyDescent="0.3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</row>
    <row r="300" spans="1:19" ht="19.95" customHeight="1" x14ac:dyDescent="0.3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</row>
    <row r="301" spans="1:19" ht="19.95" customHeight="1" x14ac:dyDescent="0.3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</row>
    <row r="302" spans="1:19" ht="19.95" customHeight="1" x14ac:dyDescent="0.3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</row>
    <row r="303" spans="1:19" ht="19.95" customHeight="1" x14ac:dyDescent="0.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</row>
    <row r="304" spans="1:19" ht="19.95" customHeight="1" x14ac:dyDescent="0.3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</row>
    <row r="305" spans="1:19" ht="19.95" customHeight="1" x14ac:dyDescent="0.3">
      <c r="A305" s="97" t="s">
        <v>242</v>
      </c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</row>
    <row r="306" spans="1:19" ht="19.95" customHeight="1" x14ac:dyDescent="0.3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</row>
    <row r="307" spans="1:19" ht="19.95" customHeight="1" x14ac:dyDescent="0.3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</row>
    <row r="308" spans="1:19" ht="19.95" customHeight="1" x14ac:dyDescent="0.3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</row>
    <row r="309" spans="1:19" ht="19.95" customHeight="1" x14ac:dyDescent="0.3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</row>
    <row r="310" spans="1:19" ht="19.95" customHeight="1" x14ac:dyDescent="0.3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</row>
    <row r="311" spans="1:19" ht="19.95" customHeight="1" x14ac:dyDescent="0.3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</row>
    <row r="312" spans="1:19" ht="19.95" customHeight="1" x14ac:dyDescent="0.3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</row>
    <row r="313" spans="1:19" ht="19.95" customHeight="1" x14ac:dyDescent="0.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</row>
    <row r="314" spans="1:19" ht="19.95" customHeight="1" x14ac:dyDescent="0.3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</row>
    <row r="315" spans="1:19" ht="19.95" customHeight="1" x14ac:dyDescent="0.3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</row>
    <row r="316" spans="1:19" ht="19.95" customHeight="1" x14ac:dyDescent="0.3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</row>
    <row r="317" spans="1:19" ht="19.95" customHeight="1" x14ac:dyDescent="0.3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</row>
    <row r="318" spans="1:19" ht="19.95" customHeight="1" x14ac:dyDescent="0.3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</row>
    <row r="319" spans="1:19" ht="19.95" customHeight="1" x14ac:dyDescent="0.3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</row>
    <row r="320" spans="1:19" ht="19.95" customHeight="1" x14ac:dyDescent="0.3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</row>
    <row r="321" spans="1:19" ht="19.95" customHeight="1" x14ac:dyDescent="0.3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</row>
    <row r="322" spans="1:19" ht="19.95" customHeight="1" x14ac:dyDescent="0.3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</row>
    <row r="323" spans="1:19" ht="19.95" customHeight="1" x14ac:dyDescent="0.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</row>
    <row r="324" spans="1:19" ht="19.95" customHeight="1" x14ac:dyDescent="0.3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</row>
    <row r="325" spans="1:19" ht="19.95" customHeight="1" x14ac:dyDescent="0.3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</row>
    <row r="326" spans="1:19" ht="19.95" customHeight="1" x14ac:dyDescent="0.3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</row>
    <row r="327" spans="1:19" ht="19.95" customHeight="1" x14ac:dyDescent="0.3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</row>
    <row r="328" spans="1:19" ht="19.95" customHeight="1" x14ac:dyDescent="0.3">
      <c r="A328" s="97" t="s">
        <v>243</v>
      </c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</row>
    <row r="329" spans="1:19" ht="19.95" customHeight="1" x14ac:dyDescent="0.3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</row>
    <row r="330" spans="1:19" ht="19.95" customHeight="1" x14ac:dyDescent="0.3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</row>
    <row r="331" spans="1:19" ht="19.95" customHeight="1" x14ac:dyDescent="0.3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</row>
    <row r="332" spans="1:19" ht="19.95" customHeight="1" x14ac:dyDescent="0.3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</row>
    <row r="333" spans="1:19" ht="19.95" customHeight="1" x14ac:dyDescent="0.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</row>
    <row r="334" spans="1:19" ht="19.95" customHeight="1" x14ac:dyDescent="0.3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</row>
    <row r="335" spans="1:19" ht="19.95" customHeight="1" x14ac:dyDescent="0.3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</row>
    <row r="336" spans="1:19" ht="19.95" customHeight="1" x14ac:dyDescent="0.3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</row>
    <row r="337" spans="1:19" ht="19.95" customHeight="1" x14ac:dyDescent="0.3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</row>
    <row r="338" spans="1:19" ht="19.95" customHeight="1" x14ac:dyDescent="0.3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</row>
    <row r="339" spans="1:19" ht="19.95" customHeight="1" x14ac:dyDescent="0.3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</row>
    <row r="340" spans="1:19" ht="19.95" customHeight="1" x14ac:dyDescent="0.3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</row>
    <row r="341" spans="1:19" ht="19.95" customHeight="1" x14ac:dyDescent="0.3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</row>
    <row r="342" spans="1:19" ht="19.95" customHeight="1" x14ac:dyDescent="0.3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</row>
    <row r="343" spans="1:19" ht="19.95" customHeight="1" x14ac:dyDescent="0.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</row>
    <row r="344" spans="1:19" ht="19.95" customHeight="1" x14ac:dyDescent="0.3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</row>
    <row r="345" spans="1:19" ht="19.95" customHeight="1" x14ac:dyDescent="0.3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</row>
    <row r="346" spans="1:19" ht="19.95" customHeight="1" x14ac:dyDescent="0.3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</row>
    <row r="347" spans="1:19" ht="19.95" customHeight="1" x14ac:dyDescent="0.3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</row>
    <row r="348" spans="1:19" ht="19.95" customHeight="1" x14ac:dyDescent="0.3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</row>
    <row r="349" spans="1:19" ht="19.95" customHeight="1" x14ac:dyDescent="0.3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</row>
    <row r="350" spans="1:19" ht="19.95" customHeight="1" x14ac:dyDescent="0.3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</row>
    <row r="351" spans="1:19" ht="19.95" customHeight="1" x14ac:dyDescent="0.3">
      <c r="A351" s="97" t="s">
        <v>244</v>
      </c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</row>
    <row r="352" spans="1:19" ht="19.95" customHeight="1" x14ac:dyDescent="0.3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</row>
    <row r="353" spans="1:19" ht="19.95" customHeight="1" x14ac:dyDescent="0.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</row>
    <row r="354" spans="1:19" ht="19.95" customHeight="1" x14ac:dyDescent="0.3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</row>
    <row r="355" spans="1:19" ht="19.95" customHeight="1" x14ac:dyDescent="0.3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</row>
    <row r="356" spans="1:19" ht="19.95" customHeight="1" x14ac:dyDescent="0.3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</row>
    <row r="357" spans="1:19" ht="19.95" customHeight="1" x14ac:dyDescent="0.3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</row>
    <row r="358" spans="1:19" ht="19.95" customHeight="1" x14ac:dyDescent="0.3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</row>
    <row r="359" spans="1:19" ht="19.95" customHeight="1" x14ac:dyDescent="0.3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</row>
    <row r="360" spans="1:19" ht="19.95" customHeight="1" x14ac:dyDescent="0.3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</row>
    <row r="361" spans="1:19" ht="19.95" customHeight="1" x14ac:dyDescent="0.3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</row>
    <row r="362" spans="1:19" ht="19.95" customHeight="1" x14ac:dyDescent="0.3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</row>
    <row r="363" spans="1:19" ht="19.95" customHeight="1" x14ac:dyDescent="0.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</row>
    <row r="364" spans="1:19" ht="19.95" customHeight="1" x14ac:dyDescent="0.3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</row>
    <row r="365" spans="1:19" ht="19.95" customHeight="1" x14ac:dyDescent="0.3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</row>
    <row r="366" spans="1:19" ht="19.95" customHeight="1" x14ac:dyDescent="0.3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</row>
    <row r="367" spans="1:19" ht="19.95" customHeight="1" x14ac:dyDescent="0.3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</row>
    <row r="368" spans="1:19" ht="19.95" customHeight="1" x14ac:dyDescent="0.3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</row>
    <row r="369" spans="1:19" ht="19.95" customHeight="1" x14ac:dyDescent="0.3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</row>
    <row r="370" spans="1:19" ht="19.95" customHeight="1" x14ac:dyDescent="0.3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</row>
    <row r="371" spans="1:19" ht="19.95" customHeight="1" x14ac:dyDescent="0.3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</row>
    <row r="372" spans="1:19" ht="19.95" customHeight="1" x14ac:dyDescent="0.3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</row>
    <row r="373" spans="1:19" ht="19.95" customHeight="1" x14ac:dyDescent="0.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</row>
    <row r="374" spans="1:19" ht="19.95" customHeight="1" x14ac:dyDescent="0.3">
      <c r="A374" s="97" t="s">
        <v>245</v>
      </c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</row>
    <row r="375" spans="1:19" ht="19.95" customHeight="1" x14ac:dyDescent="0.3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</row>
    <row r="376" spans="1:19" ht="19.95" customHeight="1" x14ac:dyDescent="0.3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</row>
    <row r="377" spans="1:19" ht="19.95" customHeight="1" x14ac:dyDescent="0.3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</row>
    <row r="378" spans="1:19" ht="19.95" customHeight="1" x14ac:dyDescent="0.3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</row>
    <row r="379" spans="1:19" ht="19.95" customHeight="1" x14ac:dyDescent="0.3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</row>
    <row r="380" spans="1:19" ht="19.95" customHeight="1" x14ac:dyDescent="0.3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</row>
    <row r="381" spans="1:19" ht="19.95" customHeight="1" x14ac:dyDescent="0.3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</row>
    <row r="382" spans="1:19" ht="19.95" customHeight="1" x14ac:dyDescent="0.3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</row>
    <row r="383" spans="1:19" ht="19.95" customHeight="1" x14ac:dyDescent="0.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</row>
    <row r="384" spans="1:19" ht="19.95" customHeight="1" x14ac:dyDescent="0.3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</row>
    <row r="385" spans="1:19" ht="19.95" customHeight="1" x14ac:dyDescent="0.3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</row>
    <row r="386" spans="1:19" ht="19.95" customHeight="1" x14ac:dyDescent="0.3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</row>
    <row r="387" spans="1:19" ht="19.95" customHeight="1" x14ac:dyDescent="0.3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</row>
    <row r="388" spans="1:19" ht="19.95" customHeight="1" x14ac:dyDescent="0.3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</row>
    <row r="389" spans="1:19" ht="19.95" customHeight="1" x14ac:dyDescent="0.3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</row>
    <row r="390" spans="1:19" ht="19.95" customHeight="1" x14ac:dyDescent="0.3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</row>
    <row r="391" spans="1:19" ht="19.95" customHeight="1" x14ac:dyDescent="0.3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</row>
    <row r="392" spans="1:19" ht="19.95" customHeight="1" x14ac:dyDescent="0.3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</row>
    <row r="393" spans="1:19" ht="19.95" customHeight="1" x14ac:dyDescent="0.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</row>
    <row r="394" spans="1:19" ht="19.95" customHeight="1" x14ac:dyDescent="0.3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</row>
    <row r="395" spans="1:19" ht="19.95" customHeight="1" x14ac:dyDescent="0.3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</row>
    <row r="396" spans="1:19" ht="19.95" customHeight="1" x14ac:dyDescent="0.3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</row>
    <row r="397" spans="1:19" ht="19.95" customHeight="1" x14ac:dyDescent="0.3">
      <c r="A397" s="97" t="s">
        <v>246</v>
      </c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</row>
    <row r="398" spans="1:19" ht="19.95" customHeight="1" x14ac:dyDescent="0.3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</row>
    <row r="399" spans="1:19" ht="19.95" customHeight="1" x14ac:dyDescent="0.3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</row>
    <row r="400" spans="1:19" ht="19.95" customHeight="1" x14ac:dyDescent="0.3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</row>
    <row r="401" spans="1:19" ht="19.95" customHeight="1" x14ac:dyDescent="0.3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</row>
    <row r="402" spans="1:19" ht="19.95" customHeight="1" x14ac:dyDescent="0.3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</row>
    <row r="403" spans="1:19" ht="19.95" customHeight="1" x14ac:dyDescent="0.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</row>
    <row r="404" spans="1:19" ht="19.95" customHeight="1" x14ac:dyDescent="0.3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</row>
    <row r="405" spans="1:19" ht="19.95" customHeight="1" x14ac:dyDescent="0.3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</row>
    <row r="406" spans="1:19" ht="19.95" customHeight="1" x14ac:dyDescent="0.3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</row>
    <row r="407" spans="1:19" ht="19.95" customHeight="1" x14ac:dyDescent="0.3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</row>
    <row r="408" spans="1:19" ht="19.95" customHeight="1" x14ac:dyDescent="0.3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</row>
    <row r="409" spans="1:19" ht="19.95" customHeight="1" x14ac:dyDescent="0.3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</row>
    <row r="410" spans="1:19" ht="19.95" customHeight="1" x14ac:dyDescent="0.3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</row>
    <row r="411" spans="1:19" ht="19.95" customHeight="1" x14ac:dyDescent="0.3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</row>
    <row r="412" spans="1:19" ht="19.95" customHeight="1" x14ac:dyDescent="0.3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</row>
    <row r="413" spans="1:19" ht="19.95" customHeight="1" x14ac:dyDescent="0.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</row>
    <row r="414" spans="1:19" ht="19.95" customHeight="1" x14ac:dyDescent="0.3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</row>
    <row r="415" spans="1:19" ht="19.95" customHeight="1" x14ac:dyDescent="0.3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</row>
    <row r="416" spans="1:19" ht="19.95" customHeight="1" x14ac:dyDescent="0.3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</row>
    <row r="417" spans="1:19" ht="19.95" customHeight="1" x14ac:dyDescent="0.3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</row>
    <row r="418" spans="1:19" ht="19.95" customHeight="1" x14ac:dyDescent="0.3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</row>
    <row r="419" spans="1:19" ht="19.95" customHeight="1" x14ac:dyDescent="0.3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</row>
    <row r="420" spans="1:19" ht="19.95" customHeight="1" x14ac:dyDescent="0.3">
      <c r="A420" s="97" t="s">
        <v>247</v>
      </c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</row>
    <row r="421" spans="1:19" ht="19.95" customHeight="1" x14ac:dyDescent="0.3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</row>
    <row r="422" spans="1:19" ht="19.95" customHeight="1" x14ac:dyDescent="0.3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</row>
    <row r="423" spans="1:19" ht="19.95" customHeight="1" x14ac:dyDescent="0.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</row>
    <row r="424" spans="1:19" ht="19.95" customHeight="1" x14ac:dyDescent="0.3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</row>
    <row r="425" spans="1:19" ht="19.95" customHeight="1" x14ac:dyDescent="0.3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</row>
    <row r="426" spans="1:19" ht="19.95" customHeight="1" x14ac:dyDescent="0.3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</row>
    <row r="427" spans="1:19" ht="19.95" customHeight="1" x14ac:dyDescent="0.3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</row>
    <row r="428" spans="1:19" ht="19.95" customHeight="1" x14ac:dyDescent="0.3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</row>
    <row r="429" spans="1:19" ht="19.95" customHeight="1" x14ac:dyDescent="0.3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</row>
    <row r="430" spans="1:19" ht="19.95" customHeight="1" x14ac:dyDescent="0.3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</row>
    <row r="431" spans="1:19" ht="19.95" customHeight="1" x14ac:dyDescent="0.3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</row>
    <row r="432" spans="1:19" ht="19.95" customHeight="1" x14ac:dyDescent="0.3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</row>
    <row r="433" spans="1:19" ht="19.95" customHeight="1" x14ac:dyDescent="0.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</row>
    <row r="434" spans="1:19" ht="19.95" customHeight="1" x14ac:dyDescent="0.3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</row>
    <row r="435" spans="1:19" ht="19.95" customHeight="1" x14ac:dyDescent="0.3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</row>
    <row r="436" spans="1:19" ht="19.95" customHeight="1" x14ac:dyDescent="0.3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</row>
    <row r="437" spans="1:19" ht="19.95" customHeight="1" x14ac:dyDescent="0.3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</row>
    <row r="438" spans="1:19" ht="19.95" customHeight="1" x14ac:dyDescent="0.3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</row>
    <row r="439" spans="1:19" ht="19.95" customHeight="1" x14ac:dyDescent="0.3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</row>
    <row r="440" spans="1:19" ht="19.95" customHeight="1" x14ac:dyDescent="0.3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</row>
    <row r="441" spans="1:19" ht="19.95" customHeight="1" x14ac:dyDescent="0.3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</row>
    <row r="442" spans="1:19" ht="19.95" customHeight="1" x14ac:dyDescent="0.3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</row>
    <row r="443" spans="1:19" ht="19.95" customHeight="1" x14ac:dyDescent="0.3">
      <c r="A443" s="97" t="s">
        <v>248</v>
      </c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</row>
    <row r="444" spans="1:19" ht="19.95" customHeight="1" x14ac:dyDescent="0.3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</row>
    <row r="445" spans="1:19" ht="19.95" customHeight="1" x14ac:dyDescent="0.3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</row>
    <row r="446" spans="1:19" ht="19.95" customHeight="1" x14ac:dyDescent="0.3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</row>
    <row r="447" spans="1:19" ht="19.95" customHeight="1" x14ac:dyDescent="0.3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</row>
    <row r="448" spans="1:19" ht="19.95" customHeight="1" x14ac:dyDescent="0.3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</row>
    <row r="449" spans="1:19" ht="19.95" customHeight="1" x14ac:dyDescent="0.3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</row>
    <row r="450" spans="1:19" ht="19.95" customHeight="1" x14ac:dyDescent="0.3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</row>
    <row r="451" spans="1:19" ht="19.95" customHeight="1" x14ac:dyDescent="0.3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</row>
    <row r="452" spans="1:19" ht="19.95" customHeight="1" x14ac:dyDescent="0.3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</row>
    <row r="453" spans="1:19" ht="19.95" customHeight="1" x14ac:dyDescent="0.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</row>
    <row r="454" spans="1:19" ht="19.95" customHeight="1" x14ac:dyDescent="0.3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</row>
    <row r="455" spans="1:19" ht="19.95" customHeight="1" x14ac:dyDescent="0.3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</row>
    <row r="456" spans="1:19" ht="19.95" customHeight="1" x14ac:dyDescent="0.3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</row>
    <row r="457" spans="1:19" ht="19.95" customHeight="1" x14ac:dyDescent="0.3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</row>
    <row r="458" spans="1:19" ht="19.95" customHeight="1" x14ac:dyDescent="0.3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</row>
    <row r="459" spans="1:19" ht="19.95" customHeight="1" x14ac:dyDescent="0.3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</row>
    <row r="460" spans="1:19" ht="19.95" customHeight="1" x14ac:dyDescent="0.3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</row>
    <row r="461" spans="1:19" ht="19.95" customHeight="1" x14ac:dyDescent="0.3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</row>
    <row r="462" spans="1:19" ht="19.95" customHeight="1" x14ac:dyDescent="0.3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</row>
    <row r="463" spans="1:19" ht="19.95" customHeight="1" x14ac:dyDescent="0.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</row>
    <row r="464" spans="1:19" ht="19.95" customHeight="1" x14ac:dyDescent="0.3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</row>
    <row r="465" spans="1:19" ht="19.95" customHeight="1" x14ac:dyDescent="0.3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</row>
    <row r="466" spans="1:19" ht="19.95" customHeight="1" x14ac:dyDescent="0.3">
      <c r="A466" s="97" t="s">
        <v>249</v>
      </c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</row>
    <row r="467" spans="1:19" ht="19.95" customHeight="1" x14ac:dyDescent="0.3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</row>
    <row r="468" spans="1:19" ht="19.95" customHeight="1" x14ac:dyDescent="0.3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</row>
    <row r="469" spans="1:19" ht="19.95" customHeight="1" x14ac:dyDescent="0.3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</row>
    <row r="470" spans="1:19" ht="19.95" customHeight="1" x14ac:dyDescent="0.3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</row>
    <row r="471" spans="1:19" ht="19.95" customHeight="1" x14ac:dyDescent="0.3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</row>
    <row r="472" spans="1:19" ht="19.95" customHeight="1" x14ac:dyDescent="0.3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</row>
    <row r="473" spans="1:19" ht="19.95" customHeight="1" x14ac:dyDescent="0.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</row>
    <row r="474" spans="1:19" ht="19.95" customHeight="1" x14ac:dyDescent="0.3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</row>
    <row r="475" spans="1:19" ht="19.95" customHeight="1" x14ac:dyDescent="0.3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</row>
    <row r="476" spans="1:19" ht="19.95" customHeight="1" x14ac:dyDescent="0.3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</row>
    <row r="477" spans="1:19" ht="19.95" customHeight="1" x14ac:dyDescent="0.3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</row>
    <row r="478" spans="1:19" ht="19.95" customHeight="1" x14ac:dyDescent="0.3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</row>
    <row r="479" spans="1:19" ht="19.95" customHeight="1" x14ac:dyDescent="0.3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</row>
    <row r="480" spans="1:19" ht="19.95" customHeight="1" x14ac:dyDescent="0.3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</row>
    <row r="481" spans="1:19" ht="19.95" customHeight="1" x14ac:dyDescent="0.3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</row>
    <row r="482" spans="1:19" ht="19.95" customHeight="1" x14ac:dyDescent="0.3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</row>
    <row r="483" spans="1:19" ht="19.95" customHeight="1" x14ac:dyDescent="0.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</row>
    <row r="484" spans="1:19" ht="19.95" customHeight="1" x14ac:dyDescent="0.3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</row>
    <row r="485" spans="1:19" ht="19.95" customHeight="1" x14ac:dyDescent="0.3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</row>
    <row r="486" spans="1:19" ht="19.95" customHeight="1" x14ac:dyDescent="0.3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</row>
    <row r="487" spans="1:19" ht="19.95" customHeight="1" x14ac:dyDescent="0.3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</row>
    <row r="488" spans="1:19" ht="19.95" customHeight="1" x14ac:dyDescent="0.3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</row>
    <row r="489" spans="1:19" ht="19.95" customHeight="1" x14ac:dyDescent="0.3">
      <c r="A489" s="97" t="s">
        <v>250</v>
      </c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</row>
    <row r="490" spans="1:19" ht="19.95" customHeight="1" x14ac:dyDescent="0.3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</row>
    <row r="491" spans="1:19" ht="19.95" customHeight="1" x14ac:dyDescent="0.3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</row>
    <row r="492" spans="1:19" ht="19.95" customHeight="1" x14ac:dyDescent="0.3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</row>
    <row r="493" spans="1:19" ht="19.95" customHeight="1" x14ac:dyDescent="0.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</row>
    <row r="494" spans="1:19" ht="19.95" customHeight="1" x14ac:dyDescent="0.3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</row>
    <row r="495" spans="1:19" ht="19.95" customHeight="1" x14ac:dyDescent="0.3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</row>
    <row r="496" spans="1:19" ht="19.95" customHeight="1" x14ac:dyDescent="0.3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</row>
    <row r="497" spans="1:19" ht="19.95" customHeight="1" x14ac:dyDescent="0.3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</row>
    <row r="498" spans="1:19" ht="19.95" customHeight="1" x14ac:dyDescent="0.3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</row>
    <row r="499" spans="1:19" ht="19.95" customHeight="1" x14ac:dyDescent="0.3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</row>
    <row r="500" spans="1:19" ht="19.95" customHeight="1" x14ac:dyDescent="0.3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</row>
    <row r="501" spans="1:19" ht="19.95" customHeight="1" x14ac:dyDescent="0.3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</row>
    <row r="502" spans="1:19" ht="19.95" customHeight="1" x14ac:dyDescent="0.3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</row>
    <row r="503" spans="1:19" ht="19.95" customHeight="1" x14ac:dyDescent="0.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</row>
    <row r="504" spans="1:19" ht="19.95" customHeight="1" x14ac:dyDescent="0.3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</row>
    <row r="505" spans="1:19" ht="19.95" customHeight="1" x14ac:dyDescent="0.3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</row>
    <row r="506" spans="1:19" ht="19.95" customHeight="1" x14ac:dyDescent="0.3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</row>
    <row r="507" spans="1:19" ht="19.95" customHeight="1" x14ac:dyDescent="0.3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</row>
    <row r="508" spans="1:19" ht="19.95" customHeight="1" x14ac:dyDescent="0.3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</row>
    <row r="509" spans="1:19" ht="19.95" customHeight="1" x14ac:dyDescent="0.3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</row>
    <row r="510" spans="1:19" ht="19.95" customHeight="1" x14ac:dyDescent="0.3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</row>
    <row r="511" spans="1:19" ht="19.95" customHeight="1" x14ac:dyDescent="0.3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</row>
    <row r="512" spans="1:19" ht="19.95" customHeight="1" x14ac:dyDescent="0.3">
      <c r="A512" s="97" t="s">
        <v>251</v>
      </c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</row>
    <row r="513" spans="1:19" ht="19.95" customHeight="1" x14ac:dyDescent="0.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</row>
    <row r="514" spans="1:19" ht="19.95" customHeight="1" x14ac:dyDescent="0.3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</row>
    <row r="515" spans="1:19" ht="19.95" customHeight="1" x14ac:dyDescent="0.3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</row>
    <row r="516" spans="1:19" ht="19.95" customHeight="1" x14ac:dyDescent="0.3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</row>
    <row r="517" spans="1:19" ht="19.95" customHeight="1" x14ac:dyDescent="0.3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</row>
    <row r="518" spans="1:19" ht="19.95" customHeight="1" x14ac:dyDescent="0.3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</row>
    <row r="519" spans="1:19" ht="19.95" customHeight="1" x14ac:dyDescent="0.3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</row>
    <row r="520" spans="1:19" ht="19.95" customHeight="1" x14ac:dyDescent="0.3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</row>
    <row r="521" spans="1:19" ht="19.95" customHeight="1" x14ac:dyDescent="0.3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</row>
    <row r="522" spans="1:19" ht="19.95" customHeight="1" x14ac:dyDescent="0.3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</row>
    <row r="523" spans="1:19" ht="19.95" customHeight="1" x14ac:dyDescent="0.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</row>
    <row r="524" spans="1:19" ht="19.95" customHeight="1" x14ac:dyDescent="0.3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</row>
    <row r="525" spans="1:19" ht="19.95" customHeight="1" x14ac:dyDescent="0.3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</row>
    <row r="526" spans="1:19" ht="19.95" customHeight="1" x14ac:dyDescent="0.3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</row>
    <row r="527" spans="1:19" ht="19.95" customHeight="1" x14ac:dyDescent="0.3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</row>
    <row r="528" spans="1:19" ht="19.95" customHeight="1" x14ac:dyDescent="0.3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</row>
    <row r="529" spans="1:19" ht="19.95" customHeight="1" x14ac:dyDescent="0.3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</row>
    <row r="530" spans="1:19" ht="19.95" customHeight="1" x14ac:dyDescent="0.3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</row>
    <row r="531" spans="1:19" ht="19.95" customHeight="1" x14ac:dyDescent="0.3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</row>
    <row r="532" spans="1:19" ht="19.95" customHeight="1" x14ac:dyDescent="0.3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</row>
    <row r="533" spans="1:19" ht="19.95" customHeight="1" x14ac:dyDescent="0.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</row>
    <row r="534" spans="1:19" ht="19.95" customHeight="1" x14ac:dyDescent="0.3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</row>
    <row r="535" spans="1:19" ht="19.95" customHeight="1" x14ac:dyDescent="0.3">
      <c r="A535" s="97" t="s">
        <v>252</v>
      </c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</row>
    <row r="536" spans="1:19" ht="19.95" customHeight="1" x14ac:dyDescent="0.3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</row>
    <row r="537" spans="1:19" ht="19.95" customHeight="1" x14ac:dyDescent="0.3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</row>
    <row r="538" spans="1:19" ht="19.95" customHeight="1" x14ac:dyDescent="0.3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</row>
    <row r="539" spans="1:19" ht="19.95" customHeight="1" x14ac:dyDescent="0.3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</row>
    <row r="540" spans="1:19" ht="19.95" customHeight="1" x14ac:dyDescent="0.3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</row>
    <row r="541" spans="1:19" ht="19.95" customHeight="1" x14ac:dyDescent="0.3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</row>
    <row r="542" spans="1:19" ht="19.95" customHeight="1" x14ac:dyDescent="0.3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</row>
    <row r="543" spans="1:19" ht="19.95" customHeight="1" x14ac:dyDescent="0.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</row>
    <row r="544" spans="1:19" ht="19.95" customHeight="1" x14ac:dyDescent="0.3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</row>
    <row r="545" spans="1:19" ht="19.95" customHeight="1" x14ac:dyDescent="0.3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</row>
    <row r="546" spans="1:19" ht="19.95" customHeight="1" x14ac:dyDescent="0.3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</row>
    <row r="547" spans="1:19" ht="19.95" customHeight="1" x14ac:dyDescent="0.3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</row>
    <row r="548" spans="1:19" ht="19.95" customHeight="1" x14ac:dyDescent="0.3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</row>
    <row r="549" spans="1:19" ht="19.95" customHeight="1" x14ac:dyDescent="0.3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</row>
    <row r="550" spans="1:19" ht="19.95" customHeight="1" x14ac:dyDescent="0.3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</row>
    <row r="551" spans="1:19" ht="19.95" customHeight="1" x14ac:dyDescent="0.3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</row>
    <row r="552" spans="1:19" ht="19.95" customHeight="1" x14ac:dyDescent="0.3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</row>
    <row r="553" spans="1:19" ht="19.95" customHeight="1" x14ac:dyDescent="0.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</row>
    <row r="554" spans="1:19" ht="19.95" customHeight="1" x14ac:dyDescent="0.3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</row>
    <row r="555" spans="1:19" ht="19.95" customHeight="1" x14ac:dyDescent="0.3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</row>
    <row r="556" spans="1:19" ht="19.95" customHeight="1" x14ac:dyDescent="0.3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</row>
    <row r="557" spans="1:19" ht="19.95" customHeight="1" x14ac:dyDescent="0.3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</row>
    <row r="558" spans="1:19" ht="19.95" customHeight="1" x14ac:dyDescent="0.3">
      <c r="A558" s="97" t="s">
        <v>253</v>
      </c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</row>
    <row r="559" spans="1:19" ht="19.95" customHeight="1" x14ac:dyDescent="0.3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</row>
    <row r="560" spans="1:19" ht="19.95" customHeight="1" x14ac:dyDescent="0.3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</row>
    <row r="561" spans="1:19" ht="19.95" customHeight="1" x14ac:dyDescent="0.3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</row>
    <row r="562" spans="1:19" ht="19.95" customHeight="1" x14ac:dyDescent="0.3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</row>
    <row r="563" spans="1:19" ht="19.95" customHeight="1" x14ac:dyDescent="0.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</row>
    <row r="564" spans="1:19" ht="19.95" customHeight="1" x14ac:dyDescent="0.3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</row>
    <row r="565" spans="1:19" ht="19.95" customHeight="1" x14ac:dyDescent="0.3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</row>
    <row r="566" spans="1:19" ht="19.95" customHeight="1" x14ac:dyDescent="0.3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</row>
    <row r="567" spans="1:19" ht="19.95" customHeight="1" x14ac:dyDescent="0.3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</row>
    <row r="568" spans="1:19" ht="19.95" customHeight="1" x14ac:dyDescent="0.3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</row>
    <row r="569" spans="1:19" ht="19.95" customHeight="1" x14ac:dyDescent="0.3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</row>
    <row r="570" spans="1:19" ht="19.95" customHeight="1" x14ac:dyDescent="0.3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</row>
    <row r="571" spans="1:19" ht="19.95" customHeight="1" x14ac:dyDescent="0.3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</row>
    <row r="572" spans="1:19" ht="19.95" customHeight="1" x14ac:dyDescent="0.3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</row>
    <row r="573" spans="1:19" ht="19.95" customHeight="1" x14ac:dyDescent="0.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</row>
    <row r="574" spans="1:19" ht="19.95" customHeight="1" x14ac:dyDescent="0.3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</row>
    <row r="575" spans="1:19" ht="19.95" customHeight="1" x14ac:dyDescent="0.3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</row>
    <row r="576" spans="1:19" ht="19.95" customHeight="1" x14ac:dyDescent="0.3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</row>
    <row r="577" spans="1:19" ht="19.95" customHeight="1" x14ac:dyDescent="0.3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</row>
    <row r="578" spans="1:19" ht="19.95" customHeight="1" x14ac:dyDescent="0.3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</row>
    <row r="579" spans="1:19" ht="19.95" customHeight="1" x14ac:dyDescent="0.3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</row>
    <row r="580" spans="1:19" ht="19.95" customHeight="1" x14ac:dyDescent="0.3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</row>
    <row r="581" spans="1:19" ht="19.95" customHeight="1" x14ac:dyDescent="0.3">
      <c r="A581" s="97" t="s">
        <v>254</v>
      </c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</row>
    <row r="582" spans="1:19" ht="19.95" customHeight="1" x14ac:dyDescent="0.3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</row>
    <row r="583" spans="1:19" ht="19.95" customHeight="1" x14ac:dyDescent="0.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</row>
    <row r="584" spans="1:19" ht="19.95" customHeight="1" x14ac:dyDescent="0.3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</row>
    <row r="585" spans="1:19" ht="19.95" customHeight="1" x14ac:dyDescent="0.3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</row>
    <row r="586" spans="1:19" ht="19.95" customHeight="1" x14ac:dyDescent="0.3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</row>
    <row r="587" spans="1:19" ht="19.95" customHeight="1" x14ac:dyDescent="0.3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</row>
    <row r="588" spans="1:19" ht="19.95" customHeight="1" x14ac:dyDescent="0.3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</row>
    <row r="589" spans="1:19" ht="19.95" customHeight="1" x14ac:dyDescent="0.3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</row>
    <row r="590" spans="1:19" ht="19.95" customHeight="1" x14ac:dyDescent="0.3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</row>
    <row r="591" spans="1:19" ht="19.95" customHeight="1" x14ac:dyDescent="0.3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</row>
    <row r="592" spans="1:19" ht="19.95" customHeight="1" x14ac:dyDescent="0.3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</row>
    <row r="593" spans="1:19" ht="19.95" customHeight="1" x14ac:dyDescent="0.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</row>
    <row r="594" spans="1:19" ht="19.95" customHeight="1" x14ac:dyDescent="0.3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</row>
    <row r="595" spans="1:19" ht="19.95" customHeight="1" x14ac:dyDescent="0.3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</row>
    <row r="596" spans="1:19" ht="19.95" customHeight="1" x14ac:dyDescent="0.3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</row>
    <row r="597" spans="1:19" ht="19.95" customHeight="1" x14ac:dyDescent="0.3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</row>
    <row r="598" spans="1:19" ht="19.95" customHeight="1" x14ac:dyDescent="0.3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</row>
    <row r="599" spans="1:19" ht="19.95" customHeight="1" x14ac:dyDescent="0.3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</row>
    <row r="600" spans="1:19" ht="19.95" customHeight="1" x14ac:dyDescent="0.3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</row>
    <row r="601" spans="1:19" ht="19.95" customHeight="1" x14ac:dyDescent="0.3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</row>
    <row r="602" spans="1:19" ht="19.95" customHeight="1" x14ac:dyDescent="0.3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</row>
    <row r="603" spans="1:19" ht="19.95" customHeight="1" x14ac:dyDescent="0.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</row>
    <row r="604" spans="1:19" ht="19.95" customHeight="1" x14ac:dyDescent="0.3">
      <c r="A604" s="97" t="s">
        <v>255</v>
      </c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</row>
    <row r="605" spans="1:19" ht="19.95" customHeight="1" x14ac:dyDescent="0.3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</row>
    <row r="606" spans="1:19" ht="19.95" customHeight="1" x14ac:dyDescent="0.3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</row>
    <row r="607" spans="1:19" ht="19.95" customHeight="1" x14ac:dyDescent="0.3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</row>
    <row r="608" spans="1:19" ht="19.95" customHeight="1" x14ac:dyDescent="0.3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</row>
    <row r="609" spans="1:19" ht="19.95" customHeight="1" x14ac:dyDescent="0.3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</row>
    <row r="610" spans="1:19" ht="19.95" customHeight="1" x14ac:dyDescent="0.3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</row>
    <row r="611" spans="1:19" ht="19.95" customHeight="1" x14ac:dyDescent="0.3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</row>
    <row r="612" spans="1:19" ht="19.95" customHeight="1" x14ac:dyDescent="0.3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</row>
    <row r="613" spans="1:19" ht="19.95" customHeight="1" x14ac:dyDescent="0.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</row>
    <row r="614" spans="1:19" ht="19.95" customHeight="1" x14ac:dyDescent="0.3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</row>
    <row r="615" spans="1:19" ht="19.95" customHeight="1" x14ac:dyDescent="0.3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</row>
    <row r="616" spans="1:19" ht="19.95" customHeight="1" x14ac:dyDescent="0.3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</row>
    <row r="617" spans="1:19" ht="19.95" customHeight="1" x14ac:dyDescent="0.3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</row>
    <row r="618" spans="1:19" ht="19.95" customHeight="1" x14ac:dyDescent="0.3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</row>
    <row r="619" spans="1:19" ht="19.95" customHeight="1" x14ac:dyDescent="0.3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</row>
    <row r="620" spans="1:19" ht="19.95" customHeight="1" x14ac:dyDescent="0.3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</row>
    <row r="621" spans="1:19" ht="19.95" customHeight="1" x14ac:dyDescent="0.3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</row>
    <row r="622" spans="1:19" ht="19.95" customHeight="1" x14ac:dyDescent="0.3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</row>
    <row r="623" spans="1:19" ht="19.95" customHeight="1" x14ac:dyDescent="0.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</row>
    <row r="624" spans="1:19" ht="19.95" customHeight="1" x14ac:dyDescent="0.3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</row>
    <row r="625" spans="1:19" ht="19.95" customHeight="1" x14ac:dyDescent="0.3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</row>
  </sheetData>
  <mergeCells count="30">
    <mergeCell ref="A1:S1"/>
    <mergeCell ref="A2:S2"/>
    <mergeCell ref="A3:S3"/>
    <mergeCell ref="A6:S6"/>
    <mergeCell ref="A29:S29"/>
    <mergeCell ref="A52:S52"/>
    <mergeCell ref="A75:S75"/>
    <mergeCell ref="A98:S98"/>
    <mergeCell ref="A121:S121"/>
    <mergeCell ref="A144:S144"/>
    <mergeCell ref="A167:S167"/>
    <mergeCell ref="A190:S190"/>
    <mergeCell ref="A213:S213"/>
    <mergeCell ref="A236:S236"/>
    <mergeCell ref="A259:S259"/>
    <mergeCell ref="A282:S282"/>
    <mergeCell ref="A305:S305"/>
    <mergeCell ref="A328:S328"/>
    <mergeCell ref="A351:S351"/>
    <mergeCell ref="A374:S374"/>
    <mergeCell ref="A397:S397"/>
    <mergeCell ref="A420:S420"/>
    <mergeCell ref="A443:S443"/>
    <mergeCell ref="A466:S466"/>
    <mergeCell ref="A489:S489"/>
    <mergeCell ref="A512:S512"/>
    <mergeCell ref="A535:S535"/>
    <mergeCell ref="A558:S558"/>
    <mergeCell ref="A581:S581"/>
    <mergeCell ref="A604:S604"/>
  </mergeCells>
  <pageMargins left="0.25" right="0.25" top="0.25" bottom="0.25" header="0.3" footer="0.3"/>
  <pageSetup paperSize="9" scale="86" fitToHeight="0" orientation="landscape"/>
  <rowBreaks count="26" manualBreakCount="26">
    <brk id="28" max="18" man="1"/>
    <brk id="51" max="18" man="1"/>
    <brk id="74" max="18" man="1"/>
    <brk id="97" max="18" man="1"/>
    <brk id="120" max="18" man="1"/>
    <brk id="143" max="18" man="1"/>
    <brk id="166" max="18" man="1"/>
    <brk id="189" max="18" man="1"/>
    <brk id="212" max="18" man="1"/>
    <brk id="235" max="18" man="1"/>
    <brk id="258" max="18" man="1"/>
    <brk id="281" max="18" man="1"/>
    <brk id="304" max="18" man="1"/>
    <brk id="327" max="18" man="1"/>
    <brk id="350" max="18" man="1"/>
    <brk id="373" max="18" man="1"/>
    <brk id="396" max="18" man="1"/>
    <brk id="419" max="18" man="1"/>
    <brk id="442" max="18" man="1"/>
    <brk id="465" max="18" man="1"/>
    <brk id="488" max="18" man="1"/>
    <brk id="511" max="18" man="1"/>
    <brk id="534" max="18" man="1"/>
    <brk id="557" max="18" man="1"/>
    <brk id="580" max="18" man="1"/>
    <brk id="603" max="18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Overview</vt:lpstr>
      <vt:lpstr>KOHC</vt:lpstr>
      <vt:lpstr>LUCK</vt:lpstr>
      <vt:lpstr>DGKC</vt:lpstr>
      <vt:lpstr>MLCF</vt:lpstr>
      <vt:lpstr>FCCL</vt:lpstr>
      <vt:lpstr>Industry Averages</vt:lpstr>
      <vt:lpstr>Charts</vt:lpstr>
      <vt:lpstr>Charts!Print_Area</vt:lpstr>
      <vt:lpstr>DGKC!Print_Area</vt:lpstr>
      <vt:lpstr>FCCL!Print_Area</vt:lpstr>
      <vt:lpstr>'Industry Averages'!Print_Area</vt:lpstr>
      <vt:lpstr>KOHC!Print_Area</vt:lpstr>
      <vt:lpstr>LUCK!Print_Area</vt:lpstr>
      <vt:lpstr>MLCF!Print_Area</vt:lpstr>
      <vt:lpstr>Overview!Print_Area</vt:lpstr>
      <vt:lpstr>Charts!Print_Titles</vt:lpstr>
      <vt:lpstr>'Industry Averages'!Print_Titles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Raahin Tajuddin</cp:lastModifiedBy>
  <dcterms:modified xsi:type="dcterms:W3CDTF">2026-10-27T18:06:05Z</dcterms:modified>
</cp:coreProperties>
</file>